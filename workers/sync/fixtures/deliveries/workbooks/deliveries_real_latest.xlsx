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6"/>
  </bookViews>
  <sheets>
    <sheet name="JANUARY 2026" sheetId="1" r:id="rId1"/>
    <sheet name="FEBRUARY 2026" sheetId="2" r:id="rId2"/>
    <sheet name="MARCH 2026" sheetId="3" r:id="rId3"/>
    <sheet name="APRIL 2026" sheetId="4" r:id="rId4"/>
    <sheet name="MAY 2026" sheetId="5" r:id="rId5"/>
    <sheet name="JUNE 2026" sheetId="6" r:id="rId6"/>
    <sheet name="JULY 26" sheetId="7" r:id="rId7"/>
  </sheets>
  <definedNames>
    <definedName name="_xlnm.Print_Area" localSheetId="0">'JANUARY 2026'!$B$1:$G$107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<sst xmlns="http://schemas.openxmlformats.org/spreadsheetml/2006/main" count="2260" uniqueCount="404">
  <si>
    <t>JANUAREY 2026 DELIVERIES</t>
  </si>
  <si>
    <t>DATE</t>
  </si>
  <si>
    <t>DATE OF</t>
  </si>
  <si>
    <t>Sample</t>
  </si>
  <si>
    <t>Block</t>
  </si>
  <si>
    <t>block</t>
  </si>
  <si>
    <t>TRUCK</t>
  </si>
  <si>
    <t>Delivery</t>
  </si>
  <si>
    <t>Moisture</t>
  </si>
  <si>
    <t>Grit</t>
  </si>
  <si>
    <t xml:space="preserve">    BULK DENSITY</t>
  </si>
  <si>
    <t>VOLATILE</t>
  </si>
  <si>
    <t>ASH</t>
  </si>
  <si>
    <t>FIXED</t>
  </si>
  <si>
    <t>ANALYZED</t>
  </si>
  <si>
    <t>DELIVERY</t>
  </si>
  <si>
    <t>Supplier name</t>
  </si>
  <si>
    <t>locator</t>
  </si>
  <si>
    <t>PLATE</t>
  </si>
  <si>
    <t>(kilo)</t>
  </si>
  <si>
    <t>(sack)</t>
  </si>
  <si>
    <t>CONTENT</t>
  </si>
  <si>
    <t>ASTM</t>
  </si>
  <si>
    <t>JIS</t>
  </si>
  <si>
    <t>MATTER</t>
  </si>
  <si>
    <t>CARBON</t>
  </si>
  <si>
    <t>Standard Specification</t>
  </si>
  <si>
    <t>NUMBER</t>
  </si>
  <si>
    <t>8.9 max.</t>
  </si>
  <si>
    <t>0.99~ 1 max.</t>
  </si>
  <si>
    <t>0.575 min.(ASTM)</t>
  </si>
  <si>
    <t>18 max.</t>
  </si>
  <si>
    <t>3.0 max.</t>
  </si>
  <si>
    <t>79.0 min.</t>
  </si>
  <si>
    <t>Paquibot</t>
  </si>
  <si>
    <t>B16</t>
  </si>
  <si>
    <t>A-18B</t>
  </si>
  <si>
    <t>MAN 3625</t>
  </si>
  <si>
    <t xml:space="preserve"> PILED IN DECEMBER # 16</t>
  </si>
  <si>
    <t>Ornales</t>
  </si>
  <si>
    <t>B01</t>
  </si>
  <si>
    <t>A-9A</t>
  </si>
  <si>
    <t>LFF 835</t>
  </si>
  <si>
    <t>MAV9202</t>
  </si>
  <si>
    <t>B02</t>
  </si>
  <si>
    <t>A-18A</t>
  </si>
  <si>
    <t>AAV 6111</t>
  </si>
  <si>
    <t>CAL 7622</t>
  </si>
  <si>
    <t>Tag-at</t>
  </si>
  <si>
    <t>FEEDING AREA</t>
  </si>
  <si>
    <t>KCA 378</t>
  </si>
  <si>
    <t>DONE FEEDING</t>
  </si>
  <si>
    <t>MAN3625 net kilos of 22,340 - .67%(MC) = 22,190</t>
  </si>
  <si>
    <t>Llanto</t>
  </si>
  <si>
    <t>B04</t>
  </si>
  <si>
    <t>D-11D</t>
  </si>
  <si>
    <t>ALA 9958</t>
  </si>
  <si>
    <t xml:space="preserve"> PILED IN DECEMBER # 4 / FEEDING</t>
  </si>
  <si>
    <t>Tanilon</t>
  </si>
  <si>
    <t>B08</t>
  </si>
  <si>
    <t>D-18D</t>
  </si>
  <si>
    <t>MAR2499</t>
  </si>
  <si>
    <r>
      <rPr>
        <sz val="11"/>
        <color theme="1"/>
        <rFont val="Calibri"/>
        <charset val="134"/>
        <scheme val="minor"/>
      </rPr>
      <t>MAR2499 net kilos of 4,920 - 1.87%(MC) = 4,828 /</t>
    </r>
    <r>
      <rPr>
        <b/>
        <sz val="11"/>
        <color rgb="FFFF0000"/>
        <rFont val="Calibri"/>
        <charset val="134"/>
        <scheme val="minor"/>
      </rPr>
      <t xml:space="preserve"> PILE IN NOVEMBER # 8</t>
    </r>
  </si>
  <si>
    <t>Lacoto</t>
  </si>
  <si>
    <t>D-18C</t>
  </si>
  <si>
    <t>NEV 8612</t>
  </si>
  <si>
    <r>
      <rPr>
        <sz val="11"/>
        <color theme="1"/>
        <rFont val="Calibri"/>
        <charset val="134"/>
        <scheme val="minor"/>
      </rPr>
      <t>NEV 8612 net kilos of 19,295 -496 KILOS of (MC dedeuction) = 18,799</t>
    </r>
    <r>
      <rPr>
        <b/>
        <sz val="11"/>
        <color rgb="FFFF0000"/>
        <rFont val="Calibri"/>
        <charset val="134"/>
        <scheme val="minor"/>
      </rPr>
      <t xml:space="preserve">  85 SACKS SUNDRIED)</t>
    </r>
  </si>
  <si>
    <t>FEEDING AREA 2</t>
  </si>
  <si>
    <t>B03</t>
  </si>
  <si>
    <t>A-9B</t>
  </si>
  <si>
    <t>ANA9156</t>
  </si>
  <si>
    <t>Layupan</t>
  </si>
  <si>
    <t>B17</t>
  </si>
  <si>
    <t>D-15B</t>
  </si>
  <si>
    <t>NET 6084</t>
  </si>
  <si>
    <r>
      <rPr>
        <sz val="11"/>
        <rFont val="Calibri"/>
        <charset val="134"/>
        <scheme val="minor"/>
      </rPr>
      <t xml:space="preserve">NET 6084 net kilos of 23,565 - 2.07%(MC) = 23,077 </t>
    </r>
    <r>
      <rPr>
        <b/>
        <sz val="11"/>
        <color rgb="FFFF0000"/>
        <rFont val="Calibri"/>
        <charset val="134"/>
        <scheme val="minor"/>
      </rPr>
      <t>/ PILED IN NOVEMBER # 17</t>
    </r>
  </si>
  <si>
    <t>B05</t>
  </si>
  <si>
    <t>A-17B</t>
  </si>
  <si>
    <t>Mercado</t>
  </si>
  <si>
    <t>MDH 272</t>
  </si>
  <si>
    <t>AAV 6111 net kilos of 19,910 - .20%(MC) = 19,870</t>
  </si>
  <si>
    <t>B06</t>
  </si>
  <si>
    <t>A-17A</t>
  </si>
  <si>
    <t>Bagiuo/ Tipalan</t>
  </si>
  <si>
    <t>B07</t>
  </si>
  <si>
    <t>D-16C</t>
  </si>
  <si>
    <t>JEM 960</t>
  </si>
  <si>
    <r>
      <rPr>
        <sz val="11"/>
        <color theme="1"/>
        <rFont val="Calibri"/>
        <charset val="134"/>
        <scheme val="minor"/>
      </rPr>
      <t xml:space="preserve">JEM 960 net kilos of 5,835 - 5.14%MC (DEDUCTION OF </t>
    </r>
    <r>
      <rPr>
        <b/>
        <sz val="11"/>
        <color rgb="FFFF0000"/>
        <rFont val="Calibri"/>
        <charset val="134"/>
        <scheme val="minor"/>
      </rPr>
      <t xml:space="preserve">15 WET SACKS </t>
    </r>
    <r>
      <rPr>
        <sz val="11"/>
        <color rgb="FFFF0000"/>
        <rFont val="Calibri"/>
        <charset val="134"/>
        <scheme val="minor"/>
      </rPr>
      <t>(</t>
    </r>
    <r>
      <rPr>
        <b/>
        <sz val="11"/>
        <color rgb="FFFF0000"/>
        <rFont val="Calibri"/>
        <charset val="134"/>
        <scheme val="minor"/>
      </rPr>
      <t>SUNDRIED</t>
    </r>
    <r>
      <rPr>
        <sz val="11"/>
        <color theme="1"/>
        <rFont val="Calibri"/>
        <charset val="134"/>
        <scheme val="minor"/>
      </rPr>
      <t>) = 5,803</t>
    </r>
  </si>
  <si>
    <t>FEEDING AREA 3</t>
  </si>
  <si>
    <t>D-17D</t>
  </si>
  <si>
    <t>NFD 5679</t>
  </si>
  <si>
    <t>NHD 5979 net kilos of 15,610 - 1.80%(MC) = 15,329</t>
  </si>
  <si>
    <t>AAV 6111 net kilos of 19,375 - .80%(MC) = 19,220</t>
  </si>
  <si>
    <t>FEEDING AREA 4</t>
  </si>
  <si>
    <t>KCA 378 net kilos of 17,745- .67 %(MC) =17,626</t>
  </si>
  <si>
    <t>AAV 6111 net kilos of 20,235- .80 %(MC) =20,074</t>
  </si>
  <si>
    <t>ABK 1806</t>
  </si>
  <si>
    <t>Ecito</t>
  </si>
  <si>
    <t>B09</t>
  </si>
  <si>
    <t>D-20C</t>
  </si>
  <si>
    <t>ALA 8238</t>
  </si>
  <si>
    <t>ALA 8238 net kilos of 18,990 - 3.27%(MC) = 18,369</t>
  </si>
  <si>
    <t>KCA 378 net kilos of 17,495- .14 %(MC) =17,470</t>
  </si>
  <si>
    <r>
      <rPr>
        <sz val="11"/>
        <color theme="1"/>
        <rFont val="Calibri"/>
        <charset val="134"/>
        <scheme val="minor"/>
      </rPr>
      <t xml:space="preserve">JEM 960 net kilos of 6,095 - 4.41%MC (DEDUCTION OF </t>
    </r>
    <r>
      <rPr>
        <b/>
        <sz val="11"/>
        <color rgb="FFFF0000"/>
        <rFont val="Calibri"/>
        <charset val="134"/>
        <scheme val="minor"/>
      </rPr>
      <t>19 WET SACKS( NOT YET SUNDRIED</t>
    </r>
    <r>
      <rPr>
        <sz val="11"/>
        <color theme="1"/>
        <rFont val="Calibri"/>
        <charset val="134"/>
        <scheme val="minor"/>
      </rPr>
      <t>) = 6,050</t>
    </r>
  </si>
  <si>
    <t xml:space="preserve">NET 6084 net kilos of 9,620 - 2.47%(MC) = 9,382 </t>
  </si>
  <si>
    <t>FEEDING AREA 5</t>
  </si>
  <si>
    <t>B10</t>
  </si>
  <si>
    <t>A-9C</t>
  </si>
  <si>
    <t>B11</t>
  </si>
  <si>
    <t>D-12D</t>
  </si>
  <si>
    <t>ALA 9958 net kilos of 20,505 - .07%(MC) = 20,491</t>
  </si>
  <si>
    <t>B12</t>
  </si>
  <si>
    <t>A-17C</t>
  </si>
  <si>
    <t>B13</t>
  </si>
  <si>
    <t>D-16B</t>
  </si>
  <si>
    <t>JAO 4111</t>
  </si>
  <si>
    <t>JAO 4111 net kilos of 7,500 - .54%(MC) = 7,459</t>
  </si>
  <si>
    <t>Nazareno</t>
  </si>
  <si>
    <t>RKX 173</t>
  </si>
  <si>
    <t>RKX 173 net kilos of 10,610 - 10.47%(MC) 176 kilos = 10,434</t>
  </si>
  <si>
    <t>CAO 7817</t>
  </si>
  <si>
    <t>MAT 6591</t>
  </si>
  <si>
    <t xml:space="preserve">MAT6591  net kilos of 2,885 - .14%(MC) = 2,881 </t>
  </si>
  <si>
    <t>MAV 8612</t>
  </si>
  <si>
    <t xml:space="preserve">NEV 8612 net kilos of 17,120 -2.27% (MC ) = 16,731 </t>
  </si>
  <si>
    <t>Maranio</t>
  </si>
  <si>
    <t>CTX 146</t>
  </si>
  <si>
    <t>FEEDING AREA 6</t>
  </si>
  <si>
    <t>DO0NE FEEDING</t>
  </si>
  <si>
    <t>B14</t>
  </si>
  <si>
    <t>A-8A</t>
  </si>
  <si>
    <t>B15</t>
  </si>
  <si>
    <t>A-11A</t>
  </si>
  <si>
    <t>AAV 6111 net kilos of 19,190 - .34%(MC) = 19,125</t>
  </si>
  <si>
    <t>KCA 378 net kilos of 18,435- .87 %(MC) =18,275</t>
  </si>
  <si>
    <t>ALA 9958 net kilos of 22,815 - .14%(MC) = 22,783</t>
  </si>
  <si>
    <t>D-5A</t>
  </si>
  <si>
    <t>LFF 835 net kilos of 12,155 - 5%(ASH) = 11,547</t>
  </si>
  <si>
    <t>B18</t>
  </si>
  <si>
    <t>A-8B</t>
  </si>
  <si>
    <t>MAV 9202 net kilos of 21,995 - 1.07%(MC) = 21,760</t>
  </si>
  <si>
    <t>A-11B</t>
  </si>
  <si>
    <t>AAV 6111 net kilos of 18,280 - .60%(MC) = 18,170</t>
  </si>
  <si>
    <t>FEEDING AREA 7</t>
  </si>
  <si>
    <t>NFD 5679 net kilos of 20,755 - 6%(MC) = 19,510</t>
  </si>
  <si>
    <t>MAK 8332</t>
  </si>
  <si>
    <t>KCA 378 net kilos of 17,795- .20 %(MC) =17,759</t>
  </si>
  <si>
    <t>KAH 7910</t>
  </si>
  <si>
    <t>KAH 7910 net kilos of 1,720 - .67%(MC) = 1,708</t>
  </si>
  <si>
    <t>Sula</t>
  </si>
  <si>
    <t>KAL 9356</t>
  </si>
  <si>
    <t>KAL 9356 net kilos of 4,495 - .94%(MC) = 4,453</t>
  </si>
  <si>
    <t>FEEDING AREA 8</t>
  </si>
  <si>
    <t>lfF 835 net kilos of 12,235 - 3.87%(.87% MC and 3%ASH) = 11,761</t>
  </si>
  <si>
    <t>B19</t>
  </si>
  <si>
    <t>A-8C</t>
  </si>
  <si>
    <t>B20</t>
  </si>
  <si>
    <t>D-12C</t>
  </si>
  <si>
    <t>B-19</t>
  </si>
  <si>
    <t>NET 6084 net kilos of 22,500 - 5.87%(MC) = 21,179</t>
  </si>
  <si>
    <t>FEEDING AREA 9</t>
  </si>
  <si>
    <t>B21</t>
  </si>
  <si>
    <t>A-11C</t>
  </si>
  <si>
    <t>B22</t>
  </si>
  <si>
    <t>A-7A</t>
  </si>
  <si>
    <t>LFF 835 net kilos of 11,620 - 1.60%(MC) = 11,434</t>
  </si>
  <si>
    <t>FEEDING AREA 10</t>
  </si>
  <si>
    <r>
      <rPr>
        <sz val="11"/>
        <color theme="1"/>
        <rFont val="Calibri"/>
        <charset val="134"/>
        <scheme val="minor"/>
      </rPr>
      <t xml:space="preserve">KCA 378 net kilos of 16,945- .34 %(MC) =16,887 / </t>
    </r>
    <r>
      <rPr>
        <b/>
        <sz val="11"/>
        <color rgb="FFFF0000"/>
        <rFont val="Calibri"/>
        <charset val="134"/>
        <scheme val="minor"/>
      </rPr>
      <t>FEEDING</t>
    </r>
  </si>
  <si>
    <t>CBN 2194</t>
  </si>
  <si>
    <t>RKJ 477</t>
  </si>
  <si>
    <t>B23</t>
  </si>
  <si>
    <t>C-8B</t>
  </si>
  <si>
    <t>Average</t>
  </si>
  <si>
    <t>FEBRUARY 2026 DELIVERIES</t>
  </si>
  <si>
    <t xml:space="preserve"> PILED IN JANUARY # 21</t>
  </si>
  <si>
    <t>D-12B</t>
  </si>
  <si>
    <t>FEEDING AREA 1</t>
  </si>
  <si>
    <t>A-7B</t>
  </si>
  <si>
    <t>CBN 2192</t>
  </si>
  <si>
    <t>CBQ 5957</t>
  </si>
  <si>
    <t>CCN 7397</t>
  </si>
  <si>
    <t>Namoc</t>
  </si>
  <si>
    <t>TANK  1</t>
  </si>
  <si>
    <t>D-1D</t>
  </si>
  <si>
    <t>CBN 7219</t>
  </si>
  <si>
    <t>A-1A</t>
  </si>
  <si>
    <t>A-7C</t>
  </si>
  <si>
    <t>C-10B</t>
  </si>
  <si>
    <t>CBQ 5957 net kilos of 21,640 - 1.42%(ASH) = 21,333</t>
  </si>
  <si>
    <t>ALA 8328</t>
  </si>
  <si>
    <r>
      <rPr>
        <sz val="11"/>
        <color theme="1"/>
        <rFont val="Calibri"/>
        <charset val="134"/>
        <scheme val="minor"/>
      </rPr>
      <t>ALA 8328 net kilos of  18,010 - .80% (MC) = 17,866  /</t>
    </r>
    <r>
      <rPr>
        <b/>
        <sz val="11"/>
        <color rgb="FFFF0000"/>
        <rFont val="Calibri"/>
        <charset val="134"/>
        <scheme val="minor"/>
      </rPr>
      <t xml:space="preserve"> PILED IN JANUARY # 7</t>
    </r>
  </si>
  <si>
    <t xml:space="preserve"> </t>
  </si>
  <si>
    <t>A-6A</t>
  </si>
  <si>
    <t>D-20D</t>
  </si>
  <si>
    <r>
      <rPr>
        <sz val="11"/>
        <color theme="1"/>
        <rFont val="Calibri"/>
        <charset val="134"/>
        <scheme val="minor"/>
      </rPr>
      <t xml:space="preserve">NET 6084 net kilos of 18,780 - 5.07%(MC) = 17,828 / </t>
    </r>
    <r>
      <rPr>
        <b/>
        <sz val="11"/>
        <color rgb="FFFF0000"/>
        <rFont val="Calibri"/>
        <charset val="134"/>
        <scheme val="minor"/>
      </rPr>
      <t>SUNDRIED</t>
    </r>
  </si>
  <si>
    <t>A-1B</t>
  </si>
  <si>
    <t>JAO 4111 net kilos of 9,595 - .14%(MC) = 9,582</t>
  </si>
  <si>
    <t>C-8A</t>
  </si>
  <si>
    <t>A-6B</t>
  </si>
  <si>
    <t>TANK  2</t>
  </si>
  <si>
    <t>D-1C</t>
  </si>
  <si>
    <t>A-6C</t>
  </si>
  <si>
    <t>A-2A</t>
  </si>
  <si>
    <t>C-17A</t>
  </si>
  <si>
    <t>T138003</t>
  </si>
  <si>
    <t>T138003 net kilos of 19,710 - .87%(MC) = 19,538</t>
  </si>
  <si>
    <t>MAT6591</t>
  </si>
  <si>
    <t>RECOOK(Lapayag,Bernie)</t>
  </si>
  <si>
    <t>GGN 249</t>
  </si>
  <si>
    <t>Bagiu/Tipalan</t>
  </si>
  <si>
    <t xml:space="preserve"> PILED IN JANUARY # 11</t>
  </si>
  <si>
    <t>MAN2499</t>
  </si>
  <si>
    <t>CBN2192 net kilos of 11,090 - .48%(ASH) = 11,037</t>
  </si>
  <si>
    <t>Nazarino</t>
  </si>
  <si>
    <t>RKX 173 net kilos of 12,160 - 2.20%(MC) = 11,892</t>
  </si>
  <si>
    <t>LAJ7320</t>
  </si>
  <si>
    <t>LAJ 7320 net kilos of 2,825 - 1.94%(MC) = 2,770</t>
  </si>
  <si>
    <t>A-2B</t>
  </si>
  <si>
    <t xml:space="preserve"> DONE FEEDING</t>
  </si>
  <si>
    <t>C-17B</t>
  </si>
  <si>
    <t>CBN2192 net kilos of 10,945 - 1.60%(MC) &amp; 2.88%(ASH) = 10,455</t>
  </si>
  <si>
    <t>D-5D</t>
  </si>
  <si>
    <t>MAQ 3456</t>
  </si>
  <si>
    <t xml:space="preserve">MAQ 3456 net kilos   22,795  - 395 (MC) and 7,044 (ash) = 21,696 </t>
  </si>
  <si>
    <t>ALA 9425</t>
  </si>
  <si>
    <t xml:space="preserve">ALA 9425 net kilos of  29,665 - 1.87% (ASH) = 29,110
 </t>
  </si>
  <si>
    <t xml:space="preserve">NET 6084 net kilos of 15,435 - 3.07%(MC) = 14,961 </t>
  </si>
  <si>
    <t xml:space="preserve"> PILED IN JANUARY # 16</t>
  </si>
  <si>
    <t>D-4D</t>
  </si>
  <si>
    <t>CBQ 5957 net kilos of 21,020 - .06%(ASH) = 21,007</t>
  </si>
  <si>
    <t>CBS 8752</t>
  </si>
  <si>
    <t>CBS 8752 net kilos of 24,520 - 1.80%(MC of 503 sack and 5.60% of 72 sacks ) = 23,962</t>
  </si>
  <si>
    <t>FEEDING</t>
  </si>
  <si>
    <t xml:space="preserve">KCA 378 net kilos of  19,595  - .34%(MC) =  19,528
 </t>
  </si>
  <si>
    <t>ALA 9425 net kilos of  31,790 - 2.09% (ASH) and  .54% (MC) = 30,954</t>
  </si>
  <si>
    <t>C-16A</t>
  </si>
  <si>
    <t>C-16B</t>
  </si>
  <si>
    <t>B24</t>
  </si>
  <si>
    <t>D-4C</t>
  </si>
  <si>
    <t>ALA 9425 net kilos of  34,020 - 2.86% (ASH) and  1.74% (MC) = 32,455</t>
  </si>
  <si>
    <t>A-1C</t>
  </si>
  <si>
    <t>Esito</t>
  </si>
  <si>
    <t>ALA 8328 net kilos of  17,670 - 5% (MC) = 16,786</t>
  </si>
  <si>
    <t>FEEDING AREA 11</t>
  </si>
  <si>
    <t>MAT 1744</t>
  </si>
  <si>
    <t>MAT 1744 net kilos of 23,750 - .66%(ASH) = 23,593</t>
  </si>
  <si>
    <t>B25</t>
  </si>
  <si>
    <t>D-20A</t>
  </si>
  <si>
    <t xml:space="preserve">NET 6084 net kilos of 14,020 - 3.14%(MC) = 13,580 </t>
  </si>
  <si>
    <t>B26</t>
  </si>
  <si>
    <t>C-9A</t>
  </si>
  <si>
    <t>LFF 835 net kilos of 13,115 - .80%(MC) = 13,010</t>
  </si>
  <si>
    <t>lfF 835 net kilos of 13,790 - .60%(MC) and 1.36% (ASH)  = 13,520</t>
  </si>
  <si>
    <t>B27</t>
  </si>
  <si>
    <t>C-18A</t>
  </si>
  <si>
    <t>B28</t>
  </si>
  <si>
    <t>D-11C</t>
  </si>
  <si>
    <t>LFF 835 net kilos of 13,920 - 2.81%(ASH) = 13,529</t>
  </si>
  <si>
    <t>LFF 835 net kilos of 12,570 - 1.44%(ASH) = 12,389</t>
  </si>
  <si>
    <t>B30</t>
  </si>
  <si>
    <t>D-4B</t>
  </si>
  <si>
    <t>ALA 9425 net kilos of  31,641 - 4.48% (ASH) = 30,223</t>
  </si>
  <si>
    <t>B29</t>
  </si>
  <si>
    <t>A-2C</t>
  </si>
  <si>
    <t>MARCH 2026 DELIVERIES</t>
  </si>
  <si>
    <t>B1</t>
  </si>
  <si>
    <t>C-18B</t>
  </si>
  <si>
    <t>CBN 2192 net kilos of 11,535 - .13%(ASH) = 11,520</t>
  </si>
  <si>
    <t xml:space="preserve"> PILED IN FEBRUARY # 28</t>
  </si>
  <si>
    <t xml:space="preserve"> PILED IN FEBRUARY # 29</t>
  </si>
  <si>
    <t>MAK 2499</t>
  </si>
  <si>
    <r>
      <rPr>
        <sz val="11"/>
        <color theme="1"/>
        <rFont val="Calibri"/>
        <charset val="134"/>
        <scheme val="minor"/>
      </rPr>
      <t>MAK net kilos of 5,630 - .07%(ASH) = 5,626 /</t>
    </r>
    <r>
      <rPr>
        <b/>
        <sz val="11"/>
        <color rgb="FFFF0000"/>
        <rFont val="Calibri"/>
        <charset val="134"/>
        <scheme val="minor"/>
      </rPr>
      <t xml:space="preserve"> PILED IN FEBRUARY # 28</t>
    </r>
  </si>
  <si>
    <t>MAV 9202</t>
  </si>
  <si>
    <t>B2</t>
  </si>
  <si>
    <t>D-19D</t>
  </si>
  <si>
    <r>
      <rPr>
        <sz val="11"/>
        <color theme="1"/>
        <rFont val="Calibri"/>
        <charset val="134"/>
        <scheme val="minor"/>
      </rPr>
      <t xml:space="preserve">NFD 5679 net kilos 13,065 - 3.07%(MC) = 12,664 </t>
    </r>
    <r>
      <rPr>
        <b/>
        <sz val="11"/>
        <color rgb="FFC00000"/>
        <rFont val="Calibri"/>
        <charset val="134"/>
        <scheme val="minor"/>
      </rPr>
      <t>FOR SUNDRIED</t>
    </r>
  </si>
  <si>
    <t>B3</t>
  </si>
  <si>
    <t>C-10A</t>
  </si>
  <si>
    <t>A-3A</t>
  </si>
  <si>
    <r>
      <rPr>
        <sz val="11"/>
        <color theme="1"/>
        <rFont val="Calibri"/>
        <charset val="134"/>
        <scheme val="minor"/>
      </rPr>
      <t>ALA 9958 net kilos of 23,785 - .74%(MC) = 23,609 /</t>
    </r>
    <r>
      <rPr>
        <b/>
        <sz val="11"/>
        <color rgb="FFFF0000"/>
        <rFont val="Calibri"/>
        <charset val="134"/>
        <scheme val="minor"/>
      </rPr>
      <t xml:space="preserve"> PILED IN FEBRUARY # 28</t>
    </r>
  </si>
  <si>
    <t>D-11B</t>
  </si>
  <si>
    <t>MAV 9202 net kilos of 21,615 - 3.51%(ASH) = 20,856</t>
  </si>
  <si>
    <t>MBF 2893</t>
  </si>
  <si>
    <r>
      <rPr>
        <sz val="11"/>
        <color theme="1"/>
        <rFont val="Calibri"/>
        <charset val="134"/>
        <scheme val="minor"/>
      </rPr>
      <t xml:space="preserve">NET 6084 net kilos of 9,635 - 3.60%(MC) = 9,288 / </t>
    </r>
    <r>
      <rPr>
        <b/>
        <sz val="11"/>
        <color rgb="FFC00000"/>
        <rFont val="Calibri"/>
        <charset val="134"/>
        <scheme val="minor"/>
      </rPr>
      <t>REDRIED</t>
    </r>
  </si>
  <si>
    <t>ALA 9428</t>
  </si>
  <si>
    <r>
      <rPr>
        <sz val="11"/>
        <color theme="1"/>
        <rFont val="Calibri"/>
        <charset val="134"/>
        <scheme val="minor"/>
      </rPr>
      <t>ALA 9425 net kilos of 30,050 - 2.78%(ASH) = 29,215 /</t>
    </r>
    <r>
      <rPr>
        <b/>
        <sz val="11"/>
        <color rgb="FFFF0000"/>
        <rFont val="Calibri"/>
        <charset val="134"/>
        <scheme val="minor"/>
      </rPr>
      <t xml:space="preserve"> PILED IN FEBRUARY # 30</t>
    </r>
  </si>
  <si>
    <t>KBG 190</t>
  </si>
  <si>
    <t>KAJ 4082</t>
  </si>
  <si>
    <r>
      <rPr>
        <sz val="11"/>
        <color theme="1"/>
        <rFont val="Calibri"/>
        <charset val="134"/>
        <scheme val="minor"/>
      </rPr>
      <t>CBQ 5957 net kilos of 21,780 - .79%(ASH) = 21, 608 /</t>
    </r>
    <r>
      <rPr>
        <b/>
        <sz val="11"/>
        <color rgb="FFFF0000"/>
        <rFont val="Calibri"/>
        <charset val="134"/>
        <scheme val="minor"/>
      </rPr>
      <t xml:space="preserve"> PILED IN JANUARY # 23</t>
    </r>
  </si>
  <si>
    <t>JAO 4111 net kilos of 9,430 - 1%(MC) = 9,336</t>
  </si>
  <si>
    <t>C-6B</t>
  </si>
  <si>
    <t>MBE 9116</t>
  </si>
  <si>
    <t>C-6A</t>
  </si>
  <si>
    <t>LFF 835 net kilos of 11,745 - 1.72%(ASH) = 11,543</t>
  </si>
  <si>
    <r>
      <rPr>
        <sz val="11"/>
        <color theme="1"/>
        <rFont val="Calibri"/>
        <charset val="134"/>
        <scheme val="minor"/>
      </rPr>
      <t xml:space="preserve">LFF 835 net kilos of 13,490 - 1.84%(ASH) = 13,242 / </t>
    </r>
    <r>
      <rPr>
        <b/>
        <sz val="11"/>
        <color rgb="FFFF0000"/>
        <rFont val="Calibri"/>
        <charset val="134"/>
        <scheme val="minor"/>
      </rPr>
      <t>PILED IN JANUARY # 23</t>
    </r>
  </si>
  <si>
    <t>A-3B</t>
  </si>
  <si>
    <r>
      <rPr>
        <sz val="11"/>
        <color theme="1"/>
        <rFont val="Calibri"/>
        <charset val="134"/>
        <scheme val="minor"/>
      </rPr>
      <t xml:space="preserve">ALA 8328 net kilos of 22,135 - 4.07%(MC) = 21,234 / </t>
    </r>
    <r>
      <rPr>
        <b/>
        <sz val="11"/>
        <color rgb="FFC00000"/>
        <rFont val="Calibri"/>
        <charset val="134"/>
        <scheme val="minor"/>
      </rPr>
      <t>redried</t>
    </r>
  </si>
  <si>
    <r>
      <rPr>
        <sz val="11"/>
        <color theme="1"/>
        <rFont val="Calibri"/>
        <charset val="134"/>
        <scheme val="minor"/>
      </rPr>
      <t xml:space="preserve">NFD 5679 net kilos 16,650 - 4.74%(MC) = 15,861 / </t>
    </r>
    <r>
      <rPr>
        <b/>
        <sz val="11"/>
        <color rgb="FFC00000"/>
        <rFont val="Calibri"/>
        <charset val="134"/>
        <scheme val="minor"/>
      </rPr>
      <t>SUNDRIED</t>
    </r>
  </si>
  <si>
    <t>MBK 7367</t>
  </si>
  <si>
    <t>MBK 7367 net kilos 1,310 - .60%(ASH) = 1,302</t>
  </si>
  <si>
    <t>A-4A</t>
  </si>
  <si>
    <t>C-15B</t>
  </si>
  <si>
    <t xml:space="preserve"> PILED IN SEPTEMBER # 7</t>
  </si>
  <si>
    <t xml:space="preserve"> PILED IN FEBRUARY # 17</t>
  </si>
  <si>
    <t>D-2D</t>
  </si>
  <si>
    <t>LFF 835 net kilos of 13,095 - 2.34%(ASH) and 8.97% (ASH) = 11,614</t>
  </si>
  <si>
    <t>C-13B</t>
  </si>
  <si>
    <r>
      <rPr>
        <sz val="11"/>
        <color theme="1"/>
        <rFont val="Calibri"/>
        <charset val="134"/>
        <scheme val="minor"/>
      </rPr>
      <t xml:space="preserve">CBN 2192 net kilos of 12,540 - .81%(ASH) = 12,438 / </t>
    </r>
    <r>
      <rPr>
        <b/>
        <sz val="11"/>
        <color rgb="FFFF0000"/>
        <rFont val="Calibri"/>
        <charset val="134"/>
        <scheme val="minor"/>
      </rPr>
      <t>PILED IN AUGUST # 10</t>
    </r>
  </si>
  <si>
    <t>CCK 3698</t>
  </si>
  <si>
    <t>LFF 835 net kilos of 13,620 - 1.60%(MC) and 3.38% (ASH) = 12,942</t>
  </si>
  <si>
    <t>D-3D</t>
  </si>
  <si>
    <t>KBF 3048</t>
  </si>
  <si>
    <t>KCA 378 NET KILOS OF 21,600 - .80%(mc) and 2.56%(ASH) = 20,874</t>
  </si>
  <si>
    <t>MAN 4531</t>
  </si>
  <si>
    <t>C-12B</t>
  </si>
  <si>
    <t xml:space="preserve"> PILED IN AUGUST  # 4</t>
  </si>
  <si>
    <r>
      <rPr>
        <sz val="11"/>
        <color theme="1"/>
        <rFont val="Calibri"/>
        <charset val="134"/>
        <scheme val="minor"/>
      </rPr>
      <t xml:space="preserve">NFD 5679 net kilos 19,120 - 5.80%(MC) = 18,011 </t>
    </r>
    <r>
      <rPr>
        <b/>
        <sz val="11"/>
        <color rgb="FFFF0000"/>
        <rFont val="Calibri"/>
        <charset val="134"/>
        <scheme val="minor"/>
      </rPr>
      <t>FOR SUNDRIED</t>
    </r>
  </si>
  <si>
    <t>Bagiuo</t>
  </si>
  <si>
    <t>D-11A</t>
  </si>
  <si>
    <t>JBG 1471</t>
  </si>
  <si>
    <t>GEM 690</t>
  </si>
  <si>
    <t>LFF 835 net kilos of 11,260 - .30%(ASH) = 11,226</t>
  </si>
  <si>
    <t>KBA 6541</t>
  </si>
  <si>
    <t>A-5A</t>
  </si>
  <si>
    <r>
      <rPr>
        <sz val="11"/>
        <color theme="1"/>
        <rFont val="Calibri"/>
        <charset val="134"/>
        <scheme val="minor"/>
      </rPr>
      <t xml:space="preserve">NET 6084 net kilos of 11,560 - 3.60%(MC) = 11,144 </t>
    </r>
    <r>
      <rPr>
        <b/>
        <sz val="11"/>
        <color rgb="FFFF0000"/>
        <rFont val="Calibri"/>
        <charset val="134"/>
        <scheme val="minor"/>
      </rPr>
      <t>FOR SUNDRIED</t>
    </r>
  </si>
  <si>
    <t>D-12A</t>
  </si>
  <si>
    <t>D-3C</t>
  </si>
  <si>
    <t>MAO 3456</t>
  </si>
  <si>
    <t>D-5C</t>
  </si>
  <si>
    <t>B8</t>
  </si>
  <si>
    <t>CAJ 1133</t>
  </si>
  <si>
    <t>D-2C</t>
  </si>
  <si>
    <t>D-5B</t>
  </si>
  <si>
    <t>RJH 739</t>
  </si>
  <si>
    <r>
      <rPr>
        <sz val="11"/>
        <color theme="1"/>
        <rFont val="Calibri"/>
        <charset val="134"/>
        <scheme val="minor"/>
      </rPr>
      <t xml:space="preserve">RGH 739 net kilos of 2,440 - 4.07%(MC) = 2,341 / </t>
    </r>
    <r>
      <rPr>
        <b/>
        <sz val="11"/>
        <color rgb="FFC00000"/>
        <rFont val="Calibri"/>
        <charset val="134"/>
        <scheme val="minor"/>
      </rPr>
      <t>re-dried</t>
    </r>
  </si>
  <si>
    <t>A-4B</t>
  </si>
  <si>
    <t>D-3B</t>
  </si>
  <si>
    <t>A-5B</t>
  </si>
  <si>
    <t>D-2B</t>
  </si>
  <si>
    <t>NDI 6147</t>
  </si>
  <si>
    <t>APRIL  2026 DELIVERIES</t>
  </si>
  <si>
    <t xml:space="preserve"> PILED IN MARCH  # 25 </t>
  </si>
  <si>
    <t>D-4A</t>
  </si>
  <si>
    <t xml:space="preserve"> PILED IN MARCH  # 24</t>
  </si>
  <si>
    <t>D-3A</t>
  </si>
  <si>
    <t xml:space="preserve"> PILED IN MARCH  # 27</t>
  </si>
  <si>
    <t>CBB 6607</t>
  </si>
  <si>
    <t xml:space="preserve"> PILED IN MARCH  # 26</t>
  </si>
  <si>
    <t>D-2A</t>
  </si>
  <si>
    <t>LLanto</t>
  </si>
  <si>
    <t xml:space="preserve"> PILED IN MARCH  # 16</t>
  </si>
  <si>
    <t>CBQ 5957 net kilos of 18,940 - .79%(ASAH) = 18,790</t>
  </si>
  <si>
    <t>A-3C</t>
  </si>
  <si>
    <t>A-20A</t>
  </si>
  <si>
    <t>C-20A</t>
  </si>
  <si>
    <t>MAY  2026 DELIVERIES</t>
  </si>
  <si>
    <t>PILED IN APRIL # 9</t>
  </si>
  <si>
    <t>C-20B</t>
  </si>
  <si>
    <t>PILED IN APRIL # 7</t>
  </si>
  <si>
    <t>PILED IN APRIL # 8</t>
  </si>
  <si>
    <t>A-20B</t>
  </si>
  <si>
    <t>CCB 8802</t>
  </si>
  <si>
    <t>CBQ 3534</t>
  </si>
  <si>
    <t>AAV 611</t>
  </si>
  <si>
    <t>done FEEDING</t>
  </si>
  <si>
    <t>CBN 3200</t>
  </si>
  <si>
    <r>
      <rPr>
        <sz val="11"/>
        <color theme="1"/>
        <rFont val="Calibri"/>
        <charset val="134"/>
        <scheme val="minor"/>
      </rPr>
      <t>CBN 3200 net kilos of  23,380  -  2.94%(ASAH) =  22,693 /</t>
    </r>
    <r>
      <rPr>
        <b/>
        <sz val="11"/>
        <color rgb="FFFF0000"/>
        <rFont val="Calibri"/>
        <charset val="134"/>
        <scheme val="minor"/>
      </rPr>
      <t xml:space="preserve"> PILED IN APRIL # 3</t>
    </r>
  </si>
  <si>
    <t>ALA 9425 net kilos of 33,950 - 1.88%(ASAH) = 33,312</t>
  </si>
  <si>
    <t>D-17C</t>
  </si>
  <si>
    <t>A-19A</t>
  </si>
  <si>
    <t>A-19B</t>
  </si>
  <si>
    <t>CCK 9235</t>
  </si>
  <si>
    <t>NAM 5711</t>
  </si>
  <si>
    <t>D-17B</t>
  </si>
  <si>
    <t>D-17A</t>
  </si>
  <si>
    <t>D-13D</t>
  </si>
  <si>
    <t>MAA 8585</t>
  </si>
  <si>
    <t>MAA 8585 net kilos of 30,330 - 4.70%(ASH) = 28,905</t>
  </si>
  <si>
    <t>JUNE  2026 DELIVERIES</t>
  </si>
  <si>
    <t>ORNALES</t>
  </si>
  <si>
    <t>PILED IN MAY # 13</t>
  </si>
  <si>
    <t>PILED IN MAY # 1</t>
  </si>
  <si>
    <t>PAQUIBOT</t>
  </si>
  <si>
    <t>LLANTO</t>
  </si>
  <si>
    <t>TAG-AT</t>
  </si>
  <si>
    <t>A-20C</t>
  </si>
  <si>
    <t>D-18B</t>
  </si>
  <si>
    <t>RDT 603</t>
  </si>
  <si>
    <t>KCA 378 NET KILOS OF 16,690 - .20%(mc) = 16,657</t>
  </si>
  <si>
    <t>CBG 6560</t>
  </si>
  <si>
    <t>CBJ net kilos of    19,855    -  5.86%  (ASH)  =  18,692 - 1,009 (18 sacks net wet)   = 17, 683</t>
  </si>
  <si>
    <t>CBJ net kilos of    1,009    -     4.87%  (MC)  =  960</t>
  </si>
  <si>
    <t>CAJ net kilos of    28,475    -  3.75%  (ASH)  =  27,408 - 1,702 (31 sacks net wet)   = 25, 706</t>
  </si>
  <si>
    <t>CAJ net kilos of    1,702    -     4.07%  (MC)  =  1,633</t>
  </si>
  <si>
    <t>D-18A</t>
  </si>
  <si>
    <t>KCA 378 NET KILOS OF 17,710 - 1.14%(mc) = 17,508</t>
  </si>
  <si>
    <t>A-19C</t>
  </si>
  <si>
    <t>AAV 6111 net kilos of 18,055 - .40%(MC) = 17,983</t>
  </si>
  <si>
    <t>D-19C</t>
  </si>
  <si>
    <t>JULY  2026 DELIVERIES</t>
  </si>
  <si>
    <t>PILED IN JUNE # 10</t>
  </si>
  <si>
    <t>D-19B</t>
  </si>
  <si>
    <r>
      <t>MAN 3625 net kilos of 21,980 - .87% = 21,789 /</t>
    </r>
    <r>
      <rPr>
        <b/>
        <sz val="11"/>
        <color rgb="FFFF0000"/>
        <rFont val="Calibri"/>
        <charset val="134"/>
        <scheme val="minor"/>
      </rPr>
      <t xml:space="preserve"> PILED IN JUNE BLOCK 9</t>
    </r>
  </si>
  <si>
    <t>ALA 3958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</si>
</sst>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* #,##0_ ;_ * \-#,##0_ ;_ * &quot;-&quot;_ ;_ @_ "/>
    <numFmt numFmtId="178" formatCode="_(&quot;$&quot;* #,##0_);_(&quot;$&quot;* \(#,##0\);_(&quot;$&quot;* &quot;-&quot;_);_(@_)"/>
    <numFmt numFmtId="179" formatCode="_(* #,##0.00_);_(* \(#,##0.00\);_(* &quot;-&quot;??_);_(@_)"/>
    <numFmt numFmtId="180" formatCode="mmm\-yy"/>
    <numFmt numFmtId="181" formatCode="dd\-mmm\-yy"/>
    <numFmt numFmtId="182" formatCode="_(* #,##0_);_(* \(#,##0\);_(* &quot;-&quot;??_);_(@_)"/>
    <numFmt numFmtId="183" formatCode="0.000"/>
    <numFmt numFmtId="184" formatCode="_(* #,##0.00_);_(* \(#,##0.00\);_(* &quot;-&quot;??.00_);_(@_)"/>
    <numFmt numFmtId="185" formatCode="_(* #,##0.000_);_(* \(#,##0.000\);_(* &quot;-&quot;??_);_(@_)"/>
  </numFmts>
  <fonts count="35">
    <font>
      <sz val="11"/>
      <color theme="1"/>
      <name val="Calibri"/>
      <charset val="134"/>
      <scheme val="minor"/>
    </font>
    <font>
      <b/>
      <sz val="12"/>
      <color indexed="12"/>
      <name val="Calibri Light"/>
      <charset val="134"/>
      <scheme val="major"/>
    </font>
    <font>
      <sz val="10"/>
      <name val="Calibri Light"/>
      <charset val="134"/>
      <scheme val="major"/>
    </font>
    <font>
      <b/>
      <sz val="9"/>
      <name val="Calibri Light"/>
      <charset val="134"/>
      <scheme val="major"/>
    </font>
    <font>
      <sz val="11"/>
      <name val="Calibri"/>
      <charset val="134"/>
    </font>
    <font>
      <b/>
      <sz val="11"/>
      <color rgb="FFFF0000"/>
      <name val="Calibri"/>
      <charset val="134"/>
      <scheme val="minor"/>
    </font>
    <font>
      <sz val="11"/>
      <color indexed="61"/>
      <name val="Calibri Light"/>
      <charset val="134"/>
    </font>
    <font>
      <sz val="11"/>
      <color theme="5" tint="-0.249977111117893"/>
      <name val="Calibri Light"/>
      <charset val="134"/>
    </font>
    <font>
      <sz val="11"/>
      <name val="Calibri Light"/>
      <charset val="134"/>
    </font>
    <font>
      <sz val="11"/>
      <color indexed="61"/>
      <name val="Arial"/>
      <charset val="134"/>
    </font>
    <font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79E1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0" tint="-0.0499893185216834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0" tint="-0.0499893185216834"/>
      </left>
      <right/>
      <top/>
      <bottom style="thin">
        <color theme="0" tint="-0.0499893185216834"/>
      </bottom>
      <diagonal/>
    </border>
    <border>
      <left style="thin">
        <color theme="0" tint="-0.0499893185216834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29" applyNumberFormat="0" applyAlignment="0" applyProtection="0">
      <alignment vertical="center"/>
    </xf>
    <xf numFmtId="0" fontId="24" fillId="14" borderId="30" applyNumberFormat="0" applyAlignment="0" applyProtection="0">
      <alignment vertical="center"/>
    </xf>
    <xf numFmtId="0" fontId="25" fillId="14" borderId="29" applyNumberFormat="0" applyAlignment="0" applyProtection="0">
      <alignment vertical="center"/>
    </xf>
    <xf numFmtId="0" fontId="26" fillId="15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179" fontId="34" fillId="0" borderId="0" applyFont="0" applyFill="0" applyBorder="0" applyAlignment="0" applyProtection="0"/>
    <xf numFmtId="0" fontId="34" fillId="0" borderId="0"/>
  </cellStyleXfs>
  <cellXfs count="206">
    <xf numFmtId="0" fontId="0" fillId="0" borderId="0" xfId="0">
      <alignment vertical="center"/>
    </xf>
    <xf numFmtId="180" fontId="1" fillId="0" borderId="0" xfId="50" applyNumberFormat="1" applyFont="1" applyFill="1" applyAlignment="1"/>
    <xf numFmtId="0" fontId="2" fillId="0" borderId="0" xfId="50" applyFont="1" applyFill="1" applyAlignment="1"/>
    <xf numFmtId="0" fontId="3" fillId="0" borderId="1" xfId="50" applyFont="1" applyFill="1" applyBorder="1" applyAlignment="1">
      <alignment horizontal="center"/>
    </xf>
    <xf numFmtId="0" fontId="3" fillId="0" borderId="2" xfId="50" applyFont="1" applyFill="1" applyBorder="1" applyAlignment="1">
      <alignment horizontal="center"/>
    </xf>
    <xf numFmtId="0" fontId="3" fillId="0" borderId="3" xfId="50" applyFont="1" applyFill="1" applyBorder="1" applyAlignment="1"/>
    <xf numFmtId="0" fontId="3" fillId="0" borderId="2" xfId="50" applyFont="1" applyFill="1" applyBorder="1" applyAlignment="1"/>
    <xf numFmtId="0" fontId="3" fillId="0" borderId="4" xfId="50" applyFont="1" applyFill="1" applyBorder="1" applyAlignment="1">
      <alignment horizontal="center"/>
    </xf>
    <xf numFmtId="0" fontId="3" fillId="0" borderId="5" xfId="50" applyFont="1" applyFill="1" applyBorder="1" applyAlignment="1">
      <alignment horizontal="center"/>
    </xf>
    <xf numFmtId="0" fontId="3" fillId="0" borderId="6" xfId="50" applyFont="1" applyFill="1" applyBorder="1" applyAlignment="1">
      <alignment horizontal="center"/>
    </xf>
    <xf numFmtId="0" fontId="3" fillId="0" borderId="7" xfId="50" applyFont="1" applyFill="1" applyBorder="1" applyAlignment="1">
      <alignment horizontal="center"/>
    </xf>
    <xf numFmtId="0" fontId="3" fillId="0" borderId="8" xfId="50" applyFont="1" applyFill="1" applyBorder="1" applyAlignment="1"/>
    <xf numFmtId="0" fontId="3" fillId="0" borderId="9" xfId="50" applyFont="1" applyFill="1" applyBorder="1" applyAlignment="1">
      <alignment horizontal="center"/>
    </xf>
    <xf numFmtId="0" fontId="3" fillId="0" borderId="10" xfId="50" applyFont="1" applyFill="1" applyBorder="1" applyAlignment="1">
      <alignment horizontal="center"/>
    </xf>
    <xf numFmtId="0" fontId="3" fillId="0" borderId="11" xfId="50" applyFont="1" applyFill="1" applyBorder="1" applyAlignment="1">
      <alignment horizontal="center"/>
    </xf>
    <xf numFmtId="181" fontId="4" fillId="0" borderId="12" xfId="49" applyNumberFormat="1" applyFont="1" applyFill="1" applyBorder="1"/>
    <xf numFmtId="181" fontId="4" fillId="0" borderId="13" xfId="50" applyNumberFormat="1" applyFont="1" applyFill="1" applyBorder="1" applyAlignment="1">
      <alignment horizontal="left"/>
    </xf>
    <xf numFmtId="181" fontId="4" fillId="0" borderId="0" xfId="50" applyNumberFormat="1" applyFont="1" applyFill="1" applyAlignment="1">
      <alignment horizontal="center"/>
    </xf>
    <xf numFmtId="181" fontId="4" fillId="0" borderId="12" xfId="50" applyNumberFormat="1" applyFont="1" applyFill="1" applyBorder="1" applyAlignment="1">
      <alignment horizontal="center"/>
    </xf>
    <xf numFmtId="181" fontId="4" fillId="0" borderId="13" xfId="50" applyNumberFormat="1" applyFont="1" applyFill="1" applyBorder="1" applyAlignment="1"/>
    <xf numFmtId="3" fontId="4" fillId="0" borderId="13" xfId="49" applyNumberFormat="1" applyFont="1" applyFill="1" applyBorder="1"/>
    <xf numFmtId="182" fontId="4" fillId="0" borderId="13" xfId="49" applyNumberFormat="1" applyFont="1" applyFill="1" applyBorder="1"/>
    <xf numFmtId="2" fontId="4" fillId="0" borderId="13" xfId="50" applyNumberFormat="1" applyFont="1" applyFill="1" applyBorder="1" applyAlignment="1"/>
    <xf numFmtId="43" fontId="4" fillId="0" borderId="13" xfId="1" applyFont="1" applyFill="1" applyBorder="1" applyAlignment="1"/>
    <xf numFmtId="183" fontId="4" fillId="0" borderId="13" xfId="50" applyNumberFormat="1" applyFont="1" applyFill="1" applyBorder="1" applyAlignment="1"/>
    <xf numFmtId="183" fontId="4" fillId="0" borderId="12" xfId="50" applyNumberFormat="1" applyFont="1" applyFill="1" applyBorder="1"/>
    <xf numFmtId="2" fontId="4" fillId="0" borderId="5" xfId="50" applyNumberFormat="1" applyFont="1" applyFill="1" applyBorder="1" applyAlignment="1">
      <alignment vertical="center"/>
    </xf>
    <xf numFmtId="181" fontId="4" fillId="0" borderId="13" xfId="49" applyNumberFormat="1" applyFont="1" applyFill="1" applyBorder="1"/>
    <xf numFmtId="181" fontId="4" fillId="0" borderId="13" xfId="50" applyNumberFormat="1" applyFont="1" applyFill="1" applyBorder="1" applyAlignment="1">
      <alignment horizontal="center" vertical="center"/>
    </xf>
    <xf numFmtId="3" fontId="4" fillId="2" borderId="13" xfId="49" applyNumberFormat="1" applyFont="1" applyFill="1" applyBorder="1"/>
    <xf numFmtId="184" fontId="4" fillId="0" borderId="13" xfId="49" applyNumberFormat="1" applyFont="1" applyFill="1" applyBorder="1"/>
    <xf numFmtId="183" fontId="4" fillId="0" borderId="14" xfId="50" applyNumberFormat="1" applyFont="1" applyFill="1" applyBorder="1"/>
    <xf numFmtId="2" fontId="4" fillId="0" borderId="12" xfId="50" applyNumberFormat="1" applyFont="1" applyFill="1" applyBorder="1" applyAlignment="1"/>
    <xf numFmtId="0" fontId="5" fillId="0" borderId="0" xfId="0" applyFont="1" applyFill="1">
      <alignment vertical="center"/>
    </xf>
    <xf numFmtId="0" fontId="0" fillId="0" borderId="0" xfId="0" applyFont="1">
      <alignment vertical="center"/>
    </xf>
    <xf numFmtId="181" fontId="4" fillId="0" borderId="13" xfId="50" applyNumberFormat="1" applyFont="1" applyFill="1" applyBorder="1" applyAlignment="1">
      <alignment horizontal="center"/>
    </xf>
    <xf numFmtId="181" fontId="4" fillId="0" borderId="13" xfId="50" applyNumberFormat="1" applyFont="1" applyFill="1" applyBorder="1" applyAlignment="1">
      <alignment horizontal="left" vertical="center"/>
    </xf>
    <xf numFmtId="43" fontId="4" fillId="0" borderId="13" xfId="1" applyFont="1" applyFill="1" applyBorder="1" applyAlignment="1">
      <alignment horizontal="center" vertical="center"/>
    </xf>
    <xf numFmtId="183" fontId="4" fillId="0" borderId="13" xfId="50" applyNumberFormat="1" applyFont="1" applyFill="1" applyBorder="1" applyAlignment="1">
      <alignment horizontal="right" vertical="center"/>
    </xf>
    <xf numFmtId="183" fontId="4" fillId="0" borderId="14" xfId="50" applyNumberFormat="1" applyFont="1" applyFill="1" applyBorder="1" applyAlignment="1">
      <alignment horizontal="right" vertical="center"/>
    </xf>
    <xf numFmtId="2" fontId="4" fillId="0" borderId="12" xfId="50" applyNumberFormat="1" applyFont="1" applyFill="1" applyBorder="1" applyAlignment="1">
      <alignment horizontal="right" vertical="center"/>
    </xf>
    <xf numFmtId="2" fontId="4" fillId="0" borderId="13" xfId="50" applyNumberFormat="1" applyFont="1" applyFill="1" applyBorder="1" applyAlignment="1">
      <alignment horizontal="right" vertical="center"/>
    </xf>
    <xf numFmtId="2" fontId="4" fillId="0" borderId="5" xfId="50" applyNumberFormat="1" applyFont="1" applyFill="1" applyBorder="1" applyAlignment="1">
      <alignment horizontal="right" vertical="center"/>
    </xf>
    <xf numFmtId="183" fontId="4" fillId="0" borderId="14" xfId="50" applyNumberFormat="1" applyFont="1" applyFill="1" applyBorder="1" applyAlignment="1"/>
    <xf numFmtId="58" fontId="6" fillId="0" borderId="15" xfId="49" applyNumberFormat="1" applyFont="1" applyFill="1" applyBorder="1"/>
    <xf numFmtId="58" fontId="7" fillId="0" borderId="16" xfId="49" applyNumberFormat="1" applyFont="1" applyFill="1" applyBorder="1"/>
    <xf numFmtId="181" fontId="7" fillId="0" borderId="16" xfId="50" applyNumberFormat="1" applyFont="1" applyFill="1" applyBorder="1" applyAlignment="1">
      <alignment horizontal="center"/>
    </xf>
    <xf numFmtId="181" fontId="7" fillId="0" borderId="16" xfId="50" applyNumberFormat="1" applyFont="1" applyFill="1" applyBorder="1" applyAlignment="1"/>
    <xf numFmtId="3" fontId="7" fillId="0" borderId="16" xfId="49" applyNumberFormat="1" applyFont="1" applyFill="1" applyBorder="1"/>
    <xf numFmtId="182" fontId="7" fillId="0" borderId="16" xfId="49" applyNumberFormat="1" applyFont="1" applyFill="1" applyBorder="1"/>
    <xf numFmtId="2" fontId="8" fillId="0" borderId="16" xfId="50" applyNumberFormat="1" applyFont="1" applyFill="1" applyBorder="1" applyAlignment="1"/>
    <xf numFmtId="43" fontId="8" fillId="0" borderId="16" xfId="1" applyFont="1" applyFill="1" applyBorder="1" applyAlignment="1"/>
    <xf numFmtId="183" fontId="8" fillId="0" borderId="16" xfId="50" applyNumberFormat="1" applyFont="1" applyFill="1" applyBorder="1" applyAlignment="1"/>
    <xf numFmtId="2" fontId="8" fillId="0" borderId="17" xfId="50" applyNumberFormat="1" applyFont="1" applyFill="1" applyBorder="1" applyAlignment="1"/>
    <xf numFmtId="181" fontId="9" fillId="0" borderId="18" xfId="50" applyNumberFormat="1" applyFont="1" applyFill="1" applyBorder="1" applyAlignment="1"/>
    <xf numFmtId="181" fontId="9" fillId="0" borderId="19" xfId="50" applyNumberFormat="1" applyFont="1" applyFill="1" applyBorder="1" applyAlignment="1"/>
    <xf numFmtId="3" fontId="9" fillId="0" borderId="19" xfId="50" applyNumberFormat="1" applyFont="1" applyFill="1" applyBorder="1" applyAlignment="1"/>
    <xf numFmtId="182" fontId="9" fillId="0" borderId="19" xfId="50" applyNumberFormat="1" applyFont="1" applyFill="1" applyBorder="1" applyAlignment="1"/>
    <xf numFmtId="43" fontId="9" fillId="0" borderId="19" xfId="1" applyFont="1" applyFill="1" applyBorder="1" applyAlignment="1"/>
    <xf numFmtId="185" fontId="9" fillId="0" borderId="19" xfId="1" applyNumberFormat="1" applyFont="1" applyFill="1" applyBorder="1" applyAlignment="1"/>
    <xf numFmtId="43" fontId="9" fillId="0" borderId="20" xfId="1" applyFont="1" applyFill="1" applyBorder="1" applyAlignment="1"/>
    <xf numFmtId="0" fontId="0" fillId="0" borderId="0" xfId="0" applyFill="1">
      <alignment vertical="center"/>
    </xf>
    <xf numFmtId="181" fontId="4" fillId="3" borderId="13" xfId="50" applyNumberFormat="1" applyFont="1" applyFill="1" applyBorder="1" applyAlignment="1">
      <alignment horizontal="left"/>
    </xf>
    <xf numFmtId="181" fontId="4" fillId="3" borderId="0" xfId="50" applyNumberFormat="1" applyFont="1" applyFill="1" applyAlignment="1">
      <alignment horizontal="center"/>
    </xf>
    <xf numFmtId="181" fontId="4" fillId="3" borderId="13" xfId="50" applyNumberFormat="1" applyFont="1" applyFill="1" applyBorder="1" applyAlignment="1">
      <alignment horizontal="center"/>
    </xf>
    <xf numFmtId="181" fontId="4" fillId="3" borderId="13" xfId="50" applyNumberFormat="1" applyFont="1" applyFill="1" applyBorder="1" applyAlignment="1"/>
    <xf numFmtId="3" fontId="4" fillId="3" borderId="13" xfId="49" applyNumberFormat="1" applyFont="1" applyFill="1" applyBorder="1"/>
    <xf numFmtId="182" fontId="4" fillId="3" borderId="13" xfId="49" applyNumberFormat="1" applyFont="1" applyFill="1" applyBorder="1"/>
    <xf numFmtId="184" fontId="4" fillId="3" borderId="13" xfId="49" applyNumberFormat="1" applyFont="1" applyFill="1" applyBorder="1"/>
    <xf numFmtId="43" fontId="4" fillId="3" borderId="13" xfId="1" applyFont="1" applyFill="1" applyBorder="1" applyAlignment="1"/>
    <xf numFmtId="183" fontId="4" fillId="3" borderId="13" xfId="50" applyNumberFormat="1" applyFont="1" applyFill="1" applyBorder="1" applyAlignment="1"/>
    <xf numFmtId="183" fontId="4" fillId="3" borderId="14" xfId="50" applyNumberFormat="1" applyFont="1" applyFill="1" applyBorder="1"/>
    <xf numFmtId="2" fontId="4" fillId="3" borderId="12" xfId="50" applyNumberFormat="1" applyFont="1" applyFill="1" applyBorder="1" applyAlignment="1"/>
    <xf numFmtId="2" fontId="4" fillId="3" borderId="13" xfId="50" applyNumberFormat="1" applyFont="1" applyFill="1" applyBorder="1" applyAlignment="1"/>
    <xf numFmtId="2" fontId="4" fillId="3" borderId="5" xfId="50" applyNumberFormat="1" applyFont="1" applyFill="1" applyBorder="1" applyAlignment="1">
      <alignment vertical="center"/>
    </xf>
    <xf numFmtId="0" fontId="10" fillId="0" borderId="0" xfId="0" applyFont="1" applyFill="1">
      <alignment vertical="center"/>
    </xf>
    <xf numFmtId="0" fontId="10" fillId="0" borderId="0" xfId="50" applyFont="1" applyFill="1" applyAlignment="1">
      <alignment horizontal="center" vertical="center"/>
    </xf>
    <xf numFmtId="181" fontId="4" fillId="0" borderId="0" xfId="50" applyNumberFormat="1" applyFont="1" applyFill="1" applyAlignment="1">
      <alignment horizontal="center" vertical="center"/>
    </xf>
    <xf numFmtId="181" fontId="4" fillId="4" borderId="13" xfId="50" applyNumberFormat="1" applyFont="1" applyFill="1" applyBorder="1" applyAlignment="1">
      <alignment horizontal="left"/>
    </xf>
    <xf numFmtId="181" fontId="4" fillId="4" borderId="0" xfId="50" applyNumberFormat="1" applyFont="1" applyFill="1" applyAlignment="1">
      <alignment horizontal="center"/>
    </xf>
    <xf numFmtId="181" fontId="4" fillId="4" borderId="13" xfId="50" applyNumberFormat="1" applyFont="1" applyFill="1" applyBorder="1" applyAlignment="1">
      <alignment horizontal="center"/>
    </xf>
    <xf numFmtId="181" fontId="4" fillId="4" borderId="13" xfId="50" applyNumberFormat="1" applyFont="1" applyFill="1" applyBorder="1" applyAlignment="1"/>
    <xf numFmtId="3" fontId="4" fillId="4" borderId="13" xfId="49" applyNumberFormat="1" applyFont="1" applyFill="1" applyBorder="1"/>
    <xf numFmtId="182" fontId="4" fillId="4" borderId="13" xfId="49" applyNumberFormat="1" applyFont="1" applyFill="1" applyBorder="1"/>
    <xf numFmtId="2" fontId="4" fillId="4" borderId="13" xfId="50" applyNumberFormat="1" applyFont="1" applyFill="1" applyBorder="1" applyAlignment="1"/>
    <xf numFmtId="43" fontId="4" fillId="4" borderId="13" xfId="1" applyFont="1" applyFill="1" applyBorder="1" applyAlignment="1"/>
    <xf numFmtId="183" fontId="4" fillId="4" borderId="13" xfId="50" applyNumberFormat="1" applyFont="1" applyFill="1" applyBorder="1" applyAlignment="1"/>
    <xf numFmtId="183" fontId="4" fillId="4" borderId="14" xfId="50" applyNumberFormat="1" applyFont="1" applyFill="1" applyBorder="1"/>
    <xf numFmtId="2" fontId="4" fillId="4" borderId="12" xfId="50" applyNumberFormat="1" applyFont="1" applyFill="1" applyBorder="1" applyAlignment="1"/>
    <xf numFmtId="2" fontId="4" fillId="4" borderId="5" xfId="50" applyNumberFormat="1" applyFont="1" applyFill="1" applyBorder="1" applyAlignment="1">
      <alignment vertical="center"/>
    </xf>
    <xf numFmtId="0" fontId="11" fillId="0" borderId="0" xfId="0" applyFont="1" applyFill="1">
      <alignment vertical="center"/>
    </xf>
    <xf numFmtId="181" fontId="4" fillId="4" borderId="0" xfId="50" applyNumberFormat="1" applyFont="1" applyFill="1" applyAlignment="1">
      <alignment horizontal="center" vertical="center"/>
    </xf>
    <xf numFmtId="181" fontId="4" fillId="4" borderId="13" xfId="50" applyNumberFormat="1" applyFont="1" applyFill="1" applyBorder="1" applyAlignment="1">
      <alignment horizontal="center" vertical="center"/>
    </xf>
    <xf numFmtId="181" fontId="4" fillId="3" borderId="0" xfId="50" applyNumberFormat="1" applyFont="1" applyFill="1" applyAlignment="1">
      <alignment horizontal="center" vertical="center"/>
    </xf>
    <xf numFmtId="181" fontId="4" fillId="3" borderId="13" xfId="50" applyNumberFormat="1" applyFont="1" applyFill="1" applyBorder="1" applyAlignment="1">
      <alignment horizontal="center" vertical="center"/>
    </xf>
    <xf numFmtId="181" fontId="4" fillId="5" borderId="13" xfId="50" applyNumberFormat="1" applyFont="1" applyFill="1" applyBorder="1" applyAlignment="1">
      <alignment horizontal="center" vertical="center"/>
    </xf>
    <xf numFmtId="181" fontId="4" fillId="5" borderId="13" xfId="50" applyNumberFormat="1" applyFont="1" applyFill="1" applyBorder="1" applyAlignment="1"/>
    <xf numFmtId="3" fontId="4" fillId="5" borderId="13" xfId="49" applyNumberFormat="1" applyFont="1" applyFill="1" applyBorder="1"/>
    <xf numFmtId="181" fontId="4" fillId="6" borderId="13" xfId="50" applyNumberFormat="1" applyFont="1" applyFill="1" applyBorder="1" applyAlignment="1">
      <alignment horizontal="left"/>
    </xf>
    <xf numFmtId="181" fontId="4" fillId="6" borderId="0" xfId="50" applyNumberFormat="1" applyFont="1" applyFill="1" applyAlignment="1">
      <alignment horizontal="center" vertical="center"/>
    </xf>
    <xf numFmtId="181" fontId="4" fillId="6" borderId="13" xfId="50" applyNumberFormat="1" applyFont="1" applyFill="1" applyBorder="1" applyAlignment="1">
      <alignment horizontal="center" vertical="center"/>
    </xf>
    <xf numFmtId="181" fontId="4" fillId="6" borderId="13" xfId="50" applyNumberFormat="1" applyFont="1" applyFill="1" applyBorder="1" applyAlignment="1"/>
    <xf numFmtId="3" fontId="4" fillId="6" borderId="13" xfId="49" applyNumberFormat="1" applyFont="1" applyFill="1" applyBorder="1"/>
    <xf numFmtId="182" fontId="4" fillId="6" borderId="13" xfId="49" applyNumberFormat="1" applyFont="1" applyFill="1" applyBorder="1"/>
    <xf numFmtId="2" fontId="4" fillId="6" borderId="13" xfId="50" applyNumberFormat="1" applyFont="1" applyFill="1" applyBorder="1" applyAlignment="1"/>
    <xf numFmtId="43" fontId="4" fillId="6" borderId="13" xfId="1" applyFont="1" applyFill="1" applyBorder="1" applyAlignment="1"/>
    <xf numFmtId="183" fontId="4" fillId="6" borderId="13" xfId="50" applyNumberFormat="1" applyFont="1" applyFill="1" applyBorder="1" applyAlignment="1"/>
    <xf numFmtId="183" fontId="4" fillId="6" borderId="14" xfId="50" applyNumberFormat="1" applyFont="1" applyFill="1" applyBorder="1"/>
    <xf numFmtId="2" fontId="4" fillId="6" borderId="12" xfId="50" applyNumberFormat="1" applyFont="1" applyFill="1" applyBorder="1" applyAlignment="1"/>
    <xf numFmtId="2" fontId="4" fillId="6" borderId="5" xfId="50" applyNumberFormat="1" applyFont="1" applyFill="1" applyBorder="1" applyAlignment="1">
      <alignment vertical="center"/>
    </xf>
    <xf numFmtId="181" fontId="4" fillId="0" borderId="0" xfId="50" applyNumberFormat="1" applyFont="1" applyFill="1" applyAlignment="1"/>
    <xf numFmtId="181" fontId="4" fillId="0" borderId="12" xfId="50" applyNumberFormat="1" applyFont="1" applyFill="1" applyBorder="1" applyAlignment="1"/>
    <xf numFmtId="0" fontId="5" fillId="0" borderId="0" xfId="0" applyFont="1">
      <alignment vertical="center"/>
    </xf>
    <xf numFmtId="0" fontId="11" fillId="0" borderId="0" xfId="0" applyFont="1">
      <alignment vertical="center"/>
    </xf>
    <xf numFmtId="181" fontId="4" fillId="7" borderId="13" xfId="50" applyNumberFormat="1" applyFont="1" applyFill="1" applyBorder="1" applyAlignment="1">
      <alignment horizontal="left"/>
    </xf>
    <xf numFmtId="181" fontId="4" fillId="7" borderId="0" xfId="50" applyNumberFormat="1" applyFont="1" applyFill="1" applyAlignment="1">
      <alignment horizontal="center"/>
    </xf>
    <xf numFmtId="181" fontId="4" fillId="7" borderId="13" xfId="50" applyNumberFormat="1" applyFont="1" applyFill="1" applyBorder="1" applyAlignment="1">
      <alignment horizontal="center"/>
    </xf>
    <xf numFmtId="181" fontId="4" fillId="7" borderId="13" xfId="50" applyNumberFormat="1" applyFont="1" applyFill="1" applyBorder="1" applyAlignment="1"/>
    <xf numFmtId="3" fontId="4" fillId="7" borderId="13" xfId="49" applyNumberFormat="1" applyFont="1" applyFill="1" applyBorder="1"/>
    <xf numFmtId="182" fontId="4" fillId="7" borderId="13" xfId="49" applyNumberFormat="1" applyFont="1" applyFill="1" applyBorder="1"/>
    <xf numFmtId="2" fontId="4" fillId="7" borderId="13" xfId="50" applyNumberFormat="1" applyFont="1" applyFill="1" applyBorder="1" applyAlignment="1"/>
    <xf numFmtId="43" fontId="4" fillId="7" borderId="13" xfId="1" applyFont="1" applyFill="1" applyBorder="1" applyAlignment="1"/>
    <xf numFmtId="183" fontId="4" fillId="7" borderId="13" xfId="50" applyNumberFormat="1" applyFont="1" applyFill="1" applyBorder="1" applyAlignment="1"/>
    <xf numFmtId="183" fontId="4" fillId="7" borderId="14" xfId="50" applyNumberFormat="1" applyFont="1" applyFill="1" applyBorder="1"/>
    <xf numFmtId="2" fontId="4" fillId="7" borderId="12" xfId="50" applyNumberFormat="1" applyFont="1" applyFill="1" applyBorder="1" applyAlignment="1"/>
    <xf numFmtId="2" fontId="4" fillId="7" borderId="5" xfId="50" applyNumberFormat="1" applyFont="1" applyFill="1" applyBorder="1" applyAlignment="1">
      <alignment vertical="center"/>
    </xf>
    <xf numFmtId="181" fontId="4" fillId="8" borderId="13" xfId="50" applyNumberFormat="1" applyFont="1" applyFill="1" applyBorder="1" applyAlignment="1">
      <alignment horizontal="left"/>
    </xf>
    <xf numFmtId="181" fontId="4" fillId="8" borderId="0" xfId="50" applyNumberFormat="1" applyFont="1" applyFill="1" applyAlignment="1">
      <alignment horizontal="center"/>
    </xf>
    <xf numFmtId="181" fontId="4" fillId="8" borderId="13" xfId="50" applyNumberFormat="1" applyFont="1" applyFill="1" applyBorder="1" applyAlignment="1">
      <alignment horizontal="center"/>
    </xf>
    <xf numFmtId="181" fontId="4" fillId="8" borderId="13" xfId="50" applyNumberFormat="1" applyFont="1" applyFill="1" applyBorder="1" applyAlignment="1"/>
    <xf numFmtId="3" fontId="4" fillId="8" borderId="13" xfId="49" applyNumberFormat="1" applyFont="1" applyFill="1" applyBorder="1"/>
    <xf numFmtId="182" fontId="4" fillId="8" borderId="13" xfId="49" applyNumberFormat="1" applyFont="1" applyFill="1" applyBorder="1"/>
    <xf numFmtId="2" fontId="4" fillId="8" borderId="13" xfId="50" applyNumberFormat="1" applyFont="1" applyFill="1" applyBorder="1" applyAlignment="1"/>
    <xf numFmtId="43" fontId="4" fillId="8" borderId="13" xfId="1" applyFont="1" applyFill="1" applyBorder="1" applyAlignment="1"/>
    <xf numFmtId="183" fontId="4" fillId="8" borderId="13" xfId="50" applyNumberFormat="1" applyFont="1" applyFill="1" applyBorder="1" applyAlignment="1"/>
    <xf numFmtId="183" fontId="4" fillId="8" borderId="14" xfId="50" applyNumberFormat="1" applyFont="1" applyFill="1" applyBorder="1"/>
    <xf numFmtId="2" fontId="4" fillId="8" borderId="12" xfId="50" applyNumberFormat="1" applyFont="1" applyFill="1" applyBorder="1" applyAlignment="1"/>
    <xf numFmtId="2" fontId="4" fillId="8" borderId="5" xfId="50" applyNumberFormat="1" applyFont="1" applyFill="1" applyBorder="1" applyAlignment="1">
      <alignment vertical="center"/>
    </xf>
    <xf numFmtId="181" fontId="4" fillId="9" borderId="13" xfId="50" applyNumberFormat="1" applyFont="1" applyFill="1" applyBorder="1" applyAlignment="1">
      <alignment horizontal="left"/>
    </xf>
    <xf numFmtId="181" fontId="4" fillId="9" borderId="13" xfId="50" applyNumberFormat="1" applyFont="1" applyFill="1" applyBorder="1" applyAlignment="1">
      <alignment horizontal="center" vertical="center"/>
    </xf>
    <xf numFmtId="181" fontId="4" fillId="9" borderId="13" xfId="50" applyNumberFormat="1" applyFont="1" applyFill="1" applyBorder="1" applyAlignment="1"/>
    <xf numFmtId="3" fontId="4" fillId="9" borderId="13" xfId="49" applyNumberFormat="1" applyFont="1" applyFill="1" applyBorder="1"/>
    <xf numFmtId="182" fontId="4" fillId="9" borderId="13" xfId="49" applyNumberFormat="1" applyFont="1" applyFill="1" applyBorder="1"/>
    <xf numFmtId="2" fontId="4" fillId="9" borderId="13" xfId="50" applyNumberFormat="1" applyFont="1" applyFill="1" applyBorder="1" applyAlignment="1"/>
    <xf numFmtId="43" fontId="4" fillId="9" borderId="13" xfId="1" applyFont="1" applyFill="1" applyBorder="1" applyAlignment="1"/>
    <xf numFmtId="183" fontId="4" fillId="9" borderId="13" xfId="50" applyNumberFormat="1" applyFont="1" applyFill="1" applyBorder="1" applyAlignment="1"/>
    <xf numFmtId="183" fontId="4" fillId="9" borderId="14" xfId="50" applyNumberFormat="1" applyFont="1" applyFill="1" applyBorder="1"/>
    <xf numFmtId="2" fontId="4" fillId="9" borderId="12" xfId="50" applyNumberFormat="1" applyFont="1" applyFill="1" applyBorder="1" applyAlignment="1"/>
    <xf numFmtId="2" fontId="4" fillId="9" borderId="5" xfId="50" applyNumberFormat="1" applyFont="1" applyFill="1" applyBorder="1" applyAlignment="1">
      <alignment vertical="center"/>
    </xf>
    <xf numFmtId="181" fontId="4" fillId="9" borderId="0" xfId="50" applyNumberFormat="1" applyFont="1" applyFill="1" applyAlignment="1">
      <alignment horizontal="center"/>
    </xf>
    <xf numFmtId="181" fontId="4" fillId="9" borderId="13" xfId="50" applyNumberFormat="1" applyFont="1" applyFill="1" applyBorder="1" applyAlignment="1">
      <alignment horizontal="center"/>
    </xf>
    <xf numFmtId="181" fontId="4" fillId="8" borderId="13" xfId="50" applyNumberFormat="1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181" fontId="4" fillId="0" borderId="22" xfId="50" applyNumberFormat="1" applyFont="1" applyFill="1" applyBorder="1" applyAlignment="1">
      <alignment horizont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0" xfId="0" applyBorder="1">
      <alignment vertical="center"/>
    </xf>
    <xf numFmtId="0" fontId="0" fillId="0" borderId="25" xfId="0" applyBorder="1">
      <alignment vertical="center"/>
    </xf>
    <xf numFmtId="181" fontId="12" fillId="10" borderId="13" xfId="50" applyNumberFormat="1" applyFont="1" applyFill="1" applyBorder="1" applyAlignment="1">
      <alignment horizontal="left"/>
    </xf>
    <xf numFmtId="181" fontId="12" fillId="10" borderId="13" xfId="50" applyNumberFormat="1" applyFont="1" applyFill="1" applyBorder="1" applyAlignment="1">
      <alignment horizontal="center" vertical="center"/>
    </xf>
    <xf numFmtId="181" fontId="12" fillId="10" borderId="13" xfId="50" applyNumberFormat="1" applyFont="1" applyFill="1" applyBorder="1" applyAlignment="1"/>
    <xf numFmtId="3" fontId="12" fillId="10" borderId="13" xfId="49" applyNumberFormat="1" applyFont="1" applyFill="1" applyBorder="1"/>
    <xf numFmtId="182" fontId="12" fillId="10" borderId="13" xfId="49" applyNumberFormat="1" applyFont="1" applyFill="1" applyBorder="1"/>
    <xf numFmtId="2" fontId="12" fillId="10" borderId="13" xfId="50" applyNumberFormat="1" applyFont="1" applyFill="1" applyBorder="1" applyAlignment="1"/>
    <xf numFmtId="43" fontId="12" fillId="10" borderId="13" xfId="1" applyFont="1" applyFill="1" applyBorder="1" applyAlignment="1"/>
    <xf numFmtId="183" fontId="12" fillId="10" borderId="13" xfId="50" applyNumberFormat="1" applyFont="1" applyFill="1" applyBorder="1" applyAlignment="1"/>
    <xf numFmtId="183" fontId="12" fillId="10" borderId="14" xfId="50" applyNumberFormat="1" applyFont="1" applyFill="1" applyBorder="1"/>
    <xf numFmtId="2" fontId="12" fillId="10" borderId="12" xfId="50" applyNumberFormat="1" applyFont="1" applyFill="1" applyBorder="1" applyAlignment="1"/>
    <xf numFmtId="2" fontId="12" fillId="10" borderId="5" xfId="50" applyNumberFormat="1" applyFont="1" applyFill="1" applyBorder="1" applyAlignment="1">
      <alignment vertical="center"/>
    </xf>
    <xf numFmtId="181" fontId="4" fillId="10" borderId="13" xfId="50" applyNumberFormat="1" applyFont="1" applyFill="1" applyBorder="1" applyAlignment="1">
      <alignment horizontal="left"/>
    </xf>
    <xf numFmtId="181" fontId="4" fillId="10" borderId="13" xfId="50" applyNumberFormat="1" applyFont="1" applyFill="1" applyBorder="1" applyAlignment="1"/>
    <xf numFmtId="3" fontId="4" fillId="10" borderId="13" xfId="49" applyNumberFormat="1" applyFont="1" applyFill="1" applyBorder="1"/>
    <xf numFmtId="182" fontId="4" fillId="10" borderId="13" xfId="49" applyNumberFormat="1" applyFont="1" applyFill="1" applyBorder="1"/>
    <xf numFmtId="2" fontId="4" fillId="10" borderId="13" xfId="50" applyNumberFormat="1" applyFont="1" applyFill="1" applyBorder="1" applyAlignment="1"/>
    <xf numFmtId="43" fontId="4" fillId="10" borderId="13" xfId="1" applyFont="1" applyFill="1" applyBorder="1" applyAlignment="1"/>
    <xf numFmtId="183" fontId="4" fillId="10" borderId="13" xfId="50" applyNumberFormat="1" applyFont="1" applyFill="1" applyBorder="1" applyAlignment="1"/>
    <xf numFmtId="183" fontId="4" fillId="10" borderId="14" xfId="50" applyNumberFormat="1" applyFont="1" applyFill="1" applyBorder="1"/>
    <xf numFmtId="2" fontId="4" fillId="10" borderId="12" xfId="50" applyNumberFormat="1" applyFont="1" applyFill="1" applyBorder="1" applyAlignment="1"/>
    <xf numFmtId="2" fontId="4" fillId="10" borderId="5" xfId="50" applyNumberFormat="1" applyFont="1" applyFill="1" applyBorder="1" applyAlignment="1">
      <alignment vertical="center"/>
    </xf>
    <xf numFmtId="181" fontId="4" fillId="0" borderId="13" xfId="50" applyNumberFormat="1" applyFont="1" applyFill="1" applyBorder="1" applyAlignment="1">
      <alignment vertical="center"/>
    </xf>
    <xf numFmtId="43" fontId="4" fillId="0" borderId="13" xfId="1" applyFont="1" applyFill="1" applyBorder="1" applyAlignment="1">
      <alignment vertical="center"/>
    </xf>
    <xf numFmtId="183" fontId="4" fillId="0" borderId="13" xfId="50" applyNumberFormat="1" applyFont="1" applyFill="1" applyBorder="1" applyAlignment="1">
      <alignment vertical="center"/>
    </xf>
    <xf numFmtId="2" fontId="4" fillId="0" borderId="12" xfId="50" applyNumberFormat="1" applyFont="1" applyFill="1" applyBorder="1" applyAlignment="1">
      <alignment vertical="center"/>
    </xf>
    <xf numFmtId="2" fontId="4" fillId="0" borderId="13" xfId="50" applyNumberFormat="1" applyFont="1" applyFill="1" applyBorder="1" applyAlignment="1">
      <alignment vertical="center"/>
    </xf>
    <xf numFmtId="0" fontId="13" fillId="0" borderId="0" xfId="0" applyFont="1">
      <alignment vertical="center"/>
    </xf>
    <xf numFmtId="181" fontId="12" fillId="0" borderId="13" xfId="50" applyNumberFormat="1" applyFont="1" applyFill="1" applyBorder="1" applyAlignment="1">
      <alignment horizontal="left"/>
    </xf>
    <xf numFmtId="181" fontId="12" fillId="0" borderId="13" xfId="50" applyNumberFormat="1" applyFont="1" applyFill="1" applyBorder="1" applyAlignment="1">
      <alignment horizontal="center" vertical="center"/>
    </xf>
    <xf numFmtId="181" fontId="4" fillId="11" borderId="13" xfId="50" applyNumberFormat="1" applyFont="1" applyFill="1" applyBorder="1" applyAlignment="1">
      <alignment horizontal="left"/>
    </xf>
    <xf numFmtId="181" fontId="4" fillId="11" borderId="0" xfId="50" applyNumberFormat="1" applyFont="1" applyFill="1" applyAlignment="1">
      <alignment horizontal="center"/>
    </xf>
    <xf numFmtId="181" fontId="4" fillId="11" borderId="13" xfId="50" applyNumberFormat="1" applyFont="1" applyFill="1" applyBorder="1" applyAlignment="1">
      <alignment horizontal="center"/>
    </xf>
    <xf numFmtId="181" fontId="4" fillId="11" borderId="13" xfId="50" applyNumberFormat="1" applyFont="1" applyFill="1" applyBorder="1" applyAlignment="1"/>
    <xf numFmtId="3" fontId="4" fillId="11" borderId="13" xfId="49" applyNumberFormat="1" applyFont="1" applyFill="1" applyBorder="1"/>
    <xf numFmtId="182" fontId="4" fillId="11" borderId="13" xfId="49" applyNumberFormat="1" applyFont="1" applyFill="1" applyBorder="1"/>
    <xf numFmtId="2" fontId="4" fillId="11" borderId="13" xfId="50" applyNumberFormat="1" applyFont="1" applyFill="1" applyBorder="1" applyAlignment="1"/>
    <xf numFmtId="43" fontId="4" fillId="11" borderId="13" xfId="1" applyFont="1" applyFill="1" applyBorder="1" applyAlignment="1"/>
    <xf numFmtId="183" fontId="4" fillId="11" borderId="13" xfId="50" applyNumberFormat="1" applyFont="1" applyFill="1" applyBorder="1" applyAlignment="1"/>
    <xf numFmtId="183" fontId="4" fillId="11" borderId="14" xfId="50" applyNumberFormat="1" applyFont="1" applyFill="1" applyBorder="1"/>
    <xf numFmtId="2" fontId="4" fillId="11" borderId="12" xfId="50" applyNumberFormat="1" applyFont="1" applyFill="1" applyBorder="1" applyAlignment="1"/>
    <xf numFmtId="2" fontId="4" fillId="11" borderId="5" xfId="5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81" fontId="14" fillId="0" borderId="13" xfId="50" applyNumberFormat="1" applyFont="1" applyFill="1" applyBorder="1" applyAlignment="1">
      <alignment horizontal="center" vertical="center"/>
    </xf>
    <xf numFmtId="181" fontId="14" fillId="0" borderId="13" xfId="50" applyNumberFormat="1" applyFont="1" applyFill="1" applyBorder="1" applyAlignment="1">
      <alignment horizontal="center"/>
    </xf>
    <xf numFmtId="181" fontId="4" fillId="0" borderId="14" xfId="50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180" fontId="1" fillId="0" borderId="0" xfId="50" applyNumberFormat="1" applyFont="1" applyFill="1" applyAlignme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79E1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topLeftCell="A37" workbookViewId="0">
      <selection activeCell="A17" sqref="$A17:$XFD17"/>
    </sheetView>
  </sheetViews>
  <sheetFormatPr defaultColWidth="9.14285714285714" defaultRowHeight="15"/>
  <cols>
    <col min="1" max="2" width="9.85714285714286"/>
    <col min="6" max="6" width="10.4285714285714"/>
    <col min="7" max="7" width="11.8571428571429" customWidth="1"/>
  </cols>
  <sheetData>
    <row r="1" ht="16.5" spans="1:16">
      <c r="A1" s="206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16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16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16">
      <c r="A5" s="15"/>
      <c r="B5" s="27"/>
      <c r="C5" s="16"/>
      <c r="D5" s="76"/>
      <c r="E5" s="35"/>
      <c r="F5" s="19"/>
      <c r="G5" s="20"/>
      <c r="H5" s="21"/>
      <c r="I5" s="22"/>
      <c r="J5" s="23"/>
      <c r="K5" s="24"/>
      <c r="L5" s="25"/>
      <c r="M5" s="22"/>
      <c r="N5" s="22"/>
      <c r="O5" s="26">
        <f t="shared" ref="O5:O11" si="0">100-M5-N5</f>
        <v>100</v>
      </c>
    </row>
    <row r="6" spans="1:16">
      <c r="A6" s="15">
        <v>46024</v>
      </c>
      <c r="B6" s="15">
        <v>46024</v>
      </c>
      <c r="C6" s="16" t="s">
        <v>34</v>
      </c>
      <c r="D6" s="35" t="s">
        <v>35</v>
      </c>
      <c r="E6" s="35" t="s">
        <v>36</v>
      </c>
      <c r="F6" s="19" t="s">
        <v>37</v>
      </c>
      <c r="G6" s="29">
        <v>21680</v>
      </c>
      <c r="H6" s="21">
        <v>458</v>
      </c>
      <c r="I6" s="22">
        <v>11.54</v>
      </c>
      <c r="J6" s="23">
        <v>2.74</v>
      </c>
      <c r="K6" s="24">
        <v>0.575</v>
      </c>
      <c r="L6" s="31">
        <f t="shared" ref="L6:L12" si="1">K6+0.02</f>
        <v>0.595</v>
      </c>
      <c r="M6" s="32">
        <v>12.52</v>
      </c>
      <c r="N6" s="22">
        <v>2.73</v>
      </c>
      <c r="O6" s="26">
        <f t="shared" si="0"/>
        <v>84.75</v>
      </c>
      <c r="P6" s="33" t="s">
        <v>38</v>
      </c>
    </row>
    <row r="7" spans="1:16">
      <c r="A7" s="15"/>
      <c r="B7" s="27"/>
      <c r="C7" s="16" t="s">
        <v>39</v>
      </c>
      <c r="D7" s="28" t="s">
        <v>40</v>
      </c>
      <c r="E7" s="35" t="s">
        <v>41</v>
      </c>
      <c r="F7" s="19" t="s">
        <v>42</v>
      </c>
      <c r="G7" s="20">
        <v>11315</v>
      </c>
      <c r="H7" s="21">
        <v>248</v>
      </c>
      <c r="I7" s="22">
        <v>9.34</v>
      </c>
      <c r="J7" s="23">
        <v>3.81</v>
      </c>
      <c r="K7" s="24">
        <v>0.578</v>
      </c>
      <c r="L7" s="31">
        <f t="shared" si="1"/>
        <v>0.598</v>
      </c>
      <c r="M7" s="32">
        <v>13.13</v>
      </c>
      <c r="N7" s="22">
        <v>3.69</v>
      </c>
      <c r="O7" s="26">
        <f t="shared" si="0"/>
        <v>83.18</v>
      </c>
    </row>
    <row r="8" spans="1:16">
      <c r="A8" s="15"/>
      <c r="B8" s="27"/>
      <c r="C8" s="16" t="s">
        <v>39</v>
      </c>
      <c r="D8" s="28" t="s">
        <v>40</v>
      </c>
      <c r="E8" s="35" t="s">
        <v>41</v>
      </c>
      <c r="F8" s="19" t="s">
        <v>43</v>
      </c>
      <c r="G8" s="20">
        <v>21255</v>
      </c>
      <c r="H8" s="21">
        <v>562</v>
      </c>
      <c r="I8" s="22">
        <v>9.67</v>
      </c>
      <c r="J8" s="23">
        <v>3.94</v>
      </c>
      <c r="K8" s="24">
        <v>0.559</v>
      </c>
      <c r="L8" s="31">
        <f t="shared" si="1"/>
        <v>0.579</v>
      </c>
      <c r="M8" s="32">
        <v>13.66</v>
      </c>
      <c r="N8" s="22">
        <v>3.77</v>
      </c>
      <c r="O8" s="26">
        <f t="shared" si="0"/>
        <v>82.57</v>
      </c>
    </row>
    <row r="9" spans="1:16">
      <c r="A9" s="15">
        <v>46025</v>
      </c>
      <c r="B9" s="27">
        <v>46025</v>
      </c>
      <c r="C9" s="16" t="s">
        <v>34</v>
      </c>
      <c r="D9" s="28" t="s">
        <v>44</v>
      </c>
      <c r="E9" s="35" t="s">
        <v>45</v>
      </c>
      <c r="F9" s="19" t="s">
        <v>46</v>
      </c>
      <c r="G9" s="20">
        <v>18170</v>
      </c>
      <c r="H9" s="21">
        <v>412</v>
      </c>
      <c r="I9" s="22">
        <v>11.27</v>
      </c>
      <c r="J9" s="23">
        <v>2.73</v>
      </c>
      <c r="K9" s="24">
        <v>0.578</v>
      </c>
      <c r="L9" s="31">
        <f t="shared" si="1"/>
        <v>0.598</v>
      </c>
      <c r="M9" s="32">
        <v>13.6</v>
      </c>
      <c r="N9" s="22">
        <v>3.55</v>
      </c>
      <c r="O9" s="26">
        <f t="shared" si="0"/>
        <v>82.85</v>
      </c>
    </row>
    <row r="10" spans="1:16">
      <c r="A10" s="15"/>
      <c r="B10" s="15"/>
      <c r="C10" s="16" t="s">
        <v>34</v>
      </c>
      <c r="D10" s="28" t="s">
        <v>44</v>
      </c>
      <c r="E10" s="35" t="s">
        <v>45</v>
      </c>
      <c r="F10" s="19" t="s">
        <v>47</v>
      </c>
      <c r="G10" s="20">
        <v>6920</v>
      </c>
      <c r="H10" s="21">
        <v>186</v>
      </c>
      <c r="I10" s="22">
        <v>11.87</v>
      </c>
      <c r="J10" s="23">
        <v>2.61</v>
      </c>
      <c r="K10" s="24">
        <v>0.581</v>
      </c>
      <c r="L10" s="31">
        <f t="shared" si="1"/>
        <v>0.601</v>
      </c>
      <c r="M10" s="32">
        <v>11.78</v>
      </c>
      <c r="N10" s="22">
        <v>3.94</v>
      </c>
      <c r="O10" s="26">
        <f t="shared" si="0"/>
        <v>84.28</v>
      </c>
    </row>
    <row r="11" spans="1:16">
      <c r="A11" s="15"/>
      <c r="B11" s="27"/>
      <c r="C11" s="78" t="s">
        <v>48</v>
      </c>
      <c r="D11" s="79" t="s">
        <v>49</v>
      </c>
      <c r="E11" s="80"/>
      <c r="F11" s="81" t="s">
        <v>50</v>
      </c>
      <c r="G11" s="82">
        <v>16770</v>
      </c>
      <c r="H11" s="83">
        <v>452</v>
      </c>
      <c r="I11" s="84">
        <v>12</v>
      </c>
      <c r="J11" s="85">
        <v>3.81</v>
      </c>
      <c r="K11" s="86">
        <v>0.575</v>
      </c>
      <c r="L11" s="87">
        <f t="shared" si="1"/>
        <v>0.595</v>
      </c>
      <c r="M11" s="88">
        <v>13.79</v>
      </c>
      <c r="N11" s="84">
        <v>2.78</v>
      </c>
      <c r="O11" s="89">
        <f t="shared" si="0"/>
        <v>83.43</v>
      </c>
      <c r="P11" s="184" t="s">
        <v>51</v>
      </c>
    </row>
    <row r="12" spans="1:16">
      <c r="A12" s="15"/>
      <c r="B12" s="27"/>
      <c r="C12" s="179" t="s">
        <v>39</v>
      </c>
      <c r="D12" s="28" t="s">
        <v>40</v>
      </c>
      <c r="E12" s="35" t="s">
        <v>41</v>
      </c>
      <c r="F12" s="179" t="s">
        <v>42</v>
      </c>
      <c r="G12" s="20">
        <v>13095</v>
      </c>
      <c r="H12" s="21">
        <v>332</v>
      </c>
      <c r="I12" s="22">
        <v>9.4</v>
      </c>
      <c r="J12" s="180">
        <v>3.17</v>
      </c>
      <c r="K12" s="181">
        <v>0.585</v>
      </c>
      <c r="L12" s="31">
        <f t="shared" si="1"/>
        <v>0.605</v>
      </c>
      <c r="M12" s="182">
        <v>14.52</v>
      </c>
      <c r="N12" s="183">
        <v>3.7</v>
      </c>
      <c r="O12" s="26">
        <f t="shared" ref="O12:O81" si="2">100-M12-N12</f>
        <v>81.78</v>
      </c>
    </row>
    <row r="13" spans="1:16">
      <c r="A13" s="15">
        <v>46027</v>
      </c>
      <c r="B13" s="27">
        <v>46027</v>
      </c>
      <c r="C13" s="16" t="s">
        <v>34</v>
      </c>
      <c r="D13" s="28" t="s">
        <v>44</v>
      </c>
      <c r="E13" s="35" t="s">
        <v>45</v>
      </c>
      <c r="F13" s="19" t="s">
        <v>37</v>
      </c>
      <c r="G13" s="20">
        <v>22190</v>
      </c>
      <c r="H13" s="21">
        <v>461</v>
      </c>
      <c r="I13" s="22">
        <v>12.67</v>
      </c>
      <c r="J13" s="23">
        <v>2.44</v>
      </c>
      <c r="K13" s="24">
        <v>0.575</v>
      </c>
      <c r="L13" s="31">
        <f t="shared" ref="L13:L30" si="3">K13+0.02</f>
        <v>0.595</v>
      </c>
      <c r="M13" s="32">
        <v>14.12</v>
      </c>
      <c r="N13" s="22">
        <v>3.68</v>
      </c>
      <c r="O13" s="26">
        <f t="shared" si="2"/>
        <v>82.2</v>
      </c>
      <c r="P13" t="s">
        <v>52</v>
      </c>
    </row>
    <row r="14" spans="1:16">
      <c r="A14" s="15"/>
      <c r="B14" s="27"/>
      <c r="C14" s="16" t="s">
        <v>34</v>
      </c>
      <c r="D14" s="28" t="s">
        <v>44</v>
      </c>
      <c r="E14" s="35" t="s">
        <v>45</v>
      </c>
      <c r="F14" s="19" t="s">
        <v>50</v>
      </c>
      <c r="G14" s="20">
        <v>16800</v>
      </c>
      <c r="H14" s="21">
        <v>420</v>
      </c>
      <c r="I14" s="22">
        <v>11.74</v>
      </c>
      <c r="J14" s="23">
        <v>2.51</v>
      </c>
      <c r="K14" s="24">
        <v>0.575</v>
      </c>
      <c r="L14" s="31">
        <f t="shared" si="3"/>
        <v>0.595</v>
      </c>
      <c r="M14" s="32">
        <v>12.25</v>
      </c>
      <c r="N14" s="22">
        <v>2.75</v>
      </c>
      <c r="O14" s="26">
        <f t="shared" si="2"/>
        <v>85</v>
      </c>
    </row>
    <row r="15" spans="1:16">
      <c r="A15" s="15"/>
      <c r="B15" s="27"/>
      <c r="C15" s="78" t="s">
        <v>53</v>
      </c>
      <c r="D15" s="80" t="s">
        <v>54</v>
      </c>
      <c r="E15" s="80" t="s">
        <v>55</v>
      </c>
      <c r="F15" s="81" t="s">
        <v>56</v>
      </c>
      <c r="G15" s="82">
        <v>25365</v>
      </c>
      <c r="H15" s="83">
        <v>535</v>
      </c>
      <c r="I15" s="84">
        <v>12</v>
      </c>
      <c r="J15" s="85">
        <v>2.5</v>
      </c>
      <c r="K15" s="86">
        <v>0.578</v>
      </c>
      <c r="L15" s="87">
        <f t="shared" si="3"/>
        <v>0.598</v>
      </c>
      <c r="M15" s="88">
        <v>13.56</v>
      </c>
      <c r="N15" s="84">
        <v>2.86</v>
      </c>
      <c r="O15" s="89">
        <f t="shared" si="2"/>
        <v>83.58</v>
      </c>
      <c r="P15" s="33" t="s">
        <v>57</v>
      </c>
    </row>
    <row r="16" spans="1:16">
      <c r="A16" s="15"/>
      <c r="B16" s="27"/>
      <c r="C16" s="16" t="s">
        <v>58</v>
      </c>
      <c r="D16" s="35" t="s">
        <v>59</v>
      </c>
      <c r="E16" s="35" t="s">
        <v>60</v>
      </c>
      <c r="F16" s="19" t="s">
        <v>61</v>
      </c>
      <c r="G16" s="29">
        <v>4828</v>
      </c>
      <c r="H16" s="21">
        <v>110</v>
      </c>
      <c r="I16" s="22">
        <v>13.87</v>
      </c>
      <c r="J16" s="23">
        <v>2.11</v>
      </c>
      <c r="K16" s="24">
        <v>0.585</v>
      </c>
      <c r="L16" s="31">
        <f t="shared" si="3"/>
        <v>0.605</v>
      </c>
      <c r="M16" s="32">
        <v>15.77</v>
      </c>
      <c r="N16" s="22">
        <v>2.44</v>
      </c>
      <c r="O16" s="26">
        <f t="shared" si="2"/>
        <v>81.79</v>
      </c>
      <c r="P16" s="34" t="s">
        <v>62</v>
      </c>
    </row>
    <row r="17" spans="1:16">
      <c r="A17" s="15"/>
      <c r="B17" s="27"/>
      <c r="C17" s="16" t="s">
        <v>63</v>
      </c>
      <c r="D17" s="28" t="s">
        <v>54</v>
      </c>
      <c r="E17" s="202" t="s">
        <v>64</v>
      </c>
      <c r="F17" s="19" t="s">
        <v>65</v>
      </c>
      <c r="G17" s="20">
        <v>18799</v>
      </c>
      <c r="H17" s="21">
        <v>524</v>
      </c>
      <c r="I17" s="22">
        <v>13.8</v>
      </c>
      <c r="J17" s="23">
        <v>2.4</v>
      </c>
      <c r="K17" s="24">
        <v>0.581</v>
      </c>
      <c r="L17" s="31">
        <f t="shared" si="3"/>
        <v>0.601</v>
      </c>
      <c r="M17" s="32">
        <v>12.44</v>
      </c>
      <c r="N17" s="22">
        <v>4.02</v>
      </c>
      <c r="O17" s="26">
        <f t="shared" si="2"/>
        <v>83.54</v>
      </c>
      <c r="P17" s="34" t="s">
        <v>66</v>
      </c>
    </row>
    <row r="18" spans="1:16">
      <c r="A18" s="15"/>
      <c r="B18" s="27"/>
      <c r="C18" s="78" t="s">
        <v>48</v>
      </c>
      <c r="D18" s="79" t="s">
        <v>67</v>
      </c>
      <c r="E18" s="80"/>
      <c r="F18" s="81" t="s">
        <v>46</v>
      </c>
      <c r="G18" s="82">
        <v>18520</v>
      </c>
      <c r="H18" s="83">
        <v>461</v>
      </c>
      <c r="I18" s="84">
        <v>11.4</v>
      </c>
      <c r="J18" s="85">
        <v>3.18</v>
      </c>
      <c r="K18" s="86">
        <v>0.571</v>
      </c>
      <c r="L18" s="87">
        <f t="shared" si="3"/>
        <v>0.591</v>
      </c>
      <c r="M18" s="88">
        <v>13.81</v>
      </c>
      <c r="N18" s="84">
        <v>3.94</v>
      </c>
      <c r="O18" s="89">
        <f t="shared" si="2"/>
        <v>82.25</v>
      </c>
      <c r="P18" s="184" t="s">
        <v>51</v>
      </c>
    </row>
    <row r="19" spans="1:16">
      <c r="A19" s="15"/>
      <c r="B19" s="27"/>
      <c r="C19" s="16" t="s">
        <v>39</v>
      </c>
      <c r="D19" s="28" t="s">
        <v>40</v>
      </c>
      <c r="E19" s="35" t="s">
        <v>41</v>
      </c>
      <c r="F19" s="19" t="s">
        <v>42</v>
      </c>
      <c r="G19" s="20">
        <v>13205</v>
      </c>
      <c r="H19" s="21">
        <v>355</v>
      </c>
      <c r="I19" s="22">
        <v>9.2</v>
      </c>
      <c r="J19" s="23">
        <v>3.48</v>
      </c>
      <c r="K19" s="24">
        <v>0.581</v>
      </c>
      <c r="L19" s="31">
        <f t="shared" si="3"/>
        <v>0.601</v>
      </c>
      <c r="M19" s="32">
        <v>14.76</v>
      </c>
      <c r="N19" s="22">
        <v>2.88</v>
      </c>
      <c r="O19" s="26">
        <f t="shared" si="2"/>
        <v>82.36</v>
      </c>
    </row>
    <row r="20" spans="1:16">
      <c r="A20" s="15"/>
      <c r="B20" s="27"/>
      <c r="C20" s="16" t="s">
        <v>39</v>
      </c>
      <c r="D20" s="35" t="s">
        <v>68</v>
      </c>
      <c r="E20" s="35" t="s">
        <v>69</v>
      </c>
      <c r="F20" s="19" t="s">
        <v>70</v>
      </c>
      <c r="G20" s="20">
        <v>5545</v>
      </c>
      <c r="H20" s="21">
        <v>110</v>
      </c>
      <c r="I20" s="22">
        <v>9.27</v>
      </c>
      <c r="J20" s="23">
        <v>3.76</v>
      </c>
      <c r="K20" s="24">
        <v>0.565</v>
      </c>
      <c r="L20" s="31">
        <f t="shared" si="3"/>
        <v>0.585</v>
      </c>
      <c r="M20" s="32">
        <v>11.49</v>
      </c>
      <c r="N20" s="22">
        <v>4.19</v>
      </c>
      <c r="O20" s="26">
        <f t="shared" si="2"/>
        <v>84.32</v>
      </c>
    </row>
    <row r="21" spans="1:16">
      <c r="A21" s="15"/>
      <c r="B21" s="27"/>
      <c r="C21" s="16" t="s">
        <v>71</v>
      </c>
      <c r="D21" s="28" t="s">
        <v>72</v>
      </c>
      <c r="E21" s="28" t="s">
        <v>73</v>
      </c>
      <c r="F21" s="19" t="s">
        <v>74</v>
      </c>
      <c r="G21" s="29">
        <v>23077</v>
      </c>
      <c r="H21" s="21">
        <v>541</v>
      </c>
      <c r="I21" s="22">
        <v>14.07</v>
      </c>
      <c r="J21" s="23">
        <v>2.81</v>
      </c>
      <c r="K21" s="24">
        <v>0.568</v>
      </c>
      <c r="L21" s="31">
        <f t="shared" si="3"/>
        <v>0.588</v>
      </c>
      <c r="M21" s="32">
        <v>13.78</v>
      </c>
      <c r="N21" s="22">
        <v>3.55</v>
      </c>
      <c r="O21" s="26">
        <f t="shared" si="2"/>
        <v>82.67</v>
      </c>
      <c r="P21" s="75" t="s">
        <v>75</v>
      </c>
    </row>
    <row r="22" spans="1:16">
      <c r="A22" s="15">
        <v>46028</v>
      </c>
      <c r="B22" s="27">
        <v>46028</v>
      </c>
      <c r="C22" s="16" t="s">
        <v>34</v>
      </c>
      <c r="D22" s="17" t="s">
        <v>76</v>
      </c>
      <c r="E22" s="35" t="s">
        <v>77</v>
      </c>
      <c r="F22" s="19" t="s">
        <v>50</v>
      </c>
      <c r="G22" s="20">
        <v>17775</v>
      </c>
      <c r="H22" s="21">
        <v>430</v>
      </c>
      <c r="I22" s="22">
        <v>11.8</v>
      </c>
      <c r="J22" s="23">
        <v>2.61</v>
      </c>
      <c r="K22" s="24">
        <v>0.578</v>
      </c>
      <c r="L22" s="31">
        <f t="shared" si="3"/>
        <v>0.598</v>
      </c>
      <c r="M22" s="32">
        <v>12.41</v>
      </c>
      <c r="N22" s="22">
        <v>3.98</v>
      </c>
      <c r="O22" s="26">
        <f t="shared" si="2"/>
        <v>83.61</v>
      </c>
    </row>
    <row r="23" spans="1:16">
      <c r="A23" s="15"/>
      <c r="B23" s="27"/>
      <c r="C23" s="16" t="s">
        <v>78</v>
      </c>
      <c r="D23" s="28" t="s">
        <v>40</v>
      </c>
      <c r="E23" s="35" t="s">
        <v>41</v>
      </c>
      <c r="F23" s="19" t="s">
        <v>79</v>
      </c>
      <c r="G23" s="20">
        <v>10140</v>
      </c>
      <c r="H23" s="21">
        <v>264</v>
      </c>
      <c r="I23" s="22">
        <v>9.8</v>
      </c>
      <c r="J23" s="23">
        <v>2.8</v>
      </c>
      <c r="K23" s="24">
        <v>0.575</v>
      </c>
      <c r="L23" s="31">
        <f t="shared" si="3"/>
        <v>0.595</v>
      </c>
      <c r="M23" s="32">
        <v>13.64</v>
      </c>
      <c r="N23" s="22">
        <v>3.73</v>
      </c>
      <c r="O23" s="26">
        <f t="shared" si="2"/>
        <v>82.63</v>
      </c>
    </row>
    <row r="24" spans="1:16">
      <c r="A24" s="15">
        <v>46029</v>
      </c>
      <c r="B24" s="27">
        <v>46029</v>
      </c>
      <c r="C24" s="16" t="s">
        <v>34</v>
      </c>
      <c r="D24" s="17" t="s">
        <v>76</v>
      </c>
      <c r="E24" s="35" t="s">
        <v>77</v>
      </c>
      <c r="F24" s="19" t="s">
        <v>46</v>
      </c>
      <c r="G24" s="20">
        <v>19870</v>
      </c>
      <c r="H24" s="21">
        <v>432</v>
      </c>
      <c r="I24" s="22">
        <v>12.2</v>
      </c>
      <c r="J24" s="23">
        <v>2.41</v>
      </c>
      <c r="K24" s="24">
        <v>0.575</v>
      </c>
      <c r="L24" s="31">
        <f t="shared" si="3"/>
        <v>0.595</v>
      </c>
      <c r="M24" s="32">
        <v>12.68</v>
      </c>
      <c r="N24" s="22">
        <v>3.88</v>
      </c>
      <c r="O24" s="26">
        <f t="shared" si="2"/>
        <v>83.44</v>
      </c>
      <c r="P24" t="s">
        <v>80</v>
      </c>
    </row>
    <row r="25" spans="1:16">
      <c r="A25" s="15"/>
      <c r="B25" s="27"/>
      <c r="C25" s="16" t="s">
        <v>34</v>
      </c>
      <c r="D25" s="17" t="s">
        <v>76</v>
      </c>
      <c r="E25" s="35" t="s">
        <v>77</v>
      </c>
      <c r="F25" s="19" t="s">
        <v>37</v>
      </c>
      <c r="G25" s="20">
        <v>18665</v>
      </c>
      <c r="H25" s="21">
        <v>507</v>
      </c>
      <c r="I25" s="22">
        <v>11.94</v>
      </c>
      <c r="J25" s="23">
        <v>2.63</v>
      </c>
      <c r="K25" s="24">
        <v>0.581</v>
      </c>
      <c r="L25" s="31">
        <f t="shared" si="3"/>
        <v>0.601</v>
      </c>
      <c r="M25" s="32">
        <v>14.24</v>
      </c>
      <c r="N25" s="22">
        <v>3.04</v>
      </c>
      <c r="O25" s="26">
        <f t="shared" si="2"/>
        <v>82.72</v>
      </c>
    </row>
    <row r="26" spans="1:16">
      <c r="A26" s="15">
        <v>46030</v>
      </c>
      <c r="B26" s="27">
        <v>46030</v>
      </c>
      <c r="C26" s="16" t="s">
        <v>34</v>
      </c>
      <c r="D26" s="17" t="s">
        <v>81</v>
      </c>
      <c r="E26" s="35" t="s">
        <v>82</v>
      </c>
      <c r="F26" s="19" t="s">
        <v>46</v>
      </c>
      <c r="G26" s="20">
        <v>18505</v>
      </c>
      <c r="H26" s="21">
        <v>475</v>
      </c>
      <c r="I26" s="22">
        <v>11.74</v>
      </c>
      <c r="J26" s="23">
        <v>2.71</v>
      </c>
      <c r="K26" s="24">
        <v>0.575</v>
      </c>
      <c r="L26" s="31">
        <f t="shared" si="3"/>
        <v>0.595</v>
      </c>
      <c r="M26" s="32">
        <v>13.61</v>
      </c>
      <c r="N26" s="22">
        <v>3.28</v>
      </c>
      <c r="O26" s="26">
        <f t="shared" si="2"/>
        <v>83.11</v>
      </c>
    </row>
    <row r="27" spans="1:16">
      <c r="A27" s="15"/>
      <c r="B27" s="27"/>
      <c r="C27" s="16" t="s">
        <v>83</v>
      </c>
      <c r="D27" s="17" t="s">
        <v>84</v>
      </c>
      <c r="E27" s="203" t="s">
        <v>85</v>
      </c>
      <c r="F27" s="19" t="s">
        <v>86</v>
      </c>
      <c r="G27" s="20">
        <v>5803</v>
      </c>
      <c r="H27" s="21">
        <v>143</v>
      </c>
      <c r="I27" s="22">
        <v>12.07</v>
      </c>
      <c r="J27" s="23">
        <v>2.22</v>
      </c>
      <c r="K27" s="24">
        <v>0.581</v>
      </c>
      <c r="L27" s="31">
        <f t="shared" si="3"/>
        <v>0.601</v>
      </c>
      <c r="M27" s="32">
        <v>13.78</v>
      </c>
      <c r="N27" s="22">
        <v>2.49</v>
      </c>
      <c r="O27" s="26">
        <f t="shared" si="2"/>
        <v>83.73</v>
      </c>
      <c r="P27" s="34" t="s">
        <v>87</v>
      </c>
    </row>
    <row r="28" spans="1:16">
      <c r="A28" s="15"/>
      <c r="B28" s="27"/>
      <c r="C28" s="78" t="s">
        <v>48</v>
      </c>
      <c r="D28" s="79" t="s">
        <v>88</v>
      </c>
      <c r="E28" s="80"/>
      <c r="F28" s="81" t="s">
        <v>50</v>
      </c>
      <c r="G28" s="82">
        <v>17550</v>
      </c>
      <c r="H28" s="83">
        <v>488</v>
      </c>
      <c r="I28" s="84">
        <v>11.07</v>
      </c>
      <c r="J28" s="85">
        <v>3.61</v>
      </c>
      <c r="K28" s="86">
        <v>0.581</v>
      </c>
      <c r="L28" s="87">
        <f t="shared" si="3"/>
        <v>0.601</v>
      </c>
      <c r="M28" s="88">
        <v>14.22</v>
      </c>
      <c r="N28" s="84">
        <v>3.89</v>
      </c>
      <c r="O28" s="89">
        <f t="shared" si="2"/>
        <v>81.89</v>
      </c>
      <c r="P28" s="112" t="s">
        <v>51</v>
      </c>
    </row>
    <row r="29" spans="1:16">
      <c r="A29" s="15"/>
      <c r="B29" s="27"/>
      <c r="C29" s="16" t="s">
        <v>71</v>
      </c>
      <c r="D29" s="35" t="s">
        <v>59</v>
      </c>
      <c r="E29" s="35" t="s">
        <v>89</v>
      </c>
      <c r="F29" s="19" t="s">
        <v>90</v>
      </c>
      <c r="G29" s="20">
        <v>15329</v>
      </c>
      <c r="H29" s="21">
        <v>365</v>
      </c>
      <c r="I29" s="22">
        <v>13.8</v>
      </c>
      <c r="J29" s="23">
        <v>2.67</v>
      </c>
      <c r="K29" s="24">
        <v>0.571</v>
      </c>
      <c r="L29" s="31">
        <f t="shared" si="3"/>
        <v>0.591</v>
      </c>
      <c r="M29" s="32">
        <v>11.94</v>
      </c>
      <c r="N29" s="22">
        <v>3.95</v>
      </c>
      <c r="O29" s="26">
        <f t="shared" si="2"/>
        <v>84.11</v>
      </c>
      <c r="P29" t="s">
        <v>91</v>
      </c>
    </row>
    <row r="30" spans="1:16">
      <c r="A30" s="15"/>
      <c r="B30" s="27"/>
      <c r="C30" s="16" t="s">
        <v>39</v>
      </c>
      <c r="D30" s="35" t="s">
        <v>68</v>
      </c>
      <c r="E30" s="35" t="s">
        <v>69</v>
      </c>
      <c r="F30" s="19" t="s">
        <v>42</v>
      </c>
      <c r="G30" s="20">
        <v>12170</v>
      </c>
      <c r="H30" s="21">
        <v>275</v>
      </c>
      <c r="I30" s="22">
        <v>9.54</v>
      </c>
      <c r="J30" s="23">
        <v>3.41</v>
      </c>
      <c r="K30" s="24">
        <v>0.578</v>
      </c>
      <c r="L30" s="31">
        <f t="shared" si="3"/>
        <v>0.598</v>
      </c>
      <c r="M30" s="32">
        <v>15.54</v>
      </c>
      <c r="N30" s="22">
        <v>2.75</v>
      </c>
      <c r="O30" s="26">
        <f t="shared" si="2"/>
        <v>81.71</v>
      </c>
    </row>
    <row r="31" spans="1:16">
      <c r="A31" s="15">
        <v>46031</v>
      </c>
      <c r="B31" s="27">
        <v>46031</v>
      </c>
      <c r="C31" s="16" t="s">
        <v>34</v>
      </c>
      <c r="D31" s="17" t="s">
        <v>81</v>
      </c>
      <c r="E31" s="35" t="s">
        <v>82</v>
      </c>
      <c r="F31" s="19" t="s">
        <v>46</v>
      </c>
      <c r="G31" s="20">
        <v>19220</v>
      </c>
      <c r="H31" s="21">
        <v>478</v>
      </c>
      <c r="I31" s="22">
        <v>12.8</v>
      </c>
      <c r="J31" s="23">
        <v>2.15</v>
      </c>
      <c r="K31" s="24">
        <v>0.578</v>
      </c>
      <c r="L31" s="31">
        <f t="shared" ref="L31:L37" si="4">K31+0.02</f>
        <v>0.598</v>
      </c>
      <c r="M31" s="32">
        <v>11.68</v>
      </c>
      <c r="N31" s="22">
        <v>3.5</v>
      </c>
      <c r="O31" s="26">
        <v>84.82</v>
      </c>
      <c r="P31" t="s">
        <v>92</v>
      </c>
    </row>
    <row r="32" spans="1:16">
      <c r="A32" s="15"/>
      <c r="B32" s="27"/>
      <c r="C32" s="78" t="s">
        <v>34</v>
      </c>
      <c r="D32" s="79" t="s">
        <v>93</v>
      </c>
      <c r="E32" s="80"/>
      <c r="F32" s="81" t="s">
        <v>37</v>
      </c>
      <c r="G32" s="82">
        <v>21095</v>
      </c>
      <c r="H32" s="83">
        <v>534</v>
      </c>
      <c r="I32" s="84">
        <v>11.87</v>
      </c>
      <c r="J32" s="85">
        <v>2.61</v>
      </c>
      <c r="K32" s="86">
        <v>0.575</v>
      </c>
      <c r="L32" s="87">
        <f t="shared" si="4"/>
        <v>0.595</v>
      </c>
      <c r="M32" s="88">
        <v>13.44</v>
      </c>
      <c r="N32" s="84">
        <v>2.87</v>
      </c>
      <c r="O32" s="89">
        <v>83.69</v>
      </c>
      <c r="P32" s="112" t="s">
        <v>51</v>
      </c>
    </row>
    <row r="33" spans="1:16">
      <c r="A33" s="15"/>
      <c r="B33" s="27"/>
      <c r="C33" s="16" t="s">
        <v>39</v>
      </c>
      <c r="D33" s="35" t="s">
        <v>68</v>
      </c>
      <c r="E33" s="35" t="s">
        <v>69</v>
      </c>
      <c r="F33" s="19" t="s">
        <v>42</v>
      </c>
      <c r="G33" s="20">
        <v>11195</v>
      </c>
      <c r="H33" s="21">
        <v>345</v>
      </c>
      <c r="I33" s="22">
        <v>10.14</v>
      </c>
      <c r="J33" s="23">
        <v>3.11</v>
      </c>
      <c r="K33" s="24">
        <v>0.578</v>
      </c>
      <c r="L33" s="31">
        <f t="shared" si="4"/>
        <v>0.598</v>
      </c>
      <c r="M33" s="32">
        <v>13.38</v>
      </c>
      <c r="N33" s="22">
        <v>2.56</v>
      </c>
      <c r="O33" s="26">
        <v>84.06</v>
      </c>
    </row>
    <row r="34" spans="1:16">
      <c r="A34" s="15">
        <v>46032</v>
      </c>
      <c r="B34" s="15">
        <v>46032</v>
      </c>
      <c r="C34" s="16" t="s">
        <v>34</v>
      </c>
      <c r="D34" s="17" t="s">
        <v>81</v>
      </c>
      <c r="E34" s="35" t="s">
        <v>82</v>
      </c>
      <c r="F34" s="19" t="s">
        <v>50</v>
      </c>
      <c r="G34" s="20">
        <v>17626</v>
      </c>
      <c r="H34" s="21">
        <v>441</v>
      </c>
      <c r="I34" s="22">
        <v>12.67</v>
      </c>
      <c r="J34" s="23">
        <v>2.43</v>
      </c>
      <c r="K34" s="24">
        <v>0.578</v>
      </c>
      <c r="L34" s="31">
        <f t="shared" si="4"/>
        <v>0.598</v>
      </c>
      <c r="M34" s="32">
        <v>13.14</v>
      </c>
      <c r="N34" s="22">
        <v>3.73</v>
      </c>
      <c r="O34" s="26">
        <f t="shared" ref="O34:O36" si="5">100-M34-N34</f>
        <v>83.13</v>
      </c>
      <c r="P34" t="s">
        <v>94</v>
      </c>
    </row>
    <row r="35" spans="1:16">
      <c r="A35" s="15"/>
      <c r="B35" s="27"/>
      <c r="C35" s="16" t="s">
        <v>34</v>
      </c>
      <c r="D35" s="204" t="s">
        <v>81</v>
      </c>
      <c r="E35" s="35" t="s">
        <v>82</v>
      </c>
      <c r="F35" s="19" t="s">
        <v>46</v>
      </c>
      <c r="G35" s="20">
        <v>20074</v>
      </c>
      <c r="H35" s="21">
        <v>419</v>
      </c>
      <c r="I35" s="22">
        <v>12.8</v>
      </c>
      <c r="J35" s="23">
        <v>2.33</v>
      </c>
      <c r="K35" s="24">
        <v>0.575</v>
      </c>
      <c r="L35" s="31">
        <f t="shared" si="4"/>
        <v>0.595</v>
      </c>
      <c r="M35" s="32">
        <v>12.47</v>
      </c>
      <c r="N35" s="22">
        <v>3.58</v>
      </c>
      <c r="O35" s="26">
        <f t="shared" si="5"/>
        <v>83.95</v>
      </c>
      <c r="P35" t="s">
        <v>95</v>
      </c>
    </row>
    <row r="36" spans="1:16">
      <c r="A36" s="15"/>
      <c r="B36" s="27"/>
      <c r="C36" s="16" t="s">
        <v>78</v>
      </c>
      <c r="D36" s="35" t="s">
        <v>68</v>
      </c>
      <c r="E36" s="35" t="s">
        <v>69</v>
      </c>
      <c r="F36" s="19" t="s">
        <v>96</v>
      </c>
      <c r="G36" s="20">
        <v>24290</v>
      </c>
      <c r="H36" s="21">
        <v>532</v>
      </c>
      <c r="I36" s="22">
        <v>10.6</v>
      </c>
      <c r="J36" s="23">
        <v>3.88</v>
      </c>
      <c r="K36" s="24">
        <v>0.562</v>
      </c>
      <c r="L36" s="31">
        <f t="shared" si="4"/>
        <v>0.582</v>
      </c>
      <c r="M36" s="32">
        <v>14.68</v>
      </c>
      <c r="N36" s="22">
        <v>2.98</v>
      </c>
      <c r="O36" s="26">
        <f t="shared" si="5"/>
        <v>82.34</v>
      </c>
    </row>
    <row r="37" spans="1:16">
      <c r="A37" s="15"/>
      <c r="B37" s="27"/>
      <c r="C37" s="16" t="s">
        <v>97</v>
      </c>
      <c r="D37" s="35" t="s">
        <v>98</v>
      </c>
      <c r="E37" s="35" t="s">
        <v>99</v>
      </c>
      <c r="F37" s="19" t="s">
        <v>100</v>
      </c>
      <c r="G37" s="20">
        <v>18369</v>
      </c>
      <c r="H37" s="21">
        <v>432</v>
      </c>
      <c r="I37" s="22">
        <v>15.27</v>
      </c>
      <c r="J37" s="23">
        <v>2.53</v>
      </c>
      <c r="K37" s="24">
        <v>0.585</v>
      </c>
      <c r="L37" s="31">
        <f t="shared" si="4"/>
        <v>0.605</v>
      </c>
      <c r="M37" s="32">
        <v>15.44</v>
      </c>
      <c r="N37" s="22">
        <v>3.67</v>
      </c>
      <c r="O37" s="26">
        <f t="shared" si="2"/>
        <v>80.89</v>
      </c>
      <c r="P37" t="s">
        <v>101</v>
      </c>
    </row>
    <row r="38" spans="1:16">
      <c r="A38" s="15">
        <v>46034</v>
      </c>
      <c r="B38" s="27">
        <v>46034</v>
      </c>
      <c r="C38" s="16" t="s">
        <v>34</v>
      </c>
      <c r="D38" s="17" t="s">
        <v>76</v>
      </c>
      <c r="E38" s="35" t="s">
        <v>77</v>
      </c>
      <c r="F38" s="19" t="s">
        <v>50</v>
      </c>
      <c r="G38" s="20">
        <v>17470</v>
      </c>
      <c r="H38" s="21">
        <v>441</v>
      </c>
      <c r="I38" s="22">
        <v>12.14</v>
      </c>
      <c r="J38" s="23">
        <v>2.61</v>
      </c>
      <c r="K38" s="24">
        <v>0.579</v>
      </c>
      <c r="L38" s="31">
        <f t="shared" ref="L38:L70" si="6">K38+0.02</f>
        <v>0.599</v>
      </c>
      <c r="M38" s="32">
        <v>12.08</v>
      </c>
      <c r="N38" s="22">
        <v>2.58</v>
      </c>
      <c r="O38" s="26">
        <f t="shared" si="2"/>
        <v>85.34</v>
      </c>
      <c r="P38" t="s">
        <v>102</v>
      </c>
    </row>
    <row r="39" spans="1:16">
      <c r="A39" s="15"/>
      <c r="B39" s="27"/>
      <c r="C39" s="16" t="s">
        <v>83</v>
      </c>
      <c r="D39" s="17" t="s">
        <v>84</v>
      </c>
      <c r="E39" s="35" t="s">
        <v>85</v>
      </c>
      <c r="F39" s="19" t="s">
        <v>86</v>
      </c>
      <c r="G39" s="20">
        <v>6050</v>
      </c>
      <c r="H39" s="21">
        <v>160</v>
      </c>
      <c r="I39" s="22">
        <v>12.27</v>
      </c>
      <c r="J39" s="23">
        <v>2.33</v>
      </c>
      <c r="K39" s="24">
        <v>0.581</v>
      </c>
      <c r="L39" s="31">
        <f t="shared" si="6"/>
        <v>0.601</v>
      </c>
      <c r="M39" s="32">
        <v>14.85</v>
      </c>
      <c r="N39" s="22">
        <v>3.49</v>
      </c>
      <c r="O39" s="26">
        <f t="shared" si="2"/>
        <v>81.66</v>
      </c>
      <c r="P39" s="34" t="s">
        <v>103</v>
      </c>
    </row>
    <row r="40" spans="1:16">
      <c r="A40" s="15"/>
      <c r="B40" s="27"/>
      <c r="C40" s="16" t="s">
        <v>71</v>
      </c>
      <c r="D40" s="35" t="s">
        <v>59</v>
      </c>
      <c r="E40" s="35" t="s">
        <v>89</v>
      </c>
      <c r="F40" s="19" t="s">
        <v>74</v>
      </c>
      <c r="G40" s="20">
        <v>9382</v>
      </c>
      <c r="H40" s="21">
        <v>210</v>
      </c>
      <c r="I40" s="22">
        <v>14.47</v>
      </c>
      <c r="J40" s="23">
        <v>2.41</v>
      </c>
      <c r="K40" s="24">
        <v>0.571</v>
      </c>
      <c r="L40" s="31">
        <f t="shared" si="6"/>
        <v>0.591</v>
      </c>
      <c r="M40" s="32">
        <v>11.68</v>
      </c>
      <c r="N40" s="22">
        <v>3.88</v>
      </c>
      <c r="O40" s="26">
        <f t="shared" si="2"/>
        <v>84.44</v>
      </c>
      <c r="P40" t="s">
        <v>104</v>
      </c>
    </row>
    <row r="41" spans="1:16">
      <c r="A41" s="15"/>
      <c r="B41" s="27"/>
      <c r="C41" s="16" t="s">
        <v>39</v>
      </c>
      <c r="D41" s="35" t="s">
        <v>68</v>
      </c>
      <c r="E41" s="35" t="s">
        <v>69</v>
      </c>
      <c r="F41" s="19" t="s">
        <v>42</v>
      </c>
      <c r="G41" s="20">
        <v>11455</v>
      </c>
      <c r="H41" s="21">
        <v>340</v>
      </c>
      <c r="I41" s="22">
        <v>10.47</v>
      </c>
      <c r="J41" s="23">
        <v>3.47</v>
      </c>
      <c r="K41" s="24">
        <v>0.578</v>
      </c>
      <c r="L41" s="31">
        <f t="shared" si="6"/>
        <v>0.598</v>
      </c>
      <c r="M41" s="32">
        <v>13.46</v>
      </c>
      <c r="N41" s="22">
        <v>2.7</v>
      </c>
      <c r="O41" s="26">
        <f t="shared" si="2"/>
        <v>83.84</v>
      </c>
    </row>
    <row r="42" spans="1:16">
      <c r="A42" s="15">
        <v>46035</v>
      </c>
      <c r="B42" s="27">
        <v>46035</v>
      </c>
      <c r="C42" s="78" t="s">
        <v>48</v>
      </c>
      <c r="D42" s="79" t="s">
        <v>105</v>
      </c>
      <c r="E42" s="80"/>
      <c r="F42" s="81" t="s">
        <v>46</v>
      </c>
      <c r="G42" s="82">
        <v>16365</v>
      </c>
      <c r="H42" s="83">
        <v>446</v>
      </c>
      <c r="I42" s="84">
        <v>10.54</v>
      </c>
      <c r="J42" s="85">
        <v>2.73</v>
      </c>
      <c r="K42" s="86">
        <v>0.571</v>
      </c>
      <c r="L42" s="87">
        <f t="shared" si="6"/>
        <v>0.591</v>
      </c>
      <c r="M42" s="88">
        <v>14.66</v>
      </c>
      <c r="N42" s="84">
        <v>3.14</v>
      </c>
      <c r="O42" s="89">
        <f t="shared" si="2"/>
        <v>82.2</v>
      </c>
      <c r="P42" s="112" t="s">
        <v>51</v>
      </c>
    </row>
    <row r="43" spans="1:16">
      <c r="A43" s="15"/>
      <c r="B43" s="27"/>
      <c r="C43" s="16" t="s">
        <v>39</v>
      </c>
      <c r="D43" s="35" t="s">
        <v>106</v>
      </c>
      <c r="E43" s="35" t="s">
        <v>107</v>
      </c>
      <c r="F43" s="19" t="s">
        <v>43</v>
      </c>
      <c r="G43" s="20">
        <v>21060</v>
      </c>
      <c r="H43" s="21">
        <v>611</v>
      </c>
      <c r="I43" s="22">
        <v>9.4</v>
      </c>
      <c r="J43" s="23">
        <v>2.77</v>
      </c>
      <c r="K43" s="24">
        <v>0.581</v>
      </c>
      <c r="L43" s="31">
        <f t="shared" si="6"/>
        <v>0.601</v>
      </c>
      <c r="M43" s="32">
        <v>13.19</v>
      </c>
      <c r="N43" s="22">
        <v>3.85</v>
      </c>
      <c r="O43" s="26">
        <f t="shared" si="2"/>
        <v>82.96</v>
      </c>
    </row>
    <row r="44" spans="1:16">
      <c r="A44" s="15"/>
      <c r="B44" s="27"/>
      <c r="C44" s="16" t="s">
        <v>53</v>
      </c>
      <c r="D44" s="35" t="s">
        <v>108</v>
      </c>
      <c r="E44" s="35" t="s">
        <v>109</v>
      </c>
      <c r="F44" s="19" t="s">
        <v>56</v>
      </c>
      <c r="G44" s="20">
        <v>20491</v>
      </c>
      <c r="H44" s="21">
        <v>461</v>
      </c>
      <c r="I44" s="22">
        <v>12.07</v>
      </c>
      <c r="J44" s="23">
        <v>2.61</v>
      </c>
      <c r="K44" s="24">
        <v>0.578</v>
      </c>
      <c r="L44" s="31">
        <f t="shared" si="6"/>
        <v>0.598</v>
      </c>
      <c r="M44" s="32">
        <v>13.42</v>
      </c>
      <c r="N44" s="22">
        <v>2.56</v>
      </c>
      <c r="O44" s="26">
        <f t="shared" si="2"/>
        <v>84.02</v>
      </c>
      <c r="P44" t="s">
        <v>110</v>
      </c>
    </row>
    <row r="45" spans="1:16">
      <c r="A45" s="15">
        <v>46036</v>
      </c>
      <c r="B45" s="27">
        <v>46036</v>
      </c>
      <c r="C45" s="16" t="s">
        <v>34</v>
      </c>
      <c r="D45" s="35" t="s">
        <v>111</v>
      </c>
      <c r="E45" s="35" t="s">
        <v>112</v>
      </c>
      <c r="F45" s="19" t="s">
        <v>46</v>
      </c>
      <c r="G45" s="20">
        <v>18705</v>
      </c>
      <c r="H45" s="21">
        <v>445</v>
      </c>
      <c r="I45" s="22">
        <v>11.74</v>
      </c>
      <c r="J45" s="23">
        <v>2.61</v>
      </c>
      <c r="K45" s="24">
        <v>0.578</v>
      </c>
      <c r="L45" s="31">
        <f t="shared" si="6"/>
        <v>0.598</v>
      </c>
      <c r="M45" s="32">
        <v>12.45</v>
      </c>
      <c r="N45" s="22">
        <v>3.33</v>
      </c>
      <c r="O45" s="26">
        <f t="shared" si="2"/>
        <v>84.22</v>
      </c>
    </row>
    <row r="46" spans="1:16">
      <c r="A46" s="15"/>
      <c r="B46" s="27"/>
      <c r="C46" s="16" t="s">
        <v>58</v>
      </c>
      <c r="D46" s="35" t="s">
        <v>113</v>
      </c>
      <c r="E46" s="35" t="s">
        <v>114</v>
      </c>
      <c r="F46" s="19" t="s">
        <v>115</v>
      </c>
      <c r="G46" s="20">
        <v>7459</v>
      </c>
      <c r="H46" s="21">
        <v>145</v>
      </c>
      <c r="I46" s="22">
        <v>12.54</v>
      </c>
      <c r="J46" s="23">
        <v>3.13</v>
      </c>
      <c r="K46" s="24">
        <v>0.581</v>
      </c>
      <c r="L46" s="31">
        <f t="shared" si="6"/>
        <v>0.601</v>
      </c>
      <c r="M46" s="32">
        <v>14.19</v>
      </c>
      <c r="N46" s="22">
        <v>4.78</v>
      </c>
      <c r="O46" s="26">
        <f t="shared" si="2"/>
        <v>81.03</v>
      </c>
      <c r="P46" t="s">
        <v>116</v>
      </c>
    </row>
    <row r="47" spans="1:16">
      <c r="A47" s="15"/>
      <c r="B47" s="27"/>
      <c r="C47" s="16" t="s">
        <v>117</v>
      </c>
      <c r="D47" s="35" t="s">
        <v>113</v>
      </c>
      <c r="E47" s="35" t="s">
        <v>114</v>
      </c>
      <c r="F47" s="19" t="s">
        <v>118</v>
      </c>
      <c r="G47" s="20">
        <v>10434</v>
      </c>
      <c r="H47" s="21">
        <v>282</v>
      </c>
      <c r="I47" s="22">
        <v>13.2</v>
      </c>
      <c r="J47" s="23">
        <v>2.59</v>
      </c>
      <c r="K47" s="24">
        <v>0.575</v>
      </c>
      <c r="L47" s="31">
        <f t="shared" si="6"/>
        <v>0.595</v>
      </c>
      <c r="M47" s="32">
        <v>11.38</v>
      </c>
      <c r="N47" s="22">
        <v>3.46</v>
      </c>
      <c r="O47" s="26">
        <f t="shared" si="2"/>
        <v>85.16</v>
      </c>
      <c r="P47" t="s">
        <v>119</v>
      </c>
    </row>
    <row r="48" spans="1:16">
      <c r="A48" s="15">
        <v>46037</v>
      </c>
      <c r="B48" s="27">
        <v>46037</v>
      </c>
      <c r="C48" s="16" t="s">
        <v>39</v>
      </c>
      <c r="D48" s="35" t="s">
        <v>106</v>
      </c>
      <c r="E48" s="35" t="s">
        <v>107</v>
      </c>
      <c r="F48" s="19" t="s">
        <v>43</v>
      </c>
      <c r="G48" s="20">
        <v>22020</v>
      </c>
      <c r="H48" s="21">
        <v>558</v>
      </c>
      <c r="I48" s="22">
        <v>9.87</v>
      </c>
      <c r="J48" s="23">
        <v>3.88</v>
      </c>
      <c r="K48" s="24">
        <v>0.556</v>
      </c>
      <c r="L48" s="31">
        <f t="shared" si="6"/>
        <v>0.576</v>
      </c>
      <c r="M48" s="32">
        <v>12.43</v>
      </c>
      <c r="N48" s="22">
        <v>3.94</v>
      </c>
      <c r="O48" s="26">
        <f t="shared" si="2"/>
        <v>83.63</v>
      </c>
    </row>
    <row r="49" spans="1:16">
      <c r="A49" s="15"/>
      <c r="B49" s="27"/>
      <c r="C49" s="16" t="s">
        <v>39</v>
      </c>
      <c r="D49" s="35" t="s">
        <v>106</v>
      </c>
      <c r="E49" s="35" t="s">
        <v>107</v>
      </c>
      <c r="F49" s="19" t="s">
        <v>120</v>
      </c>
      <c r="G49" s="20">
        <v>5700</v>
      </c>
      <c r="H49" s="21">
        <v>326</v>
      </c>
      <c r="I49" s="22">
        <v>7.94</v>
      </c>
      <c r="J49" s="23">
        <v>3.65</v>
      </c>
      <c r="K49" s="24">
        <v>0.568</v>
      </c>
      <c r="L49" s="31">
        <f t="shared" si="6"/>
        <v>0.588</v>
      </c>
      <c r="M49" s="32">
        <v>13.38</v>
      </c>
      <c r="N49" s="22">
        <v>2.65</v>
      </c>
      <c r="O49" s="26">
        <f t="shared" si="2"/>
        <v>83.97</v>
      </c>
    </row>
    <row r="50" spans="1:16">
      <c r="A50" s="15"/>
      <c r="B50" s="27"/>
      <c r="C50" s="16" t="s">
        <v>39</v>
      </c>
      <c r="D50" s="35" t="s">
        <v>106</v>
      </c>
      <c r="E50" s="35" t="s">
        <v>107</v>
      </c>
      <c r="F50" s="19" t="s">
        <v>121</v>
      </c>
      <c r="G50" s="20">
        <v>2881</v>
      </c>
      <c r="H50" s="21">
        <v>105</v>
      </c>
      <c r="I50" s="22">
        <v>12.14</v>
      </c>
      <c r="J50" s="23">
        <v>3.47</v>
      </c>
      <c r="K50" s="24">
        <v>0.571</v>
      </c>
      <c r="L50" s="31">
        <f t="shared" si="6"/>
        <v>0.591</v>
      </c>
      <c r="M50" s="32">
        <v>13.94</v>
      </c>
      <c r="N50" s="22">
        <v>2.48</v>
      </c>
      <c r="O50" s="26">
        <f t="shared" si="2"/>
        <v>83.58</v>
      </c>
      <c r="P50" t="s">
        <v>122</v>
      </c>
    </row>
    <row r="51" spans="1:16">
      <c r="A51" s="15">
        <v>46038</v>
      </c>
      <c r="B51" s="27">
        <v>46038</v>
      </c>
      <c r="C51" s="16" t="s">
        <v>34</v>
      </c>
      <c r="D51" s="35" t="s">
        <v>111</v>
      </c>
      <c r="E51" s="35" t="s">
        <v>112</v>
      </c>
      <c r="F51" s="19" t="s">
        <v>46</v>
      </c>
      <c r="G51" s="20">
        <v>18335</v>
      </c>
      <c r="H51" s="21">
        <v>458</v>
      </c>
      <c r="I51" s="22">
        <v>11.24</v>
      </c>
      <c r="J51" s="23">
        <v>2.6</v>
      </c>
      <c r="K51" s="24">
        <v>0.575</v>
      </c>
      <c r="L51" s="31">
        <f t="shared" si="6"/>
        <v>0.595</v>
      </c>
      <c r="M51" s="32">
        <v>13.75</v>
      </c>
      <c r="N51" s="22">
        <v>3.87</v>
      </c>
      <c r="O51" s="26">
        <f t="shared" si="2"/>
        <v>82.38</v>
      </c>
    </row>
    <row r="52" spans="1:16">
      <c r="A52" s="15"/>
      <c r="B52" s="27"/>
      <c r="C52" s="16" t="s">
        <v>63</v>
      </c>
      <c r="D52" s="28" t="s">
        <v>54</v>
      </c>
      <c r="E52" s="28" t="s">
        <v>64</v>
      </c>
      <c r="F52" s="19" t="s">
        <v>123</v>
      </c>
      <c r="G52" s="20">
        <v>16731</v>
      </c>
      <c r="H52" s="21">
        <v>433</v>
      </c>
      <c r="I52" s="22">
        <v>14.27</v>
      </c>
      <c r="J52" s="23">
        <v>2.71</v>
      </c>
      <c r="K52" s="24">
        <v>0.575</v>
      </c>
      <c r="L52" s="31">
        <f t="shared" si="6"/>
        <v>0.595</v>
      </c>
      <c r="M52" s="32">
        <v>11.39</v>
      </c>
      <c r="N52" s="22">
        <v>3.93</v>
      </c>
      <c r="O52" s="26">
        <f t="shared" si="2"/>
        <v>84.68</v>
      </c>
      <c r="P52" t="s">
        <v>124</v>
      </c>
    </row>
    <row r="53" spans="1:16">
      <c r="A53" s="15"/>
      <c r="B53" s="27"/>
      <c r="C53" s="16" t="s">
        <v>125</v>
      </c>
      <c r="D53" s="35" t="s">
        <v>108</v>
      </c>
      <c r="E53" s="35" t="s">
        <v>109</v>
      </c>
      <c r="F53" s="19" t="s">
        <v>126</v>
      </c>
      <c r="G53" s="20">
        <v>19985</v>
      </c>
      <c r="H53" s="21">
        <v>576</v>
      </c>
      <c r="I53" s="22">
        <v>10.87</v>
      </c>
      <c r="J53" s="23">
        <v>3.91</v>
      </c>
      <c r="K53" s="24">
        <v>0.568</v>
      </c>
      <c r="L53" s="31">
        <f t="shared" si="6"/>
        <v>0.588</v>
      </c>
      <c r="M53" s="32">
        <v>15.49</v>
      </c>
      <c r="N53" s="22">
        <v>2.78</v>
      </c>
      <c r="O53" s="26">
        <f t="shared" si="2"/>
        <v>81.73</v>
      </c>
    </row>
    <row r="54" spans="1:16">
      <c r="A54" s="15"/>
      <c r="B54" s="27"/>
      <c r="C54" s="78" t="s">
        <v>48</v>
      </c>
      <c r="D54" s="79" t="s">
        <v>127</v>
      </c>
      <c r="E54" s="80"/>
      <c r="F54" s="81" t="s">
        <v>50</v>
      </c>
      <c r="G54" s="82">
        <v>16700</v>
      </c>
      <c r="H54" s="83">
        <v>461</v>
      </c>
      <c r="I54" s="84">
        <v>10.94</v>
      </c>
      <c r="J54" s="85">
        <v>3.55</v>
      </c>
      <c r="K54" s="86">
        <v>0.571</v>
      </c>
      <c r="L54" s="87">
        <f t="shared" si="6"/>
        <v>0.591</v>
      </c>
      <c r="M54" s="88">
        <v>14.3</v>
      </c>
      <c r="N54" s="84">
        <v>3.44</v>
      </c>
      <c r="O54" s="89">
        <f t="shared" si="2"/>
        <v>82.26</v>
      </c>
      <c r="P54" s="113" t="s">
        <v>128</v>
      </c>
    </row>
    <row r="55" spans="1:16">
      <c r="A55" s="15"/>
      <c r="B55" s="27"/>
      <c r="C55" s="16" t="s">
        <v>39</v>
      </c>
      <c r="D55" s="35" t="s">
        <v>106</v>
      </c>
      <c r="E55" s="35" t="s">
        <v>107</v>
      </c>
      <c r="F55" s="19" t="s">
        <v>42</v>
      </c>
      <c r="G55" s="20">
        <v>10935</v>
      </c>
      <c r="H55" s="21">
        <v>363</v>
      </c>
      <c r="I55" s="22">
        <v>9.94</v>
      </c>
      <c r="J55" s="23">
        <v>2.94</v>
      </c>
      <c r="K55" s="24">
        <v>0.581</v>
      </c>
      <c r="L55" s="31">
        <f t="shared" si="6"/>
        <v>0.601</v>
      </c>
      <c r="M55" s="32">
        <v>12.44</v>
      </c>
      <c r="N55" s="22">
        <v>3.04</v>
      </c>
      <c r="O55" s="26">
        <f t="shared" si="2"/>
        <v>84.52</v>
      </c>
    </row>
    <row r="56" spans="1:16">
      <c r="A56" s="15"/>
      <c r="B56" s="27"/>
      <c r="C56" s="16" t="s">
        <v>78</v>
      </c>
      <c r="D56" s="35" t="s">
        <v>129</v>
      </c>
      <c r="E56" s="35" t="s">
        <v>130</v>
      </c>
      <c r="F56" s="19" t="s">
        <v>43</v>
      </c>
      <c r="G56" s="20">
        <v>14555</v>
      </c>
      <c r="H56" s="21">
        <v>376</v>
      </c>
      <c r="I56" s="22">
        <v>11.2</v>
      </c>
      <c r="J56" s="23">
        <v>3.71</v>
      </c>
      <c r="K56" s="24">
        <v>0.562</v>
      </c>
      <c r="L56" s="31">
        <f t="shared" si="6"/>
        <v>0.582</v>
      </c>
      <c r="M56" s="32">
        <v>13.4</v>
      </c>
      <c r="N56" s="22">
        <v>3.88</v>
      </c>
      <c r="O56" s="26">
        <f t="shared" si="2"/>
        <v>82.72</v>
      </c>
    </row>
    <row r="57" spans="1:16">
      <c r="A57" s="15">
        <v>46039</v>
      </c>
      <c r="B57" s="27">
        <v>46039</v>
      </c>
      <c r="C57" s="16" t="s">
        <v>34</v>
      </c>
      <c r="D57" s="35" t="s">
        <v>111</v>
      </c>
      <c r="E57" s="35" t="s">
        <v>112</v>
      </c>
      <c r="F57" s="19" t="s">
        <v>50</v>
      </c>
      <c r="G57" s="20">
        <v>17650</v>
      </c>
      <c r="H57" s="21">
        <v>425</v>
      </c>
      <c r="I57" s="22">
        <v>11.67</v>
      </c>
      <c r="J57" s="23">
        <v>2.68</v>
      </c>
      <c r="K57" s="24">
        <v>0.571</v>
      </c>
      <c r="L57" s="31">
        <f t="shared" si="6"/>
        <v>0.591</v>
      </c>
      <c r="M57" s="32">
        <v>12.25</v>
      </c>
      <c r="N57" s="22">
        <v>3.39</v>
      </c>
      <c r="O57" s="26">
        <f t="shared" si="2"/>
        <v>84.36</v>
      </c>
    </row>
    <row r="58" spans="1:16">
      <c r="A58" s="15"/>
      <c r="B58" s="27"/>
      <c r="C58" s="16" t="s">
        <v>39</v>
      </c>
      <c r="D58" s="35" t="s">
        <v>129</v>
      </c>
      <c r="E58" s="35" t="s">
        <v>130</v>
      </c>
      <c r="F58" s="19" t="s">
        <v>42</v>
      </c>
      <c r="G58" s="20">
        <v>11350</v>
      </c>
      <c r="H58" s="21">
        <v>358</v>
      </c>
      <c r="I58" s="22">
        <v>10.34</v>
      </c>
      <c r="J58" s="23">
        <v>3.29</v>
      </c>
      <c r="K58" s="24">
        <v>0.562</v>
      </c>
      <c r="L58" s="31">
        <f t="shared" si="6"/>
        <v>0.582</v>
      </c>
      <c r="M58" s="32">
        <v>12.72</v>
      </c>
      <c r="N58" s="22">
        <v>2.65</v>
      </c>
      <c r="O58" s="26">
        <f t="shared" si="2"/>
        <v>84.63</v>
      </c>
    </row>
    <row r="59" spans="1:16">
      <c r="A59" s="15">
        <v>46041</v>
      </c>
      <c r="B59" s="27">
        <v>46041</v>
      </c>
      <c r="C59" s="16" t="s">
        <v>34</v>
      </c>
      <c r="D59" s="17" t="s">
        <v>131</v>
      </c>
      <c r="E59" s="35" t="s">
        <v>132</v>
      </c>
      <c r="F59" s="19" t="s">
        <v>46</v>
      </c>
      <c r="G59" s="20">
        <v>18220</v>
      </c>
      <c r="H59" s="21">
        <v>437</v>
      </c>
      <c r="I59" s="22">
        <v>11.54</v>
      </c>
      <c r="J59" s="23">
        <v>2.66</v>
      </c>
      <c r="K59" s="24">
        <v>0.578</v>
      </c>
      <c r="L59" s="31">
        <f t="shared" si="6"/>
        <v>0.598</v>
      </c>
      <c r="M59" s="32">
        <v>12.64</v>
      </c>
      <c r="N59" s="22">
        <v>3.79</v>
      </c>
      <c r="O59" s="26">
        <f t="shared" si="2"/>
        <v>83.57</v>
      </c>
    </row>
    <row r="60" spans="1:16">
      <c r="A60" s="15"/>
      <c r="B60" s="27"/>
      <c r="C60" s="16" t="s">
        <v>39</v>
      </c>
      <c r="D60" s="35" t="s">
        <v>129</v>
      </c>
      <c r="E60" s="35" t="s">
        <v>130</v>
      </c>
      <c r="F60" s="19" t="s">
        <v>42</v>
      </c>
      <c r="G60" s="20">
        <v>11885</v>
      </c>
      <c r="H60" s="21">
        <v>376</v>
      </c>
      <c r="I60" s="22">
        <v>9.87</v>
      </c>
      <c r="J60" s="23">
        <v>3.11</v>
      </c>
      <c r="K60" s="24">
        <v>0.581</v>
      </c>
      <c r="L60" s="31">
        <f t="shared" si="6"/>
        <v>0.601</v>
      </c>
      <c r="M60" s="32">
        <v>13.41</v>
      </c>
      <c r="N60" s="22">
        <v>2.84</v>
      </c>
      <c r="O60" s="26">
        <f t="shared" si="2"/>
        <v>83.75</v>
      </c>
    </row>
    <row r="61" spans="1:16">
      <c r="A61" s="15">
        <v>46042</v>
      </c>
      <c r="B61" s="27">
        <v>46042</v>
      </c>
      <c r="C61" s="16" t="s">
        <v>39</v>
      </c>
      <c r="D61" s="35" t="s">
        <v>129</v>
      </c>
      <c r="E61" s="35" t="s">
        <v>130</v>
      </c>
      <c r="F61" s="19" t="s">
        <v>42</v>
      </c>
      <c r="G61" s="20">
        <v>11720</v>
      </c>
      <c r="H61" s="21">
        <v>314</v>
      </c>
      <c r="I61" s="22">
        <v>9.2</v>
      </c>
      <c r="J61" s="23">
        <v>3.11</v>
      </c>
      <c r="K61" s="24">
        <v>0.575</v>
      </c>
      <c r="L61" s="31">
        <f t="shared" si="6"/>
        <v>0.595</v>
      </c>
      <c r="M61" s="32">
        <v>13.34</v>
      </c>
      <c r="N61" s="22">
        <v>2.94</v>
      </c>
      <c r="O61" s="26">
        <f t="shared" si="2"/>
        <v>83.72</v>
      </c>
    </row>
    <row r="62" spans="1:16">
      <c r="A62" s="15">
        <v>46043</v>
      </c>
      <c r="B62" s="27">
        <v>46043</v>
      </c>
      <c r="C62" s="16" t="s">
        <v>34</v>
      </c>
      <c r="D62" s="17" t="s">
        <v>131</v>
      </c>
      <c r="E62" s="35" t="s">
        <v>132</v>
      </c>
      <c r="F62" s="19" t="s">
        <v>46</v>
      </c>
      <c r="G62" s="20">
        <v>19125</v>
      </c>
      <c r="H62" s="21">
        <v>438</v>
      </c>
      <c r="I62" s="22">
        <v>12.34</v>
      </c>
      <c r="J62" s="23">
        <v>2.61</v>
      </c>
      <c r="K62" s="24">
        <v>0.575</v>
      </c>
      <c r="L62" s="31">
        <f t="shared" si="6"/>
        <v>0.595</v>
      </c>
      <c r="M62" s="32">
        <v>13.42</v>
      </c>
      <c r="N62" s="22">
        <v>2.86</v>
      </c>
      <c r="O62" s="26">
        <f t="shared" si="2"/>
        <v>83.72</v>
      </c>
      <c r="P62" t="s">
        <v>133</v>
      </c>
    </row>
    <row r="63" spans="1:16">
      <c r="A63" s="15"/>
      <c r="B63" s="27"/>
      <c r="C63" s="16" t="s">
        <v>34</v>
      </c>
      <c r="D63" s="17" t="s">
        <v>131</v>
      </c>
      <c r="E63" s="35" t="s">
        <v>132</v>
      </c>
      <c r="F63" s="19" t="s">
        <v>50</v>
      </c>
      <c r="G63" s="20">
        <v>18275</v>
      </c>
      <c r="H63" s="21">
        <v>436</v>
      </c>
      <c r="I63" s="22">
        <v>12.87</v>
      </c>
      <c r="J63" s="23">
        <v>2.53</v>
      </c>
      <c r="K63" s="24">
        <v>0.571</v>
      </c>
      <c r="L63" s="31">
        <f t="shared" si="6"/>
        <v>0.591</v>
      </c>
      <c r="M63" s="32">
        <v>12.15</v>
      </c>
      <c r="N63" s="22">
        <v>3.89</v>
      </c>
      <c r="O63" s="26">
        <f t="shared" si="2"/>
        <v>83.96</v>
      </c>
      <c r="P63" t="s">
        <v>134</v>
      </c>
    </row>
    <row r="64" spans="1:16">
      <c r="A64" s="15"/>
      <c r="B64" s="27"/>
      <c r="C64" s="16" t="s">
        <v>53</v>
      </c>
      <c r="D64" s="35" t="s">
        <v>108</v>
      </c>
      <c r="E64" s="35" t="s">
        <v>109</v>
      </c>
      <c r="F64" s="19" t="s">
        <v>56</v>
      </c>
      <c r="G64" s="20">
        <v>22783</v>
      </c>
      <c r="H64" s="21">
        <v>523</v>
      </c>
      <c r="I64" s="22">
        <v>12.14</v>
      </c>
      <c r="J64" s="23">
        <v>2.44</v>
      </c>
      <c r="K64" s="24">
        <v>0.578</v>
      </c>
      <c r="L64" s="31">
        <f t="shared" si="6"/>
        <v>0.598</v>
      </c>
      <c r="M64" s="32">
        <v>13.78</v>
      </c>
      <c r="N64" s="22">
        <v>2.54</v>
      </c>
      <c r="O64" s="26">
        <f t="shared" si="2"/>
        <v>83.68</v>
      </c>
      <c r="P64" t="s">
        <v>135</v>
      </c>
    </row>
    <row r="65" spans="1:16">
      <c r="A65" s="15"/>
      <c r="B65" s="27"/>
      <c r="C65" s="16" t="s">
        <v>39</v>
      </c>
      <c r="D65" s="35" t="s">
        <v>35</v>
      </c>
      <c r="E65" s="35" t="s">
        <v>136</v>
      </c>
      <c r="F65" s="19" t="s">
        <v>42</v>
      </c>
      <c r="G65" s="20">
        <v>11547</v>
      </c>
      <c r="H65" s="21">
        <v>244</v>
      </c>
      <c r="I65" s="22">
        <v>11.27</v>
      </c>
      <c r="J65" s="23">
        <v>3.73</v>
      </c>
      <c r="K65" s="24">
        <v>0.581</v>
      </c>
      <c r="L65" s="31">
        <f t="shared" si="6"/>
        <v>0.601</v>
      </c>
      <c r="M65" s="32">
        <v>12.76</v>
      </c>
      <c r="N65" s="22">
        <v>23.75</v>
      </c>
      <c r="O65" s="26">
        <f t="shared" si="2"/>
        <v>63.49</v>
      </c>
      <c r="P65" t="s">
        <v>137</v>
      </c>
    </row>
    <row r="66" spans="1:16">
      <c r="A66" s="15">
        <v>46044</v>
      </c>
      <c r="B66" s="27">
        <v>46044</v>
      </c>
      <c r="C66" s="16" t="s">
        <v>39</v>
      </c>
      <c r="D66" s="35" t="s">
        <v>129</v>
      </c>
      <c r="E66" s="35" t="s">
        <v>130</v>
      </c>
      <c r="F66" s="19" t="s">
        <v>42</v>
      </c>
      <c r="G66" s="20">
        <v>9725</v>
      </c>
      <c r="H66" s="21">
        <v>368</v>
      </c>
      <c r="I66" s="22">
        <v>10.34</v>
      </c>
      <c r="J66" s="23">
        <v>2.31</v>
      </c>
      <c r="K66" s="24">
        <v>0.581</v>
      </c>
      <c r="L66" s="31">
        <f t="shared" si="6"/>
        <v>0.601</v>
      </c>
      <c r="M66" s="32">
        <v>14.51</v>
      </c>
      <c r="N66" s="22">
        <v>2.77</v>
      </c>
      <c r="O66" s="26">
        <f t="shared" si="2"/>
        <v>82.72</v>
      </c>
    </row>
    <row r="67" spans="1:16">
      <c r="A67" s="15"/>
      <c r="B67" s="27"/>
      <c r="C67" s="16" t="s">
        <v>39</v>
      </c>
      <c r="D67" s="35" t="s">
        <v>138</v>
      </c>
      <c r="E67" s="35" t="s">
        <v>139</v>
      </c>
      <c r="F67" s="19" t="s">
        <v>43</v>
      </c>
      <c r="G67" s="20">
        <v>21760</v>
      </c>
      <c r="H67" s="21">
        <v>436</v>
      </c>
      <c r="I67" s="22">
        <v>13.07</v>
      </c>
      <c r="J67" s="23">
        <v>3.43</v>
      </c>
      <c r="K67" s="24">
        <v>0.559</v>
      </c>
      <c r="L67" s="31">
        <f t="shared" si="6"/>
        <v>0.579</v>
      </c>
      <c r="M67" s="32">
        <v>11.39</v>
      </c>
      <c r="N67" s="22">
        <v>4.04</v>
      </c>
      <c r="O67" s="26">
        <f t="shared" si="2"/>
        <v>84.57</v>
      </c>
      <c r="P67" t="s">
        <v>140</v>
      </c>
    </row>
    <row r="68" spans="1:16">
      <c r="A68" s="15"/>
      <c r="B68" s="27"/>
      <c r="C68" s="16" t="s">
        <v>34</v>
      </c>
      <c r="D68" s="35" t="s">
        <v>72</v>
      </c>
      <c r="E68" s="35" t="s">
        <v>141</v>
      </c>
      <c r="F68" s="19" t="s">
        <v>46</v>
      </c>
      <c r="G68" s="20">
        <v>18170</v>
      </c>
      <c r="H68" s="21">
        <v>450</v>
      </c>
      <c r="I68" s="22">
        <v>12.6</v>
      </c>
      <c r="J68" s="23">
        <v>2.91</v>
      </c>
      <c r="K68" s="24">
        <v>0.575</v>
      </c>
      <c r="L68" s="31">
        <f t="shared" si="6"/>
        <v>0.595</v>
      </c>
      <c r="M68" s="32">
        <v>13.59</v>
      </c>
      <c r="N68" s="22">
        <v>3.81</v>
      </c>
      <c r="O68" s="26">
        <f t="shared" si="2"/>
        <v>82.6</v>
      </c>
      <c r="P68" t="s">
        <v>142</v>
      </c>
    </row>
    <row r="69" spans="1:16">
      <c r="A69" s="15"/>
      <c r="B69" s="27"/>
      <c r="C69" s="78" t="s">
        <v>48</v>
      </c>
      <c r="D69" s="79" t="s">
        <v>143</v>
      </c>
      <c r="E69" s="80"/>
      <c r="F69" s="81" t="s">
        <v>50</v>
      </c>
      <c r="G69" s="82">
        <v>17230</v>
      </c>
      <c r="H69" s="83">
        <v>452</v>
      </c>
      <c r="I69" s="84">
        <v>11.67</v>
      </c>
      <c r="J69" s="85">
        <v>3.37</v>
      </c>
      <c r="K69" s="86">
        <v>0.578</v>
      </c>
      <c r="L69" s="87">
        <f t="shared" si="6"/>
        <v>0.598</v>
      </c>
      <c r="M69" s="88">
        <v>13.73</v>
      </c>
      <c r="N69" s="84">
        <v>2.36</v>
      </c>
      <c r="O69" s="89">
        <f t="shared" si="2"/>
        <v>83.91</v>
      </c>
      <c r="P69" s="112" t="s">
        <v>51</v>
      </c>
    </row>
    <row r="70" spans="1:16">
      <c r="A70" s="15"/>
      <c r="B70" s="27"/>
      <c r="C70" s="16" t="s">
        <v>71</v>
      </c>
      <c r="D70" s="35" t="s">
        <v>98</v>
      </c>
      <c r="E70" s="35" t="s">
        <v>99</v>
      </c>
      <c r="F70" s="19" t="s">
        <v>90</v>
      </c>
      <c r="G70" s="20">
        <v>19510</v>
      </c>
      <c r="H70" s="21">
        <v>426</v>
      </c>
      <c r="I70" s="22">
        <v>17.74</v>
      </c>
      <c r="J70" s="23">
        <v>2.61</v>
      </c>
      <c r="K70" s="24">
        <v>0.571</v>
      </c>
      <c r="L70" s="31">
        <f t="shared" si="6"/>
        <v>0.591</v>
      </c>
      <c r="M70" s="32">
        <v>11.99</v>
      </c>
      <c r="N70" s="22">
        <v>3.44</v>
      </c>
      <c r="O70" s="26">
        <f t="shared" si="2"/>
        <v>84.57</v>
      </c>
      <c r="P70" t="s">
        <v>144</v>
      </c>
    </row>
    <row r="71" spans="1:16">
      <c r="A71" s="15">
        <v>46045</v>
      </c>
      <c r="B71" s="27">
        <v>46045</v>
      </c>
      <c r="C71" s="16" t="s">
        <v>78</v>
      </c>
      <c r="D71" s="35" t="s">
        <v>138</v>
      </c>
      <c r="E71" s="35" t="s">
        <v>139</v>
      </c>
      <c r="F71" s="19" t="s">
        <v>145</v>
      </c>
      <c r="G71" s="20">
        <v>6555</v>
      </c>
      <c r="H71" s="21">
        <v>178</v>
      </c>
      <c r="I71" s="22">
        <v>9.34</v>
      </c>
      <c r="J71" s="23">
        <v>3.61</v>
      </c>
      <c r="K71" s="24">
        <v>0.565</v>
      </c>
      <c r="L71" s="31">
        <f t="shared" ref="L71:L89" si="7">K71+0.02</f>
        <v>0.585</v>
      </c>
      <c r="M71" s="32">
        <v>14.98</v>
      </c>
      <c r="N71" s="22">
        <v>3.26</v>
      </c>
      <c r="O71" s="26">
        <f t="shared" si="2"/>
        <v>81.76</v>
      </c>
    </row>
    <row r="72" spans="1:16">
      <c r="A72" s="15"/>
      <c r="B72" s="27"/>
      <c r="C72" s="16" t="s">
        <v>34</v>
      </c>
      <c r="D72" s="17" t="s">
        <v>131</v>
      </c>
      <c r="E72" s="35" t="s">
        <v>132</v>
      </c>
      <c r="F72" s="19" t="s">
        <v>50</v>
      </c>
      <c r="G72" s="20">
        <v>17759</v>
      </c>
      <c r="H72" s="21">
        <v>425</v>
      </c>
      <c r="I72" s="22">
        <v>12.2</v>
      </c>
      <c r="J72" s="23">
        <v>2.31</v>
      </c>
      <c r="K72" s="24">
        <v>0.578</v>
      </c>
      <c r="L72" s="31">
        <f t="shared" si="7"/>
        <v>0.598</v>
      </c>
      <c r="M72" s="32">
        <v>13.67</v>
      </c>
      <c r="N72" s="22">
        <v>3.09</v>
      </c>
      <c r="O72" s="26">
        <f t="shared" si="2"/>
        <v>83.24</v>
      </c>
      <c r="P72" t="s">
        <v>146</v>
      </c>
    </row>
    <row r="73" spans="1:16">
      <c r="A73" s="15"/>
      <c r="B73" s="27"/>
      <c r="C73" s="16" t="s">
        <v>34</v>
      </c>
      <c r="D73" s="35" t="s">
        <v>72</v>
      </c>
      <c r="E73" s="35" t="s">
        <v>141</v>
      </c>
      <c r="F73" s="19" t="s">
        <v>147</v>
      </c>
      <c r="G73" s="20">
        <v>1708</v>
      </c>
      <c r="H73" s="21">
        <v>30</v>
      </c>
      <c r="I73" s="22">
        <v>12.67</v>
      </c>
      <c r="J73" s="23">
        <v>2.16</v>
      </c>
      <c r="K73" s="24">
        <v>0.571</v>
      </c>
      <c r="L73" s="31">
        <f t="shared" si="7"/>
        <v>0.591</v>
      </c>
      <c r="M73" s="32">
        <v>11.51</v>
      </c>
      <c r="N73" s="22">
        <v>3.84</v>
      </c>
      <c r="O73" s="26">
        <f t="shared" si="2"/>
        <v>84.65</v>
      </c>
      <c r="P73" t="s">
        <v>148</v>
      </c>
    </row>
    <row r="74" spans="1:16">
      <c r="A74" s="15"/>
      <c r="B74" s="27"/>
      <c r="C74" s="16" t="s">
        <v>149</v>
      </c>
      <c r="D74" s="35" t="s">
        <v>113</v>
      </c>
      <c r="E74" s="35" t="s">
        <v>114</v>
      </c>
      <c r="F74" s="19" t="s">
        <v>150</v>
      </c>
      <c r="G74" s="20">
        <v>4453</v>
      </c>
      <c r="H74" s="21">
        <v>116</v>
      </c>
      <c r="I74" s="22">
        <v>12.94</v>
      </c>
      <c r="J74" s="23">
        <v>2.27</v>
      </c>
      <c r="K74" s="24">
        <v>0.585</v>
      </c>
      <c r="L74" s="31">
        <f t="shared" si="7"/>
        <v>0.605</v>
      </c>
      <c r="M74" s="32">
        <v>15.41</v>
      </c>
      <c r="N74" s="22">
        <v>3.4</v>
      </c>
      <c r="O74" s="26">
        <f t="shared" si="2"/>
        <v>81.19</v>
      </c>
      <c r="P74" t="s">
        <v>151</v>
      </c>
    </row>
    <row r="75" spans="1:16">
      <c r="A75" s="15"/>
      <c r="B75" s="27"/>
      <c r="C75" s="78" t="s">
        <v>48</v>
      </c>
      <c r="D75" s="79" t="s">
        <v>152</v>
      </c>
      <c r="E75" s="80"/>
      <c r="F75" s="81" t="s">
        <v>46</v>
      </c>
      <c r="G75" s="82">
        <v>17020</v>
      </c>
      <c r="H75" s="83">
        <v>465</v>
      </c>
      <c r="I75" s="84">
        <v>11.74</v>
      </c>
      <c r="J75" s="85">
        <v>3.14</v>
      </c>
      <c r="K75" s="86">
        <v>0.575</v>
      </c>
      <c r="L75" s="87">
        <f t="shared" si="7"/>
        <v>0.595</v>
      </c>
      <c r="M75" s="88">
        <v>13.54</v>
      </c>
      <c r="N75" s="84">
        <v>2.58</v>
      </c>
      <c r="O75" s="89">
        <f t="shared" si="2"/>
        <v>83.88</v>
      </c>
      <c r="P75" s="112" t="s">
        <v>51</v>
      </c>
    </row>
    <row r="76" spans="1:16">
      <c r="A76" s="15"/>
      <c r="B76" s="27"/>
      <c r="C76" s="16" t="s">
        <v>39</v>
      </c>
      <c r="D76" s="35" t="s">
        <v>138</v>
      </c>
      <c r="E76" s="35" t="s">
        <v>139</v>
      </c>
      <c r="F76" s="19" t="s">
        <v>43</v>
      </c>
      <c r="G76" s="20">
        <v>21150</v>
      </c>
      <c r="H76" s="21">
        <v>585</v>
      </c>
      <c r="I76" s="22">
        <v>10.47</v>
      </c>
      <c r="J76" s="23">
        <v>3.18</v>
      </c>
      <c r="K76" s="24">
        <v>0.568</v>
      </c>
      <c r="L76" s="31">
        <f t="shared" si="7"/>
        <v>0.588</v>
      </c>
      <c r="M76" s="32">
        <v>14.04</v>
      </c>
      <c r="N76" s="22">
        <v>3.49</v>
      </c>
      <c r="O76" s="26">
        <f t="shared" si="2"/>
        <v>82.47</v>
      </c>
    </row>
    <row r="77" spans="1:16">
      <c r="A77" s="15"/>
      <c r="B77" s="27"/>
      <c r="C77" s="16" t="s">
        <v>39</v>
      </c>
      <c r="D77" s="35" t="s">
        <v>35</v>
      </c>
      <c r="E77" s="35" t="s">
        <v>136</v>
      </c>
      <c r="F77" s="19" t="s">
        <v>42</v>
      </c>
      <c r="G77" s="20">
        <v>11761</v>
      </c>
      <c r="H77" s="21">
        <v>335</v>
      </c>
      <c r="I77" s="22">
        <v>12.87</v>
      </c>
      <c r="J77" s="23">
        <v>3.78</v>
      </c>
      <c r="K77" s="24">
        <v>0.581</v>
      </c>
      <c r="L77" s="31">
        <f t="shared" si="7"/>
        <v>0.601</v>
      </c>
      <c r="M77" s="32">
        <v>10.38</v>
      </c>
      <c r="N77" s="22">
        <v>12.92</v>
      </c>
      <c r="O77" s="26">
        <f t="shared" si="2"/>
        <v>76.7</v>
      </c>
      <c r="P77" t="s">
        <v>153</v>
      </c>
    </row>
    <row r="78" spans="1:16">
      <c r="A78" s="15">
        <v>46046</v>
      </c>
      <c r="B78" s="27">
        <v>46046</v>
      </c>
      <c r="C78" s="16" t="s">
        <v>78</v>
      </c>
      <c r="D78" s="35" t="s">
        <v>154</v>
      </c>
      <c r="E78" s="35" t="s">
        <v>155</v>
      </c>
      <c r="F78" s="19" t="s">
        <v>145</v>
      </c>
      <c r="G78" s="20">
        <v>6725</v>
      </c>
      <c r="H78" s="21">
        <v>173</v>
      </c>
      <c r="I78" s="22">
        <v>9.74</v>
      </c>
      <c r="J78" s="23">
        <v>3.8</v>
      </c>
      <c r="K78" s="24">
        <v>0.559</v>
      </c>
      <c r="L78" s="31">
        <f t="shared" si="7"/>
        <v>0.579</v>
      </c>
      <c r="M78" s="32">
        <v>13.61</v>
      </c>
      <c r="N78" s="22">
        <v>2.47</v>
      </c>
      <c r="O78" s="26">
        <f t="shared" si="2"/>
        <v>83.92</v>
      </c>
    </row>
    <row r="79" spans="1:16">
      <c r="A79" s="15"/>
      <c r="B79" s="27"/>
      <c r="C79" s="16" t="s">
        <v>39</v>
      </c>
      <c r="D79" s="35" t="s">
        <v>138</v>
      </c>
      <c r="E79" s="35" t="s">
        <v>139</v>
      </c>
      <c r="F79" s="19" t="s">
        <v>42</v>
      </c>
      <c r="G79" s="20">
        <v>9755</v>
      </c>
      <c r="H79" s="21">
        <v>335</v>
      </c>
      <c r="I79" s="22">
        <v>9.54</v>
      </c>
      <c r="J79" s="23">
        <v>3.12</v>
      </c>
      <c r="K79" s="24">
        <v>0.585</v>
      </c>
      <c r="L79" s="31">
        <f t="shared" si="7"/>
        <v>0.605</v>
      </c>
      <c r="M79" s="32">
        <v>12.98</v>
      </c>
      <c r="N79" s="22">
        <v>2.81</v>
      </c>
      <c r="O79" s="26">
        <f t="shared" si="2"/>
        <v>84.21</v>
      </c>
    </row>
    <row r="80" spans="1:16">
      <c r="A80" s="15">
        <v>46048</v>
      </c>
      <c r="B80" s="27">
        <v>46048</v>
      </c>
      <c r="C80" s="16" t="s">
        <v>34</v>
      </c>
      <c r="D80" s="35" t="s">
        <v>72</v>
      </c>
      <c r="E80" s="35" t="s">
        <v>141</v>
      </c>
      <c r="F80" s="19" t="s">
        <v>50</v>
      </c>
      <c r="G80" s="20">
        <v>17480</v>
      </c>
      <c r="H80" s="21">
        <v>453</v>
      </c>
      <c r="I80" s="22">
        <v>11.87</v>
      </c>
      <c r="J80" s="23">
        <v>2.43</v>
      </c>
      <c r="K80" s="24">
        <v>0.578</v>
      </c>
      <c r="L80" s="31">
        <f t="shared" si="7"/>
        <v>0.598</v>
      </c>
      <c r="M80" s="32">
        <v>14.4</v>
      </c>
      <c r="N80" s="22">
        <v>3.9</v>
      </c>
      <c r="O80" s="26">
        <f t="shared" si="2"/>
        <v>81.7</v>
      </c>
    </row>
    <row r="81" spans="1:16">
      <c r="A81" s="15"/>
      <c r="B81" s="27"/>
      <c r="C81" s="16" t="s">
        <v>53</v>
      </c>
      <c r="D81" s="35" t="s">
        <v>156</v>
      </c>
      <c r="E81" s="35" t="s">
        <v>157</v>
      </c>
      <c r="F81" s="19" t="s">
        <v>56</v>
      </c>
      <c r="G81" s="20">
        <v>25590</v>
      </c>
      <c r="H81" s="21">
        <v>536</v>
      </c>
      <c r="I81" s="22">
        <v>11.94</v>
      </c>
      <c r="J81" s="23">
        <v>2.73</v>
      </c>
      <c r="K81" s="24">
        <v>0.578</v>
      </c>
      <c r="L81" s="31">
        <f t="shared" si="7"/>
        <v>0.598</v>
      </c>
      <c r="M81" s="32">
        <v>12.76</v>
      </c>
      <c r="N81" s="22">
        <v>2.54</v>
      </c>
      <c r="O81" s="26">
        <f t="shared" si="2"/>
        <v>84.7</v>
      </c>
    </row>
    <row r="82" spans="1:16">
      <c r="A82" s="15"/>
      <c r="B82" s="27"/>
      <c r="C82" t="s">
        <v>63</v>
      </c>
      <c r="D82" s="35" t="s">
        <v>156</v>
      </c>
      <c r="E82" s="35" t="s">
        <v>157</v>
      </c>
      <c r="F82" s="19" t="s">
        <v>65</v>
      </c>
      <c r="G82" s="20">
        <v>15860</v>
      </c>
      <c r="H82" s="21">
        <v>459</v>
      </c>
      <c r="I82" s="22">
        <v>11.54</v>
      </c>
      <c r="J82" s="23">
        <v>2.68</v>
      </c>
      <c r="K82" s="24">
        <v>0.581</v>
      </c>
      <c r="L82" s="31">
        <f t="shared" si="7"/>
        <v>0.601</v>
      </c>
      <c r="M82" s="32">
        <v>12.52</v>
      </c>
      <c r="N82" s="22">
        <v>3.36</v>
      </c>
      <c r="O82" s="26">
        <f t="shared" ref="O82:O105" si="8">100-M82-N82</f>
        <v>84.12</v>
      </c>
    </row>
    <row r="83" spans="1:16">
      <c r="A83" s="15"/>
      <c r="B83" s="27"/>
      <c r="C83" s="16" t="s">
        <v>39</v>
      </c>
      <c r="D83" s="35" t="s">
        <v>158</v>
      </c>
      <c r="E83" s="35" t="s">
        <v>155</v>
      </c>
      <c r="F83" s="19" t="s">
        <v>42</v>
      </c>
      <c r="G83" s="20">
        <v>12245</v>
      </c>
      <c r="H83" s="21">
        <v>333</v>
      </c>
      <c r="I83" s="22">
        <v>10.07</v>
      </c>
      <c r="J83" s="23">
        <v>3.71</v>
      </c>
      <c r="K83" s="24">
        <v>0.585</v>
      </c>
      <c r="L83" s="31">
        <f t="shared" si="7"/>
        <v>0.605</v>
      </c>
      <c r="M83" s="32">
        <v>13.95</v>
      </c>
      <c r="N83" s="22">
        <v>3.28</v>
      </c>
      <c r="O83" s="26">
        <f t="shared" si="8"/>
        <v>82.77</v>
      </c>
    </row>
    <row r="84" spans="1:16">
      <c r="A84" s="15"/>
      <c r="B84" s="27"/>
      <c r="C84" s="16" t="s">
        <v>71</v>
      </c>
      <c r="D84" s="35" t="s">
        <v>98</v>
      </c>
      <c r="E84" s="35" t="s">
        <v>99</v>
      </c>
      <c r="F84" s="19" t="s">
        <v>74</v>
      </c>
      <c r="G84" s="20">
        <v>21179</v>
      </c>
      <c r="H84" s="21">
        <v>436</v>
      </c>
      <c r="I84" s="22">
        <v>17.87</v>
      </c>
      <c r="J84" s="23">
        <v>2.61</v>
      </c>
      <c r="K84" s="24">
        <v>0.575</v>
      </c>
      <c r="L84" s="31">
        <f t="shared" si="7"/>
        <v>0.595</v>
      </c>
      <c r="M84" s="32">
        <v>12.24</v>
      </c>
      <c r="N84" s="22">
        <v>3.4</v>
      </c>
      <c r="O84" s="26">
        <f t="shared" si="8"/>
        <v>84.36</v>
      </c>
      <c r="P84" t="s">
        <v>159</v>
      </c>
    </row>
    <row r="85" spans="1:16">
      <c r="A85" s="15"/>
      <c r="B85" s="27"/>
      <c r="C85" s="16" t="s">
        <v>78</v>
      </c>
      <c r="D85" s="35" t="s">
        <v>158</v>
      </c>
      <c r="E85" s="35" t="s">
        <v>155</v>
      </c>
      <c r="F85" s="19" t="s">
        <v>145</v>
      </c>
      <c r="G85" s="20">
        <v>7360</v>
      </c>
      <c r="H85" s="21">
        <v>184</v>
      </c>
      <c r="I85" s="22">
        <v>11.07</v>
      </c>
      <c r="J85" s="23">
        <v>3.81</v>
      </c>
      <c r="K85" s="24">
        <v>0.562</v>
      </c>
      <c r="L85" s="31">
        <f t="shared" si="7"/>
        <v>0.582</v>
      </c>
      <c r="M85" s="32">
        <v>13.39</v>
      </c>
      <c r="N85" s="22">
        <v>3.85</v>
      </c>
      <c r="O85" s="26">
        <f t="shared" si="8"/>
        <v>82.76</v>
      </c>
    </row>
    <row r="86" spans="1:16">
      <c r="A86" s="15">
        <v>46049</v>
      </c>
      <c r="B86" s="27">
        <v>46049</v>
      </c>
      <c r="C86" s="16" t="s">
        <v>34</v>
      </c>
      <c r="D86" s="35" t="s">
        <v>72</v>
      </c>
      <c r="E86" s="35" t="s">
        <v>141</v>
      </c>
      <c r="F86" s="19" t="s">
        <v>46</v>
      </c>
      <c r="G86" s="20">
        <v>16750</v>
      </c>
      <c r="H86" s="21">
        <v>432</v>
      </c>
      <c r="I86" s="22">
        <v>11.47</v>
      </c>
      <c r="J86" s="23">
        <v>2.61</v>
      </c>
      <c r="K86" s="24">
        <v>0.575</v>
      </c>
      <c r="L86" s="31">
        <f t="shared" si="7"/>
        <v>0.595</v>
      </c>
      <c r="M86" s="32">
        <v>13.36</v>
      </c>
      <c r="N86" s="22">
        <v>3.74</v>
      </c>
      <c r="O86" s="26">
        <f t="shared" si="8"/>
        <v>82.9</v>
      </c>
    </row>
    <row r="87" spans="1:16">
      <c r="A87" s="15"/>
      <c r="B87" s="27"/>
      <c r="C87" s="78" t="s">
        <v>48</v>
      </c>
      <c r="D87" s="79" t="s">
        <v>160</v>
      </c>
      <c r="E87" s="80"/>
      <c r="F87" s="81" t="s">
        <v>50</v>
      </c>
      <c r="G87" s="82">
        <v>17450</v>
      </c>
      <c r="H87" s="83">
        <v>469</v>
      </c>
      <c r="I87" s="84">
        <v>11.8</v>
      </c>
      <c r="J87" s="85">
        <v>3.18</v>
      </c>
      <c r="K87" s="86">
        <v>0.568</v>
      </c>
      <c r="L87" s="87">
        <f t="shared" si="7"/>
        <v>0.588</v>
      </c>
      <c r="M87" s="88">
        <v>14.13</v>
      </c>
      <c r="N87" s="84">
        <v>2.52</v>
      </c>
      <c r="O87" s="89">
        <f t="shared" si="8"/>
        <v>83.35</v>
      </c>
      <c r="P87" s="112" t="s">
        <v>51</v>
      </c>
    </row>
    <row r="88" spans="1:16">
      <c r="A88" s="15"/>
      <c r="B88" s="27"/>
      <c r="C88" s="16" t="s">
        <v>83</v>
      </c>
      <c r="D88" s="35" t="s">
        <v>156</v>
      </c>
      <c r="E88" s="35" t="s">
        <v>157</v>
      </c>
      <c r="F88" s="19" t="s">
        <v>86</v>
      </c>
      <c r="G88" s="20">
        <v>5905</v>
      </c>
      <c r="H88" s="21">
        <v>170</v>
      </c>
      <c r="I88" s="22">
        <v>12</v>
      </c>
      <c r="J88" s="23">
        <v>2.18</v>
      </c>
      <c r="K88" s="24">
        <v>0.578</v>
      </c>
      <c r="L88" s="31">
        <f t="shared" si="7"/>
        <v>0.598</v>
      </c>
      <c r="M88" s="32">
        <v>14.71</v>
      </c>
      <c r="N88" s="22">
        <v>2.42</v>
      </c>
      <c r="O88" s="26">
        <f t="shared" si="8"/>
        <v>82.87</v>
      </c>
    </row>
    <row r="89" spans="1:16">
      <c r="A89" s="15"/>
      <c r="B89" s="27"/>
      <c r="C89" s="16" t="s">
        <v>39</v>
      </c>
      <c r="D89" s="35" t="s">
        <v>158</v>
      </c>
      <c r="E89" s="35" t="s">
        <v>155</v>
      </c>
      <c r="F89" s="19" t="s">
        <v>42</v>
      </c>
      <c r="G89" s="20">
        <v>12565</v>
      </c>
      <c r="H89" s="21">
        <v>312</v>
      </c>
      <c r="I89" s="22">
        <v>11.74</v>
      </c>
      <c r="J89" s="23">
        <v>3.49</v>
      </c>
      <c r="K89" s="24">
        <v>0.565</v>
      </c>
      <c r="L89" s="31">
        <f t="shared" si="7"/>
        <v>0.585</v>
      </c>
      <c r="M89" s="32">
        <v>12.27</v>
      </c>
      <c r="N89" s="22">
        <v>3.53</v>
      </c>
      <c r="O89" s="26">
        <f t="shared" si="8"/>
        <v>84.2</v>
      </c>
    </row>
    <row r="90" spans="1:16">
      <c r="A90" s="15"/>
      <c r="B90" s="27"/>
      <c r="C90" s="16" t="s">
        <v>39</v>
      </c>
      <c r="D90" s="35" t="s">
        <v>158</v>
      </c>
      <c r="E90" s="35" t="s">
        <v>155</v>
      </c>
      <c r="F90" s="19" t="s">
        <v>43</v>
      </c>
      <c r="G90" s="20">
        <v>22655</v>
      </c>
      <c r="H90" s="21">
        <v>543</v>
      </c>
      <c r="I90" s="22">
        <v>11.27</v>
      </c>
      <c r="J90" s="23">
        <v>3.62</v>
      </c>
      <c r="K90" s="24">
        <v>0.559</v>
      </c>
      <c r="L90" s="31">
        <f t="shared" ref="L90:L103" si="9">K90+0.02</f>
        <v>0.579</v>
      </c>
      <c r="M90" s="32">
        <v>12.71</v>
      </c>
      <c r="N90" s="22">
        <v>4.08</v>
      </c>
      <c r="O90" s="26">
        <f t="shared" si="8"/>
        <v>83.21</v>
      </c>
    </row>
    <row r="91" spans="1:16">
      <c r="A91" s="15">
        <v>46050</v>
      </c>
      <c r="B91" s="27">
        <v>46050</v>
      </c>
      <c r="C91" s="16" t="s">
        <v>34</v>
      </c>
      <c r="D91" s="35" t="s">
        <v>161</v>
      </c>
      <c r="E91" s="35" t="s">
        <v>162</v>
      </c>
      <c r="F91" s="19" t="s">
        <v>46</v>
      </c>
      <c r="G91" s="20">
        <v>18145</v>
      </c>
      <c r="H91" s="21">
        <v>444</v>
      </c>
      <c r="I91" s="22">
        <v>11.74</v>
      </c>
      <c r="J91" s="23">
        <v>2.73</v>
      </c>
      <c r="K91" s="24">
        <v>0.575</v>
      </c>
      <c r="L91" s="31">
        <f t="shared" si="9"/>
        <v>0.595</v>
      </c>
      <c r="M91" s="32">
        <v>12.14</v>
      </c>
      <c r="N91" s="22">
        <v>3.8</v>
      </c>
      <c r="O91" s="26">
        <f t="shared" si="8"/>
        <v>84.06</v>
      </c>
    </row>
    <row r="92" spans="1:16">
      <c r="A92" s="15"/>
      <c r="B92" s="27"/>
      <c r="C92" s="16" t="s">
        <v>58</v>
      </c>
      <c r="D92" s="35" t="s">
        <v>108</v>
      </c>
      <c r="E92" s="28" t="s">
        <v>109</v>
      </c>
      <c r="F92" s="19" t="s">
        <v>115</v>
      </c>
      <c r="G92" s="20">
        <v>7245</v>
      </c>
      <c r="H92" s="21">
        <v>132</v>
      </c>
      <c r="I92" s="22">
        <v>11.94</v>
      </c>
      <c r="J92" s="23">
        <v>2.81</v>
      </c>
      <c r="K92" s="24">
        <v>0.581</v>
      </c>
      <c r="L92" s="31">
        <f t="shared" si="9"/>
        <v>0.601</v>
      </c>
      <c r="M92" s="32">
        <v>14.88</v>
      </c>
      <c r="N92" s="22">
        <v>3.14</v>
      </c>
      <c r="O92" s="26">
        <f t="shared" si="8"/>
        <v>81.98</v>
      </c>
    </row>
    <row r="93" spans="1:16">
      <c r="A93" s="15"/>
      <c r="B93" s="27"/>
      <c r="C93" s="16" t="s">
        <v>78</v>
      </c>
      <c r="D93" s="28" t="s">
        <v>163</v>
      </c>
      <c r="E93" s="28" t="s">
        <v>164</v>
      </c>
      <c r="F93" s="19" t="s">
        <v>145</v>
      </c>
      <c r="G93" s="20">
        <v>6320</v>
      </c>
      <c r="H93" s="21">
        <v>190</v>
      </c>
      <c r="I93" s="22">
        <v>9.74</v>
      </c>
      <c r="J93" s="23">
        <v>3.59</v>
      </c>
      <c r="K93" s="24">
        <v>0.562</v>
      </c>
      <c r="L93" s="31">
        <f t="shared" si="9"/>
        <v>0.582</v>
      </c>
      <c r="M93" s="32">
        <v>12.78</v>
      </c>
      <c r="N93" s="22">
        <v>2.66</v>
      </c>
      <c r="O93" s="26">
        <f t="shared" si="8"/>
        <v>84.56</v>
      </c>
    </row>
    <row r="94" spans="1:16">
      <c r="A94" s="15">
        <v>46051</v>
      </c>
      <c r="B94" s="27">
        <v>46051</v>
      </c>
      <c r="C94" s="16" t="s">
        <v>39</v>
      </c>
      <c r="D94" s="28" t="s">
        <v>163</v>
      </c>
      <c r="E94" s="28" t="s">
        <v>164</v>
      </c>
      <c r="F94" s="19" t="s">
        <v>42</v>
      </c>
      <c r="G94" s="20">
        <v>11434</v>
      </c>
      <c r="H94" s="21">
        <v>375</v>
      </c>
      <c r="I94" s="22">
        <v>13.6</v>
      </c>
      <c r="J94" s="23">
        <v>3.6</v>
      </c>
      <c r="K94" s="24">
        <v>0.562</v>
      </c>
      <c r="L94" s="31">
        <f t="shared" si="9"/>
        <v>0.582</v>
      </c>
      <c r="M94" s="32">
        <v>11.78</v>
      </c>
      <c r="N94" s="22">
        <v>4.66</v>
      </c>
      <c r="O94" s="26">
        <f t="shared" si="8"/>
        <v>83.56</v>
      </c>
      <c r="P94" t="s">
        <v>165</v>
      </c>
    </row>
    <row r="95" spans="1:16">
      <c r="A95" s="15"/>
      <c r="B95" s="27"/>
      <c r="C95" s="16" t="s">
        <v>34</v>
      </c>
      <c r="D95" s="35" t="s">
        <v>161</v>
      </c>
      <c r="E95" s="35" t="s">
        <v>162</v>
      </c>
      <c r="F95" s="19" t="s">
        <v>46</v>
      </c>
      <c r="G95" s="20">
        <v>17810</v>
      </c>
      <c r="H95" s="21">
        <v>441</v>
      </c>
      <c r="I95" s="22">
        <v>11.27</v>
      </c>
      <c r="J95" s="23">
        <v>2.73</v>
      </c>
      <c r="K95" s="24">
        <v>0.575</v>
      </c>
      <c r="L95" s="31">
        <f t="shared" si="9"/>
        <v>0.595</v>
      </c>
      <c r="M95" s="32">
        <v>13.2</v>
      </c>
      <c r="N95" s="22">
        <v>3.45</v>
      </c>
      <c r="O95" s="26">
        <f t="shared" si="8"/>
        <v>83.35</v>
      </c>
    </row>
    <row r="96" spans="1:16">
      <c r="A96" s="15"/>
      <c r="B96" s="27"/>
      <c r="C96" s="78" t="s">
        <v>48</v>
      </c>
      <c r="D96" s="79" t="s">
        <v>166</v>
      </c>
      <c r="E96" s="80"/>
      <c r="F96" s="81" t="s">
        <v>50</v>
      </c>
      <c r="G96" s="82">
        <v>16887</v>
      </c>
      <c r="H96" s="83">
        <v>449</v>
      </c>
      <c r="I96" s="84">
        <v>12.34</v>
      </c>
      <c r="J96" s="85">
        <v>3.88</v>
      </c>
      <c r="K96" s="86">
        <v>0.571</v>
      </c>
      <c r="L96" s="87">
        <f t="shared" si="9"/>
        <v>0.591</v>
      </c>
      <c r="M96" s="88">
        <v>13.41</v>
      </c>
      <c r="N96" s="84">
        <v>3.68</v>
      </c>
      <c r="O96" s="89">
        <f t="shared" si="8"/>
        <v>82.91</v>
      </c>
      <c r="P96" s="34" t="s">
        <v>167</v>
      </c>
    </row>
    <row r="97" spans="1:15">
      <c r="A97" s="15">
        <v>46052</v>
      </c>
      <c r="B97" s="27">
        <v>46052</v>
      </c>
      <c r="C97" s="16" t="s">
        <v>39</v>
      </c>
      <c r="D97" s="28" t="s">
        <v>163</v>
      </c>
      <c r="E97" s="28" t="s">
        <v>164</v>
      </c>
      <c r="F97" s="19" t="s">
        <v>50</v>
      </c>
      <c r="G97" s="20">
        <v>18100</v>
      </c>
      <c r="H97" s="21">
        <v>462</v>
      </c>
      <c r="I97" s="22">
        <v>11.34</v>
      </c>
      <c r="J97" s="23">
        <v>3.11</v>
      </c>
      <c r="K97" s="24">
        <v>0.578</v>
      </c>
      <c r="L97" s="31">
        <f t="shared" si="9"/>
        <v>0.598</v>
      </c>
      <c r="M97" s="32">
        <v>13.77</v>
      </c>
      <c r="N97" s="22">
        <v>3.5</v>
      </c>
      <c r="O97" s="26">
        <f t="shared" si="8"/>
        <v>82.73</v>
      </c>
    </row>
    <row r="98" spans="1:15">
      <c r="A98" s="15"/>
      <c r="B98" s="27"/>
      <c r="C98" s="16" t="s">
        <v>78</v>
      </c>
      <c r="D98" s="28" t="s">
        <v>163</v>
      </c>
      <c r="E98" s="28" t="s">
        <v>164</v>
      </c>
      <c r="F98" s="19" t="s">
        <v>168</v>
      </c>
      <c r="G98" s="20">
        <v>9730</v>
      </c>
      <c r="H98" s="21">
        <v>247</v>
      </c>
      <c r="I98" s="22">
        <v>11.47</v>
      </c>
      <c r="J98" s="23">
        <v>3.77</v>
      </c>
      <c r="K98" s="24">
        <v>0.562</v>
      </c>
      <c r="L98" s="31">
        <f t="shared" si="9"/>
        <v>0.582</v>
      </c>
      <c r="M98" s="32">
        <v>12.43</v>
      </c>
      <c r="N98" s="22">
        <v>2.54</v>
      </c>
      <c r="O98" s="26">
        <f t="shared" si="8"/>
        <v>85.03</v>
      </c>
    </row>
    <row r="99" spans="1:15">
      <c r="A99" s="15"/>
      <c r="B99" s="27"/>
      <c r="C99" s="16" t="s">
        <v>83</v>
      </c>
      <c r="D99" s="35" t="s">
        <v>156</v>
      </c>
      <c r="E99" s="35" t="s">
        <v>157</v>
      </c>
      <c r="F99" s="19" t="s">
        <v>86</v>
      </c>
      <c r="G99" s="20">
        <v>5165</v>
      </c>
      <c r="H99" s="21">
        <v>172</v>
      </c>
      <c r="I99" s="22">
        <v>11.94</v>
      </c>
      <c r="J99" s="23">
        <v>2.69</v>
      </c>
      <c r="K99" s="24">
        <v>0.581</v>
      </c>
      <c r="L99" s="31">
        <f t="shared" si="9"/>
        <v>0.601</v>
      </c>
      <c r="M99" s="32">
        <v>15.39</v>
      </c>
      <c r="N99" s="22">
        <v>2.99</v>
      </c>
      <c r="O99" s="26">
        <f t="shared" si="8"/>
        <v>81.62</v>
      </c>
    </row>
    <row r="100" spans="1:15">
      <c r="A100" s="15">
        <v>46053</v>
      </c>
      <c r="B100" s="27">
        <v>46053</v>
      </c>
      <c r="C100" s="16" t="s">
        <v>34</v>
      </c>
      <c r="D100" s="35" t="s">
        <v>161</v>
      </c>
      <c r="E100" s="35" t="s">
        <v>162</v>
      </c>
      <c r="F100" s="19" t="s">
        <v>46</v>
      </c>
      <c r="G100" s="20">
        <v>18870</v>
      </c>
      <c r="H100" s="21">
        <v>459</v>
      </c>
      <c r="I100" s="22">
        <v>11.67</v>
      </c>
      <c r="J100" s="23">
        <v>2.61</v>
      </c>
      <c r="K100" s="24">
        <v>0.575</v>
      </c>
      <c r="L100" s="31">
        <f t="shared" si="9"/>
        <v>0.595</v>
      </c>
      <c r="M100" s="32">
        <v>12.66</v>
      </c>
      <c r="N100" s="22">
        <v>2.27</v>
      </c>
      <c r="O100" s="26">
        <f t="shared" si="8"/>
        <v>85.07</v>
      </c>
    </row>
    <row r="101" spans="1:15">
      <c r="A101" s="15"/>
      <c r="B101" s="27"/>
      <c r="C101" s="16" t="s">
        <v>53</v>
      </c>
      <c r="D101" s="35" t="s">
        <v>156</v>
      </c>
      <c r="E101" s="35" t="s">
        <v>157</v>
      </c>
      <c r="F101" s="19" t="s">
        <v>169</v>
      </c>
      <c r="G101" s="20">
        <v>15625</v>
      </c>
      <c r="H101" s="21">
        <v>363</v>
      </c>
      <c r="I101" s="22">
        <v>11.87</v>
      </c>
      <c r="J101" s="23">
        <v>2.44</v>
      </c>
      <c r="K101" s="24">
        <v>0.578</v>
      </c>
      <c r="L101" s="31">
        <f t="shared" si="9"/>
        <v>0.598</v>
      </c>
      <c r="M101" s="32">
        <v>13.27</v>
      </c>
      <c r="N101" s="22">
        <v>2.53</v>
      </c>
      <c r="O101" s="26">
        <f t="shared" si="8"/>
        <v>84.2</v>
      </c>
    </row>
    <row r="102" spans="1:15">
      <c r="A102" s="15"/>
      <c r="B102" s="27"/>
      <c r="C102" s="16" t="s">
        <v>39</v>
      </c>
      <c r="D102" s="28" t="s">
        <v>170</v>
      </c>
      <c r="E102" s="28" t="s">
        <v>171</v>
      </c>
      <c r="F102" s="19" t="s">
        <v>43</v>
      </c>
      <c r="G102" s="20">
        <v>23005</v>
      </c>
      <c r="H102" s="21">
        <v>576</v>
      </c>
      <c r="I102" s="22">
        <v>9.87</v>
      </c>
      <c r="J102" s="23">
        <v>3.18</v>
      </c>
      <c r="K102" s="24">
        <v>0.562</v>
      </c>
      <c r="L102" s="31">
        <f t="shared" si="9"/>
        <v>0.582</v>
      </c>
      <c r="M102" s="32">
        <v>14.2</v>
      </c>
      <c r="N102" s="22">
        <v>3.8</v>
      </c>
      <c r="O102" s="26">
        <f t="shared" si="8"/>
        <v>82</v>
      </c>
    </row>
    <row r="103" spans="1:15">
      <c r="A103" s="15"/>
      <c r="B103" s="27"/>
      <c r="C103" s="16" t="s">
        <v>39</v>
      </c>
      <c r="D103" s="28" t="s">
        <v>163</v>
      </c>
      <c r="E103" s="28" t="s">
        <v>164</v>
      </c>
      <c r="F103" s="19" t="s">
        <v>42</v>
      </c>
      <c r="G103" s="20">
        <v>10650</v>
      </c>
      <c r="H103" s="21">
        <v>338</v>
      </c>
      <c r="I103" s="22">
        <v>10.34</v>
      </c>
      <c r="J103" s="23">
        <v>3.19</v>
      </c>
      <c r="K103" s="24">
        <v>0.581</v>
      </c>
      <c r="L103" s="31">
        <f t="shared" si="9"/>
        <v>0.601</v>
      </c>
      <c r="M103" s="32">
        <v>13.87</v>
      </c>
      <c r="N103" s="22">
        <v>3.47</v>
      </c>
      <c r="O103" s="26">
        <f t="shared" si="8"/>
        <v>82.66</v>
      </c>
    </row>
    <row r="104" spans="1:15">
      <c r="A104" s="15"/>
      <c r="B104" s="27"/>
      <c r="C104" s="16"/>
      <c r="D104" s="17"/>
      <c r="E104" s="35"/>
      <c r="F104" s="19"/>
      <c r="G104" s="20"/>
      <c r="H104" s="21"/>
      <c r="I104" s="22"/>
      <c r="J104" s="23"/>
      <c r="K104" s="24"/>
      <c r="L104" s="43"/>
      <c r="M104" s="32"/>
      <c r="N104" s="22"/>
      <c r="O104" s="26">
        <f t="shared" si="8"/>
        <v>100</v>
      </c>
    </row>
    <row r="105" spans="1:15">
      <c r="A105" s="15"/>
      <c r="B105" s="27"/>
      <c r="C105" s="16"/>
      <c r="D105" s="28"/>
      <c r="E105" s="28"/>
      <c r="F105" s="19"/>
      <c r="G105" s="20"/>
      <c r="H105" s="21"/>
      <c r="I105" s="22"/>
      <c r="J105" s="23"/>
      <c r="K105" s="24"/>
      <c r="L105" s="31"/>
      <c r="M105" s="32"/>
      <c r="N105" s="22"/>
      <c r="O105" s="26">
        <f t="shared" si="8"/>
        <v>100</v>
      </c>
    </row>
    <row r="106" spans="1:15">
      <c r="A106" s="44"/>
      <c r="B106" s="45"/>
      <c r="C106" s="46"/>
      <c r="D106" s="46"/>
      <c r="E106" s="46"/>
      <c r="F106" s="47"/>
      <c r="G106" s="48"/>
      <c r="H106" s="49"/>
      <c r="I106" s="50"/>
      <c r="J106" s="51"/>
      <c r="K106" s="52"/>
      <c r="L106" s="52"/>
      <c r="M106" s="50"/>
      <c r="N106" s="50"/>
      <c r="O106" s="53"/>
    </row>
    <row r="107" ht="15.75" spans="1:15">
      <c r="A107" s="54" t="s">
        <v>172</v>
      </c>
      <c r="B107" s="55"/>
      <c r="C107" s="55"/>
      <c r="D107" s="55"/>
      <c r="E107" s="55"/>
      <c r="F107" s="55"/>
      <c r="G107" s="56">
        <f>SUM(G5:G106)</f>
        <v>1471784</v>
      </c>
      <c r="H107" s="57">
        <f>SUM(H5:H106)</f>
        <v>37224</v>
      </c>
      <c r="I107" s="58">
        <f t="shared" ref="I107:O107" si="10">AVERAGE(I5:I106)</f>
        <v>11.6368367346939</v>
      </c>
      <c r="J107" s="58">
        <f t="shared" si="10"/>
        <v>2.97275510204082</v>
      </c>
      <c r="K107" s="59">
        <f t="shared" si="10"/>
        <v>0.574346938775511</v>
      </c>
      <c r="L107" s="59">
        <f t="shared" si="10"/>
        <v>0.59434693877551</v>
      </c>
      <c r="M107" s="58">
        <f t="shared" si="10"/>
        <v>13.3180612244898</v>
      </c>
      <c r="N107" s="58">
        <f t="shared" si="10"/>
        <v>3.61397959183674</v>
      </c>
      <c r="O107" s="60">
        <f t="shared" si="10"/>
        <v>83.5708910891089</v>
      </c>
    </row>
    <row r="108" spans="1:15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</row>
  </sheetData>
  <mergeCells count="12">
    <mergeCell ref="K4:L4"/>
    <mergeCell ref="D11:E11"/>
    <mergeCell ref="D18:E18"/>
    <mergeCell ref="D28:E28"/>
    <mergeCell ref="D32:E32"/>
    <mergeCell ref="D42:E42"/>
    <mergeCell ref="D54:E54"/>
    <mergeCell ref="D69:E69"/>
    <mergeCell ref="D75:E75"/>
    <mergeCell ref="D87:E87"/>
    <mergeCell ref="D96:E96"/>
    <mergeCell ref="D104:E104"/>
  </mergeCells>
  <pageMargins left="0.75" right="0.75" top="1" bottom="1" header="0.5" footer="0.5"/>
  <pageSetup paperSize="9" scale="77" orientation="portrait"/>
  <headerFooter/>
  <rowBreaks count="1" manualBreakCount="1">
    <brk id="4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1"/>
  <sheetViews>
    <sheetView topLeftCell="A16" workbookViewId="0">
      <selection activeCell="G19" sqref="G19"/>
    </sheetView>
  </sheetViews>
  <sheetFormatPr defaultColWidth="9.14285714285714" defaultRowHeight="15"/>
  <cols>
    <col min="1" max="2" width="10.2857142857143"/>
    <col min="4" max="4" width="9.85714285714286"/>
    <col min="6" max="6" width="10.5714285714286"/>
    <col min="7" max="7" width="11.7142857142857" customWidth="1"/>
  </cols>
  <sheetData>
    <row r="1" ht="16.5" spans="1:24">
      <c r="A1" s="206" t="s">
        <v>173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4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24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24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24">
      <c r="A5" s="15"/>
      <c r="B5" s="27"/>
      <c r="C5" s="16"/>
      <c r="D5" s="76"/>
      <c r="E5" s="35"/>
      <c r="F5" s="19"/>
      <c r="G5" s="20"/>
      <c r="H5" s="21"/>
      <c r="I5" s="22"/>
      <c r="J5" s="23"/>
      <c r="K5" s="24"/>
      <c r="L5" s="25"/>
      <c r="M5" s="22"/>
      <c r="N5" s="22"/>
      <c r="O5" s="26">
        <f>100-M5-N5</f>
        <v>100</v>
      </c>
    </row>
    <row r="6" spans="1:24">
      <c r="A6" s="15">
        <v>46055</v>
      </c>
      <c r="B6" s="15">
        <v>46055</v>
      </c>
      <c r="C6" s="16" t="s">
        <v>34</v>
      </c>
      <c r="D6" s="35" t="s">
        <v>161</v>
      </c>
      <c r="E6" s="35" t="s">
        <v>162</v>
      </c>
      <c r="F6" s="19" t="s">
        <v>50</v>
      </c>
      <c r="G6" s="29">
        <v>17475</v>
      </c>
      <c r="H6" s="21">
        <v>457</v>
      </c>
      <c r="I6" s="22">
        <v>11.34</v>
      </c>
      <c r="J6" s="23">
        <v>2.46</v>
      </c>
      <c r="K6" s="24">
        <v>0.571</v>
      </c>
      <c r="L6" s="31">
        <f t="shared" ref="L6:L69" si="0">K6+0.02</f>
        <v>0.591</v>
      </c>
      <c r="M6" s="32">
        <v>12.57</v>
      </c>
      <c r="N6" s="22">
        <v>2.76</v>
      </c>
      <c r="O6" s="26">
        <f>100-M6-N6</f>
        <v>84.67</v>
      </c>
      <c r="P6" s="33" t="s">
        <v>174</v>
      </c>
    </row>
    <row r="7" spans="1:24">
      <c r="A7" s="15"/>
      <c r="B7" s="27"/>
      <c r="C7" s="179" t="s">
        <v>53</v>
      </c>
      <c r="D7" s="28" t="s">
        <v>44</v>
      </c>
      <c r="E7" s="35" t="s">
        <v>175</v>
      </c>
      <c r="F7" s="179" t="s">
        <v>56</v>
      </c>
      <c r="G7" s="20">
        <v>24790</v>
      </c>
      <c r="H7" s="21">
        <v>563</v>
      </c>
      <c r="I7" s="22">
        <v>12</v>
      </c>
      <c r="J7" s="180">
        <v>2.32</v>
      </c>
      <c r="K7" s="181">
        <v>0.581</v>
      </c>
      <c r="L7" s="31">
        <f t="shared" si="0"/>
        <v>0.601</v>
      </c>
      <c r="M7" s="182">
        <v>13.88</v>
      </c>
      <c r="N7" s="183">
        <v>3.19</v>
      </c>
      <c r="O7" s="26">
        <f>100-M7-N7</f>
        <v>82.93</v>
      </c>
    </row>
    <row r="8" spans="1:24">
      <c r="A8" s="15"/>
      <c r="B8" s="27"/>
      <c r="C8" s="78" t="s">
        <v>48</v>
      </c>
      <c r="D8" s="79" t="s">
        <v>176</v>
      </c>
      <c r="E8" s="80"/>
      <c r="F8" s="81" t="s">
        <v>46</v>
      </c>
      <c r="G8" s="82">
        <v>16480</v>
      </c>
      <c r="H8" s="83">
        <v>443</v>
      </c>
      <c r="I8" s="84">
        <v>10.54</v>
      </c>
      <c r="J8" s="85">
        <v>2.33</v>
      </c>
      <c r="K8" s="86">
        <v>0.581</v>
      </c>
      <c r="L8" s="87">
        <f t="shared" si="0"/>
        <v>0.601</v>
      </c>
      <c r="M8" s="88">
        <v>13.48</v>
      </c>
      <c r="N8" s="84">
        <v>2.52</v>
      </c>
      <c r="O8" s="89">
        <f>100-M8-N8</f>
        <v>84</v>
      </c>
      <c r="P8" s="112" t="s">
        <v>51</v>
      </c>
    </row>
    <row r="9" spans="1:24">
      <c r="A9" s="15"/>
      <c r="B9" s="27"/>
      <c r="C9" s="16" t="s">
        <v>39</v>
      </c>
      <c r="D9" s="28" t="s">
        <v>40</v>
      </c>
      <c r="E9" s="35" t="s">
        <v>177</v>
      </c>
      <c r="F9" s="19" t="s">
        <v>42</v>
      </c>
      <c r="G9" s="20">
        <v>11060</v>
      </c>
      <c r="H9" s="21">
        <v>331</v>
      </c>
      <c r="I9" s="22">
        <v>9.6</v>
      </c>
      <c r="J9" s="23">
        <v>3.27</v>
      </c>
      <c r="K9" s="24">
        <v>0.575</v>
      </c>
      <c r="L9" s="31">
        <f t="shared" si="0"/>
        <v>0.595</v>
      </c>
      <c r="M9" s="32">
        <v>13.57</v>
      </c>
      <c r="N9" s="22">
        <v>2.71</v>
      </c>
      <c r="O9" s="26">
        <f t="shared" ref="O9:O72" si="1">100-M9-N9</f>
        <v>83.72</v>
      </c>
    </row>
    <row r="10" spans="1:24">
      <c r="A10" s="15"/>
      <c r="B10" s="27"/>
      <c r="C10" s="16" t="s">
        <v>39</v>
      </c>
      <c r="D10" s="28" t="s">
        <v>40</v>
      </c>
      <c r="E10" s="35" t="s">
        <v>177</v>
      </c>
      <c r="F10" s="19" t="s">
        <v>178</v>
      </c>
      <c r="G10" s="20">
        <v>10040</v>
      </c>
      <c r="H10" s="21">
        <v>245</v>
      </c>
      <c r="I10" s="22">
        <v>10.07</v>
      </c>
      <c r="J10" s="23">
        <v>3.38</v>
      </c>
      <c r="K10" s="24">
        <v>0.559</v>
      </c>
      <c r="L10" s="31">
        <f t="shared" si="0"/>
        <v>0.579</v>
      </c>
      <c r="M10" s="32">
        <v>11.68</v>
      </c>
      <c r="N10" s="22">
        <v>3.89</v>
      </c>
      <c r="O10" s="26">
        <f t="shared" si="1"/>
        <v>84.43</v>
      </c>
    </row>
    <row r="11" spans="1:24">
      <c r="A11" s="15"/>
      <c r="B11" s="15"/>
      <c r="C11" s="16" t="s">
        <v>39</v>
      </c>
      <c r="D11" s="28" t="s">
        <v>40</v>
      </c>
      <c r="E11" s="35" t="s">
        <v>177</v>
      </c>
      <c r="F11" s="19" t="s">
        <v>179</v>
      </c>
      <c r="G11" s="20">
        <v>20215</v>
      </c>
      <c r="H11" s="21">
        <v>572</v>
      </c>
      <c r="I11" s="22">
        <v>11.47</v>
      </c>
      <c r="J11" s="23">
        <v>3.51</v>
      </c>
      <c r="K11" s="24">
        <v>0.552</v>
      </c>
      <c r="L11" s="31">
        <f t="shared" si="0"/>
        <v>0.572</v>
      </c>
      <c r="M11" s="32">
        <v>14.12</v>
      </c>
      <c r="N11" s="22">
        <v>3.58</v>
      </c>
      <c r="O11" s="26">
        <f t="shared" si="1"/>
        <v>82.3</v>
      </c>
    </row>
    <row r="12" spans="1:24">
      <c r="A12" s="15"/>
      <c r="B12" s="27"/>
      <c r="C12" s="16" t="s">
        <v>39</v>
      </c>
      <c r="D12" s="28" t="s">
        <v>40</v>
      </c>
      <c r="E12" s="35" t="s">
        <v>177</v>
      </c>
      <c r="F12" s="19" t="s">
        <v>180</v>
      </c>
      <c r="G12" s="20">
        <v>4355</v>
      </c>
      <c r="H12" s="21">
        <v>100</v>
      </c>
      <c r="I12" s="22">
        <v>9.14</v>
      </c>
      <c r="J12" s="23">
        <v>3.2</v>
      </c>
      <c r="K12" s="24">
        <v>0.546</v>
      </c>
      <c r="L12" s="31">
        <f t="shared" si="0"/>
        <v>0.566</v>
      </c>
      <c r="M12" s="32">
        <v>14.57</v>
      </c>
      <c r="N12" s="22">
        <v>3.58</v>
      </c>
      <c r="O12" s="26">
        <f t="shared" si="1"/>
        <v>81.85</v>
      </c>
      <c r="P12" s="184"/>
    </row>
    <row r="13" spans="1:24">
      <c r="A13" s="15"/>
      <c r="B13" s="27"/>
      <c r="C13" s="16" t="s">
        <v>181</v>
      </c>
      <c r="D13" s="28" t="s">
        <v>182</v>
      </c>
      <c r="E13" s="35" t="s">
        <v>183</v>
      </c>
      <c r="F13" s="19" t="s">
        <v>184</v>
      </c>
      <c r="G13" s="20">
        <v>30490</v>
      </c>
      <c r="H13" s="21">
        <v>799</v>
      </c>
      <c r="I13" s="22">
        <v>11.2</v>
      </c>
      <c r="J13" s="23">
        <v>3.43</v>
      </c>
      <c r="K13" s="24">
        <v>0.559</v>
      </c>
      <c r="L13" s="31">
        <f t="shared" si="0"/>
        <v>0.579</v>
      </c>
      <c r="M13" s="32">
        <v>11.6</v>
      </c>
      <c r="N13" s="22">
        <v>4.28</v>
      </c>
      <c r="O13" s="26">
        <f t="shared" si="1"/>
        <v>84.12</v>
      </c>
      <c r="X13">
        <f>SUM(G17,G19,G24:G25,G35,)</f>
        <v>65820</v>
      </c>
    </row>
    <row r="14" spans="1:24">
      <c r="A14" s="15">
        <v>46056</v>
      </c>
      <c r="B14" s="27">
        <v>46056</v>
      </c>
      <c r="C14" s="16" t="s">
        <v>34</v>
      </c>
      <c r="D14" s="17" t="s">
        <v>68</v>
      </c>
      <c r="E14" s="35" t="s">
        <v>185</v>
      </c>
      <c r="F14" s="19" t="s">
        <v>46</v>
      </c>
      <c r="G14" s="20">
        <v>18295</v>
      </c>
      <c r="H14" s="21">
        <v>471</v>
      </c>
      <c r="I14" s="22">
        <v>11.4</v>
      </c>
      <c r="J14" s="23">
        <v>2.45</v>
      </c>
      <c r="K14" s="24">
        <v>0.578</v>
      </c>
      <c r="L14" s="31">
        <f t="shared" si="0"/>
        <v>0.598</v>
      </c>
      <c r="M14" s="32">
        <v>12.27</v>
      </c>
      <c r="N14" s="22">
        <v>2.66</v>
      </c>
      <c r="O14" s="26">
        <f t="shared" si="1"/>
        <v>85.07</v>
      </c>
    </row>
    <row r="15" spans="1:24">
      <c r="A15" s="15"/>
      <c r="B15" s="27"/>
      <c r="C15" s="78" t="s">
        <v>48</v>
      </c>
      <c r="D15" s="79" t="s">
        <v>67</v>
      </c>
      <c r="E15" s="80"/>
      <c r="F15" s="81" t="s">
        <v>50</v>
      </c>
      <c r="G15" s="82">
        <v>17480</v>
      </c>
      <c r="H15" s="83">
        <v>459</v>
      </c>
      <c r="I15" s="84">
        <v>11.27</v>
      </c>
      <c r="J15" s="85">
        <v>2.68</v>
      </c>
      <c r="K15" s="86">
        <v>0.575</v>
      </c>
      <c r="L15" s="87">
        <f t="shared" si="0"/>
        <v>0.595</v>
      </c>
      <c r="M15" s="88">
        <v>11.34</v>
      </c>
      <c r="N15" s="84">
        <v>2.73</v>
      </c>
      <c r="O15" s="89">
        <f t="shared" si="1"/>
        <v>85.93</v>
      </c>
      <c r="P15" s="112" t="s">
        <v>51</v>
      </c>
    </row>
    <row r="16" spans="1:24">
      <c r="A16" s="15"/>
      <c r="B16" s="27"/>
      <c r="C16" s="16" t="s">
        <v>39</v>
      </c>
      <c r="D16" s="28" t="s">
        <v>40</v>
      </c>
      <c r="E16" s="35" t="s">
        <v>177</v>
      </c>
      <c r="F16" s="19" t="s">
        <v>42</v>
      </c>
      <c r="G16" s="20">
        <v>10515</v>
      </c>
      <c r="H16" s="21">
        <v>333</v>
      </c>
      <c r="I16" s="22">
        <v>10.2</v>
      </c>
      <c r="J16" s="23">
        <v>3.41</v>
      </c>
      <c r="K16" s="24">
        <v>0.568</v>
      </c>
      <c r="L16" s="31">
        <f t="shared" si="0"/>
        <v>0.588</v>
      </c>
      <c r="M16" s="32">
        <v>12.07</v>
      </c>
      <c r="N16" s="22">
        <v>2.47</v>
      </c>
      <c r="O16" s="26">
        <f t="shared" si="1"/>
        <v>85.46</v>
      </c>
    </row>
    <row r="17" spans="1:19">
      <c r="A17" s="15"/>
      <c r="B17" s="27"/>
      <c r="C17" s="16" t="s">
        <v>39</v>
      </c>
      <c r="D17" s="28" t="s">
        <v>54</v>
      </c>
      <c r="E17" s="28" t="s">
        <v>186</v>
      </c>
      <c r="F17" s="19" t="s">
        <v>43</v>
      </c>
      <c r="G17" s="20">
        <v>21410</v>
      </c>
      <c r="H17" s="21">
        <v>534</v>
      </c>
      <c r="I17" s="22">
        <v>10.34</v>
      </c>
      <c r="J17" s="23">
        <v>3.24</v>
      </c>
      <c r="K17" s="24">
        <v>0.556</v>
      </c>
      <c r="L17" s="31">
        <f t="shared" si="0"/>
        <v>0.576</v>
      </c>
      <c r="M17" s="32">
        <v>13.54</v>
      </c>
      <c r="N17" s="22">
        <v>3.54</v>
      </c>
      <c r="O17" s="26">
        <f t="shared" si="1"/>
        <v>82.92</v>
      </c>
    </row>
    <row r="18" spans="1:19">
      <c r="A18" s="15">
        <v>46057</v>
      </c>
      <c r="B18" s="27">
        <v>46057</v>
      </c>
      <c r="C18" s="185" t="s">
        <v>39</v>
      </c>
      <c r="D18" s="186" t="s">
        <v>76</v>
      </c>
      <c r="E18" s="186" t="s">
        <v>187</v>
      </c>
      <c r="F18" s="19" t="s">
        <v>179</v>
      </c>
      <c r="G18" s="20">
        <v>21333</v>
      </c>
      <c r="H18" s="21">
        <v>540</v>
      </c>
      <c r="I18" s="22">
        <v>9.74</v>
      </c>
      <c r="J18" s="23">
        <v>3.12</v>
      </c>
      <c r="K18" s="24">
        <v>0.565</v>
      </c>
      <c r="L18" s="31">
        <f t="shared" si="0"/>
        <v>0.585</v>
      </c>
      <c r="M18" s="32">
        <v>10.71</v>
      </c>
      <c r="N18" s="22">
        <v>6.42</v>
      </c>
      <c r="O18" s="26">
        <f t="shared" si="1"/>
        <v>82.87</v>
      </c>
      <c r="P18" t="s">
        <v>188</v>
      </c>
    </row>
    <row r="19" spans="1:19">
      <c r="A19" s="15"/>
      <c r="B19" s="27"/>
      <c r="C19" s="185" t="s">
        <v>39</v>
      </c>
      <c r="D19" s="186" t="s">
        <v>54</v>
      </c>
      <c r="E19" s="186" t="s">
        <v>186</v>
      </c>
      <c r="F19" s="19" t="s">
        <v>42</v>
      </c>
      <c r="G19" s="20">
        <v>11495</v>
      </c>
      <c r="H19" s="21">
        <v>334</v>
      </c>
      <c r="I19" s="22">
        <v>9.94</v>
      </c>
      <c r="J19" s="23">
        <v>3.17</v>
      </c>
      <c r="K19" s="24">
        <v>0.578</v>
      </c>
      <c r="L19" s="31">
        <f t="shared" si="0"/>
        <v>0.598</v>
      </c>
      <c r="M19" s="32">
        <v>13.65</v>
      </c>
      <c r="N19" s="22">
        <v>3.57</v>
      </c>
      <c r="O19" s="26">
        <f t="shared" si="1"/>
        <v>82.78</v>
      </c>
    </row>
    <row r="20" spans="1:19">
      <c r="A20" s="15"/>
      <c r="B20" s="27"/>
      <c r="C20" s="16" t="s">
        <v>34</v>
      </c>
      <c r="D20" s="17" t="s">
        <v>68</v>
      </c>
      <c r="E20" s="35" t="s">
        <v>185</v>
      </c>
      <c r="F20" s="19" t="s">
        <v>46</v>
      </c>
      <c r="G20" s="20">
        <v>18910</v>
      </c>
      <c r="H20" s="21">
        <v>457</v>
      </c>
      <c r="I20" s="22">
        <v>11.4</v>
      </c>
      <c r="J20" s="23">
        <v>2.15</v>
      </c>
      <c r="K20" s="24">
        <v>0.578</v>
      </c>
      <c r="L20" s="31">
        <f t="shared" si="0"/>
        <v>0.598</v>
      </c>
      <c r="M20" s="32">
        <v>12.48</v>
      </c>
      <c r="N20" s="22">
        <v>3.44</v>
      </c>
      <c r="O20" s="26">
        <f t="shared" si="1"/>
        <v>84.08</v>
      </c>
    </row>
    <row r="21" spans="1:19">
      <c r="A21" s="15"/>
      <c r="B21" s="27"/>
      <c r="C21" s="16" t="s">
        <v>97</v>
      </c>
      <c r="D21" s="17" t="s">
        <v>84</v>
      </c>
      <c r="E21" s="35" t="s">
        <v>85</v>
      </c>
      <c r="F21" s="19" t="s">
        <v>189</v>
      </c>
      <c r="G21" s="20">
        <v>17866</v>
      </c>
      <c r="H21" s="21">
        <v>481</v>
      </c>
      <c r="I21" s="22">
        <v>12.8</v>
      </c>
      <c r="J21" s="23">
        <v>2.43</v>
      </c>
      <c r="K21" s="24">
        <v>0.585</v>
      </c>
      <c r="L21" s="31">
        <f t="shared" si="0"/>
        <v>0.605</v>
      </c>
      <c r="M21" s="32">
        <v>15.44</v>
      </c>
      <c r="N21" s="22">
        <v>3.92</v>
      </c>
      <c r="O21" s="26">
        <f t="shared" si="1"/>
        <v>80.64</v>
      </c>
      <c r="P21" s="34" t="s">
        <v>190</v>
      </c>
    </row>
    <row r="22" spans="1:19">
      <c r="A22" s="15">
        <v>46058</v>
      </c>
      <c r="B22" s="27">
        <v>46058</v>
      </c>
      <c r="C22" s="16" t="s">
        <v>34</v>
      </c>
      <c r="D22" s="17" t="s">
        <v>68</v>
      </c>
      <c r="E22" s="35" t="s">
        <v>185</v>
      </c>
      <c r="F22" s="19" t="s">
        <v>50</v>
      </c>
      <c r="G22" s="20">
        <v>18360</v>
      </c>
      <c r="H22" s="21">
        <v>421</v>
      </c>
      <c r="I22" s="22">
        <v>11.34</v>
      </c>
      <c r="J22" s="23">
        <v>2.56</v>
      </c>
      <c r="K22" s="24">
        <v>0.571</v>
      </c>
      <c r="L22" s="31">
        <f t="shared" si="0"/>
        <v>0.591</v>
      </c>
      <c r="M22" s="32">
        <v>13.65</v>
      </c>
      <c r="N22" s="22">
        <v>3.25</v>
      </c>
      <c r="O22" s="26">
        <f t="shared" si="1"/>
        <v>83.1</v>
      </c>
    </row>
    <row r="23" spans="1:19">
      <c r="A23" s="15"/>
      <c r="B23" s="27"/>
      <c r="C23" s="16" t="s">
        <v>63</v>
      </c>
      <c r="D23" s="28" t="s">
        <v>44</v>
      </c>
      <c r="E23" s="35" t="s">
        <v>175</v>
      </c>
      <c r="F23" s="19" t="s">
        <v>65</v>
      </c>
      <c r="G23" s="20">
        <v>16030</v>
      </c>
      <c r="H23" s="21">
        <v>457</v>
      </c>
      <c r="I23" s="22">
        <v>11.8</v>
      </c>
      <c r="J23" s="23">
        <v>2.33</v>
      </c>
      <c r="K23" s="24">
        <v>0.575</v>
      </c>
      <c r="L23" s="31">
        <f t="shared" si="0"/>
        <v>0.595</v>
      </c>
      <c r="M23" s="32">
        <v>12.44</v>
      </c>
      <c r="N23" s="22">
        <v>3.85</v>
      </c>
      <c r="O23" s="26">
        <f t="shared" si="1"/>
        <v>83.71</v>
      </c>
    </row>
    <row r="24" spans="1:19">
      <c r="A24" s="15"/>
      <c r="B24" s="27"/>
      <c r="C24" s="16" t="s">
        <v>39</v>
      </c>
      <c r="D24" s="28" t="s">
        <v>54</v>
      </c>
      <c r="E24" s="28" t="s">
        <v>186</v>
      </c>
      <c r="F24" s="19" t="s">
        <v>178</v>
      </c>
      <c r="G24" s="20">
        <v>10210</v>
      </c>
      <c r="H24" s="21">
        <v>253</v>
      </c>
      <c r="I24" s="22">
        <v>10.47</v>
      </c>
      <c r="J24" s="23">
        <v>3.28</v>
      </c>
      <c r="K24" s="24">
        <v>0.556</v>
      </c>
      <c r="L24" s="31">
        <f t="shared" si="0"/>
        <v>0.576</v>
      </c>
      <c r="M24" s="32">
        <v>13.24</v>
      </c>
      <c r="N24" s="22">
        <v>2.78</v>
      </c>
      <c r="O24" s="26">
        <f t="shared" si="1"/>
        <v>83.98</v>
      </c>
      <c r="S24" t="s">
        <v>191</v>
      </c>
    </row>
    <row r="25" spans="1:19">
      <c r="A25" s="15"/>
      <c r="B25" s="27"/>
      <c r="C25" s="16" t="s">
        <v>39</v>
      </c>
      <c r="D25" s="28" t="s">
        <v>54</v>
      </c>
      <c r="E25" s="28" t="s">
        <v>186</v>
      </c>
      <c r="F25" s="19" t="s">
        <v>42</v>
      </c>
      <c r="G25" s="20">
        <v>12205</v>
      </c>
      <c r="H25" s="21">
        <v>339</v>
      </c>
      <c r="I25" s="22">
        <v>10.27</v>
      </c>
      <c r="J25" s="23">
        <v>3.24</v>
      </c>
      <c r="K25" s="24">
        <v>0.565</v>
      </c>
      <c r="L25" s="31">
        <f t="shared" si="0"/>
        <v>0.585</v>
      </c>
      <c r="M25" s="32">
        <v>14.4</v>
      </c>
      <c r="N25" s="22">
        <v>2.46</v>
      </c>
      <c r="O25" s="26">
        <f t="shared" si="1"/>
        <v>83.14</v>
      </c>
    </row>
    <row r="26" spans="1:19">
      <c r="A26" s="15"/>
      <c r="B26" s="27"/>
      <c r="C26" s="16" t="s">
        <v>39</v>
      </c>
      <c r="D26" s="28" t="s">
        <v>81</v>
      </c>
      <c r="E26" s="28" t="s">
        <v>192</v>
      </c>
      <c r="F26" s="19" t="s">
        <v>43</v>
      </c>
      <c r="G26" s="20">
        <v>22815</v>
      </c>
      <c r="H26" s="21">
        <v>671</v>
      </c>
      <c r="I26" s="22">
        <v>10.34</v>
      </c>
      <c r="J26" s="23">
        <v>3.14</v>
      </c>
      <c r="K26" s="24">
        <v>0.552</v>
      </c>
      <c r="L26" s="31">
        <f t="shared" si="0"/>
        <v>0.572</v>
      </c>
      <c r="M26" s="32">
        <v>12.37</v>
      </c>
      <c r="N26" s="22">
        <v>3.08</v>
      </c>
      <c r="O26" s="26">
        <f t="shared" si="1"/>
        <v>84.55</v>
      </c>
    </row>
    <row r="27" spans="1:19">
      <c r="A27" s="15">
        <v>46059</v>
      </c>
      <c r="B27" s="27">
        <v>46059</v>
      </c>
      <c r="C27" s="16" t="s">
        <v>39</v>
      </c>
      <c r="D27" s="28" t="s">
        <v>81</v>
      </c>
      <c r="E27" s="28" t="s">
        <v>192</v>
      </c>
      <c r="F27" s="19" t="s">
        <v>42</v>
      </c>
      <c r="G27" s="20">
        <v>10800</v>
      </c>
      <c r="H27" s="21">
        <v>360</v>
      </c>
      <c r="I27" s="22">
        <v>9.67</v>
      </c>
      <c r="J27" s="23">
        <v>3.17</v>
      </c>
      <c r="K27" s="24">
        <v>0.581</v>
      </c>
      <c r="L27" s="31">
        <f t="shared" si="0"/>
        <v>0.601</v>
      </c>
      <c r="M27" s="32">
        <v>13.42</v>
      </c>
      <c r="N27" s="22">
        <v>2.88</v>
      </c>
      <c r="O27" s="26">
        <f t="shared" si="1"/>
        <v>83.7</v>
      </c>
    </row>
    <row r="28" spans="1:19">
      <c r="A28" s="15"/>
      <c r="B28" s="27"/>
      <c r="C28" s="16" t="s">
        <v>34</v>
      </c>
      <c r="D28" s="17" t="s">
        <v>68</v>
      </c>
      <c r="E28" s="35" t="s">
        <v>185</v>
      </c>
      <c r="F28" s="19" t="s">
        <v>50</v>
      </c>
      <c r="G28" s="20">
        <v>18010</v>
      </c>
      <c r="H28" s="21">
        <v>435</v>
      </c>
      <c r="I28" s="22">
        <v>11.8</v>
      </c>
      <c r="J28" s="23">
        <v>2.61</v>
      </c>
      <c r="K28" s="24">
        <v>0.578</v>
      </c>
      <c r="L28" s="31">
        <f t="shared" si="0"/>
        <v>0.598</v>
      </c>
      <c r="M28" s="32">
        <v>12.71</v>
      </c>
      <c r="N28" s="22">
        <v>3.02</v>
      </c>
      <c r="O28" s="26">
        <f t="shared" si="1"/>
        <v>84.27</v>
      </c>
    </row>
    <row r="29" spans="1:19">
      <c r="A29" s="15"/>
      <c r="B29" s="27"/>
      <c r="C29" s="78" t="s">
        <v>48</v>
      </c>
      <c r="D29" s="79" t="s">
        <v>88</v>
      </c>
      <c r="E29" s="80"/>
      <c r="F29" s="81" t="s">
        <v>46</v>
      </c>
      <c r="G29" s="82">
        <v>17955</v>
      </c>
      <c r="H29" s="83">
        <v>447</v>
      </c>
      <c r="I29" s="84">
        <v>11.54</v>
      </c>
      <c r="J29" s="85">
        <v>2.63</v>
      </c>
      <c r="K29" s="86">
        <v>0.575</v>
      </c>
      <c r="L29" s="87">
        <f t="shared" si="0"/>
        <v>0.595</v>
      </c>
      <c r="M29" s="88">
        <v>13.2</v>
      </c>
      <c r="N29" s="84">
        <v>2.98</v>
      </c>
      <c r="O29" s="89">
        <f t="shared" si="1"/>
        <v>83.82</v>
      </c>
      <c r="P29" s="112" t="s">
        <v>51</v>
      </c>
    </row>
    <row r="30" spans="1:19">
      <c r="A30" s="15"/>
      <c r="B30" s="27"/>
      <c r="C30" s="187" t="s">
        <v>71</v>
      </c>
      <c r="D30" s="188" t="s">
        <v>84</v>
      </c>
      <c r="E30" s="189" t="s">
        <v>193</v>
      </c>
      <c r="F30" s="190" t="s">
        <v>74</v>
      </c>
      <c r="G30" s="191">
        <v>17828</v>
      </c>
      <c r="H30" s="192">
        <v>344</v>
      </c>
      <c r="I30" s="193">
        <v>17.07</v>
      </c>
      <c r="J30" s="194">
        <v>2.11</v>
      </c>
      <c r="K30" s="195">
        <v>0.571</v>
      </c>
      <c r="L30" s="196">
        <f t="shared" si="0"/>
        <v>0.591</v>
      </c>
      <c r="M30" s="197">
        <v>11.76</v>
      </c>
      <c r="N30" s="193">
        <v>3.81</v>
      </c>
      <c r="O30" s="198">
        <f t="shared" si="1"/>
        <v>84.43</v>
      </c>
      <c r="P30" s="34" t="s">
        <v>194</v>
      </c>
    </row>
    <row r="31" spans="1:19">
      <c r="A31" s="15"/>
      <c r="B31" s="27"/>
      <c r="C31" s="16" t="s">
        <v>181</v>
      </c>
      <c r="D31" s="28" t="s">
        <v>182</v>
      </c>
      <c r="E31" s="35" t="s">
        <v>183</v>
      </c>
      <c r="F31" s="19" t="s">
        <v>184</v>
      </c>
      <c r="G31" s="20">
        <v>29845</v>
      </c>
      <c r="H31" s="21">
        <v>803</v>
      </c>
      <c r="I31" s="22">
        <v>10.34</v>
      </c>
      <c r="J31" s="23">
        <v>3.8</v>
      </c>
      <c r="K31" s="24">
        <v>0.549</v>
      </c>
      <c r="L31" s="31">
        <f t="shared" si="0"/>
        <v>0.569</v>
      </c>
      <c r="M31" s="32">
        <v>11.38</v>
      </c>
      <c r="N31" s="22">
        <v>4.59</v>
      </c>
      <c r="O31" s="26">
        <f t="shared" si="1"/>
        <v>84.03</v>
      </c>
      <c r="S31" t="s">
        <v>191</v>
      </c>
    </row>
    <row r="32" spans="1:19">
      <c r="A32" s="15">
        <v>46060</v>
      </c>
      <c r="B32" s="27">
        <v>46060</v>
      </c>
      <c r="C32" s="16" t="s">
        <v>34</v>
      </c>
      <c r="D32" s="17" t="s">
        <v>59</v>
      </c>
      <c r="E32" s="35" t="s">
        <v>195</v>
      </c>
      <c r="F32" s="19" t="s">
        <v>46</v>
      </c>
      <c r="G32" s="20">
        <v>18545</v>
      </c>
      <c r="H32" s="21">
        <v>435</v>
      </c>
      <c r="I32" s="22">
        <v>11.74</v>
      </c>
      <c r="J32" s="23">
        <v>2.6</v>
      </c>
      <c r="K32" s="24">
        <v>0.575</v>
      </c>
      <c r="L32" s="31">
        <f t="shared" si="0"/>
        <v>0.595</v>
      </c>
      <c r="M32" s="32">
        <v>12.34</v>
      </c>
      <c r="N32" s="22">
        <v>2.72</v>
      </c>
      <c r="O32" s="26">
        <f t="shared" si="1"/>
        <v>84.94</v>
      </c>
    </row>
    <row r="33" spans="1:19">
      <c r="A33" s="15"/>
      <c r="B33" s="27"/>
      <c r="C33" s="16" t="s">
        <v>39</v>
      </c>
      <c r="D33" s="28" t="s">
        <v>81</v>
      </c>
      <c r="E33" s="28" t="s">
        <v>192</v>
      </c>
      <c r="F33" s="19" t="s">
        <v>178</v>
      </c>
      <c r="G33" s="20">
        <v>10090</v>
      </c>
      <c r="H33" s="21">
        <v>270</v>
      </c>
      <c r="I33" s="22">
        <v>9.87</v>
      </c>
      <c r="J33" s="23">
        <v>3.28</v>
      </c>
      <c r="K33" s="24">
        <v>0.549</v>
      </c>
      <c r="L33" s="31">
        <f t="shared" si="0"/>
        <v>0.569</v>
      </c>
      <c r="M33" s="32">
        <v>13.53</v>
      </c>
      <c r="N33" s="22">
        <v>3.8</v>
      </c>
      <c r="O33" s="26">
        <f t="shared" si="1"/>
        <v>82.67</v>
      </c>
    </row>
    <row r="34" spans="1:19">
      <c r="A34" s="15"/>
      <c r="B34" s="27"/>
      <c r="C34" s="16" t="s">
        <v>39</v>
      </c>
      <c r="D34" s="28" t="s">
        <v>76</v>
      </c>
      <c r="E34" s="28" t="s">
        <v>187</v>
      </c>
      <c r="F34" s="19" t="s">
        <v>43</v>
      </c>
      <c r="G34" s="20">
        <v>21550</v>
      </c>
      <c r="H34" s="21">
        <v>576</v>
      </c>
      <c r="I34" s="22">
        <v>9.4</v>
      </c>
      <c r="J34" s="23">
        <v>3.14</v>
      </c>
      <c r="K34" s="24">
        <v>0.559</v>
      </c>
      <c r="L34" s="31">
        <f t="shared" si="0"/>
        <v>0.579</v>
      </c>
      <c r="M34" s="32">
        <v>12.77</v>
      </c>
      <c r="N34" s="22">
        <v>3.63</v>
      </c>
      <c r="O34" s="26">
        <f t="shared" si="1"/>
        <v>83.6</v>
      </c>
    </row>
    <row r="35" spans="1:19">
      <c r="A35" s="15">
        <v>46062</v>
      </c>
      <c r="B35" s="27">
        <v>46062</v>
      </c>
      <c r="C35" s="16" t="s">
        <v>39</v>
      </c>
      <c r="D35" s="28" t="s">
        <v>54</v>
      </c>
      <c r="E35" s="28" t="s">
        <v>186</v>
      </c>
      <c r="F35" s="19" t="s">
        <v>42</v>
      </c>
      <c r="G35" s="20">
        <v>10500</v>
      </c>
      <c r="H35" s="21">
        <v>317</v>
      </c>
      <c r="I35" s="22">
        <v>9.2</v>
      </c>
      <c r="J35" s="23">
        <v>3.12</v>
      </c>
      <c r="K35" s="24">
        <v>0.578</v>
      </c>
      <c r="L35" s="31">
        <f t="shared" si="0"/>
        <v>0.598</v>
      </c>
      <c r="M35" s="32">
        <v>13.44</v>
      </c>
      <c r="N35" s="22">
        <v>3.58</v>
      </c>
      <c r="O35" s="26">
        <f t="shared" si="1"/>
        <v>82.98</v>
      </c>
    </row>
    <row r="36" spans="1:19">
      <c r="A36" s="15"/>
      <c r="B36" s="27"/>
      <c r="C36" s="16" t="s">
        <v>34</v>
      </c>
      <c r="D36" s="17" t="s">
        <v>59</v>
      </c>
      <c r="E36" s="35" t="s">
        <v>195</v>
      </c>
      <c r="F36" s="19" t="s">
        <v>50</v>
      </c>
      <c r="G36" s="20">
        <v>17570</v>
      </c>
      <c r="H36" s="21">
        <v>457</v>
      </c>
      <c r="I36" s="22">
        <v>11.27</v>
      </c>
      <c r="J36" s="23">
        <v>2.54</v>
      </c>
      <c r="K36" s="24">
        <v>0.575</v>
      </c>
      <c r="L36" s="31">
        <f t="shared" si="0"/>
        <v>0.595</v>
      </c>
      <c r="M36" s="32">
        <v>12.28</v>
      </c>
      <c r="N36" s="22">
        <v>3.34</v>
      </c>
      <c r="O36" s="26">
        <f t="shared" si="1"/>
        <v>84.38</v>
      </c>
    </row>
    <row r="37" spans="1:19">
      <c r="A37" s="15"/>
      <c r="B37" s="27"/>
      <c r="C37" s="16" t="s">
        <v>53</v>
      </c>
      <c r="D37" s="28" t="s">
        <v>44</v>
      </c>
      <c r="E37" s="35" t="s">
        <v>175</v>
      </c>
      <c r="F37" s="19" t="s">
        <v>56</v>
      </c>
      <c r="G37" s="20">
        <v>14385</v>
      </c>
      <c r="H37" s="21">
        <v>339</v>
      </c>
      <c r="I37" s="22">
        <v>11.74</v>
      </c>
      <c r="J37" s="23">
        <v>2.6</v>
      </c>
      <c r="K37" s="24">
        <v>0.578</v>
      </c>
      <c r="L37" s="31">
        <f t="shared" si="0"/>
        <v>0.598</v>
      </c>
      <c r="M37" s="32">
        <v>13.24</v>
      </c>
      <c r="N37" s="22">
        <v>2.84</v>
      </c>
      <c r="O37" s="26">
        <f t="shared" si="1"/>
        <v>83.92</v>
      </c>
    </row>
    <row r="38" spans="1:19">
      <c r="A38" s="15"/>
      <c r="B38" s="27"/>
      <c r="C38" s="16" t="s">
        <v>58</v>
      </c>
      <c r="D38" s="28" t="s">
        <v>44</v>
      </c>
      <c r="E38" s="35" t="s">
        <v>175</v>
      </c>
      <c r="F38" s="19" t="s">
        <v>115</v>
      </c>
      <c r="G38" s="20">
        <v>9582</v>
      </c>
      <c r="H38" s="21">
        <v>171</v>
      </c>
      <c r="I38" s="22">
        <v>12.14</v>
      </c>
      <c r="J38" s="23">
        <v>2.3</v>
      </c>
      <c r="K38" s="24">
        <v>0.585</v>
      </c>
      <c r="L38" s="31">
        <f t="shared" si="0"/>
        <v>0.605</v>
      </c>
      <c r="M38" s="32">
        <v>14.78</v>
      </c>
      <c r="N38" s="22">
        <v>3.75</v>
      </c>
      <c r="O38" s="26">
        <f t="shared" si="1"/>
        <v>81.47</v>
      </c>
      <c r="P38" t="s">
        <v>196</v>
      </c>
    </row>
    <row r="39" spans="1:19">
      <c r="A39" s="15">
        <v>46063</v>
      </c>
      <c r="B39" s="27">
        <v>46063</v>
      </c>
      <c r="C39" s="16" t="s">
        <v>39</v>
      </c>
      <c r="D39" s="28" t="s">
        <v>106</v>
      </c>
      <c r="E39" s="28" t="s">
        <v>197</v>
      </c>
      <c r="F39" s="19" t="s">
        <v>43</v>
      </c>
      <c r="G39" s="20">
        <v>22620</v>
      </c>
      <c r="H39" s="21">
        <v>547</v>
      </c>
      <c r="I39" s="22">
        <v>9.8</v>
      </c>
      <c r="J39" s="23">
        <v>3.29</v>
      </c>
      <c r="K39" s="24">
        <v>0.568</v>
      </c>
      <c r="L39" s="31">
        <f t="shared" si="0"/>
        <v>0.588</v>
      </c>
      <c r="M39" s="32">
        <v>12.6</v>
      </c>
      <c r="N39" s="22">
        <v>4.08</v>
      </c>
      <c r="O39" s="26">
        <f t="shared" si="1"/>
        <v>83.32</v>
      </c>
      <c r="S39" t="s">
        <v>191</v>
      </c>
    </row>
    <row r="40" spans="1:19">
      <c r="A40" s="15"/>
      <c r="B40" s="27"/>
      <c r="C40" s="16" t="s">
        <v>39</v>
      </c>
      <c r="D40" s="17" t="s">
        <v>98</v>
      </c>
      <c r="E40" s="35" t="s">
        <v>198</v>
      </c>
      <c r="F40" s="19" t="s">
        <v>46</v>
      </c>
      <c r="G40" s="20">
        <v>20325</v>
      </c>
      <c r="H40" s="21">
        <v>541</v>
      </c>
      <c r="I40" s="22">
        <v>11.2</v>
      </c>
      <c r="J40" s="23">
        <v>3.21</v>
      </c>
      <c r="K40" s="24">
        <v>0.556</v>
      </c>
      <c r="L40" s="31">
        <f t="shared" si="0"/>
        <v>0.576</v>
      </c>
      <c r="M40" s="32">
        <v>14.14</v>
      </c>
      <c r="N40" s="22">
        <v>2.68</v>
      </c>
      <c r="O40" s="26">
        <f t="shared" si="1"/>
        <v>83.18</v>
      </c>
    </row>
    <row r="41" spans="1:19">
      <c r="A41" s="15"/>
      <c r="B41" s="27"/>
      <c r="C41" s="16" t="s">
        <v>39</v>
      </c>
      <c r="D41" s="17" t="s">
        <v>98</v>
      </c>
      <c r="E41" s="35" t="s">
        <v>198</v>
      </c>
      <c r="F41" s="19" t="s">
        <v>178</v>
      </c>
      <c r="G41" s="20">
        <v>11515</v>
      </c>
      <c r="H41" s="21">
        <v>277</v>
      </c>
      <c r="I41" s="22">
        <v>9.6</v>
      </c>
      <c r="J41" s="23">
        <v>3.24</v>
      </c>
      <c r="K41" s="24">
        <v>0.562</v>
      </c>
      <c r="L41" s="31">
        <f t="shared" si="0"/>
        <v>0.582</v>
      </c>
      <c r="M41" s="32">
        <v>12.29</v>
      </c>
      <c r="N41" s="22">
        <v>3.74</v>
      </c>
      <c r="O41" s="26">
        <f t="shared" si="1"/>
        <v>83.97</v>
      </c>
    </row>
    <row r="42" spans="1:19">
      <c r="A42" s="15"/>
      <c r="B42" s="27"/>
      <c r="C42" s="16" t="s">
        <v>78</v>
      </c>
      <c r="D42" s="28" t="s">
        <v>81</v>
      </c>
      <c r="E42" s="28" t="s">
        <v>192</v>
      </c>
      <c r="F42" s="19" t="s">
        <v>145</v>
      </c>
      <c r="G42" s="20">
        <v>5390</v>
      </c>
      <c r="H42" s="21">
        <v>155</v>
      </c>
      <c r="I42" s="22">
        <v>9.34</v>
      </c>
      <c r="J42" s="23">
        <v>3.78</v>
      </c>
      <c r="K42" s="24">
        <v>0.556</v>
      </c>
      <c r="L42" s="31">
        <f t="shared" si="0"/>
        <v>0.576</v>
      </c>
      <c r="M42" s="32">
        <v>13.7</v>
      </c>
      <c r="N42" s="22">
        <v>2.89</v>
      </c>
      <c r="O42" s="26">
        <f t="shared" si="1"/>
        <v>83.41</v>
      </c>
    </row>
    <row r="43" spans="1:19">
      <c r="A43" s="15"/>
      <c r="B43" s="27"/>
      <c r="C43" s="16" t="s">
        <v>181</v>
      </c>
      <c r="D43" s="28" t="s">
        <v>199</v>
      </c>
      <c r="E43" s="35" t="s">
        <v>200</v>
      </c>
      <c r="F43" s="19" t="s">
        <v>184</v>
      </c>
      <c r="G43" s="20">
        <v>30115</v>
      </c>
      <c r="H43" s="21">
        <v>803</v>
      </c>
      <c r="I43" s="22">
        <v>9.74</v>
      </c>
      <c r="J43" s="23">
        <v>3.34</v>
      </c>
      <c r="K43" s="24">
        <v>0.549</v>
      </c>
      <c r="L43" s="31">
        <f t="shared" si="0"/>
        <v>0.569</v>
      </c>
      <c r="M43" s="32">
        <v>11.38</v>
      </c>
      <c r="N43" s="22">
        <v>4.2</v>
      </c>
      <c r="O43" s="26">
        <f t="shared" si="1"/>
        <v>84.42</v>
      </c>
    </row>
    <row r="44" spans="1:19">
      <c r="A44" s="15">
        <v>46064</v>
      </c>
      <c r="B44" s="27">
        <v>46064</v>
      </c>
      <c r="C44" s="78" t="s">
        <v>48</v>
      </c>
      <c r="D44" s="79" t="s">
        <v>93</v>
      </c>
      <c r="E44" s="80"/>
      <c r="F44" s="81" t="s">
        <v>50</v>
      </c>
      <c r="G44" s="82">
        <v>17540</v>
      </c>
      <c r="H44" s="83">
        <v>445</v>
      </c>
      <c r="I44" s="84">
        <v>11.14</v>
      </c>
      <c r="J44" s="85">
        <v>3.14</v>
      </c>
      <c r="K44" s="86">
        <v>0.575</v>
      </c>
      <c r="L44" s="87">
        <f t="shared" si="0"/>
        <v>0.595</v>
      </c>
      <c r="M44" s="88">
        <v>14.45</v>
      </c>
      <c r="N44" s="84">
        <v>2.99</v>
      </c>
      <c r="O44" s="89">
        <f t="shared" si="1"/>
        <v>82.56</v>
      </c>
      <c r="P44" s="112" t="s">
        <v>51</v>
      </c>
    </row>
    <row r="45" spans="1:19">
      <c r="A45" s="15"/>
      <c r="B45" s="27"/>
      <c r="C45" s="16" t="s">
        <v>34</v>
      </c>
      <c r="D45" s="17" t="s">
        <v>59</v>
      </c>
      <c r="E45" s="35" t="s">
        <v>195</v>
      </c>
      <c r="F45" s="19" t="s">
        <v>46</v>
      </c>
      <c r="G45" s="20">
        <v>17420</v>
      </c>
      <c r="H45" s="21">
        <v>453</v>
      </c>
      <c r="I45" s="22">
        <v>11.8</v>
      </c>
      <c r="J45" s="23">
        <v>2.73</v>
      </c>
      <c r="K45" s="24">
        <v>0.578</v>
      </c>
      <c r="L45" s="31">
        <f t="shared" si="0"/>
        <v>0.598</v>
      </c>
      <c r="M45" s="32">
        <v>13.71</v>
      </c>
      <c r="N45" s="22">
        <v>3.36</v>
      </c>
      <c r="O45" s="26">
        <f t="shared" si="1"/>
        <v>82.93</v>
      </c>
    </row>
    <row r="46" spans="1:19">
      <c r="A46" s="15"/>
      <c r="B46" s="27"/>
      <c r="C46" s="16" t="s">
        <v>39</v>
      </c>
      <c r="D46" s="28" t="s">
        <v>81</v>
      </c>
      <c r="E46" s="28" t="s">
        <v>192</v>
      </c>
      <c r="F46" s="19" t="s">
        <v>42</v>
      </c>
      <c r="G46" s="20">
        <v>10755</v>
      </c>
      <c r="H46" s="21">
        <v>308</v>
      </c>
      <c r="I46" s="22">
        <v>9.74</v>
      </c>
      <c r="J46" s="23">
        <v>2.77</v>
      </c>
      <c r="K46" s="24">
        <v>0.581</v>
      </c>
      <c r="L46" s="31">
        <f t="shared" si="0"/>
        <v>0.601</v>
      </c>
      <c r="M46" s="32">
        <v>13.65</v>
      </c>
      <c r="N46" s="22">
        <v>3.67</v>
      </c>
      <c r="O46" s="26">
        <f t="shared" si="1"/>
        <v>82.68</v>
      </c>
    </row>
    <row r="47" spans="1:19">
      <c r="A47" s="15"/>
      <c r="B47" s="27"/>
      <c r="C47" s="16" t="s">
        <v>39</v>
      </c>
      <c r="D47" s="28" t="s">
        <v>106</v>
      </c>
      <c r="E47" s="28" t="s">
        <v>197</v>
      </c>
      <c r="F47" s="19" t="s">
        <v>179</v>
      </c>
      <c r="G47" s="20">
        <v>22930</v>
      </c>
      <c r="H47" s="21">
        <v>598</v>
      </c>
      <c r="I47" s="22">
        <v>10.4</v>
      </c>
      <c r="J47" s="23">
        <v>3.61</v>
      </c>
      <c r="K47" s="24">
        <v>0.562</v>
      </c>
      <c r="L47" s="31">
        <f t="shared" si="0"/>
        <v>0.582</v>
      </c>
      <c r="M47" s="32">
        <v>11.49</v>
      </c>
      <c r="N47" s="22">
        <v>4.12</v>
      </c>
      <c r="O47" s="26">
        <f t="shared" si="1"/>
        <v>84.39</v>
      </c>
      <c r="S47" t="s">
        <v>191</v>
      </c>
    </row>
    <row r="48" spans="1:19">
      <c r="A48" s="15">
        <v>46065</v>
      </c>
      <c r="B48" s="27">
        <v>46065</v>
      </c>
      <c r="C48" s="16" t="s">
        <v>39</v>
      </c>
      <c r="D48" s="17" t="s">
        <v>98</v>
      </c>
      <c r="E48" s="35" t="s">
        <v>198</v>
      </c>
      <c r="F48" s="19" t="s">
        <v>42</v>
      </c>
      <c r="G48" s="20">
        <v>11010</v>
      </c>
      <c r="H48" s="21">
        <v>317</v>
      </c>
      <c r="I48" s="22">
        <v>10.27</v>
      </c>
      <c r="J48" s="23">
        <v>3.19</v>
      </c>
      <c r="K48" s="24">
        <v>0.581</v>
      </c>
      <c r="L48" s="31">
        <f t="shared" si="0"/>
        <v>0.601</v>
      </c>
      <c r="M48" s="32">
        <v>14.7</v>
      </c>
      <c r="N48" s="22">
        <v>3.9</v>
      </c>
      <c r="O48" s="26">
        <f t="shared" si="1"/>
        <v>81.4</v>
      </c>
    </row>
    <row r="49" spans="1:19">
      <c r="A49" s="15"/>
      <c r="B49" s="27"/>
      <c r="C49" s="16" t="s">
        <v>39</v>
      </c>
      <c r="D49" s="28" t="s">
        <v>111</v>
      </c>
      <c r="E49" s="28" t="s">
        <v>201</v>
      </c>
      <c r="F49" s="19" t="s">
        <v>43</v>
      </c>
      <c r="G49" s="20">
        <v>21440</v>
      </c>
      <c r="H49" s="21">
        <v>598</v>
      </c>
      <c r="I49" s="22">
        <v>9.6</v>
      </c>
      <c r="J49" s="23">
        <v>3.53</v>
      </c>
      <c r="K49" s="24">
        <v>0.556</v>
      </c>
      <c r="L49" s="31">
        <f t="shared" si="0"/>
        <v>0.576</v>
      </c>
      <c r="M49" s="32">
        <v>11.49</v>
      </c>
      <c r="N49" s="22">
        <v>4.28</v>
      </c>
      <c r="O49" s="26">
        <f t="shared" si="1"/>
        <v>84.23</v>
      </c>
    </row>
    <row r="50" spans="1:19">
      <c r="A50" s="15"/>
      <c r="B50" s="27"/>
      <c r="C50" s="16" t="s">
        <v>39</v>
      </c>
      <c r="D50" s="28" t="s">
        <v>111</v>
      </c>
      <c r="E50" s="28" t="s">
        <v>201</v>
      </c>
      <c r="F50" s="19" t="s">
        <v>178</v>
      </c>
      <c r="G50" s="20">
        <v>10385</v>
      </c>
      <c r="H50" s="21">
        <v>220</v>
      </c>
      <c r="I50" s="22">
        <v>10.2</v>
      </c>
      <c r="J50" s="23">
        <v>3.14</v>
      </c>
      <c r="K50" s="24">
        <v>0.546</v>
      </c>
      <c r="L50" s="31">
        <f t="shared" si="0"/>
        <v>0.566</v>
      </c>
      <c r="M50" s="32">
        <v>12.46</v>
      </c>
      <c r="N50" s="22">
        <v>4.41</v>
      </c>
      <c r="O50" s="26">
        <f t="shared" si="1"/>
        <v>83.13</v>
      </c>
    </row>
    <row r="51" spans="1:19">
      <c r="A51" s="15"/>
      <c r="B51" s="27"/>
      <c r="C51" s="16" t="s">
        <v>78</v>
      </c>
      <c r="D51" s="28" t="s">
        <v>111</v>
      </c>
      <c r="E51" s="28" t="s">
        <v>201</v>
      </c>
      <c r="F51" s="19" t="s">
        <v>79</v>
      </c>
      <c r="G51" s="20">
        <v>9365</v>
      </c>
      <c r="H51" s="21">
        <v>180</v>
      </c>
      <c r="I51" s="22">
        <v>10.14</v>
      </c>
      <c r="J51" s="23">
        <v>3.76</v>
      </c>
      <c r="K51" s="24">
        <v>0.562</v>
      </c>
      <c r="L51" s="31">
        <f t="shared" si="0"/>
        <v>0.582</v>
      </c>
      <c r="M51" s="32">
        <v>15.78</v>
      </c>
      <c r="N51" s="22">
        <v>2.59</v>
      </c>
      <c r="O51" s="26">
        <f t="shared" si="1"/>
        <v>81.63</v>
      </c>
    </row>
    <row r="52" spans="1:19">
      <c r="A52" s="15"/>
      <c r="B52" s="27"/>
      <c r="C52" s="78" t="s">
        <v>48</v>
      </c>
      <c r="D52" s="79" t="s">
        <v>105</v>
      </c>
      <c r="E52" s="80"/>
      <c r="F52" s="81" t="s">
        <v>50</v>
      </c>
      <c r="G52" s="82">
        <v>16380</v>
      </c>
      <c r="H52" s="83">
        <v>443</v>
      </c>
      <c r="I52" s="84">
        <v>9.87</v>
      </c>
      <c r="J52" s="85">
        <v>3.12</v>
      </c>
      <c r="K52" s="86">
        <v>0.578</v>
      </c>
      <c r="L52" s="87">
        <f t="shared" si="0"/>
        <v>0.598</v>
      </c>
      <c r="M52" s="88">
        <v>13.94</v>
      </c>
      <c r="N52" s="84">
        <v>3.56</v>
      </c>
      <c r="O52" s="89">
        <f t="shared" si="1"/>
        <v>82.5</v>
      </c>
      <c r="P52" s="112" t="s">
        <v>51</v>
      </c>
    </row>
    <row r="53" spans="1:19">
      <c r="A53" s="15"/>
      <c r="B53" s="27"/>
      <c r="C53" s="16" t="s">
        <v>34</v>
      </c>
      <c r="D53" s="17" t="s">
        <v>108</v>
      </c>
      <c r="E53" s="35" t="s">
        <v>202</v>
      </c>
      <c r="F53" s="19" t="s">
        <v>37</v>
      </c>
      <c r="G53" s="20">
        <v>20635</v>
      </c>
      <c r="H53" s="21">
        <v>540</v>
      </c>
      <c r="I53" s="22">
        <v>11.67</v>
      </c>
      <c r="J53" s="23">
        <v>3.18</v>
      </c>
      <c r="K53" s="24">
        <v>0.575</v>
      </c>
      <c r="L53" s="31">
        <f t="shared" si="0"/>
        <v>0.595</v>
      </c>
      <c r="M53" s="32">
        <v>12.85</v>
      </c>
      <c r="N53" s="22">
        <v>3.41</v>
      </c>
      <c r="O53" s="26">
        <f t="shared" si="1"/>
        <v>83.74</v>
      </c>
    </row>
    <row r="54" spans="1:19">
      <c r="A54" s="15">
        <v>46066</v>
      </c>
      <c r="B54" s="27">
        <v>46066</v>
      </c>
      <c r="C54" s="78" t="s">
        <v>34</v>
      </c>
      <c r="D54" s="79" t="s">
        <v>127</v>
      </c>
      <c r="E54" s="80"/>
      <c r="F54" s="81" t="s">
        <v>50</v>
      </c>
      <c r="G54" s="82">
        <v>17265</v>
      </c>
      <c r="H54" s="83">
        <v>467</v>
      </c>
      <c r="I54" s="84">
        <v>10.94</v>
      </c>
      <c r="J54" s="85">
        <v>2.73</v>
      </c>
      <c r="K54" s="86">
        <v>0.578</v>
      </c>
      <c r="L54" s="87">
        <f t="shared" si="0"/>
        <v>0.598</v>
      </c>
      <c r="M54" s="88">
        <v>14.65</v>
      </c>
      <c r="N54" s="84">
        <v>2.38</v>
      </c>
      <c r="O54" s="89">
        <f t="shared" si="1"/>
        <v>82.97</v>
      </c>
      <c r="P54" s="112" t="s">
        <v>51</v>
      </c>
      <c r="S54" t="s">
        <v>191</v>
      </c>
    </row>
    <row r="55" spans="1:19">
      <c r="A55" s="15"/>
      <c r="B55" s="27"/>
      <c r="C55" s="16" t="s">
        <v>34</v>
      </c>
      <c r="D55" s="17" t="s">
        <v>108</v>
      </c>
      <c r="E55" s="35" t="s">
        <v>202</v>
      </c>
      <c r="F55" s="19" t="s">
        <v>37</v>
      </c>
      <c r="G55" s="20">
        <v>21180</v>
      </c>
      <c r="H55" s="21">
        <v>562</v>
      </c>
      <c r="I55" s="22">
        <v>11.54</v>
      </c>
      <c r="J55" s="23">
        <v>2.55</v>
      </c>
      <c r="K55" s="24">
        <v>0.575</v>
      </c>
      <c r="L55" s="31">
        <f t="shared" si="0"/>
        <v>0.595</v>
      </c>
      <c r="M55" s="32">
        <v>12.28</v>
      </c>
      <c r="N55" s="22">
        <v>3.49</v>
      </c>
      <c r="O55" s="26">
        <f t="shared" si="1"/>
        <v>84.23</v>
      </c>
    </row>
    <row r="56" spans="1:19">
      <c r="A56" s="15"/>
      <c r="B56" s="27"/>
      <c r="C56" s="16" t="s">
        <v>39</v>
      </c>
      <c r="D56" s="28" t="s">
        <v>106</v>
      </c>
      <c r="E56" s="28" t="s">
        <v>197</v>
      </c>
      <c r="F56" s="19" t="s">
        <v>43</v>
      </c>
      <c r="G56" s="20">
        <v>20460</v>
      </c>
      <c r="H56" s="21">
        <v>575</v>
      </c>
      <c r="I56" s="22">
        <v>10.74</v>
      </c>
      <c r="J56" s="23">
        <v>3.47</v>
      </c>
      <c r="K56" s="24">
        <v>0.556</v>
      </c>
      <c r="L56" s="31">
        <f t="shared" si="0"/>
        <v>0.576</v>
      </c>
      <c r="M56" s="32">
        <v>12.33</v>
      </c>
      <c r="N56" s="22">
        <v>4.19</v>
      </c>
      <c r="O56" s="26">
        <f t="shared" si="1"/>
        <v>83.48</v>
      </c>
    </row>
    <row r="57" spans="1:19">
      <c r="A57" s="15"/>
      <c r="B57" s="27"/>
      <c r="C57" s="16" t="s">
        <v>39</v>
      </c>
      <c r="D57" s="17" t="s">
        <v>98</v>
      </c>
      <c r="E57" s="35" t="s">
        <v>198</v>
      </c>
      <c r="F57" s="19" t="s">
        <v>42</v>
      </c>
      <c r="G57" s="20">
        <v>10010</v>
      </c>
      <c r="H57" s="21">
        <v>330</v>
      </c>
      <c r="I57" s="22">
        <v>9.47</v>
      </c>
      <c r="J57" s="23">
        <v>3.32</v>
      </c>
      <c r="K57" s="24">
        <v>0.578</v>
      </c>
      <c r="L57" s="31">
        <f t="shared" si="0"/>
        <v>0.598</v>
      </c>
      <c r="M57" s="32">
        <v>13.2</v>
      </c>
      <c r="N57" s="22">
        <v>3.68</v>
      </c>
      <c r="O57" s="26">
        <f t="shared" si="1"/>
        <v>83.12</v>
      </c>
    </row>
    <row r="58" spans="1:19">
      <c r="A58" s="15">
        <v>46067</v>
      </c>
      <c r="B58" s="27">
        <v>46067</v>
      </c>
      <c r="C58" s="16" t="s">
        <v>39</v>
      </c>
      <c r="D58" s="28" t="s">
        <v>111</v>
      </c>
      <c r="E58" s="28" t="s">
        <v>201</v>
      </c>
      <c r="F58" s="19" t="s">
        <v>178</v>
      </c>
      <c r="G58" s="20">
        <v>12515</v>
      </c>
      <c r="H58" s="21">
        <v>310</v>
      </c>
      <c r="I58" s="22">
        <v>10.94</v>
      </c>
      <c r="J58" s="23">
        <v>3.11</v>
      </c>
      <c r="K58" s="24">
        <v>0.565</v>
      </c>
      <c r="L58" s="31">
        <f t="shared" si="0"/>
        <v>0.585</v>
      </c>
      <c r="M58" s="32">
        <v>13.85</v>
      </c>
      <c r="N58" s="22">
        <v>3.68</v>
      </c>
      <c r="O58" s="26">
        <f t="shared" si="1"/>
        <v>82.47</v>
      </c>
      <c r="S58" t="s">
        <v>191</v>
      </c>
    </row>
    <row r="59" spans="1:19">
      <c r="A59" s="15"/>
      <c r="B59" s="27"/>
      <c r="C59" s="16" t="s">
        <v>39</v>
      </c>
      <c r="D59" s="17" t="s">
        <v>113</v>
      </c>
      <c r="E59" s="35" t="s">
        <v>203</v>
      </c>
      <c r="F59" s="19" t="s">
        <v>204</v>
      </c>
      <c r="G59" s="20">
        <v>19538</v>
      </c>
      <c r="H59" s="21">
        <v>435</v>
      </c>
      <c r="I59" s="22">
        <v>12.87</v>
      </c>
      <c r="J59" s="23">
        <v>3.23</v>
      </c>
      <c r="K59" s="24">
        <v>0.559</v>
      </c>
      <c r="L59" s="31">
        <f t="shared" si="0"/>
        <v>0.579</v>
      </c>
      <c r="M59" s="32">
        <v>13.24</v>
      </c>
      <c r="N59" s="22">
        <v>2.74</v>
      </c>
      <c r="O59" s="26">
        <f t="shared" si="1"/>
        <v>84.02</v>
      </c>
      <c r="P59" t="s">
        <v>205</v>
      </c>
    </row>
    <row r="60" spans="1:19">
      <c r="A60" s="15"/>
      <c r="B60" s="27"/>
      <c r="C60" s="16" t="s">
        <v>39</v>
      </c>
      <c r="D60" s="17" t="s">
        <v>113</v>
      </c>
      <c r="E60" s="35" t="s">
        <v>203</v>
      </c>
      <c r="F60" s="19" t="s">
        <v>206</v>
      </c>
      <c r="G60" s="20">
        <v>2805</v>
      </c>
      <c r="H60" s="21">
        <v>102</v>
      </c>
      <c r="I60" s="22">
        <v>8.94</v>
      </c>
      <c r="J60" s="23">
        <v>3.26</v>
      </c>
      <c r="K60" s="24">
        <v>0.562</v>
      </c>
      <c r="L60" s="31">
        <f t="shared" si="0"/>
        <v>0.582</v>
      </c>
      <c r="M60" s="32">
        <v>10.7</v>
      </c>
      <c r="N60" s="22">
        <v>3.94</v>
      </c>
      <c r="O60" s="26">
        <f t="shared" si="1"/>
        <v>85.36</v>
      </c>
    </row>
    <row r="61" spans="1:19">
      <c r="A61" s="15"/>
      <c r="B61" s="27"/>
      <c r="C61" s="16" t="s">
        <v>207</v>
      </c>
      <c r="D61" s="28"/>
      <c r="E61" s="28"/>
      <c r="F61" s="19" t="s">
        <v>208</v>
      </c>
      <c r="G61" s="20">
        <v>1650</v>
      </c>
      <c r="H61" s="21">
        <v>55</v>
      </c>
      <c r="I61" s="22">
        <v>9.48</v>
      </c>
      <c r="J61" s="23">
        <v>2.11</v>
      </c>
      <c r="K61" s="24">
        <v>0.57</v>
      </c>
      <c r="L61" s="31">
        <f t="shared" si="0"/>
        <v>0.59</v>
      </c>
      <c r="M61" s="32">
        <v>14.21</v>
      </c>
      <c r="N61" s="22">
        <v>2.36</v>
      </c>
      <c r="O61" s="26">
        <f t="shared" si="1"/>
        <v>83.43</v>
      </c>
    </row>
    <row r="62" spans="1:19">
      <c r="A62" s="15">
        <v>46068</v>
      </c>
      <c r="B62" s="27">
        <v>46068</v>
      </c>
      <c r="C62" s="16" t="s">
        <v>34</v>
      </c>
      <c r="D62" s="17" t="s">
        <v>59</v>
      </c>
      <c r="E62" s="35" t="s">
        <v>195</v>
      </c>
      <c r="F62" s="19" t="s">
        <v>50</v>
      </c>
      <c r="G62" s="20">
        <v>18300</v>
      </c>
      <c r="H62" s="21">
        <v>440</v>
      </c>
      <c r="I62" s="22">
        <v>11.14</v>
      </c>
      <c r="J62" s="23">
        <v>2.43</v>
      </c>
      <c r="K62" s="24">
        <v>0.578</v>
      </c>
      <c r="L62" s="31">
        <f t="shared" si="0"/>
        <v>0.598</v>
      </c>
      <c r="M62" s="32">
        <v>12.66</v>
      </c>
      <c r="N62" s="22">
        <v>3.18</v>
      </c>
      <c r="O62" s="26">
        <f t="shared" si="1"/>
        <v>84.16</v>
      </c>
    </row>
    <row r="63" spans="1:19">
      <c r="A63" s="15"/>
      <c r="B63" s="27"/>
      <c r="C63" s="16" t="s">
        <v>39</v>
      </c>
      <c r="D63" s="17" t="s">
        <v>113</v>
      </c>
      <c r="E63" s="35" t="s">
        <v>203</v>
      </c>
      <c r="F63" s="19" t="s">
        <v>42</v>
      </c>
      <c r="G63" s="20">
        <v>11910</v>
      </c>
      <c r="H63" s="21">
        <v>327</v>
      </c>
      <c r="I63" s="22">
        <v>10.14</v>
      </c>
      <c r="J63" s="23">
        <v>3.74</v>
      </c>
      <c r="K63" s="24">
        <v>0.546</v>
      </c>
      <c r="L63" s="31">
        <f t="shared" si="0"/>
        <v>0.566</v>
      </c>
      <c r="M63" s="32">
        <v>10.61</v>
      </c>
      <c r="N63" s="22">
        <v>4.38</v>
      </c>
      <c r="O63" s="26">
        <f t="shared" si="1"/>
        <v>85.01</v>
      </c>
      <c r="S63" t="s">
        <v>191</v>
      </c>
    </row>
    <row r="64" spans="1:19">
      <c r="A64" s="15">
        <v>46069</v>
      </c>
      <c r="B64" s="27">
        <v>46069</v>
      </c>
      <c r="C64" s="16" t="s">
        <v>39</v>
      </c>
      <c r="D64" s="17" t="s">
        <v>113</v>
      </c>
      <c r="E64" s="35" t="s">
        <v>203</v>
      </c>
      <c r="F64" s="19" t="s">
        <v>42</v>
      </c>
      <c r="G64" s="20">
        <v>12225</v>
      </c>
      <c r="H64" s="21">
        <v>325</v>
      </c>
      <c r="I64" s="22">
        <v>10.14</v>
      </c>
      <c r="J64" s="23">
        <v>3.66</v>
      </c>
      <c r="K64" s="24">
        <v>0.552</v>
      </c>
      <c r="L64" s="31">
        <f t="shared" si="0"/>
        <v>0.572</v>
      </c>
      <c r="M64" s="32">
        <v>11.28</v>
      </c>
      <c r="N64" s="22">
        <v>4.26</v>
      </c>
      <c r="O64" s="26">
        <f t="shared" si="1"/>
        <v>84.46</v>
      </c>
    </row>
    <row r="65" spans="1:19">
      <c r="A65" s="15"/>
      <c r="B65" s="27"/>
      <c r="C65" s="16" t="s">
        <v>209</v>
      </c>
      <c r="D65" s="35" t="s">
        <v>108</v>
      </c>
      <c r="E65" s="35" t="s">
        <v>109</v>
      </c>
      <c r="F65" s="19" t="s">
        <v>86</v>
      </c>
      <c r="G65" s="29">
        <v>5275</v>
      </c>
      <c r="H65" s="21">
        <v>142</v>
      </c>
      <c r="I65" s="22">
        <v>11.74</v>
      </c>
      <c r="J65" s="23">
        <v>2.16</v>
      </c>
      <c r="K65" s="24">
        <v>0.581</v>
      </c>
      <c r="L65" s="31">
        <f t="shared" si="0"/>
        <v>0.601</v>
      </c>
      <c r="M65" s="32">
        <v>14.95</v>
      </c>
      <c r="N65" s="22">
        <v>2.45</v>
      </c>
      <c r="O65" s="26">
        <f t="shared" si="1"/>
        <v>82.6</v>
      </c>
      <c r="P65" s="112" t="s">
        <v>210</v>
      </c>
    </row>
    <row r="66" spans="1:19">
      <c r="A66" s="15">
        <v>46070</v>
      </c>
      <c r="B66" s="27">
        <v>46070</v>
      </c>
      <c r="C66" s="16" t="s">
        <v>34</v>
      </c>
      <c r="D66" s="17" t="s">
        <v>108</v>
      </c>
      <c r="E66" s="35" t="s">
        <v>202</v>
      </c>
      <c r="F66" s="19" t="s">
        <v>37</v>
      </c>
      <c r="G66" s="20">
        <v>21300</v>
      </c>
      <c r="H66" s="21">
        <v>458</v>
      </c>
      <c r="I66" s="22">
        <v>11.2</v>
      </c>
      <c r="J66" s="23">
        <v>2.51</v>
      </c>
      <c r="K66" s="24">
        <v>0.575</v>
      </c>
      <c r="L66" s="31">
        <f t="shared" si="0"/>
        <v>0.595</v>
      </c>
      <c r="M66" s="32">
        <v>12.04</v>
      </c>
      <c r="N66" s="22">
        <v>3.49</v>
      </c>
      <c r="O66" s="26">
        <f t="shared" si="1"/>
        <v>84.47</v>
      </c>
    </row>
    <row r="67" spans="1:19">
      <c r="A67" s="15"/>
      <c r="B67" s="27"/>
      <c r="C67" s="16" t="s">
        <v>58</v>
      </c>
      <c r="D67" s="28" t="s">
        <v>129</v>
      </c>
      <c r="E67" s="28" t="s">
        <v>55</v>
      </c>
      <c r="F67" s="19" t="s">
        <v>211</v>
      </c>
      <c r="G67" s="20">
        <v>6450</v>
      </c>
      <c r="H67" s="21">
        <v>130</v>
      </c>
      <c r="I67" s="22">
        <v>12</v>
      </c>
      <c r="J67" s="23">
        <v>2.6</v>
      </c>
      <c r="K67" s="24">
        <v>0.585</v>
      </c>
      <c r="L67" s="31">
        <f t="shared" si="0"/>
        <v>0.605</v>
      </c>
      <c r="M67" s="32">
        <v>13.86</v>
      </c>
      <c r="N67" s="22">
        <v>3.61</v>
      </c>
      <c r="O67" s="26">
        <f t="shared" si="1"/>
        <v>82.53</v>
      </c>
      <c r="S67" t="s">
        <v>191</v>
      </c>
    </row>
    <row r="68" spans="1:19">
      <c r="A68" s="15"/>
      <c r="B68" s="27"/>
      <c r="C68" s="16" t="s">
        <v>39</v>
      </c>
      <c r="D68" s="17" t="s">
        <v>113</v>
      </c>
      <c r="E68" s="35" t="s">
        <v>203</v>
      </c>
      <c r="F68" s="19" t="s">
        <v>42</v>
      </c>
      <c r="G68" s="20">
        <v>13750</v>
      </c>
      <c r="H68" s="21">
        <v>290</v>
      </c>
      <c r="I68" s="22">
        <v>10.34</v>
      </c>
      <c r="J68" s="23">
        <v>2.99</v>
      </c>
      <c r="K68" s="24">
        <v>0.571</v>
      </c>
      <c r="L68" s="31">
        <f t="shared" si="0"/>
        <v>0.591</v>
      </c>
      <c r="M68" s="32">
        <v>13.6</v>
      </c>
      <c r="N68" s="22">
        <v>2.61</v>
      </c>
      <c r="O68" s="26">
        <f t="shared" si="1"/>
        <v>83.79</v>
      </c>
    </row>
    <row r="69" spans="1:19">
      <c r="A69" s="15"/>
      <c r="B69" s="27"/>
      <c r="C69" s="16" t="s">
        <v>39</v>
      </c>
      <c r="D69" s="17" t="s">
        <v>113</v>
      </c>
      <c r="E69" s="35" t="s">
        <v>203</v>
      </c>
      <c r="F69" s="19" t="s">
        <v>178</v>
      </c>
      <c r="G69" s="20">
        <v>11037</v>
      </c>
      <c r="H69" s="21">
        <v>280</v>
      </c>
      <c r="I69" s="22">
        <v>9.8</v>
      </c>
      <c r="J69" s="23">
        <v>3.71</v>
      </c>
      <c r="K69" s="24">
        <v>0.556</v>
      </c>
      <c r="L69" s="31">
        <f t="shared" si="0"/>
        <v>0.576</v>
      </c>
      <c r="M69" s="32">
        <v>11.99</v>
      </c>
      <c r="N69" s="22">
        <v>5.48</v>
      </c>
      <c r="O69" s="26">
        <f t="shared" si="1"/>
        <v>82.53</v>
      </c>
      <c r="P69" t="s">
        <v>212</v>
      </c>
    </row>
    <row r="70" spans="1:19">
      <c r="A70" s="15"/>
      <c r="B70" s="27"/>
      <c r="C70" s="16" t="s">
        <v>213</v>
      </c>
      <c r="D70" s="17" t="s">
        <v>131</v>
      </c>
      <c r="E70" s="35" t="s">
        <v>193</v>
      </c>
      <c r="F70" s="19" t="s">
        <v>118</v>
      </c>
      <c r="G70" s="20">
        <v>11892</v>
      </c>
      <c r="H70" s="21">
        <v>214</v>
      </c>
      <c r="I70" s="22">
        <v>14.2</v>
      </c>
      <c r="J70" s="23">
        <v>2.68</v>
      </c>
      <c r="K70" s="24">
        <v>0.575</v>
      </c>
      <c r="L70" s="31">
        <f t="shared" ref="L70:L95" si="2">K70+0.02</f>
        <v>0.595</v>
      </c>
      <c r="M70" s="32">
        <v>11.38</v>
      </c>
      <c r="N70" s="22">
        <v>3.94</v>
      </c>
      <c r="O70" s="26">
        <f t="shared" si="1"/>
        <v>84.68</v>
      </c>
      <c r="P70" t="s">
        <v>214</v>
      </c>
    </row>
    <row r="71" spans="1:19">
      <c r="A71" s="15">
        <v>46071</v>
      </c>
      <c r="B71" s="27">
        <v>46071</v>
      </c>
      <c r="C71" s="16" t="s">
        <v>34</v>
      </c>
      <c r="D71" s="28" t="s">
        <v>129</v>
      </c>
      <c r="E71" s="28" t="s">
        <v>55</v>
      </c>
      <c r="F71" s="19" t="s">
        <v>215</v>
      </c>
      <c r="G71" s="20">
        <v>2770</v>
      </c>
      <c r="H71" s="21">
        <v>53</v>
      </c>
      <c r="I71" s="22">
        <v>13.94</v>
      </c>
      <c r="J71" s="23">
        <v>2.53</v>
      </c>
      <c r="K71" s="24">
        <v>0.562</v>
      </c>
      <c r="L71" s="31">
        <f t="shared" si="2"/>
        <v>0.582</v>
      </c>
      <c r="M71" s="32">
        <v>11.74</v>
      </c>
      <c r="N71" s="22">
        <v>3.84</v>
      </c>
      <c r="O71" s="26">
        <f t="shared" si="1"/>
        <v>84.42</v>
      </c>
      <c r="P71" t="s">
        <v>216</v>
      </c>
    </row>
    <row r="72" spans="1:19">
      <c r="A72" s="15"/>
      <c r="B72" s="27"/>
      <c r="C72" s="16" t="s">
        <v>34</v>
      </c>
      <c r="D72" s="17" t="s">
        <v>35</v>
      </c>
      <c r="E72" s="35" t="s">
        <v>217</v>
      </c>
      <c r="F72" s="19" t="s">
        <v>50</v>
      </c>
      <c r="G72" s="20">
        <v>17365</v>
      </c>
      <c r="H72" s="21">
        <v>458</v>
      </c>
      <c r="I72" s="22">
        <v>10.87</v>
      </c>
      <c r="J72" s="23">
        <v>2.42</v>
      </c>
      <c r="K72" s="24">
        <v>0.578</v>
      </c>
      <c r="L72" s="31">
        <f t="shared" si="2"/>
        <v>0.598</v>
      </c>
      <c r="M72" s="32">
        <v>14.19</v>
      </c>
      <c r="N72" s="22">
        <v>2.68</v>
      </c>
      <c r="O72" s="26">
        <f t="shared" si="1"/>
        <v>83.13</v>
      </c>
    </row>
    <row r="73" spans="1:19">
      <c r="A73" s="15"/>
      <c r="B73" s="27"/>
      <c r="C73" s="78" t="s">
        <v>48</v>
      </c>
      <c r="D73" s="79" t="s">
        <v>143</v>
      </c>
      <c r="E73" s="80"/>
      <c r="F73" s="81" t="s">
        <v>46</v>
      </c>
      <c r="G73" s="82">
        <v>19870</v>
      </c>
      <c r="H73" s="83">
        <v>495</v>
      </c>
      <c r="I73" s="84">
        <v>10.54</v>
      </c>
      <c r="J73" s="85">
        <v>2.17</v>
      </c>
      <c r="K73" s="86">
        <v>0.575</v>
      </c>
      <c r="L73" s="87">
        <f t="shared" si="2"/>
        <v>0.595</v>
      </c>
      <c r="M73" s="88">
        <v>14.38</v>
      </c>
      <c r="N73" s="84">
        <v>2.4</v>
      </c>
      <c r="O73" s="89">
        <f t="shared" ref="O73:O123" si="3">100-M73-N73</f>
        <v>83.22</v>
      </c>
      <c r="P73" s="112" t="s">
        <v>218</v>
      </c>
      <c r="S73" t="s">
        <v>191</v>
      </c>
    </row>
    <row r="74" spans="1:19">
      <c r="A74" s="15"/>
      <c r="B74" s="27"/>
      <c r="C74" s="16" t="s">
        <v>39</v>
      </c>
      <c r="D74" s="17" t="s">
        <v>72</v>
      </c>
      <c r="E74" s="35" t="s">
        <v>219</v>
      </c>
      <c r="F74" s="19" t="s">
        <v>42</v>
      </c>
      <c r="G74" s="20">
        <v>12430</v>
      </c>
      <c r="H74" s="21">
        <v>296</v>
      </c>
      <c r="I74" s="22">
        <v>10.14</v>
      </c>
      <c r="J74" s="23">
        <v>3.14</v>
      </c>
      <c r="K74" s="24">
        <v>0.581</v>
      </c>
      <c r="L74" s="31">
        <f t="shared" si="2"/>
        <v>0.601</v>
      </c>
      <c r="M74" s="32">
        <v>13.79</v>
      </c>
      <c r="N74" s="22">
        <v>2.85</v>
      </c>
      <c r="O74" s="26">
        <f t="shared" si="3"/>
        <v>83.36</v>
      </c>
    </row>
    <row r="75" spans="1:19">
      <c r="A75" s="15"/>
      <c r="B75" s="27"/>
      <c r="C75" s="16" t="s">
        <v>39</v>
      </c>
      <c r="D75" s="17" t="s">
        <v>72</v>
      </c>
      <c r="E75" s="35" t="s">
        <v>219</v>
      </c>
      <c r="F75" s="19" t="s">
        <v>178</v>
      </c>
      <c r="G75" s="20">
        <v>10455</v>
      </c>
      <c r="H75" s="21">
        <v>288</v>
      </c>
      <c r="I75" s="22">
        <v>13.6</v>
      </c>
      <c r="J75" s="23">
        <v>3.81</v>
      </c>
      <c r="K75" s="24">
        <v>0.541</v>
      </c>
      <c r="L75" s="31">
        <f t="shared" si="2"/>
        <v>0.561</v>
      </c>
      <c r="M75" s="32">
        <v>10.4</v>
      </c>
      <c r="N75" s="22">
        <v>7.88</v>
      </c>
      <c r="O75" s="26">
        <f t="shared" si="3"/>
        <v>81.72</v>
      </c>
      <c r="P75" t="s">
        <v>220</v>
      </c>
    </row>
    <row r="76" spans="1:19">
      <c r="A76" s="15"/>
      <c r="B76" s="27"/>
      <c r="C76" s="16" t="s">
        <v>39</v>
      </c>
      <c r="D76" s="17" t="s">
        <v>138</v>
      </c>
      <c r="E76" s="28" t="s">
        <v>221</v>
      </c>
      <c r="F76" s="19" t="s">
        <v>179</v>
      </c>
      <c r="G76" s="20">
        <v>20790</v>
      </c>
      <c r="H76" s="21">
        <v>481</v>
      </c>
      <c r="I76" s="22">
        <v>10.6</v>
      </c>
      <c r="J76" s="23">
        <v>3.66</v>
      </c>
      <c r="K76" s="24">
        <v>0.546</v>
      </c>
      <c r="L76" s="31">
        <f t="shared" si="2"/>
        <v>0.566</v>
      </c>
      <c r="M76" s="32">
        <v>12.25</v>
      </c>
      <c r="N76" s="22">
        <v>3.86</v>
      </c>
      <c r="O76" s="26">
        <f t="shared" si="3"/>
        <v>83.89</v>
      </c>
    </row>
    <row r="77" spans="1:19">
      <c r="A77" s="15"/>
      <c r="B77" s="27"/>
      <c r="C77" s="16" t="s">
        <v>39</v>
      </c>
      <c r="D77" s="17" t="s">
        <v>138</v>
      </c>
      <c r="E77" s="28" t="s">
        <v>221</v>
      </c>
      <c r="F77" s="19" t="s">
        <v>222</v>
      </c>
      <c r="G77" s="20">
        <v>21696</v>
      </c>
      <c r="H77" s="21">
        <v>497</v>
      </c>
      <c r="I77" s="22">
        <v>13.54</v>
      </c>
      <c r="J77" s="23">
        <v>3.73</v>
      </c>
      <c r="K77" s="24">
        <v>0.543</v>
      </c>
      <c r="L77" s="31">
        <f t="shared" si="2"/>
        <v>0.563</v>
      </c>
      <c r="M77" s="32">
        <v>10.04</v>
      </c>
      <c r="N77" s="22">
        <v>8.09</v>
      </c>
      <c r="O77" s="26">
        <f t="shared" si="3"/>
        <v>81.87</v>
      </c>
      <c r="P77" t="s">
        <v>223</v>
      </c>
    </row>
    <row r="78" spans="1:19">
      <c r="A78" s="15">
        <v>46072</v>
      </c>
      <c r="B78" s="27">
        <v>46072</v>
      </c>
      <c r="C78" s="16" t="s">
        <v>39</v>
      </c>
      <c r="D78" s="17" t="s">
        <v>138</v>
      </c>
      <c r="E78" s="28" t="s">
        <v>221</v>
      </c>
      <c r="F78" s="19" t="s">
        <v>224</v>
      </c>
      <c r="G78" s="20">
        <v>29110</v>
      </c>
      <c r="H78" s="21">
        <v>612</v>
      </c>
      <c r="I78" s="22">
        <v>11.87</v>
      </c>
      <c r="J78" s="23">
        <v>3.79</v>
      </c>
      <c r="K78" s="24">
        <v>0.546</v>
      </c>
      <c r="L78" s="31">
        <f t="shared" si="2"/>
        <v>0.566</v>
      </c>
      <c r="M78" s="32">
        <v>10.49</v>
      </c>
      <c r="N78" s="22">
        <v>6.87</v>
      </c>
      <c r="O78" s="26">
        <f t="shared" si="3"/>
        <v>82.64</v>
      </c>
      <c r="P78" s="199" t="s">
        <v>225</v>
      </c>
    </row>
    <row r="79" spans="1:19">
      <c r="A79" s="15"/>
      <c r="B79" s="27"/>
      <c r="C79" s="16" t="s">
        <v>39</v>
      </c>
      <c r="D79" s="17" t="s">
        <v>72</v>
      </c>
      <c r="E79" s="35" t="s">
        <v>219</v>
      </c>
      <c r="F79" s="19" t="s">
        <v>42</v>
      </c>
      <c r="G79" s="20">
        <v>12835</v>
      </c>
      <c r="H79" s="21">
        <v>310</v>
      </c>
      <c r="I79" s="22">
        <v>11.07</v>
      </c>
      <c r="J79" s="23">
        <v>3.19</v>
      </c>
      <c r="K79" s="24">
        <v>0.581</v>
      </c>
      <c r="L79" s="31">
        <f t="shared" si="2"/>
        <v>0.601</v>
      </c>
      <c r="M79" s="32">
        <v>12.96</v>
      </c>
      <c r="N79" s="22">
        <v>2.94</v>
      </c>
      <c r="O79" s="26">
        <f t="shared" si="3"/>
        <v>84.1</v>
      </c>
    </row>
    <row r="80" spans="1:19">
      <c r="A80" s="15"/>
      <c r="B80" s="27"/>
      <c r="C80" s="78" t="s">
        <v>48</v>
      </c>
      <c r="D80" s="79" t="s">
        <v>152</v>
      </c>
      <c r="E80" s="80"/>
      <c r="F80" s="81" t="s">
        <v>46</v>
      </c>
      <c r="G80" s="82">
        <v>18825</v>
      </c>
      <c r="H80" s="83">
        <v>546</v>
      </c>
      <c r="I80" s="84">
        <v>10.27</v>
      </c>
      <c r="J80" s="85">
        <v>2.15</v>
      </c>
      <c r="K80" s="86">
        <v>0.578</v>
      </c>
      <c r="L80" s="87">
        <f t="shared" si="2"/>
        <v>0.598</v>
      </c>
      <c r="M80" s="88">
        <v>13.41</v>
      </c>
      <c r="N80" s="84">
        <v>3.28</v>
      </c>
      <c r="O80" s="89">
        <f t="shared" si="3"/>
        <v>83.31</v>
      </c>
      <c r="P80" s="112" t="s">
        <v>51</v>
      </c>
    </row>
    <row r="81" spans="1:19">
      <c r="A81" s="15"/>
      <c r="B81" s="27"/>
      <c r="C81" s="16" t="s">
        <v>34</v>
      </c>
      <c r="D81" s="17" t="s">
        <v>35</v>
      </c>
      <c r="E81" s="35" t="s">
        <v>217</v>
      </c>
      <c r="F81" s="19" t="s">
        <v>50</v>
      </c>
      <c r="G81" s="20">
        <v>16325</v>
      </c>
      <c r="H81" s="21">
        <v>426</v>
      </c>
      <c r="I81" s="22">
        <v>11.2</v>
      </c>
      <c r="J81" s="23">
        <v>2.41</v>
      </c>
      <c r="K81" s="24">
        <v>0.578</v>
      </c>
      <c r="L81" s="31">
        <f t="shared" si="2"/>
        <v>0.598</v>
      </c>
      <c r="M81" s="32">
        <v>12.2</v>
      </c>
      <c r="N81" s="22">
        <v>3.44</v>
      </c>
      <c r="O81" s="26">
        <f t="shared" si="3"/>
        <v>84.36</v>
      </c>
    </row>
    <row r="82" spans="1:19">
      <c r="A82" s="15"/>
      <c r="B82" s="27"/>
      <c r="C82" s="16" t="s">
        <v>71</v>
      </c>
      <c r="D82" s="17" t="s">
        <v>154</v>
      </c>
      <c r="E82" s="35" t="s">
        <v>99</v>
      </c>
      <c r="F82" s="19" t="s">
        <v>74</v>
      </c>
      <c r="G82" s="20">
        <v>14961</v>
      </c>
      <c r="H82" s="21">
        <v>363</v>
      </c>
      <c r="I82" s="22">
        <v>15.07</v>
      </c>
      <c r="J82" s="23">
        <v>2.83</v>
      </c>
      <c r="K82" s="24">
        <v>0.571</v>
      </c>
      <c r="L82" s="31">
        <f t="shared" si="2"/>
        <v>0.591</v>
      </c>
      <c r="M82" s="32">
        <v>12.08</v>
      </c>
      <c r="N82" s="22">
        <v>4.04</v>
      </c>
      <c r="O82" s="26">
        <f t="shared" si="3"/>
        <v>83.88</v>
      </c>
      <c r="P82" t="s">
        <v>226</v>
      </c>
    </row>
    <row r="83" spans="1:19">
      <c r="A83" s="15">
        <v>46073</v>
      </c>
      <c r="B83" s="27">
        <v>46073</v>
      </c>
      <c r="C83" s="16" t="s">
        <v>34</v>
      </c>
      <c r="D83" s="17" t="s">
        <v>35</v>
      </c>
      <c r="E83" s="35" t="s">
        <v>217</v>
      </c>
      <c r="F83" s="19" t="s">
        <v>46</v>
      </c>
      <c r="G83" s="20">
        <v>17625</v>
      </c>
      <c r="H83" s="21">
        <v>426</v>
      </c>
      <c r="I83" s="22">
        <v>11.07</v>
      </c>
      <c r="J83" s="23">
        <v>2.51</v>
      </c>
      <c r="K83" s="24">
        <v>0.575</v>
      </c>
      <c r="L83" s="31">
        <f t="shared" si="2"/>
        <v>0.595</v>
      </c>
      <c r="M83" s="32">
        <v>13.19</v>
      </c>
      <c r="N83" s="22">
        <v>3.76</v>
      </c>
      <c r="O83" s="26">
        <f t="shared" si="3"/>
        <v>83.05</v>
      </c>
    </row>
    <row r="84" spans="1:19">
      <c r="A84" s="15"/>
      <c r="B84" s="27"/>
      <c r="C84" s="78" t="s">
        <v>48</v>
      </c>
      <c r="D84" s="79" t="s">
        <v>160</v>
      </c>
      <c r="E84" s="80"/>
      <c r="F84" s="81" t="s">
        <v>50</v>
      </c>
      <c r="G84" s="82">
        <v>18880</v>
      </c>
      <c r="H84" s="83">
        <v>455</v>
      </c>
      <c r="I84" s="84">
        <v>9.87</v>
      </c>
      <c r="J84" s="85">
        <v>2.59</v>
      </c>
      <c r="K84" s="86">
        <v>0.578</v>
      </c>
      <c r="L84" s="87">
        <f t="shared" si="2"/>
        <v>0.598</v>
      </c>
      <c r="M84" s="88">
        <v>13.38</v>
      </c>
      <c r="N84" s="84">
        <v>3.16</v>
      </c>
      <c r="O84" s="89">
        <f t="shared" si="3"/>
        <v>83.46</v>
      </c>
      <c r="P84" s="112" t="s">
        <v>51</v>
      </c>
    </row>
    <row r="85" spans="1:19">
      <c r="A85" s="15"/>
      <c r="B85" s="27"/>
      <c r="C85" s="16" t="s">
        <v>39</v>
      </c>
      <c r="D85" s="17" t="s">
        <v>72</v>
      </c>
      <c r="E85" s="35" t="s">
        <v>219</v>
      </c>
      <c r="F85" s="19" t="s">
        <v>42</v>
      </c>
      <c r="G85" s="20">
        <v>11810</v>
      </c>
      <c r="H85" s="21">
        <v>326</v>
      </c>
      <c r="I85" s="22">
        <v>9.74</v>
      </c>
      <c r="J85" s="23">
        <v>3.16</v>
      </c>
      <c r="K85" s="24">
        <v>0.578</v>
      </c>
      <c r="L85" s="31">
        <f t="shared" si="2"/>
        <v>0.598</v>
      </c>
      <c r="M85" s="32">
        <v>14.76</v>
      </c>
      <c r="N85" s="22">
        <v>3.87</v>
      </c>
      <c r="O85" s="26">
        <f t="shared" si="3"/>
        <v>81.37</v>
      </c>
      <c r="S85" t="s">
        <v>191</v>
      </c>
    </row>
    <row r="86" spans="1:19">
      <c r="A86" s="15"/>
      <c r="B86" s="27"/>
      <c r="C86" s="16" t="s">
        <v>39</v>
      </c>
      <c r="D86" s="35" t="s">
        <v>35</v>
      </c>
      <c r="E86" s="35" t="s">
        <v>136</v>
      </c>
      <c r="F86" s="19" t="s">
        <v>43</v>
      </c>
      <c r="G86" s="29">
        <v>21815</v>
      </c>
      <c r="H86" s="21">
        <v>550</v>
      </c>
      <c r="I86" s="22">
        <v>9.94</v>
      </c>
      <c r="J86" s="23">
        <v>3.66</v>
      </c>
      <c r="K86" s="24">
        <v>0.552</v>
      </c>
      <c r="L86" s="31">
        <f t="shared" si="2"/>
        <v>0.572</v>
      </c>
      <c r="M86" s="32">
        <v>12.42</v>
      </c>
      <c r="N86" s="22">
        <v>3.65</v>
      </c>
      <c r="O86" s="26">
        <f t="shared" si="3"/>
        <v>83.93</v>
      </c>
      <c r="P86" s="113" t="s">
        <v>227</v>
      </c>
    </row>
    <row r="87" spans="1:19">
      <c r="A87" s="15"/>
      <c r="B87" s="27"/>
      <c r="C87" s="16" t="s">
        <v>39</v>
      </c>
      <c r="D87" s="17" t="s">
        <v>156</v>
      </c>
      <c r="E87" s="35" t="s">
        <v>228</v>
      </c>
      <c r="F87" s="19" t="s">
        <v>179</v>
      </c>
      <c r="G87" s="20">
        <v>21007</v>
      </c>
      <c r="H87" s="21">
        <v>548</v>
      </c>
      <c r="I87" s="22">
        <v>9.8</v>
      </c>
      <c r="J87" s="23">
        <v>3.81</v>
      </c>
      <c r="K87" s="24">
        <v>0.546</v>
      </c>
      <c r="L87" s="31">
        <f t="shared" si="2"/>
        <v>0.566</v>
      </c>
      <c r="M87" s="32">
        <v>12.04</v>
      </c>
      <c r="N87" s="22">
        <v>5.06</v>
      </c>
      <c r="O87" s="26">
        <f t="shared" si="3"/>
        <v>82.9</v>
      </c>
      <c r="P87" t="s">
        <v>229</v>
      </c>
    </row>
    <row r="88" spans="1:19">
      <c r="A88" s="15"/>
      <c r="B88" s="27"/>
      <c r="C88" s="16" t="s">
        <v>39</v>
      </c>
      <c r="D88" s="17" t="s">
        <v>156</v>
      </c>
      <c r="E88" s="35" t="s">
        <v>228</v>
      </c>
      <c r="F88" s="19" t="s">
        <v>230</v>
      </c>
      <c r="G88" s="20">
        <v>23962</v>
      </c>
      <c r="H88" s="21">
        <v>575</v>
      </c>
      <c r="I88" s="22">
        <v>13.8</v>
      </c>
      <c r="J88" s="23">
        <v>3.77</v>
      </c>
      <c r="K88" s="24">
        <v>0.549</v>
      </c>
      <c r="L88" s="31">
        <f t="shared" si="2"/>
        <v>0.569</v>
      </c>
      <c r="M88" s="32">
        <v>12.98</v>
      </c>
      <c r="N88" s="22">
        <v>4.71</v>
      </c>
      <c r="O88" s="26">
        <f t="shared" si="3"/>
        <v>82.31</v>
      </c>
      <c r="P88" t="s">
        <v>231</v>
      </c>
    </row>
    <row r="89" spans="1:19">
      <c r="A89" s="15"/>
      <c r="B89" s="27"/>
      <c r="C89" s="16" t="s">
        <v>39</v>
      </c>
      <c r="D89" s="17" t="s">
        <v>72</v>
      </c>
      <c r="E89" s="35" t="s">
        <v>219</v>
      </c>
      <c r="F89" s="19" t="s">
        <v>178</v>
      </c>
      <c r="G89" s="20">
        <v>9040</v>
      </c>
      <c r="H89" s="21">
        <v>252</v>
      </c>
      <c r="I89" s="22">
        <v>9.6</v>
      </c>
      <c r="J89" s="23">
        <v>2.78</v>
      </c>
      <c r="K89" s="24">
        <v>0.568</v>
      </c>
      <c r="L89" s="31">
        <f t="shared" si="2"/>
        <v>0.588</v>
      </c>
      <c r="M89" s="32">
        <v>13.84</v>
      </c>
      <c r="N89" s="22">
        <v>3.08</v>
      </c>
      <c r="O89" s="26">
        <f t="shared" si="3"/>
        <v>83.08</v>
      </c>
    </row>
    <row r="90" spans="1:19">
      <c r="A90" s="15"/>
      <c r="B90" s="27"/>
      <c r="C90" s="16" t="s">
        <v>63</v>
      </c>
      <c r="D90" s="28" t="s">
        <v>129</v>
      </c>
      <c r="E90" s="28" t="s">
        <v>55</v>
      </c>
      <c r="F90" s="19" t="s">
        <v>65</v>
      </c>
      <c r="G90" s="20">
        <v>10375</v>
      </c>
      <c r="H90" s="21">
        <v>338</v>
      </c>
      <c r="I90" s="22">
        <v>11</v>
      </c>
      <c r="J90" s="23">
        <v>2.34</v>
      </c>
      <c r="K90" s="24">
        <v>0.575</v>
      </c>
      <c r="L90" s="31">
        <f t="shared" si="2"/>
        <v>0.595</v>
      </c>
      <c r="M90" s="32">
        <v>12.25</v>
      </c>
      <c r="N90" s="22">
        <v>2.84</v>
      </c>
      <c r="O90" s="26">
        <f t="shared" si="3"/>
        <v>84.91</v>
      </c>
    </row>
    <row r="91" spans="1:19">
      <c r="A91" s="15">
        <v>46074</v>
      </c>
      <c r="B91" s="27">
        <v>46074</v>
      </c>
      <c r="C91" s="78" t="s">
        <v>48</v>
      </c>
      <c r="D91" s="79" t="s">
        <v>166</v>
      </c>
      <c r="E91" s="80"/>
      <c r="F91" s="81" t="s">
        <v>46</v>
      </c>
      <c r="G91" s="82">
        <v>19405</v>
      </c>
      <c r="H91" s="83">
        <v>492</v>
      </c>
      <c r="I91" s="84">
        <v>10.34</v>
      </c>
      <c r="J91" s="85">
        <v>2.38</v>
      </c>
      <c r="K91" s="86">
        <v>0.571</v>
      </c>
      <c r="L91" s="87">
        <f t="shared" si="2"/>
        <v>0.591</v>
      </c>
      <c r="M91" s="88">
        <v>13.94</v>
      </c>
      <c r="N91" s="84">
        <v>3.51</v>
      </c>
      <c r="O91" s="89">
        <f t="shared" si="3"/>
        <v>82.55</v>
      </c>
      <c r="P91" s="112" t="s">
        <v>232</v>
      </c>
    </row>
    <row r="92" spans="1:19">
      <c r="A92" s="15"/>
      <c r="B92" s="27"/>
      <c r="C92" s="16" t="s">
        <v>34</v>
      </c>
      <c r="D92" s="17" t="s">
        <v>35</v>
      </c>
      <c r="E92" s="35" t="s">
        <v>217</v>
      </c>
      <c r="F92" s="19" t="s">
        <v>50</v>
      </c>
      <c r="G92" s="20">
        <v>19528</v>
      </c>
      <c r="H92" s="21">
        <v>426</v>
      </c>
      <c r="I92" s="22">
        <v>12.34</v>
      </c>
      <c r="J92" s="23">
        <v>2.62</v>
      </c>
      <c r="K92" s="24">
        <v>0.575</v>
      </c>
      <c r="L92" s="31">
        <f t="shared" si="2"/>
        <v>0.595</v>
      </c>
      <c r="M92" s="32">
        <v>11.91</v>
      </c>
      <c r="N92" s="22">
        <v>3.74</v>
      </c>
      <c r="O92" s="26">
        <f t="shared" si="3"/>
        <v>84.35</v>
      </c>
      <c r="P92" s="199" t="s">
        <v>233</v>
      </c>
    </row>
    <row r="93" spans="1:19">
      <c r="A93" s="15"/>
      <c r="B93" s="27"/>
      <c r="C93" s="16" t="s">
        <v>39</v>
      </c>
      <c r="D93" s="17" t="s">
        <v>156</v>
      </c>
      <c r="E93" s="35" t="s">
        <v>228</v>
      </c>
      <c r="F93" s="19" t="s">
        <v>224</v>
      </c>
      <c r="G93" s="20">
        <v>30954</v>
      </c>
      <c r="H93" s="21">
        <v>805</v>
      </c>
      <c r="I93" s="22">
        <v>12.54</v>
      </c>
      <c r="J93" s="23">
        <v>3.31</v>
      </c>
      <c r="K93" s="24">
        <v>0.552</v>
      </c>
      <c r="L93" s="31">
        <f t="shared" si="2"/>
        <v>0.572</v>
      </c>
      <c r="M93" s="32">
        <v>10.34</v>
      </c>
      <c r="N93" s="22">
        <v>7.09</v>
      </c>
      <c r="O93" s="26">
        <f t="shared" si="3"/>
        <v>82.57</v>
      </c>
      <c r="P93" s="200" t="s">
        <v>234</v>
      </c>
    </row>
    <row r="94" spans="1:19">
      <c r="A94" s="15"/>
      <c r="B94" s="27"/>
      <c r="C94" s="16" t="s">
        <v>39</v>
      </c>
      <c r="D94" s="28" t="s">
        <v>161</v>
      </c>
      <c r="E94" s="28" t="s">
        <v>235</v>
      </c>
      <c r="F94" s="19" t="s">
        <v>42</v>
      </c>
      <c r="G94" s="20">
        <v>11040</v>
      </c>
      <c r="H94" s="21">
        <v>299</v>
      </c>
      <c r="I94" s="22">
        <v>9.07</v>
      </c>
      <c r="J94" s="23">
        <v>3.27</v>
      </c>
      <c r="K94" s="24">
        <v>0.549</v>
      </c>
      <c r="L94" s="31">
        <f t="shared" si="2"/>
        <v>0.569</v>
      </c>
      <c r="M94" s="32">
        <v>14.6</v>
      </c>
      <c r="N94" s="22">
        <v>2.56</v>
      </c>
      <c r="O94" s="26">
        <f t="shared" si="3"/>
        <v>82.84</v>
      </c>
    </row>
    <row r="95" spans="1:19">
      <c r="A95" s="15"/>
      <c r="B95" s="27"/>
      <c r="C95" s="16" t="s">
        <v>39</v>
      </c>
      <c r="D95" s="35" t="s">
        <v>35</v>
      </c>
      <c r="E95" s="35" t="s">
        <v>136</v>
      </c>
      <c r="F95" s="19" t="s">
        <v>43</v>
      </c>
      <c r="G95" s="29">
        <v>22340</v>
      </c>
      <c r="H95" s="21">
        <v>683</v>
      </c>
      <c r="I95" s="22">
        <v>9.54</v>
      </c>
      <c r="J95" s="23">
        <v>3.07</v>
      </c>
      <c r="K95" s="24">
        <v>0.556</v>
      </c>
      <c r="L95" s="31">
        <f t="shared" si="2"/>
        <v>0.576</v>
      </c>
      <c r="M95" s="32">
        <v>12.04</v>
      </c>
      <c r="N95" s="22">
        <v>4.1</v>
      </c>
      <c r="O95" s="26">
        <f t="shared" si="3"/>
        <v>83.86</v>
      </c>
      <c r="P95" s="113" t="s">
        <v>227</v>
      </c>
    </row>
    <row r="96" spans="1:19">
      <c r="A96" s="15">
        <v>46076</v>
      </c>
      <c r="B96" s="27">
        <v>46076</v>
      </c>
      <c r="C96" s="16" t="s">
        <v>39</v>
      </c>
      <c r="D96" s="28" t="s">
        <v>161</v>
      </c>
      <c r="E96" s="28" t="s">
        <v>235</v>
      </c>
      <c r="F96" s="19" t="s">
        <v>42</v>
      </c>
      <c r="G96" s="20">
        <v>11365</v>
      </c>
      <c r="H96" s="21">
        <v>336</v>
      </c>
      <c r="I96" s="22">
        <v>9.87</v>
      </c>
      <c r="J96" s="23">
        <v>3.13</v>
      </c>
      <c r="K96" s="24">
        <v>0.578</v>
      </c>
      <c r="L96" s="31">
        <f t="shared" ref="L96:L124" si="4">K96+0.02</f>
        <v>0.598</v>
      </c>
      <c r="M96" s="32">
        <v>13.45</v>
      </c>
      <c r="N96" s="22">
        <v>2.8</v>
      </c>
      <c r="O96" s="26">
        <f t="shared" si="3"/>
        <v>83.75</v>
      </c>
    </row>
    <row r="97" spans="1:24">
      <c r="A97" s="15"/>
      <c r="B97" s="27"/>
      <c r="C97" s="16" t="s">
        <v>39</v>
      </c>
      <c r="D97" s="17" t="s">
        <v>170</v>
      </c>
      <c r="E97" s="35" t="s">
        <v>236</v>
      </c>
      <c r="F97" s="19" t="s">
        <v>43</v>
      </c>
      <c r="G97" s="20">
        <v>20170</v>
      </c>
      <c r="H97" s="21">
        <v>595</v>
      </c>
      <c r="I97" s="22">
        <v>10.94</v>
      </c>
      <c r="J97" s="23">
        <v>3.61</v>
      </c>
      <c r="K97" s="24">
        <v>0.552</v>
      </c>
      <c r="L97" s="31">
        <f t="shared" si="4"/>
        <v>0.572</v>
      </c>
      <c r="M97" s="32">
        <v>13.84</v>
      </c>
      <c r="N97" s="22">
        <v>3.66</v>
      </c>
      <c r="O97" s="26">
        <f t="shared" si="3"/>
        <v>82.5</v>
      </c>
    </row>
    <row r="98" spans="1:24">
      <c r="A98" s="15"/>
      <c r="B98" s="27"/>
      <c r="C98" s="16" t="s">
        <v>39</v>
      </c>
      <c r="D98" s="17" t="s">
        <v>237</v>
      </c>
      <c r="E98" s="28" t="s">
        <v>238</v>
      </c>
      <c r="F98" s="19" t="s">
        <v>224</v>
      </c>
      <c r="G98" s="20">
        <v>32455</v>
      </c>
      <c r="H98" s="21">
        <v>755</v>
      </c>
      <c r="I98" s="22">
        <v>13.74</v>
      </c>
      <c r="J98" s="23">
        <v>3.75</v>
      </c>
      <c r="K98" s="24">
        <v>0.543</v>
      </c>
      <c r="L98" s="31">
        <f t="shared" si="4"/>
        <v>0.563</v>
      </c>
      <c r="M98" s="32">
        <v>10.36</v>
      </c>
      <c r="N98" s="22">
        <v>7.86</v>
      </c>
      <c r="O98" s="26">
        <f t="shared" si="3"/>
        <v>81.78</v>
      </c>
      <c r="P98" s="201" t="s">
        <v>239</v>
      </c>
      <c r="Q98" s="201"/>
      <c r="R98" s="201"/>
      <c r="S98" s="201"/>
      <c r="T98" s="201"/>
      <c r="U98" s="201"/>
      <c r="V98" s="201"/>
    </row>
    <row r="99" spans="1:24">
      <c r="A99" s="15"/>
      <c r="B99" s="27"/>
      <c r="C99" s="16" t="s">
        <v>34</v>
      </c>
      <c r="D99" s="17" t="s">
        <v>163</v>
      </c>
      <c r="E99" s="35" t="s">
        <v>240</v>
      </c>
      <c r="F99" s="19" t="s">
        <v>46</v>
      </c>
      <c r="G99" s="20">
        <v>18300</v>
      </c>
      <c r="H99" s="21">
        <v>426</v>
      </c>
      <c r="I99" s="22">
        <v>11</v>
      </c>
      <c r="J99" s="23">
        <v>2.6</v>
      </c>
      <c r="K99" s="24">
        <v>0.578</v>
      </c>
      <c r="L99" s="31">
        <f t="shared" si="4"/>
        <v>0.598</v>
      </c>
      <c r="M99" s="32">
        <v>12.49</v>
      </c>
      <c r="N99" s="22">
        <v>3.24</v>
      </c>
      <c r="O99" s="26">
        <f t="shared" si="3"/>
        <v>84.27</v>
      </c>
      <c r="X99" t="s">
        <v>191</v>
      </c>
    </row>
    <row r="100" spans="1:24">
      <c r="A100" s="15"/>
      <c r="B100" s="27"/>
      <c r="C100" s="16" t="s">
        <v>53</v>
      </c>
      <c r="D100" s="28" t="s">
        <v>129</v>
      </c>
      <c r="E100" s="28" t="s">
        <v>55</v>
      </c>
      <c r="F100" s="19" t="s">
        <v>56</v>
      </c>
      <c r="G100" s="20">
        <v>20820</v>
      </c>
      <c r="H100" s="21">
        <v>467</v>
      </c>
      <c r="I100" s="22">
        <v>11.2</v>
      </c>
      <c r="J100" s="23">
        <v>2.71</v>
      </c>
      <c r="K100" s="24">
        <v>0.581</v>
      </c>
      <c r="L100" s="31">
        <f t="shared" si="4"/>
        <v>0.601</v>
      </c>
      <c r="M100" s="32">
        <v>13.4</v>
      </c>
      <c r="N100" s="22">
        <v>3.59</v>
      </c>
      <c r="O100" s="26">
        <f t="shared" si="3"/>
        <v>83.01</v>
      </c>
    </row>
    <row r="101" spans="1:24">
      <c r="A101" s="15"/>
      <c r="B101" s="27"/>
      <c r="C101" s="16" t="s">
        <v>125</v>
      </c>
      <c r="D101" s="28" t="s">
        <v>129</v>
      </c>
      <c r="E101" s="28" t="s">
        <v>55</v>
      </c>
      <c r="F101" s="19" t="s">
        <v>126</v>
      </c>
      <c r="G101" s="20">
        <v>16330</v>
      </c>
      <c r="H101" s="21">
        <v>417</v>
      </c>
      <c r="I101" s="22">
        <v>11</v>
      </c>
      <c r="J101" s="23">
        <v>2.41</v>
      </c>
      <c r="K101" s="24">
        <v>0.575</v>
      </c>
      <c r="L101" s="31">
        <f t="shared" si="4"/>
        <v>0.595</v>
      </c>
      <c r="M101" s="32">
        <v>15.68</v>
      </c>
      <c r="N101" s="22">
        <v>2.51</v>
      </c>
      <c r="O101" s="26">
        <f t="shared" si="3"/>
        <v>81.81</v>
      </c>
    </row>
    <row r="102" spans="1:24">
      <c r="A102" s="15">
        <v>46077</v>
      </c>
      <c r="B102" s="27">
        <v>46077</v>
      </c>
      <c r="C102" s="16" t="s">
        <v>241</v>
      </c>
      <c r="D102" s="17" t="s">
        <v>131</v>
      </c>
      <c r="E102" s="35" t="s">
        <v>193</v>
      </c>
      <c r="F102" s="19" t="s">
        <v>189</v>
      </c>
      <c r="G102" s="20">
        <v>16786</v>
      </c>
      <c r="H102" s="21">
        <v>488</v>
      </c>
      <c r="I102" s="22">
        <v>17</v>
      </c>
      <c r="J102" s="23">
        <v>2.48</v>
      </c>
      <c r="K102" s="24">
        <v>0.585</v>
      </c>
      <c r="L102" s="31">
        <f t="shared" si="4"/>
        <v>0.605</v>
      </c>
      <c r="M102" s="32">
        <v>14.7</v>
      </c>
      <c r="N102" s="22">
        <v>3.8</v>
      </c>
      <c r="O102" s="26">
        <f t="shared" si="3"/>
        <v>81.5</v>
      </c>
      <c r="P102" t="s">
        <v>242</v>
      </c>
    </row>
    <row r="103" spans="1:24">
      <c r="A103" s="15"/>
      <c r="B103" s="27"/>
      <c r="C103" s="16" t="s">
        <v>48</v>
      </c>
      <c r="D103" s="17" t="s">
        <v>243</v>
      </c>
      <c r="E103" s="35"/>
      <c r="F103" s="19" t="s">
        <v>50</v>
      </c>
      <c r="G103" s="20">
        <v>19130</v>
      </c>
      <c r="H103" s="21">
        <v>476</v>
      </c>
      <c r="I103" s="22">
        <v>9.8</v>
      </c>
      <c r="J103" s="23">
        <v>2.71</v>
      </c>
      <c r="K103" s="24">
        <v>0.575</v>
      </c>
      <c r="L103" s="31">
        <f t="shared" si="4"/>
        <v>0.595</v>
      </c>
      <c r="M103" s="32">
        <v>13.25</v>
      </c>
      <c r="N103" s="22">
        <v>2.84</v>
      </c>
      <c r="O103" s="26">
        <f t="shared" si="3"/>
        <v>83.91</v>
      </c>
    </row>
    <row r="104" spans="1:24">
      <c r="A104" s="15"/>
      <c r="B104" s="27"/>
      <c r="C104" s="16" t="s">
        <v>39</v>
      </c>
      <c r="D104" s="17" t="s">
        <v>237</v>
      </c>
      <c r="E104" s="28" t="s">
        <v>238</v>
      </c>
      <c r="F104" s="19" t="s">
        <v>244</v>
      </c>
      <c r="G104" s="20">
        <v>23593</v>
      </c>
      <c r="H104" s="21">
        <v>455</v>
      </c>
      <c r="I104" s="22">
        <v>11.2</v>
      </c>
      <c r="J104" s="23">
        <v>3.88</v>
      </c>
      <c r="K104" s="24">
        <v>0.568</v>
      </c>
      <c r="L104" s="31">
        <f t="shared" si="4"/>
        <v>0.588</v>
      </c>
      <c r="M104" s="32">
        <v>12.43</v>
      </c>
      <c r="N104" s="22">
        <v>5.66</v>
      </c>
      <c r="O104" s="26">
        <f t="shared" si="3"/>
        <v>81.91</v>
      </c>
      <c r="P104" s="199" t="s">
        <v>245</v>
      </c>
    </row>
    <row r="105" spans="1:24">
      <c r="A105" s="15"/>
      <c r="B105" s="27"/>
      <c r="C105" s="16" t="s">
        <v>39</v>
      </c>
      <c r="D105" s="28" t="s">
        <v>161</v>
      </c>
      <c r="E105" s="28" t="s">
        <v>235</v>
      </c>
      <c r="F105" s="19" t="s">
        <v>178</v>
      </c>
      <c r="G105" s="20">
        <v>11665</v>
      </c>
      <c r="H105" s="21">
        <v>290</v>
      </c>
      <c r="I105" s="22">
        <v>10.07</v>
      </c>
      <c r="J105" s="23">
        <v>3.8</v>
      </c>
      <c r="K105" s="24">
        <v>0.559</v>
      </c>
      <c r="L105" s="31">
        <f t="shared" si="4"/>
        <v>0.579</v>
      </c>
      <c r="M105" s="32">
        <v>14.36</v>
      </c>
      <c r="N105" s="22">
        <v>3.64</v>
      </c>
      <c r="O105" s="26">
        <f t="shared" si="3"/>
        <v>82</v>
      </c>
    </row>
    <row r="106" spans="1:24">
      <c r="A106" s="15"/>
      <c r="B106" s="27"/>
      <c r="C106" s="16" t="s">
        <v>39</v>
      </c>
      <c r="D106" s="28" t="s">
        <v>161</v>
      </c>
      <c r="E106" s="28" t="s">
        <v>235</v>
      </c>
      <c r="F106" s="19" t="s">
        <v>42</v>
      </c>
      <c r="G106" s="20">
        <v>12535</v>
      </c>
      <c r="H106" s="21">
        <v>360</v>
      </c>
      <c r="I106" s="22">
        <v>9.67</v>
      </c>
      <c r="J106" s="23">
        <v>3.11</v>
      </c>
      <c r="K106" s="24">
        <v>0.578</v>
      </c>
      <c r="L106" s="31">
        <f t="shared" si="4"/>
        <v>0.598</v>
      </c>
      <c r="M106" s="32">
        <v>13.96</v>
      </c>
      <c r="N106" s="22">
        <v>2.93</v>
      </c>
      <c r="O106" s="26">
        <f t="shared" si="3"/>
        <v>83.11</v>
      </c>
    </row>
    <row r="107" spans="1:24">
      <c r="A107" s="15"/>
      <c r="B107" s="27"/>
      <c r="C107" s="16" t="s">
        <v>71</v>
      </c>
      <c r="D107" s="17" t="s">
        <v>246</v>
      </c>
      <c r="E107" s="35" t="s">
        <v>247</v>
      </c>
      <c r="F107" s="19" t="s">
        <v>74</v>
      </c>
      <c r="G107" s="20">
        <v>13580</v>
      </c>
      <c r="H107" s="21">
        <v>324</v>
      </c>
      <c r="I107" s="22">
        <v>15.14</v>
      </c>
      <c r="J107" s="23">
        <v>2.38</v>
      </c>
      <c r="K107" s="24">
        <v>0.571</v>
      </c>
      <c r="L107" s="31">
        <f t="shared" si="4"/>
        <v>0.591</v>
      </c>
      <c r="M107" s="32">
        <v>12.78</v>
      </c>
      <c r="N107" s="22">
        <v>3.46</v>
      </c>
      <c r="O107" s="26">
        <f t="shared" si="3"/>
        <v>83.76</v>
      </c>
      <c r="P107" t="s">
        <v>248</v>
      </c>
    </row>
    <row r="108" spans="1:24">
      <c r="A108" s="15">
        <v>46078</v>
      </c>
      <c r="B108" s="27">
        <v>46078</v>
      </c>
      <c r="C108" s="16" t="s">
        <v>58</v>
      </c>
      <c r="D108" s="28" t="s">
        <v>129</v>
      </c>
      <c r="E108" s="28" t="s">
        <v>55</v>
      </c>
      <c r="F108" s="19" t="s">
        <v>115</v>
      </c>
      <c r="G108" s="20">
        <v>9995</v>
      </c>
      <c r="H108" s="21">
        <v>210</v>
      </c>
      <c r="I108" s="22">
        <v>11.24</v>
      </c>
      <c r="J108" s="23">
        <v>2.53</v>
      </c>
      <c r="K108" s="24">
        <v>0.585</v>
      </c>
      <c r="L108" s="31">
        <f t="shared" si="4"/>
        <v>0.605</v>
      </c>
      <c r="M108" s="32">
        <v>14.88</v>
      </c>
      <c r="N108" s="22">
        <v>3.04</v>
      </c>
      <c r="O108" s="26">
        <f t="shared" si="3"/>
        <v>82.08</v>
      </c>
    </row>
    <row r="109" spans="1:24">
      <c r="A109" s="15"/>
      <c r="B109" s="27"/>
      <c r="C109" s="16" t="s">
        <v>58</v>
      </c>
      <c r="D109" s="28" t="s">
        <v>129</v>
      </c>
      <c r="E109" s="28" t="s">
        <v>55</v>
      </c>
      <c r="F109" s="19" t="s">
        <v>61</v>
      </c>
      <c r="G109" s="20">
        <v>6270</v>
      </c>
      <c r="H109" s="21">
        <v>115</v>
      </c>
      <c r="I109" s="22">
        <v>11.54</v>
      </c>
      <c r="J109" s="23">
        <v>2.42</v>
      </c>
      <c r="K109" s="24">
        <v>0.581</v>
      </c>
      <c r="L109" s="31">
        <f t="shared" si="4"/>
        <v>0.601</v>
      </c>
      <c r="M109" s="32">
        <v>14.7</v>
      </c>
      <c r="N109" s="22">
        <v>2.85</v>
      </c>
      <c r="O109" s="26">
        <f t="shared" si="3"/>
        <v>82.45</v>
      </c>
    </row>
    <row r="110" spans="1:24">
      <c r="A110" s="15"/>
      <c r="B110" s="27"/>
      <c r="C110" s="16" t="s">
        <v>39</v>
      </c>
      <c r="D110" s="17" t="s">
        <v>170</v>
      </c>
      <c r="E110" s="35" t="s">
        <v>236</v>
      </c>
      <c r="F110" s="19" t="s">
        <v>179</v>
      </c>
      <c r="G110" s="20">
        <v>17095</v>
      </c>
      <c r="H110" s="21">
        <v>474</v>
      </c>
      <c r="I110" s="22">
        <v>10.2</v>
      </c>
      <c r="J110" s="23">
        <v>3.66</v>
      </c>
      <c r="K110" s="24">
        <v>0.578</v>
      </c>
      <c r="L110" s="31">
        <f t="shared" si="4"/>
        <v>0.598</v>
      </c>
      <c r="M110" s="32">
        <v>13.43</v>
      </c>
      <c r="N110" s="22">
        <v>4.61</v>
      </c>
      <c r="O110" s="26">
        <f t="shared" si="3"/>
        <v>81.96</v>
      </c>
      <c r="S110" t="s">
        <v>191</v>
      </c>
    </row>
    <row r="111" spans="1:24">
      <c r="A111" s="15"/>
      <c r="B111" s="27"/>
      <c r="C111" s="16" t="s">
        <v>39</v>
      </c>
      <c r="D111" s="17" t="s">
        <v>249</v>
      </c>
      <c r="E111" s="35" t="s">
        <v>250</v>
      </c>
      <c r="F111" s="19" t="s">
        <v>42</v>
      </c>
      <c r="G111" s="20">
        <v>13010</v>
      </c>
      <c r="H111" s="21">
        <v>334</v>
      </c>
      <c r="I111" s="22">
        <v>12.8</v>
      </c>
      <c r="J111" s="23">
        <v>3.73</v>
      </c>
      <c r="K111" s="24">
        <v>0.578</v>
      </c>
      <c r="L111" s="31">
        <f t="shared" si="4"/>
        <v>0.598</v>
      </c>
      <c r="M111" s="32">
        <v>13.7</v>
      </c>
      <c r="N111" s="22">
        <v>3.09</v>
      </c>
      <c r="O111" s="26">
        <f t="shared" si="3"/>
        <v>83.21</v>
      </c>
      <c r="P111" t="s">
        <v>251</v>
      </c>
    </row>
    <row r="112" spans="1:24">
      <c r="A112" s="15">
        <v>46079</v>
      </c>
      <c r="B112" s="27">
        <v>46079</v>
      </c>
      <c r="C112" s="16" t="s">
        <v>39</v>
      </c>
      <c r="D112" s="17" t="s">
        <v>249</v>
      </c>
      <c r="E112" s="35" t="s">
        <v>250</v>
      </c>
      <c r="F112" s="19" t="s">
        <v>42</v>
      </c>
      <c r="G112" s="20">
        <v>13520</v>
      </c>
      <c r="H112" s="21">
        <v>386</v>
      </c>
      <c r="I112" s="22">
        <v>12.6</v>
      </c>
      <c r="J112" s="23">
        <v>3.82</v>
      </c>
      <c r="K112" s="24">
        <v>0.568</v>
      </c>
      <c r="L112" s="31">
        <f t="shared" si="4"/>
        <v>0.588</v>
      </c>
      <c r="M112" s="32">
        <v>11.8</v>
      </c>
      <c r="N112" s="22">
        <v>6.36</v>
      </c>
      <c r="O112" s="26">
        <f t="shared" si="3"/>
        <v>81.84</v>
      </c>
      <c r="P112" t="s">
        <v>252</v>
      </c>
    </row>
    <row r="113" spans="1:19">
      <c r="A113" s="15"/>
      <c r="B113" s="27"/>
      <c r="C113" s="16" t="s">
        <v>39</v>
      </c>
      <c r="D113" s="28" t="s">
        <v>253</v>
      </c>
      <c r="E113" s="28" t="s">
        <v>254</v>
      </c>
      <c r="F113" s="19" t="s">
        <v>204</v>
      </c>
      <c r="G113" s="20">
        <v>19855</v>
      </c>
      <c r="H113" s="21">
        <v>586</v>
      </c>
      <c r="I113" s="22">
        <v>12</v>
      </c>
      <c r="J113" s="23">
        <v>2.44</v>
      </c>
      <c r="K113" s="24">
        <v>0.571</v>
      </c>
      <c r="L113" s="31">
        <f t="shared" si="4"/>
        <v>0.591</v>
      </c>
      <c r="M113" s="32">
        <v>13.76</v>
      </c>
      <c r="N113" s="22">
        <v>4.06</v>
      </c>
      <c r="O113" s="26">
        <f t="shared" si="3"/>
        <v>82.18</v>
      </c>
    </row>
    <row r="114" spans="1:19">
      <c r="A114" s="15"/>
      <c r="B114" s="27"/>
      <c r="C114" s="16" t="s">
        <v>39</v>
      </c>
      <c r="D114" s="28" t="s">
        <v>253</v>
      </c>
      <c r="E114" s="28" t="s">
        <v>254</v>
      </c>
      <c r="F114" s="19" t="s">
        <v>43</v>
      </c>
      <c r="G114" s="20">
        <v>21070</v>
      </c>
      <c r="H114" s="21">
        <v>612</v>
      </c>
      <c r="I114" s="22">
        <v>10.8</v>
      </c>
      <c r="J114" s="23">
        <v>2.38</v>
      </c>
      <c r="K114" s="24">
        <v>0.578</v>
      </c>
      <c r="L114" s="31">
        <f t="shared" si="4"/>
        <v>0.598</v>
      </c>
      <c r="M114" s="32">
        <v>14.08</v>
      </c>
      <c r="N114" s="22">
        <v>3.84</v>
      </c>
      <c r="O114" s="26">
        <f t="shared" si="3"/>
        <v>82.08</v>
      </c>
    </row>
    <row r="115" spans="1:19">
      <c r="A115" s="15"/>
      <c r="B115" s="27"/>
      <c r="C115" s="16" t="s">
        <v>34</v>
      </c>
      <c r="D115" s="17" t="s">
        <v>163</v>
      </c>
      <c r="E115" s="35" t="s">
        <v>240</v>
      </c>
      <c r="F115" s="19" t="s">
        <v>46</v>
      </c>
      <c r="G115" s="20">
        <v>18345</v>
      </c>
      <c r="H115" s="21">
        <v>516</v>
      </c>
      <c r="I115" s="22">
        <v>10.67</v>
      </c>
      <c r="J115" s="23">
        <v>2.37</v>
      </c>
      <c r="K115" s="24">
        <v>0.581</v>
      </c>
      <c r="L115" s="31">
        <f t="shared" si="4"/>
        <v>0.601</v>
      </c>
      <c r="M115" s="32">
        <v>14.56</v>
      </c>
      <c r="N115" s="22">
        <v>2.56</v>
      </c>
      <c r="O115" s="26">
        <f t="shared" si="3"/>
        <v>82.88</v>
      </c>
    </row>
    <row r="116" spans="1:19">
      <c r="A116" s="15"/>
      <c r="B116" s="27"/>
      <c r="C116" s="16" t="s">
        <v>34</v>
      </c>
      <c r="D116" s="17" t="s">
        <v>163</v>
      </c>
      <c r="E116" s="35" t="s">
        <v>240</v>
      </c>
      <c r="F116" s="19" t="s">
        <v>50</v>
      </c>
      <c r="G116" s="20">
        <v>17905</v>
      </c>
      <c r="H116" s="21">
        <v>423</v>
      </c>
      <c r="I116" s="22">
        <v>11.34</v>
      </c>
      <c r="J116" s="23">
        <v>2.61</v>
      </c>
      <c r="K116" s="24">
        <v>0.578</v>
      </c>
      <c r="L116" s="31">
        <f t="shared" si="4"/>
        <v>0.598</v>
      </c>
      <c r="M116" s="32">
        <v>12.14</v>
      </c>
      <c r="N116" s="22">
        <v>3.67</v>
      </c>
      <c r="O116" s="26">
        <f t="shared" si="3"/>
        <v>84.19</v>
      </c>
      <c r="S116" t="s">
        <v>191</v>
      </c>
    </row>
    <row r="117" spans="1:19">
      <c r="A117" s="15">
        <v>46080</v>
      </c>
      <c r="B117" s="27">
        <v>46080</v>
      </c>
      <c r="C117" s="16" t="s">
        <v>34</v>
      </c>
      <c r="D117" s="17" t="s">
        <v>163</v>
      </c>
      <c r="E117" s="35" t="s">
        <v>240</v>
      </c>
      <c r="F117" s="19" t="s">
        <v>46</v>
      </c>
      <c r="G117" s="20">
        <v>19635</v>
      </c>
      <c r="H117" s="21">
        <v>421</v>
      </c>
      <c r="I117" s="22">
        <v>11.2</v>
      </c>
      <c r="J117" s="23">
        <v>2.52</v>
      </c>
      <c r="K117" s="24">
        <v>0.571</v>
      </c>
      <c r="L117" s="31">
        <f t="shared" si="4"/>
        <v>0.591</v>
      </c>
      <c r="M117" s="32">
        <v>13.41</v>
      </c>
      <c r="N117" s="22">
        <v>3.66</v>
      </c>
      <c r="O117" s="26">
        <f t="shared" si="3"/>
        <v>82.93</v>
      </c>
    </row>
    <row r="118" spans="1:19">
      <c r="A118" s="15"/>
      <c r="B118" s="27"/>
      <c r="C118" s="16" t="s">
        <v>209</v>
      </c>
      <c r="D118" s="28" t="s">
        <v>255</v>
      </c>
      <c r="E118" s="28" t="s">
        <v>256</v>
      </c>
      <c r="F118" s="19" t="s">
        <v>86</v>
      </c>
      <c r="G118" s="20">
        <v>5430</v>
      </c>
      <c r="H118" s="21">
        <v>126</v>
      </c>
      <c r="I118" s="22">
        <v>11.47</v>
      </c>
      <c r="J118" s="23">
        <v>2.42</v>
      </c>
      <c r="K118" s="24">
        <v>0.578</v>
      </c>
      <c r="L118" s="31">
        <f t="shared" si="4"/>
        <v>0.598</v>
      </c>
      <c r="M118" s="32">
        <v>14.68</v>
      </c>
      <c r="N118" s="22">
        <v>2.42</v>
      </c>
      <c r="O118" s="26">
        <f t="shared" si="3"/>
        <v>82.9</v>
      </c>
    </row>
    <row r="119" spans="1:19">
      <c r="A119" s="15"/>
      <c r="B119" s="27"/>
      <c r="C119" s="16" t="s">
        <v>39</v>
      </c>
      <c r="D119" s="17" t="s">
        <v>249</v>
      </c>
      <c r="E119" s="35" t="s">
        <v>250</v>
      </c>
      <c r="F119" s="19" t="s">
        <v>42</v>
      </c>
      <c r="G119" s="20">
        <v>13529</v>
      </c>
      <c r="H119" s="21">
        <v>368</v>
      </c>
      <c r="I119" s="22">
        <v>11.94</v>
      </c>
      <c r="J119" s="23">
        <v>3.23</v>
      </c>
      <c r="K119" s="24">
        <v>0.565</v>
      </c>
      <c r="L119" s="31">
        <f t="shared" si="4"/>
        <v>0.585</v>
      </c>
      <c r="M119" s="32">
        <v>11.6</v>
      </c>
      <c r="N119" s="22">
        <v>7.81</v>
      </c>
      <c r="O119" s="26">
        <f t="shared" si="3"/>
        <v>80.59</v>
      </c>
      <c r="P119" t="s">
        <v>257</v>
      </c>
    </row>
    <row r="120" spans="1:19">
      <c r="A120" s="15"/>
      <c r="B120" s="27"/>
      <c r="C120" s="16" t="s">
        <v>39</v>
      </c>
      <c r="D120" s="28" t="s">
        <v>253</v>
      </c>
      <c r="E120" s="28" t="s">
        <v>254</v>
      </c>
      <c r="F120" s="19" t="s">
        <v>178</v>
      </c>
      <c r="G120" s="20">
        <v>12795</v>
      </c>
      <c r="H120" s="21">
        <v>290</v>
      </c>
      <c r="I120" s="22">
        <v>10.47</v>
      </c>
      <c r="J120" s="23">
        <v>2.88</v>
      </c>
      <c r="K120" s="24">
        <v>0.559</v>
      </c>
      <c r="L120" s="31">
        <f t="shared" si="4"/>
        <v>0.579</v>
      </c>
      <c r="M120" s="32">
        <v>13.84</v>
      </c>
      <c r="N120" s="22">
        <v>2.61</v>
      </c>
      <c r="O120" s="26">
        <f t="shared" si="3"/>
        <v>83.55</v>
      </c>
    </row>
    <row r="121" spans="1:19">
      <c r="A121" s="15">
        <v>46081</v>
      </c>
      <c r="B121" s="27">
        <v>46081</v>
      </c>
      <c r="C121" s="16" t="s">
        <v>39</v>
      </c>
      <c r="D121" s="28" t="s">
        <v>253</v>
      </c>
      <c r="E121" s="28" t="s">
        <v>254</v>
      </c>
      <c r="F121" s="19" t="s">
        <v>43</v>
      </c>
      <c r="G121" s="20">
        <v>23600</v>
      </c>
      <c r="H121" s="21">
        <v>541</v>
      </c>
      <c r="I121" s="22">
        <v>10.4</v>
      </c>
      <c r="J121" s="23">
        <v>3.53</v>
      </c>
      <c r="K121" s="24">
        <v>0.575</v>
      </c>
      <c r="L121" s="31">
        <f t="shared" si="4"/>
        <v>0.595</v>
      </c>
      <c r="M121" s="32">
        <v>13.42</v>
      </c>
      <c r="N121" s="22">
        <v>3.66</v>
      </c>
      <c r="O121" s="26">
        <f t="shared" si="3"/>
        <v>82.92</v>
      </c>
    </row>
    <row r="122" spans="1:19">
      <c r="A122" s="15"/>
      <c r="B122" s="27"/>
      <c r="C122" s="16" t="s">
        <v>39</v>
      </c>
      <c r="D122" s="17" t="s">
        <v>249</v>
      </c>
      <c r="E122" s="35" t="s">
        <v>250</v>
      </c>
      <c r="F122" s="19" t="s">
        <v>42</v>
      </c>
      <c r="G122" s="20">
        <v>12389</v>
      </c>
      <c r="H122" s="21">
        <v>344</v>
      </c>
      <c r="I122" s="22">
        <v>12</v>
      </c>
      <c r="J122" s="23">
        <v>3.72</v>
      </c>
      <c r="K122" s="24">
        <v>0.575</v>
      </c>
      <c r="L122" s="31">
        <f t="shared" si="4"/>
        <v>0.595</v>
      </c>
      <c r="M122" s="32">
        <v>11.38</v>
      </c>
      <c r="N122" s="22">
        <v>6.44</v>
      </c>
      <c r="O122" s="26">
        <f t="shared" si="3"/>
        <v>82.18</v>
      </c>
      <c r="P122" t="s">
        <v>258</v>
      </c>
    </row>
    <row r="123" spans="1:19">
      <c r="A123" s="15"/>
      <c r="B123" s="27"/>
      <c r="C123" s="16" t="s">
        <v>39</v>
      </c>
      <c r="D123" s="28" t="s">
        <v>259</v>
      </c>
      <c r="E123" s="28" t="s">
        <v>260</v>
      </c>
      <c r="F123" s="19" t="s">
        <v>224</v>
      </c>
      <c r="G123" s="20">
        <v>30223</v>
      </c>
      <c r="H123" s="21">
        <v>799</v>
      </c>
      <c r="I123" s="22">
        <v>10.54</v>
      </c>
      <c r="J123" s="23">
        <v>3.61</v>
      </c>
      <c r="K123" s="24">
        <v>0.571</v>
      </c>
      <c r="L123" s="31">
        <f t="shared" si="4"/>
        <v>0.591</v>
      </c>
      <c r="M123" s="32">
        <v>10.76</v>
      </c>
      <c r="N123" s="22">
        <v>9.48</v>
      </c>
      <c r="O123" s="26">
        <f t="shared" si="3"/>
        <v>79.76</v>
      </c>
      <c r="P123" t="s">
        <v>261</v>
      </c>
    </row>
    <row r="124" spans="1:19">
      <c r="A124" s="15"/>
      <c r="B124" s="27"/>
      <c r="C124" s="16" t="s">
        <v>34</v>
      </c>
      <c r="D124" s="28" t="s">
        <v>262</v>
      </c>
      <c r="E124" s="28" t="s">
        <v>263</v>
      </c>
      <c r="F124" s="19" t="s">
        <v>50</v>
      </c>
      <c r="G124" s="20">
        <v>17785</v>
      </c>
      <c r="H124" s="21">
        <v>453</v>
      </c>
      <c r="I124" s="22">
        <v>11.6</v>
      </c>
      <c r="J124" s="23">
        <v>2.81</v>
      </c>
      <c r="K124" s="24">
        <v>0.578</v>
      </c>
      <c r="L124" s="31">
        <f t="shared" si="4"/>
        <v>0.598</v>
      </c>
      <c r="M124" s="32">
        <v>12.25</v>
      </c>
      <c r="N124" s="22">
        <v>2.9</v>
      </c>
      <c r="O124" s="26">
        <f t="shared" ref="O124:O129" si="5">100-M124-N124</f>
        <v>84.85</v>
      </c>
    </row>
    <row r="125" spans="1:19">
      <c r="A125" s="15"/>
      <c r="B125" s="27"/>
      <c r="C125" s="16"/>
      <c r="D125" s="28"/>
      <c r="E125" s="28"/>
      <c r="F125" s="19"/>
      <c r="G125" s="20"/>
      <c r="H125" s="21"/>
      <c r="I125" s="22"/>
      <c r="J125" s="23"/>
      <c r="K125" s="24"/>
      <c r="L125" s="31"/>
      <c r="M125" s="32"/>
      <c r="N125" s="22"/>
      <c r="O125" s="26">
        <f t="shared" si="5"/>
        <v>100</v>
      </c>
      <c r="S125" t="s">
        <v>191</v>
      </c>
    </row>
    <row r="126" spans="1:19">
      <c r="A126" s="15"/>
      <c r="B126" s="27"/>
      <c r="C126" s="16"/>
      <c r="D126" s="17"/>
      <c r="E126" s="35"/>
      <c r="F126" s="19"/>
      <c r="G126" s="20"/>
      <c r="H126" s="21"/>
      <c r="I126" s="22"/>
      <c r="J126" s="23"/>
      <c r="K126" s="24"/>
      <c r="L126" s="31"/>
      <c r="M126" s="32"/>
      <c r="N126" s="22"/>
      <c r="O126" s="26">
        <f t="shared" si="5"/>
        <v>100</v>
      </c>
    </row>
    <row r="127" spans="1:19">
      <c r="A127" s="15"/>
      <c r="B127" s="27"/>
      <c r="C127" s="16"/>
      <c r="D127" s="28"/>
      <c r="E127" s="28"/>
      <c r="F127" s="19"/>
      <c r="G127" s="20"/>
      <c r="H127" s="21"/>
      <c r="I127" s="22"/>
      <c r="J127" s="23"/>
      <c r="K127" s="24"/>
      <c r="L127" s="31"/>
      <c r="M127" s="32"/>
      <c r="N127" s="22"/>
      <c r="O127" s="26">
        <f t="shared" si="5"/>
        <v>100</v>
      </c>
    </row>
    <row r="128" spans="1:19">
      <c r="A128" s="15"/>
      <c r="B128" s="27"/>
      <c r="C128" s="16"/>
      <c r="D128" s="17"/>
      <c r="E128" s="35"/>
      <c r="F128" s="19"/>
      <c r="G128" s="20"/>
      <c r="H128" s="21"/>
      <c r="I128" s="22"/>
      <c r="J128" s="23"/>
      <c r="K128" s="24"/>
      <c r="L128" s="43"/>
      <c r="M128" s="32"/>
      <c r="N128" s="22"/>
      <c r="O128" s="26">
        <f t="shared" si="5"/>
        <v>100</v>
      </c>
    </row>
    <row r="129" spans="1:15">
      <c r="A129" s="15"/>
      <c r="B129" s="27"/>
      <c r="C129" s="16"/>
      <c r="D129" s="28"/>
      <c r="E129" s="28"/>
      <c r="F129" s="19"/>
      <c r="G129" s="20"/>
      <c r="H129" s="21"/>
      <c r="I129" s="22"/>
      <c r="J129" s="23"/>
      <c r="K129" s="24"/>
      <c r="L129" s="31"/>
      <c r="M129" s="32"/>
      <c r="N129" s="22"/>
      <c r="O129" s="26">
        <f t="shared" si="5"/>
        <v>100</v>
      </c>
    </row>
    <row r="130" spans="1:15">
      <c r="A130" s="44"/>
      <c r="B130" s="45"/>
      <c r="C130" s="46"/>
      <c r="D130" s="46"/>
      <c r="E130" s="46"/>
      <c r="F130" s="47"/>
      <c r="G130" s="48"/>
      <c r="H130" s="49"/>
      <c r="I130" s="50"/>
      <c r="J130" s="51"/>
      <c r="K130" s="52"/>
      <c r="L130" s="52"/>
      <c r="M130" s="50"/>
      <c r="N130" s="50"/>
      <c r="O130" s="53"/>
    </row>
    <row r="131" ht="15.75" spans="1:15">
      <c r="A131" s="54" t="s">
        <v>172</v>
      </c>
      <c r="B131" s="55"/>
      <c r="C131" s="55"/>
      <c r="D131" s="55"/>
      <c r="E131" s="55"/>
      <c r="F131" s="55"/>
      <c r="G131" s="56">
        <f>SUM(G5:G130)</f>
        <v>1938269</v>
      </c>
      <c r="H131" s="57">
        <f>SUM(H5:H130)</f>
        <v>49468</v>
      </c>
      <c r="I131" s="58">
        <f t="shared" ref="I131:O131" si="6">AVERAGE(I5:I130)</f>
        <v>11.0704201680672</v>
      </c>
      <c r="J131" s="58">
        <f t="shared" si="6"/>
        <v>2.99697478991597</v>
      </c>
      <c r="K131" s="59">
        <f t="shared" si="6"/>
        <v>0.568428571428572</v>
      </c>
      <c r="L131" s="59">
        <f t="shared" si="6"/>
        <v>0.588428571428571</v>
      </c>
      <c r="M131" s="58">
        <f t="shared" si="6"/>
        <v>12.9755462184874</v>
      </c>
      <c r="N131" s="58">
        <f t="shared" si="6"/>
        <v>3.76226890756303</v>
      </c>
      <c r="O131" s="60">
        <f t="shared" si="6"/>
        <v>84.0656</v>
      </c>
    </row>
  </sheetData>
  <mergeCells count="18">
    <mergeCell ref="K4:L4"/>
    <mergeCell ref="D8:E8"/>
    <mergeCell ref="D15:E15"/>
    <mergeCell ref="D29:E29"/>
    <mergeCell ref="D44:E44"/>
    <mergeCell ref="D52:E52"/>
    <mergeCell ref="D54:E54"/>
    <mergeCell ref="D73:E73"/>
    <mergeCell ref="P78:V78"/>
    <mergeCell ref="D80:E80"/>
    <mergeCell ref="D84:E84"/>
    <mergeCell ref="D91:E91"/>
    <mergeCell ref="P92:T92"/>
    <mergeCell ref="P98:V98"/>
    <mergeCell ref="D103:E103"/>
    <mergeCell ref="P104:V104"/>
    <mergeCell ref="D126:E126"/>
    <mergeCell ref="D128:E128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3"/>
  <sheetViews>
    <sheetView topLeftCell="A88" workbookViewId="0">
      <selection activeCell="V115" sqref="V115"/>
    </sheetView>
  </sheetViews>
  <sheetFormatPr defaultColWidth="9.14285714285714" defaultRowHeight="15"/>
  <cols>
    <col min="1" max="2" width="10.4285714285714"/>
    <col min="4" max="4" width="9.85714285714286"/>
    <col min="6" max="6" width="10.5714285714286"/>
    <col min="7" max="7" width="11.7142857142857" customWidth="1"/>
  </cols>
  <sheetData>
    <row r="1" ht="16.5" spans="1:16">
      <c r="A1" s="206" t="s">
        <v>264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16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16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16">
      <c r="A5" s="15"/>
      <c r="B5" s="27"/>
      <c r="C5" s="16"/>
      <c r="D5" s="76"/>
      <c r="E5" s="35"/>
      <c r="F5" s="19"/>
      <c r="G5" s="20"/>
      <c r="H5" s="21"/>
      <c r="I5" s="22"/>
      <c r="J5" s="23"/>
      <c r="K5" s="24"/>
      <c r="L5" s="25"/>
      <c r="M5" s="22"/>
      <c r="N5" s="22"/>
      <c r="O5" s="26">
        <f t="shared" ref="O5:O68" si="0">100-M5-N5</f>
        <v>100</v>
      </c>
    </row>
    <row r="6" spans="1:16">
      <c r="A6" s="15">
        <v>46081</v>
      </c>
      <c r="B6" s="27">
        <v>46081</v>
      </c>
      <c r="C6" s="16" t="s">
        <v>39</v>
      </c>
      <c r="D6" s="28" t="s">
        <v>265</v>
      </c>
      <c r="E6" s="28" t="s">
        <v>266</v>
      </c>
      <c r="F6" s="19" t="s">
        <v>178</v>
      </c>
      <c r="G6" s="20">
        <v>11520</v>
      </c>
      <c r="H6" s="21">
        <v>270</v>
      </c>
      <c r="I6" s="22">
        <v>9.8</v>
      </c>
      <c r="J6" s="23">
        <v>2.89</v>
      </c>
      <c r="K6" s="24">
        <v>0.568</v>
      </c>
      <c r="L6" s="31">
        <f t="shared" ref="L6:L69" si="1">K6+0.02</f>
        <v>0.588</v>
      </c>
      <c r="M6" s="32">
        <v>11.74</v>
      </c>
      <c r="N6" s="22">
        <v>5.13</v>
      </c>
      <c r="O6" s="26">
        <f t="shared" si="0"/>
        <v>83.13</v>
      </c>
      <c r="P6" t="s">
        <v>267</v>
      </c>
    </row>
    <row r="7" spans="1:16">
      <c r="A7" s="15">
        <v>46083</v>
      </c>
      <c r="B7" s="27">
        <v>46083</v>
      </c>
      <c r="C7" s="78" t="s">
        <v>48</v>
      </c>
      <c r="D7" s="79" t="s">
        <v>176</v>
      </c>
      <c r="E7" s="80"/>
      <c r="F7" s="81" t="s">
        <v>46</v>
      </c>
      <c r="G7" s="82">
        <v>21155</v>
      </c>
      <c r="H7" s="83">
        <v>485</v>
      </c>
      <c r="I7" s="84">
        <v>10.8</v>
      </c>
      <c r="J7" s="85">
        <v>2.53</v>
      </c>
      <c r="K7" s="86">
        <v>0.578</v>
      </c>
      <c r="L7" s="87">
        <f t="shared" si="1"/>
        <v>0.598</v>
      </c>
      <c r="M7" s="88">
        <v>13.44</v>
      </c>
      <c r="N7" s="84">
        <v>2.68</v>
      </c>
      <c r="O7" s="89">
        <f t="shared" si="0"/>
        <v>83.88</v>
      </c>
      <c r="P7" s="112" t="s">
        <v>51</v>
      </c>
    </row>
    <row r="8" spans="1:16">
      <c r="A8" s="15">
        <v>46084</v>
      </c>
      <c r="B8" s="27">
        <v>46084</v>
      </c>
      <c r="C8" s="16" t="s">
        <v>53</v>
      </c>
      <c r="D8" s="28" t="s">
        <v>255</v>
      </c>
      <c r="E8" s="28" t="s">
        <v>256</v>
      </c>
      <c r="F8" s="19" t="s">
        <v>56</v>
      </c>
      <c r="G8" s="29">
        <v>18065</v>
      </c>
      <c r="H8" s="21">
        <v>336</v>
      </c>
      <c r="I8" s="22">
        <v>12</v>
      </c>
      <c r="J8" s="23">
        <v>2.8</v>
      </c>
      <c r="K8" s="24">
        <v>0.578</v>
      </c>
      <c r="L8" s="31">
        <f t="shared" si="1"/>
        <v>0.598</v>
      </c>
      <c r="M8" s="32">
        <v>12.76</v>
      </c>
      <c r="N8" s="22">
        <v>3.02</v>
      </c>
      <c r="O8" s="26">
        <f t="shared" si="0"/>
        <v>84.22</v>
      </c>
      <c r="P8" s="113" t="s">
        <v>268</v>
      </c>
    </row>
    <row r="9" spans="1:16">
      <c r="A9" s="15"/>
      <c r="B9" s="27"/>
      <c r="C9" s="16" t="s">
        <v>39</v>
      </c>
      <c r="D9" s="28" t="s">
        <v>265</v>
      </c>
      <c r="E9" s="28" t="s">
        <v>266</v>
      </c>
      <c r="F9" s="19" t="s">
        <v>178</v>
      </c>
      <c r="G9" s="20">
        <v>10420</v>
      </c>
      <c r="H9" s="21">
        <v>296</v>
      </c>
      <c r="I9" s="22">
        <v>9.34</v>
      </c>
      <c r="J9" s="23">
        <v>3.85</v>
      </c>
      <c r="K9" s="24">
        <v>0.559</v>
      </c>
      <c r="L9" s="31">
        <f t="shared" si="1"/>
        <v>0.579</v>
      </c>
      <c r="M9" s="32">
        <v>14.61</v>
      </c>
      <c r="N9" s="22">
        <v>2.54</v>
      </c>
      <c r="O9" s="26">
        <f t="shared" si="0"/>
        <v>82.85</v>
      </c>
    </row>
    <row r="10" spans="1:16">
      <c r="A10" s="15">
        <v>46085</v>
      </c>
      <c r="B10" s="27">
        <v>46085</v>
      </c>
      <c r="C10" s="16" t="s">
        <v>34</v>
      </c>
      <c r="D10" s="28" t="s">
        <v>262</v>
      </c>
      <c r="E10" s="28" t="s">
        <v>263</v>
      </c>
      <c r="F10" s="19" t="s">
        <v>50</v>
      </c>
      <c r="G10" s="29">
        <v>16710</v>
      </c>
      <c r="H10" s="21">
        <v>437</v>
      </c>
      <c r="I10" s="22">
        <v>11.6</v>
      </c>
      <c r="J10" s="23">
        <v>2.33</v>
      </c>
      <c r="K10" s="24">
        <v>0.575</v>
      </c>
      <c r="L10" s="31">
        <f t="shared" si="1"/>
        <v>0.595</v>
      </c>
      <c r="M10" s="32">
        <v>11.59</v>
      </c>
      <c r="N10" s="22">
        <v>2.73</v>
      </c>
      <c r="O10" s="26">
        <f t="shared" si="0"/>
        <v>85.68</v>
      </c>
      <c r="P10" s="113" t="s">
        <v>269</v>
      </c>
    </row>
    <row r="11" spans="1:16">
      <c r="A11" s="15"/>
      <c r="B11" s="27"/>
      <c r="C11" s="16" t="s">
        <v>58</v>
      </c>
      <c r="D11" s="28" t="s">
        <v>255</v>
      </c>
      <c r="E11" s="28" t="s">
        <v>256</v>
      </c>
      <c r="F11" s="19" t="s">
        <v>270</v>
      </c>
      <c r="G11" s="29">
        <v>5626</v>
      </c>
      <c r="H11" s="21">
        <v>130</v>
      </c>
      <c r="I11" s="22">
        <v>12.07</v>
      </c>
      <c r="J11" s="23">
        <v>2.52</v>
      </c>
      <c r="K11" s="24">
        <v>0.571</v>
      </c>
      <c r="L11" s="31">
        <f t="shared" si="1"/>
        <v>0.591</v>
      </c>
      <c r="M11" s="32">
        <v>12.73</v>
      </c>
      <c r="N11" s="22">
        <v>3.14</v>
      </c>
      <c r="O11" s="26">
        <f t="shared" si="0"/>
        <v>84.13</v>
      </c>
      <c r="P11" s="34" t="s">
        <v>271</v>
      </c>
    </row>
    <row r="12" spans="1:16">
      <c r="A12" s="15">
        <v>46086</v>
      </c>
      <c r="B12" s="27">
        <v>46086</v>
      </c>
      <c r="C12" s="16" t="s">
        <v>34</v>
      </c>
      <c r="D12" s="28" t="s">
        <v>262</v>
      </c>
      <c r="E12" s="28" t="s">
        <v>263</v>
      </c>
      <c r="F12" s="19" t="s">
        <v>46</v>
      </c>
      <c r="G12" s="29">
        <v>19195</v>
      </c>
      <c r="H12" s="21">
        <v>458</v>
      </c>
      <c r="I12" s="22">
        <v>11.6</v>
      </c>
      <c r="J12" s="23">
        <v>3.48</v>
      </c>
      <c r="K12" s="24">
        <v>0.578</v>
      </c>
      <c r="L12" s="31">
        <f t="shared" si="1"/>
        <v>0.598</v>
      </c>
      <c r="M12" s="32">
        <v>13.41</v>
      </c>
      <c r="N12" s="22">
        <v>3.68</v>
      </c>
      <c r="O12" s="26">
        <f t="shared" si="0"/>
        <v>82.91</v>
      </c>
      <c r="P12" s="113" t="s">
        <v>269</v>
      </c>
    </row>
    <row r="13" spans="1:16">
      <c r="A13" s="15"/>
      <c r="B13" s="27"/>
      <c r="C13" s="114" t="s">
        <v>48</v>
      </c>
      <c r="D13" s="115" t="s">
        <v>67</v>
      </c>
      <c r="E13" s="116"/>
      <c r="F13" s="117" t="s">
        <v>50</v>
      </c>
      <c r="G13" s="118">
        <v>18570</v>
      </c>
      <c r="H13" s="119">
        <v>507</v>
      </c>
      <c r="I13" s="120">
        <v>10.94</v>
      </c>
      <c r="J13" s="121">
        <v>3.51</v>
      </c>
      <c r="K13" s="122">
        <v>0.581</v>
      </c>
      <c r="L13" s="123">
        <f t="shared" si="1"/>
        <v>0.601</v>
      </c>
      <c r="M13" s="124">
        <v>13.87</v>
      </c>
      <c r="N13" s="120">
        <v>3.11</v>
      </c>
      <c r="O13" s="125">
        <f t="shared" si="0"/>
        <v>83.02</v>
      </c>
      <c r="P13" s="112" t="s">
        <v>51</v>
      </c>
    </row>
    <row r="14" spans="1:16">
      <c r="A14" s="15"/>
      <c r="B14" s="27"/>
      <c r="C14" s="16" t="s">
        <v>39</v>
      </c>
      <c r="D14" s="28" t="s">
        <v>265</v>
      </c>
      <c r="E14" s="28" t="s">
        <v>266</v>
      </c>
      <c r="F14" s="19" t="s">
        <v>272</v>
      </c>
      <c r="G14" s="20">
        <v>21520</v>
      </c>
      <c r="H14" s="21">
        <v>603</v>
      </c>
      <c r="I14" s="22">
        <v>11.07</v>
      </c>
      <c r="J14" s="23">
        <v>3.6</v>
      </c>
      <c r="K14" s="24">
        <v>0.552</v>
      </c>
      <c r="L14" s="31">
        <f t="shared" si="1"/>
        <v>0.572</v>
      </c>
      <c r="M14" s="32">
        <v>12.62</v>
      </c>
      <c r="N14" s="22">
        <v>4.09</v>
      </c>
      <c r="O14" s="26">
        <f t="shared" si="0"/>
        <v>83.29</v>
      </c>
    </row>
    <row r="15" spans="1:16">
      <c r="A15" s="15"/>
      <c r="B15" s="27"/>
      <c r="C15" s="16" t="s">
        <v>39</v>
      </c>
      <c r="D15" s="28" t="s">
        <v>265</v>
      </c>
      <c r="E15" s="28" t="s">
        <v>266</v>
      </c>
      <c r="F15" s="19" t="s">
        <v>178</v>
      </c>
      <c r="G15" s="20">
        <v>10705</v>
      </c>
      <c r="H15" s="21">
        <v>275</v>
      </c>
      <c r="I15" s="22">
        <v>10.27</v>
      </c>
      <c r="J15" s="23">
        <v>3.42</v>
      </c>
      <c r="K15" s="24">
        <v>0.556</v>
      </c>
      <c r="L15" s="31">
        <f t="shared" si="1"/>
        <v>0.576</v>
      </c>
      <c r="M15" s="32">
        <v>14.55</v>
      </c>
      <c r="N15" s="22">
        <v>2.81</v>
      </c>
      <c r="O15" s="26">
        <f t="shared" si="0"/>
        <v>82.64</v>
      </c>
    </row>
    <row r="16" spans="1:16">
      <c r="A16" s="15"/>
      <c r="B16" s="27"/>
      <c r="C16" s="126" t="s">
        <v>71</v>
      </c>
      <c r="D16" s="127" t="s">
        <v>273</v>
      </c>
      <c r="E16" s="128" t="s">
        <v>274</v>
      </c>
      <c r="F16" s="129" t="s">
        <v>90</v>
      </c>
      <c r="G16" s="130">
        <v>12664</v>
      </c>
      <c r="H16" s="131">
        <v>320</v>
      </c>
      <c r="I16" s="132">
        <v>15.07</v>
      </c>
      <c r="J16" s="133">
        <v>2.71</v>
      </c>
      <c r="K16" s="134">
        <v>0.571</v>
      </c>
      <c r="L16" s="135">
        <f t="shared" si="1"/>
        <v>0.591</v>
      </c>
      <c r="M16" s="136">
        <v>12.25</v>
      </c>
      <c r="N16" s="132">
        <v>4.02</v>
      </c>
      <c r="O16" s="137">
        <f t="shared" si="0"/>
        <v>83.73</v>
      </c>
      <c r="P16" s="34" t="s">
        <v>275</v>
      </c>
    </row>
    <row r="17" spans="1:16">
      <c r="A17" s="15">
        <v>46087</v>
      </c>
      <c r="B17" s="27">
        <v>46087</v>
      </c>
      <c r="C17" s="16" t="s">
        <v>39</v>
      </c>
      <c r="D17" s="17" t="s">
        <v>276</v>
      </c>
      <c r="E17" s="28" t="s">
        <v>277</v>
      </c>
      <c r="F17" s="19" t="s">
        <v>272</v>
      </c>
      <c r="G17" s="20">
        <v>21320</v>
      </c>
      <c r="H17" s="21">
        <v>633</v>
      </c>
      <c r="I17" s="22">
        <v>9</v>
      </c>
      <c r="J17" s="23">
        <v>3.18</v>
      </c>
      <c r="K17" s="24">
        <v>0.556</v>
      </c>
      <c r="L17" s="31">
        <f t="shared" si="1"/>
        <v>0.576</v>
      </c>
      <c r="M17" s="32">
        <v>12.63</v>
      </c>
      <c r="N17" s="22">
        <v>3.47</v>
      </c>
      <c r="O17" s="26">
        <f t="shared" si="0"/>
        <v>83.9</v>
      </c>
    </row>
    <row r="18" spans="1:16">
      <c r="A18" s="15"/>
      <c r="B18" s="27"/>
      <c r="C18" s="16" t="s">
        <v>39</v>
      </c>
      <c r="D18" s="28" t="s">
        <v>265</v>
      </c>
      <c r="E18" s="28" t="s">
        <v>266</v>
      </c>
      <c r="F18" s="19" t="s">
        <v>178</v>
      </c>
      <c r="G18" s="20">
        <v>9550</v>
      </c>
      <c r="H18" s="21">
        <v>208</v>
      </c>
      <c r="I18" s="22">
        <v>10.27</v>
      </c>
      <c r="J18" s="23">
        <v>3.12</v>
      </c>
      <c r="K18" s="24">
        <v>0.556</v>
      </c>
      <c r="L18" s="31">
        <f t="shared" si="1"/>
        <v>0.576</v>
      </c>
      <c r="M18" s="32">
        <v>13.08</v>
      </c>
      <c r="N18" s="22">
        <v>2.97</v>
      </c>
      <c r="O18" s="26">
        <f t="shared" si="0"/>
        <v>83.95</v>
      </c>
    </row>
    <row r="19" spans="1:16">
      <c r="A19" s="15"/>
      <c r="B19" s="27"/>
      <c r="C19" s="16" t="s">
        <v>34</v>
      </c>
      <c r="D19" s="17" t="s">
        <v>54</v>
      </c>
      <c r="E19" s="35" t="s">
        <v>278</v>
      </c>
      <c r="F19" s="19" t="s">
        <v>37</v>
      </c>
      <c r="G19" s="20">
        <v>19955</v>
      </c>
      <c r="H19" s="21">
        <v>480</v>
      </c>
      <c r="I19" s="22">
        <v>11.8</v>
      </c>
      <c r="J19" s="23">
        <v>2.37</v>
      </c>
      <c r="K19" s="24">
        <v>0.575</v>
      </c>
      <c r="L19" s="31">
        <f t="shared" si="1"/>
        <v>0.595</v>
      </c>
      <c r="M19" s="32">
        <v>11.98</v>
      </c>
      <c r="N19" s="22">
        <v>3.79</v>
      </c>
      <c r="O19" s="26">
        <f t="shared" si="0"/>
        <v>84.23</v>
      </c>
    </row>
    <row r="20" spans="1:16">
      <c r="A20" s="15"/>
      <c r="B20" s="27"/>
      <c r="C20" s="16" t="s">
        <v>34</v>
      </c>
      <c r="D20" s="17" t="s">
        <v>54</v>
      </c>
      <c r="E20" s="35" t="s">
        <v>278</v>
      </c>
      <c r="F20" s="19" t="s">
        <v>46</v>
      </c>
      <c r="G20" s="20">
        <v>19700</v>
      </c>
      <c r="H20" s="21">
        <v>456</v>
      </c>
      <c r="I20" s="22">
        <v>11.47</v>
      </c>
      <c r="J20" s="23">
        <v>2.42</v>
      </c>
      <c r="K20" s="24">
        <v>0.578</v>
      </c>
      <c r="L20" s="31">
        <f t="shared" si="1"/>
        <v>0.598</v>
      </c>
      <c r="M20" s="32">
        <v>12.18</v>
      </c>
      <c r="N20" s="22">
        <v>3.61</v>
      </c>
      <c r="O20" s="26">
        <f t="shared" si="0"/>
        <v>84.21</v>
      </c>
    </row>
    <row r="21" spans="1:16">
      <c r="A21" s="15">
        <v>46088</v>
      </c>
      <c r="B21" s="27">
        <v>46088</v>
      </c>
      <c r="C21" s="16" t="s">
        <v>34</v>
      </c>
      <c r="D21" s="17" t="s">
        <v>54</v>
      </c>
      <c r="E21" s="35" t="s">
        <v>278</v>
      </c>
      <c r="F21" s="19" t="s">
        <v>50</v>
      </c>
      <c r="G21" s="20">
        <v>16425</v>
      </c>
      <c r="H21" s="21">
        <v>368</v>
      </c>
      <c r="I21" s="22">
        <v>11.2</v>
      </c>
      <c r="J21" s="23">
        <v>2.71</v>
      </c>
      <c r="K21" s="24">
        <v>0.575</v>
      </c>
      <c r="L21" s="31">
        <f t="shared" si="1"/>
        <v>0.595</v>
      </c>
      <c r="M21" s="32">
        <v>12.34</v>
      </c>
      <c r="N21" s="22">
        <v>3.63</v>
      </c>
      <c r="O21" s="26">
        <f t="shared" si="0"/>
        <v>84.03</v>
      </c>
    </row>
    <row r="22" spans="1:16">
      <c r="A22" s="15"/>
      <c r="B22" s="27"/>
      <c r="C22" s="16" t="s">
        <v>53</v>
      </c>
      <c r="D22" s="28" t="s">
        <v>255</v>
      </c>
      <c r="E22" s="28" t="s">
        <v>256</v>
      </c>
      <c r="F22" s="19" t="s">
        <v>56</v>
      </c>
      <c r="G22" s="29">
        <v>23609</v>
      </c>
      <c r="H22" s="21">
        <v>478</v>
      </c>
      <c r="I22" s="22">
        <v>12.74</v>
      </c>
      <c r="J22" s="23">
        <v>2.47</v>
      </c>
      <c r="K22" s="24">
        <v>0.578</v>
      </c>
      <c r="L22" s="31">
        <f t="shared" si="1"/>
        <v>0.598</v>
      </c>
      <c r="M22" s="32">
        <v>13.4</v>
      </c>
      <c r="N22" s="22">
        <v>2.94</v>
      </c>
      <c r="O22" s="26">
        <f t="shared" si="0"/>
        <v>83.66</v>
      </c>
      <c r="P22" s="34" t="s">
        <v>279</v>
      </c>
    </row>
    <row r="23" spans="1:16">
      <c r="A23" s="15"/>
      <c r="B23" s="27"/>
      <c r="C23" s="16" t="s">
        <v>63</v>
      </c>
      <c r="D23" s="28" t="s">
        <v>76</v>
      </c>
      <c r="E23" s="28" t="s">
        <v>280</v>
      </c>
      <c r="F23" s="19" t="s">
        <v>65</v>
      </c>
      <c r="G23" s="20">
        <v>14020</v>
      </c>
      <c r="H23" s="21">
        <v>388</v>
      </c>
      <c r="I23" s="22">
        <v>11.8</v>
      </c>
      <c r="J23" s="23">
        <v>2.64</v>
      </c>
      <c r="K23" s="24">
        <v>0.575</v>
      </c>
      <c r="L23" s="31">
        <f t="shared" si="1"/>
        <v>0.595</v>
      </c>
      <c r="M23" s="32">
        <v>12.22</v>
      </c>
      <c r="N23" s="22">
        <v>3.85</v>
      </c>
      <c r="O23" s="26">
        <f t="shared" si="0"/>
        <v>83.93</v>
      </c>
    </row>
    <row r="24" spans="1:16">
      <c r="A24" s="15"/>
      <c r="B24" s="27"/>
      <c r="C24" s="16" t="s">
        <v>39</v>
      </c>
      <c r="D24" s="17" t="s">
        <v>276</v>
      </c>
      <c r="E24" s="28" t="s">
        <v>277</v>
      </c>
      <c r="F24" s="19" t="s">
        <v>42</v>
      </c>
      <c r="G24" s="20">
        <v>12175</v>
      </c>
      <c r="H24" s="21">
        <v>305</v>
      </c>
      <c r="I24" s="22">
        <v>11.54</v>
      </c>
      <c r="J24" s="23">
        <v>3.42</v>
      </c>
      <c r="K24" s="24">
        <v>0.581</v>
      </c>
      <c r="L24" s="31">
        <f t="shared" si="1"/>
        <v>0.601</v>
      </c>
      <c r="M24" s="32">
        <v>12.52</v>
      </c>
      <c r="N24" s="22">
        <v>3.04</v>
      </c>
      <c r="O24" s="26">
        <f t="shared" si="0"/>
        <v>84.44</v>
      </c>
    </row>
    <row r="25" spans="1:16">
      <c r="A25" s="15">
        <v>46090</v>
      </c>
      <c r="B25" s="27">
        <v>46090</v>
      </c>
      <c r="C25" s="16" t="s">
        <v>39</v>
      </c>
      <c r="D25" s="17" t="s">
        <v>276</v>
      </c>
      <c r="E25" s="28" t="s">
        <v>277</v>
      </c>
      <c r="F25" s="19" t="s">
        <v>42</v>
      </c>
      <c r="G25" s="20">
        <v>12795</v>
      </c>
      <c r="H25" s="21">
        <v>308</v>
      </c>
      <c r="I25" s="22">
        <v>10.94</v>
      </c>
      <c r="J25" s="23">
        <v>3.16</v>
      </c>
      <c r="K25" s="24">
        <v>0.578</v>
      </c>
      <c r="L25" s="31">
        <f t="shared" si="1"/>
        <v>0.598</v>
      </c>
      <c r="M25" s="32">
        <v>13.46</v>
      </c>
      <c r="N25" s="22">
        <v>2.68</v>
      </c>
      <c r="O25" s="26">
        <f t="shared" si="0"/>
        <v>83.86</v>
      </c>
    </row>
    <row r="26" spans="1:16">
      <c r="A26" s="15"/>
      <c r="B26" s="27"/>
      <c r="C26" s="16" t="s">
        <v>39</v>
      </c>
      <c r="D26" s="17" t="s">
        <v>276</v>
      </c>
      <c r="E26" s="28" t="s">
        <v>277</v>
      </c>
      <c r="F26" s="19" t="s">
        <v>178</v>
      </c>
      <c r="G26" s="20">
        <v>11140</v>
      </c>
      <c r="H26" s="21">
        <v>299</v>
      </c>
      <c r="I26" s="22">
        <v>11.34</v>
      </c>
      <c r="J26" s="23">
        <v>2.85</v>
      </c>
      <c r="K26" s="24">
        <v>0.575</v>
      </c>
      <c r="L26" s="31">
        <f t="shared" si="1"/>
        <v>0.595</v>
      </c>
      <c r="M26" s="32">
        <v>13.68</v>
      </c>
      <c r="N26" s="22">
        <v>3.28</v>
      </c>
      <c r="O26" s="26">
        <f t="shared" si="0"/>
        <v>83.04</v>
      </c>
    </row>
    <row r="27" spans="1:16">
      <c r="A27" s="15"/>
      <c r="B27" s="27"/>
      <c r="C27" s="16" t="s">
        <v>39</v>
      </c>
      <c r="D27" s="17" t="s">
        <v>81</v>
      </c>
      <c r="E27" s="35" t="s">
        <v>187</v>
      </c>
      <c r="F27" s="19" t="s">
        <v>272</v>
      </c>
      <c r="G27" s="20">
        <v>20856</v>
      </c>
      <c r="H27" s="21">
        <v>507</v>
      </c>
      <c r="I27" s="22">
        <v>11.2</v>
      </c>
      <c r="J27" s="23">
        <v>2.8</v>
      </c>
      <c r="K27" s="24">
        <v>0.568</v>
      </c>
      <c r="L27" s="31">
        <f t="shared" si="1"/>
        <v>0.588</v>
      </c>
      <c r="M27" s="32">
        <v>12.25</v>
      </c>
      <c r="N27" s="22">
        <v>8.51</v>
      </c>
      <c r="O27" s="26">
        <f t="shared" si="0"/>
        <v>79.24</v>
      </c>
      <c r="P27" t="s">
        <v>281</v>
      </c>
    </row>
    <row r="28" spans="1:16">
      <c r="A28" s="15"/>
      <c r="B28" s="27"/>
      <c r="C28" s="16" t="s">
        <v>39</v>
      </c>
      <c r="D28" s="17" t="s">
        <v>81</v>
      </c>
      <c r="E28" s="35" t="s">
        <v>187</v>
      </c>
      <c r="F28" s="19" t="s">
        <v>282</v>
      </c>
      <c r="G28" s="20">
        <v>2930</v>
      </c>
      <c r="H28" s="21">
        <v>90</v>
      </c>
      <c r="I28" s="22">
        <v>10.2</v>
      </c>
      <c r="J28" s="23">
        <v>3.42</v>
      </c>
      <c r="K28" s="24">
        <v>0.562</v>
      </c>
      <c r="L28" s="31">
        <f t="shared" si="1"/>
        <v>0.582</v>
      </c>
      <c r="M28" s="32">
        <v>12.43</v>
      </c>
      <c r="N28" s="22">
        <v>4.15</v>
      </c>
      <c r="O28" s="26">
        <f t="shared" si="0"/>
        <v>83.42</v>
      </c>
    </row>
    <row r="29" spans="1:16">
      <c r="A29" s="15"/>
      <c r="B29" s="27"/>
      <c r="C29" s="126" t="s">
        <v>71</v>
      </c>
      <c r="D29" s="127" t="s">
        <v>84</v>
      </c>
      <c r="E29" s="128" t="s">
        <v>247</v>
      </c>
      <c r="F29" s="129" t="s">
        <v>74</v>
      </c>
      <c r="G29" s="130">
        <v>9288</v>
      </c>
      <c r="H29" s="131">
        <v>198</v>
      </c>
      <c r="I29" s="132">
        <v>15.6</v>
      </c>
      <c r="J29" s="133">
        <v>2.67</v>
      </c>
      <c r="K29" s="134">
        <v>0.575</v>
      </c>
      <c r="L29" s="135">
        <f t="shared" si="1"/>
        <v>0.595</v>
      </c>
      <c r="M29" s="136">
        <v>11.68</v>
      </c>
      <c r="N29" s="132">
        <v>3.88</v>
      </c>
      <c r="O29" s="137">
        <f t="shared" si="0"/>
        <v>84.44</v>
      </c>
      <c r="P29" s="34" t="s">
        <v>283</v>
      </c>
    </row>
    <row r="30" spans="1:16">
      <c r="A30" s="15">
        <v>46091</v>
      </c>
      <c r="B30" s="27">
        <v>46091</v>
      </c>
      <c r="C30" s="78" t="s">
        <v>48</v>
      </c>
      <c r="D30" s="79" t="s">
        <v>88</v>
      </c>
      <c r="E30" s="80"/>
      <c r="F30" s="81" t="s">
        <v>50</v>
      </c>
      <c r="G30" s="82">
        <v>18885</v>
      </c>
      <c r="H30" s="83">
        <v>482</v>
      </c>
      <c r="I30" s="84">
        <v>11.6</v>
      </c>
      <c r="J30" s="85">
        <v>2.42</v>
      </c>
      <c r="K30" s="86">
        <v>0.578</v>
      </c>
      <c r="L30" s="87">
        <f t="shared" si="1"/>
        <v>0.598</v>
      </c>
      <c r="M30" s="88">
        <v>13.46</v>
      </c>
      <c r="N30" s="84">
        <v>2.55</v>
      </c>
      <c r="O30" s="89">
        <f t="shared" si="0"/>
        <v>83.99</v>
      </c>
      <c r="P30" s="112" t="s">
        <v>51</v>
      </c>
    </row>
    <row r="31" spans="1:16">
      <c r="A31" s="15"/>
      <c r="B31" s="27"/>
      <c r="C31" s="16" t="s">
        <v>39</v>
      </c>
      <c r="D31" s="28" t="s">
        <v>259</v>
      </c>
      <c r="E31" s="28" t="s">
        <v>260</v>
      </c>
      <c r="F31" s="19" t="s">
        <v>284</v>
      </c>
      <c r="G31" s="29">
        <v>29215</v>
      </c>
      <c r="H31" s="21">
        <v>730</v>
      </c>
      <c r="I31" s="22">
        <v>11.74</v>
      </c>
      <c r="J31" s="23">
        <v>3.26</v>
      </c>
      <c r="K31" s="24">
        <v>0.559</v>
      </c>
      <c r="L31" s="31">
        <f t="shared" si="1"/>
        <v>0.579</v>
      </c>
      <c r="M31" s="32">
        <v>11.58</v>
      </c>
      <c r="N31" s="22">
        <v>7.78</v>
      </c>
      <c r="O31" s="26">
        <f t="shared" si="0"/>
        <v>80.64</v>
      </c>
      <c r="P31" s="34" t="s">
        <v>285</v>
      </c>
    </row>
    <row r="32" spans="1:16">
      <c r="A32" s="15"/>
      <c r="B32" s="27"/>
      <c r="C32" s="16" t="s">
        <v>39</v>
      </c>
      <c r="D32" s="28" t="s">
        <v>265</v>
      </c>
      <c r="E32" s="28" t="s">
        <v>266</v>
      </c>
      <c r="F32" s="19" t="s">
        <v>286</v>
      </c>
      <c r="G32" s="20">
        <v>670</v>
      </c>
      <c r="H32" s="21">
        <v>30</v>
      </c>
      <c r="I32" s="22">
        <v>7.34</v>
      </c>
      <c r="J32" s="23">
        <v>3.71</v>
      </c>
      <c r="K32" s="24">
        <v>0.552</v>
      </c>
      <c r="L32" s="31">
        <f t="shared" si="1"/>
        <v>0.572</v>
      </c>
      <c r="M32" s="32">
        <v>13.39</v>
      </c>
      <c r="N32" s="22">
        <v>2.38</v>
      </c>
      <c r="O32" s="26">
        <f t="shared" si="0"/>
        <v>84.23</v>
      </c>
    </row>
    <row r="33" spans="1:16">
      <c r="A33" s="15"/>
      <c r="B33" s="27"/>
      <c r="C33" s="16" t="s">
        <v>39</v>
      </c>
      <c r="D33" s="17" t="s">
        <v>81</v>
      </c>
      <c r="E33" s="35" t="s">
        <v>187</v>
      </c>
      <c r="F33" s="19" t="s">
        <v>287</v>
      </c>
      <c r="G33" s="20">
        <v>3145</v>
      </c>
      <c r="H33" s="21">
        <v>125</v>
      </c>
      <c r="I33" s="22">
        <v>7.87</v>
      </c>
      <c r="J33" s="23">
        <v>3.18</v>
      </c>
      <c r="K33" s="24">
        <v>0.546</v>
      </c>
      <c r="L33" s="31">
        <f t="shared" si="1"/>
        <v>0.566</v>
      </c>
      <c r="M33" s="32">
        <v>13.44</v>
      </c>
      <c r="N33" s="22">
        <v>2.64</v>
      </c>
      <c r="O33" s="26">
        <f t="shared" si="0"/>
        <v>83.92</v>
      </c>
    </row>
    <row r="34" spans="1:16">
      <c r="A34" s="15">
        <v>46092</v>
      </c>
      <c r="B34" s="27">
        <v>46092</v>
      </c>
      <c r="C34" s="16" t="s">
        <v>39</v>
      </c>
      <c r="D34" s="28" t="s">
        <v>170</v>
      </c>
      <c r="E34" s="28" t="s">
        <v>171</v>
      </c>
      <c r="F34" s="19" t="s">
        <v>179</v>
      </c>
      <c r="G34" s="29">
        <v>21608</v>
      </c>
      <c r="H34" s="21">
        <v>568</v>
      </c>
      <c r="I34" s="22">
        <v>11.94</v>
      </c>
      <c r="J34" s="23">
        <v>3.17</v>
      </c>
      <c r="K34" s="24">
        <v>0.559</v>
      </c>
      <c r="L34" s="31">
        <f t="shared" si="1"/>
        <v>0.579</v>
      </c>
      <c r="M34" s="32">
        <v>12.29</v>
      </c>
      <c r="N34" s="22">
        <v>5.79</v>
      </c>
      <c r="O34" s="26">
        <f t="shared" si="0"/>
        <v>81.92</v>
      </c>
      <c r="P34" s="34" t="s">
        <v>288</v>
      </c>
    </row>
    <row r="35" spans="1:16">
      <c r="A35" s="15"/>
      <c r="B35" s="27"/>
      <c r="C35" s="16" t="s">
        <v>39</v>
      </c>
      <c r="D35" s="17" t="s">
        <v>81</v>
      </c>
      <c r="E35" s="35" t="s">
        <v>187</v>
      </c>
      <c r="F35" s="19" t="s">
        <v>272</v>
      </c>
      <c r="G35" s="20">
        <v>21430</v>
      </c>
      <c r="H35" s="21">
        <v>596</v>
      </c>
      <c r="I35" s="22">
        <v>9.54</v>
      </c>
      <c r="J35" s="23">
        <v>3.14</v>
      </c>
      <c r="K35" s="24">
        <v>0.556</v>
      </c>
      <c r="L35" s="31">
        <f t="shared" si="1"/>
        <v>0.576</v>
      </c>
      <c r="M35" s="32">
        <v>12.98</v>
      </c>
      <c r="N35" s="22">
        <v>3.65</v>
      </c>
      <c r="O35" s="26">
        <f t="shared" si="0"/>
        <v>83.37</v>
      </c>
    </row>
    <row r="36" spans="1:16">
      <c r="A36" s="15"/>
      <c r="B36" s="27"/>
      <c r="C36" s="16" t="s">
        <v>34</v>
      </c>
      <c r="D36" s="17" t="s">
        <v>54</v>
      </c>
      <c r="E36" s="35" t="s">
        <v>278</v>
      </c>
      <c r="F36" s="19" t="s">
        <v>50</v>
      </c>
      <c r="G36" s="20">
        <v>17500</v>
      </c>
      <c r="H36" s="21">
        <v>433</v>
      </c>
      <c r="I36" s="22">
        <v>11.6</v>
      </c>
      <c r="J36" s="23">
        <v>2.37</v>
      </c>
      <c r="K36" s="24">
        <v>0.575</v>
      </c>
      <c r="L36" s="31">
        <f t="shared" si="1"/>
        <v>0.595</v>
      </c>
      <c r="M36" s="32">
        <v>11.77</v>
      </c>
      <c r="N36" s="22">
        <v>3.87</v>
      </c>
      <c r="O36" s="26">
        <f t="shared" si="0"/>
        <v>84.36</v>
      </c>
    </row>
    <row r="37" spans="1:16">
      <c r="A37" s="15"/>
      <c r="B37" s="27"/>
      <c r="C37" s="16" t="s">
        <v>53</v>
      </c>
      <c r="D37" s="28" t="s">
        <v>76</v>
      </c>
      <c r="E37" s="28" t="s">
        <v>280</v>
      </c>
      <c r="F37" s="19" t="s">
        <v>56</v>
      </c>
      <c r="G37" s="20">
        <v>19745</v>
      </c>
      <c r="H37" s="21">
        <v>412</v>
      </c>
      <c r="I37" s="22">
        <v>12</v>
      </c>
      <c r="J37" s="23">
        <v>2.4</v>
      </c>
      <c r="K37" s="24">
        <v>0.581</v>
      </c>
      <c r="L37" s="31">
        <f t="shared" si="1"/>
        <v>0.601</v>
      </c>
      <c r="M37" s="32">
        <v>13.19</v>
      </c>
      <c r="N37" s="22">
        <v>2.4</v>
      </c>
      <c r="O37" s="26">
        <f t="shared" si="0"/>
        <v>84.41</v>
      </c>
    </row>
    <row r="38" spans="1:16">
      <c r="A38" s="15"/>
      <c r="B38" s="27"/>
      <c r="C38" s="78" t="s">
        <v>48</v>
      </c>
      <c r="D38" s="79" t="s">
        <v>93</v>
      </c>
      <c r="E38" s="80"/>
      <c r="F38" s="81" t="s">
        <v>46</v>
      </c>
      <c r="G38" s="82">
        <v>19630</v>
      </c>
      <c r="H38" s="83">
        <v>497</v>
      </c>
      <c r="I38" s="84">
        <v>11.47</v>
      </c>
      <c r="J38" s="85">
        <v>2.16</v>
      </c>
      <c r="K38" s="86">
        <v>0.578</v>
      </c>
      <c r="L38" s="87">
        <f t="shared" si="1"/>
        <v>0.598</v>
      </c>
      <c r="M38" s="88">
        <v>14.68</v>
      </c>
      <c r="N38" s="84">
        <v>2.94</v>
      </c>
      <c r="O38" s="89">
        <f t="shared" si="0"/>
        <v>82.38</v>
      </c>
      <c r="P38" s="112" t="s">
        <v>51</v>
      </c>
    </row>
    <row r="39" spans="1:16">
      <c r="A39" s="15">
        <v>46093</v>
      </c>
      <c r="B39" s="27">
        <v>46093</v>
      </c>
      <c r="C39" s="78" t="s">
        <v>34</v>
      </c>
      <c r="D39" s="79" t="s">
        <v>105</v>
      </c>
      <c r="E39" s="80"/>
      <c r="F39" s="81" t="s">
        <v>46</v>
      </c>
      <c r="G39" s="82">
        <v>19245</v>
      </c>
      <c r="H39" s="83">
        <v>519</v>
      </c>
      <c r="I39" s="84">
        <v>10.07</v>
      </c>
      <c r="J39" s="85">
        <v>2.73</v>
      </c>
      <c r="K39" s="86">
        <v>0.578</v>
      </c>
      <c r="L39" s="87">
        <f t="shared" si="1"/>
        <v>0.598</v>
      </c>
      <c r="M39" s="88">
        <v>13.36</v>
      </c>
      <c r="N39" s="84">
        <v>2.96</v>
      </c>
      <c r="O39" s="89">
        <f t="shared" si="0"/>
        <v>83.68</v>
      </c>
      <c r="P39" s="112" t="s">
        <v>51</v>
      </c>
    </row>
    <row r="40" spans="1:16">
      <c r="A40" s="15"/>
      <c r="B40" s="27"/>
      <c r="C40" s="16" t="s">
        <v>58</v>
      </c>
      <c r="D40" s="28" t="s">
        <v>76</v>
      </c>
      <c r="E40" s="28" t="s">
        <v>280</v>
      </c>
      <c r="F40" s="19" t="s">
        <v>115</v>
      </c>
      <c r="G40" s="20">
        <v>9336</v>
      </c>
      <c r="H40" s="21">
        <v>187</v>
      </c>
      <c r="I40" s="22">
        <v>13</v>
      </c>
      <c r="J40" s="23">
        <v>2.8</v>
      </c>
      <c r="K40" s="24">
        <v>0.585</v>
      </c>
      <c r="L40" s="31">
        <f t="shared" si="1"/>
        <v>0.605</v>
      </c>
      <c r="M40" s="32">
        <v>13.84</v>
      </c>
      <c r="N40" s="22">
        <v>3.49</v>
      </c>
      <c r="O40" s="26">
        <f t="shared" si="0"/>
        <v>82.67</v>
      </c>
      <c r="P40" t="s">
        <v>289</v>
      </c>
    </row>
    <row r="41" spans="1:16">
      <c r="A41" s="15"/>
      <c r="B41" s="27"/>
      <c r="C41" s="16" t="s">
        <v>39</v>
      </c>
      <c r="D41" s="28" t="s">
        <v>59</v>
      </c>
      <c r="E41" s="28" t="s">
        <v>290</v>
      </c>
      <c r="F41" s="19" t="s">
        <v>291</v>
      </c>
      <c r="G41" s="20">
        <v>19345</v>
      </c>
      <c r="H41" s="21">
        <v>495</v>
      </c>
      <c r="I41" s="22">
        <v>11.4</v>
      </c>
      <c r="J41" s="23">
        <v>3.17</v>
      </c>
      <c r="K41" s="24">
        <v>0.556</v>
      </c>
      <c r="L41" s="31">
        <f t="shared" si="1"/>
        <v>0.576</v>
      </c>
      <c r="M41" s="32">
        <v>13.71</v>
      </c>
      <c r="N41" s="22">
        <v>3.94</v>
      </c>
      <c r="O41" s="26">
        <f t="shared" si="0"/>
        <v>82.35</v>
      </c>
    </row>
    <row r="42" spans="1:16">
      <c r="A42" s="15"/>
      <c r="B42" s="27"/>
      <c r="C42" s="16" t="s">
        <v>39</v>
      </c>
      <c r="D42" s="28" t="s">
        <v>98</v>
      </c>
      <c r="E42" s="35" t="s">
        <v>292</v>
      </c>
      <c r="F42" s="19" t="s">
        <v>178</v>
      </c>
      <c r="G42" s="20">
        <v>10795</v>
      </c>
      <c r="H42" s="21">
        <v>228</v>
      </c>
      <c r="I42" s="22">
        <v>11.14</v>
      </c>
      <c r="J42" s="23">
        <v>3.67</v>
      </c>
      <c r="K42" s="24">
        <v>0.546</v>
      </c>
      <c r="L42" s="31">
        <f t="shared" si="1"/>
        <v>0.566</v>
      </c>
      <c r="M42" s="32">
        <v>14.04</v>
      </c>
      <c r="N42" s="22">
        <v>3.44</v>
      </c>
      <c r="O42" s="26">
        <f t="shared" si="0"/>
        <v>82.52</v>
      </c>
    </row>
    <row r="43" spans="1:16">
      <c r="A43" s="15"/>
      <c r="B43" s="27"/>
      <c r="C43" s="16" t="s">
        <v>39</v>
      </c>
      <c r="D43" s="28" t="s">
        <v>98</v>
      </c>
      <c r="E43" s="35" t="s">
        <v>292</v>
      </c>
      <c r="F43" s="19" t="s">
        <v>42</v>
      </c>
      <c r="G43" s="20">
        <v>11543</v>
      </c>
      <c r="H43" s="21">
        <v>312</v>
      </c>
      <c r="I43" s="22">
        <v>11.6</v>
      </c>
      <c r="J43" s="23">
        <v>3.81</v>
      </c>
      <c r="K43" s="24">
        <v>0.575</v>
      </c>
      <c r="L43" s="31">
        <f t="shared" si="1"/>
        <v>0.595</v>
      </c>
      <c r="M43" s="32">
        <v>12.92</v>
      </c>
      <c r="N43" s="22">
        <v>6.72</v>
      </c>
      <c r="O43" s="26">
        <f t="shared" si="0"/>
        <v>80.36</v>
      </c>
      <c r="P43" t="s">
        <v>293</v>
      </c>
    </row>
    <row r="44" spans="1:16">
      <c r="A44" s="15">
        <v>46094</v>
      </c>
      <c r="B44" s="27">
        <v>46094</v>
      </c>
      <c r="C44" s="16" t="s">
        <v>39</v>
      </c>
      <c r="D44" s="28" t="s">
        <v>170</v>
      </c>
      <c r="E44" s="28" t="s">
        <v>171</v>
      </c>
      <c r="F44" s="19" t="s">
        <v>42</v>
      </c>
      <c r="G44" s="29">
        <v>13242</v>
      </c>
      <c r="H44" s="21">
        <v>334</v>
      </c>
      <c r="I44" s="22">
        <v>11.54</v>
      </c>
      <c r="J44" s="23">
        <v>3.77</v>
      </c>
      <c r="K44" s="24">
        <v>0.578</v>
      </c>
      <c r="L44" s="31">
        <f t="shared" si="1"/>
        <v>0.598</v>
      </c>
      <c r="M44" s="32">
        <v>12.81</v>
      </c>
      <c r="N44" s="22">
        <v>6.84</v>
      </c>
      <c r="O44" s="26">
        <f t="shared" si="0"/>
        <v>80.35</v>
      </c>
      <c r="P44" s="34" t="s">
        <v>294</v>
      </c>
    </row>
    <row r="45" spans="1:16">
      <c r="A45" s="15"/>
      <c r="B45" s="27"/>
      <c r="C45" s="16" t="s">
        <v>34</v>
      </c>
      <c r="D45" s="28" t="s">
        <v>106</v>
      </c>
      <c r="E45" s="28" t="s">
        <v>295</v>
      </c>
      <c r="F45" s="19" t="s">
        <v>46</v>
      </c>
      <c r="G45" s="20">
        <v>20355</v>
      </c>
      <c r="H45" s="21">
        <v>435</v>
      </c>
      <c r="I45" s="22">
        <v>11.74</v>
      </c>
      <c r="J45" s="23">
        <v>2.15</v>
      </c>
      <c r="K45" s="24">
        <v>0.575</v>
      </c>
      <c r="L45" s="31">
        <f t="shared" si="1"/>
        <v>0.595</v>
      </c>
      <c r="M45" s="32">
        <v>12.28</v>
      </c>
      <c r="N45" s="22">
        <v>3.61</v>
      </c>
      <c r="O45" s="26">
        <f t="shared" si="0"/>
        <v>84.11</v>
      </c>
      <c r="P45" t="s">
        <v>191</v>
      </c>
    </row>
    <row r="46" spans="1:16">
      <c r="A46" s="15"/>
      <c r="B46" s="27"/>
      <c r="C46" s="138" t="s">
        <v>97</v>
      </c>
      <c r="D46" s="139" t="s">
        <v>108</v>
      </c>
      <c r="E46" s="139" t="s">
        <v>274</v>
      </c>
      <c r="F46" s="140" t="s">
        <v>189</v>
      </c>
      <c r="G46" s="141">
        <v>21234</v>
      </c>
      <c r="H46" s="142">
        <v>619</v>
      </c>
      <c r="I46" s="143">
        <v>16.07</v>
      </c>
      <c r="J46" s="144">
        <v>2.13</v>
      </c>
      <c r="K46" s="145">
        <v>0.581</v>
      </c>
      <c r="L46" s="146">
        <f t="shared" si="1"/>
        <v>0.601</v>
      </c>
      <c r="M46" s="147">
        <v>13.46</v>
      </c>
      <c r="N46" s="143">
        <v>3.84</v>
      </c>
      <c r="O46" s="148">
        <f t="shared" si="0"/>
        <v>82.7</v>
      </c>
      <c r="P46" s="34" t="s">
        <v>296</v>
      </c>
    </row>
    <row r="47" spans="1:16">
      <c r="A47" s="15">
        <v>46095</v>
      </c>
      <c r="B47" s="27">
        <v>46095</v>
      </c>
      <c r="C47" s="16" t="s">
        <v>34</v>
      </c>
      <c r="D47" s="28" t="s">
        <v>106</v>
      </c>
      <c r="E47" s="28" t="s">
        <v>295</v>
      </c>
      <c r="F47" s="19" t="s">
        <v>46</v>
      </c>
      <c r="G47" s="20">
        <v>17410</v>
      </c>
      <c r="H47" s="21">
        <v>484</v>
      </c>
      <c r="I47" s="22">
        <v>11.67</v>
      </c>
      <c r="J47" s="23">
        <v>2.6</v>
      </c>
      <c r="K47" s="24">
        <v>0.575</v>
      </c>
      <c r="L47" s="31">
        <f t="shared" si="1"/>
        <v>0.595</v>
      </c>
      <c r="M47" s="32">
        <v>12.24</v>
      </c>
      <c r="N47" s="22">
        <v>3.68</v>
      </c>
      <c r="O47" s="26">
        <f t="shared" si="0"/>
        <v>84.08</v>
      </c>
    </row>
    <row r="48" spans="1:16">
      <c r="A48" s="15"/>
      <c r="B48" s="27"/>
      <c r="C48" s="16" t="s">
        <v>34</v>
      </c>
      <c r="D48" s="28" t="s">
        <v>106</v>
      </c>
      <c r="E48" s="28" t="s">
        <v>295</v>
      </c>
      <c r="F48" s="19" t="s">
        <v>50</v>
      </c>
      <c r="G48" s="20">
        <v>17465</v>
      </c>
      <c r="H48" s="21">
        <v>446</v>
      </c>
      <c r="I48" s="22">
        <v>11.8</v>
      </c>
      <c r="J48" s="23">
        <v>2.33</v>
      </c>
      <c r="K48" s="24">
        <v>0.578</v>
      </c>
      <c r="L48" s="31">
        <f t="shared" si="1"/>
        <v>0.598</v>
      </c>
      <c r="M48" s="32">
        <v>11.98</v>
      </c>
      <c r="N48" s="22">
        <v>3.39</v>
      </c>
      <c r="O48" s="26">
        <f t="shared" si="0"/>
        <v>84.63</v>
      </c>
    </row>
    <row r="49" spans="1:16">
      <c r="A49" s="15"/>
      <c r="B49" s="27"/>
      <c r="C49" s="16" t="s">
        <v>39</v>
      </c>
      <c r="D49" s="28" t="s">
        <v>98</v>
      </c>
      <c r="E49" s="35" t="s">
        <v>292</v>
      </c>
      <c r="F49" s="19" t="s">
        <v>42</v>
      </c>
      <c r="G49" s="20">
        <v>12665</v>
      </c>
      <c r="H49" s="21">
        <v>367</v>
      </c>
      <c r="I49" s="22">
        <v>11.4</v>
      </c>
      <c r="J49" s="23">
        <v>3.71</v>
      </c>
      <c r="K49" s="24">
        <v>0.578</v>
      </c>
      <c r="L49" s="31">
        <f t="shared" si="1"/>
        <v>0.598</v>
      </c>
      <c r="M49" s="32">
        <v>12.49</v>
      </c>
      <c r="N49" s="22">
        <v>2.84</v>
      </c>
      <c r="O49" s="26">
        <f t="shared" si="0"/>
        <v>84.67</v>
      </c>
    </row>
    <row r="50" spans="1:16">
      <c r="A50" s="15"/>
      <c r="B50" s="27"/>
      <c r="C50" s="138" t="s">
        <v>71</v>
      </c>
      <c r="D50" s="149" t="s">
        <v>111</v>
      </c>
      <c r="E50" s="150" t="s">
        <v>193</v>
      </c>
      <c r="F50" s="140" t="s">
        <v>90</v>
      </c>
      <c r="G50" s="141">
        <v>15861</v>
      </c>
      <c r="H50" s="142">
        <v>346</v>
      </c>
      <c r="I50" s="143">
        <v>16.74</v>
      </c>
      <c r="J50" s="144">
        <v>2.61</v>
      </c>
      <c r="K50" s="145">
        <v>0.571</v>
      </c>
      <c r="L50" s="146">
        <f t="shared" si="1"/>
        <v>0.591</v>
      </c>
      <c r="M50" s="147">
        <v>11.68</v>
      </c>
      <c r="N50" s="143">
        <v>4.11</v>
      </c>
      <c r="O50" s="148">
        <f t="shared" si="0"/>
        <v>84.21</v>
      </c>
      <c r="P50" s="34" t="s">
        <v>297</v>
      </c>
    </row>
    <row r="51" spans="1:16">
      <c r="A51" s="15">
        <v>46098</v>
      </c>
      <c r="B51" s="27">
        <v>46098</v>
      </c>
      <c r="C51" s="16" t="s">
        <v>34</v>
      </c>
      <c r="D51" s="28" t="s">
        <v>76</v>
      </c>
      <c r="E51" s="28" t="s">
        <v>280</v>
      </c>
      <c r="F51" s="19" t="s">
        <v>298</v>
      </c>
      <c r="G51" s="20">
        <v>1302</v>
      </c>
      <c r="H51" s="21">
        <v>26</v>
      </c>
      <c r="I51" s="22">
        <v>12.6</v>
      </c>
      <c r="J51" s="23">
        <v>2.66</v>
      </c>
      <c r="K51" s="24">
        <v>0.575</v>
      </c>
      <c r="L51" s="31">
        <f t="shared" si="1"/>
        <v>0.595</v>
      </c>
      <c r="M51" s="32">
        <v>12.04</v>
      </c>
      <c r="N51" s="22">
        <v>4.28</v>
      </c>
      <c r="O51" s="26">
        <f t="shared" si="0"/>
        <v>83.68</v>
      </c>
      <c r="P51" t="s">
        <v>299</v>
      </c>
    </row>
    <row r="52" spans="1:16">
      <c r="A52" s="15"/>
      <c r="B52" s="27"/>
      <c r="C52" s="16" t="s">
        <v>34</v>
      </c>
      <c r="D52" s="28" t="s">
        <v>113</v>
      </c>
      <c r="E52" s="28" t="s">
        <v>300</v>
      </c>
      <c r="F52" s="19" t="s">
        <v>37</v>
      </c>
      <c r="G52" s="20">
        <v>21470</v>
      </c>
      <c r="H52" s="21">
        <v>495</v>
      </c>
      <c r="I52" s="22">
        <v>11.74</v>
      </c>
      <c r="J52" s="23">
        <v>2.13</v>
      </c>
      <c r="K52" s="24">
        <v>0.578</v>
      </c>
      <c r="L52" s="31">
        <f t="shared" si="1"/>
        <v>0.598</v>
      </c>
      <c r="M52" s="32">
        <v>13.35</v>
      </c>
      <c r="N52" s="22">
        <v>3.29</v>
      </c>
      <c r="O52" s="26">
        <f t="shared" si="0"/>
        <v>83.36</v>
      </c>
    </row>
    <row r="53" spans="1:16">
      <c r="A53" s="15"/>
      <c r="B53" s="27"/>
      <c r="C53" s="16" t="s">
        <v>53</v>
      </c>
      <c r="D53" s="28" t="s">
        <v>76</v>
      </c>
      <c r="E53" s="28" t="s">
        <v>280</v>
      </c>
      <c r="F53" s="19" t="s">
        <v>56</v>
      </c>
      <c r="G53" s="20">
        <v>21360</v>
      </c>
      <c r="H53" s="21">
        <v>483</v>
      </c>
      <c r="I53" s="22">
        <v>11.67</v>
      </c>
      <c r="J53" s="23">
        <v>2.51</v>
      </c>
      <c r="K53" s="24">
        <v>0.581</v>
      </c>
      <c r="L53" s="31">
        <f t="shared" si="1"/>
        <v>0.601</v>
      </c>
      <c r="M53" s="32">
        <v>12.71</v>
      </c>
      <c r="N53" s="22">
        <v>2.98</v>
      </c>
      <c r="O53" s="26">
        <f t="shared" si="0"/>
        <v>84.31</v>
      </c>
    </row>
    <row r="54" spans="1:16">
      <c r="A54" s="15"/>
      <c r="B54" s="27"/>
      <c r="C54" s="78" t="s">
        <v>48</v>
      </c>
      <c r="D54" s="91" t="s">
        <v>127</v>
      </c>
      <c r="E54" s="92"/>
      <c r="F54" s="81" t="s">
        <v>50</v>
      </c>
      <c r="G54" s="82">
        <v>17895</v>
      </c>
      <c r="H54" s="83">
        <v>456</v>
      </c>
      <c r="I54" s="84">
        <v>10.67</v>
      </c>
      <c r="J54" s="85">
        <v>2.81</v>
      </c>
      <c r="K54" s="86">
        <v>0.575</v>
      </c>
      <c r="L54" s="87">
        <f t="shared" si="1"/>
        <v>0.595</v>
      </c>
      <c r="M54" s="88">
        <v>13.93</v>
      </c>
      <c r="N54" s="84">
        <v>3.34</v>
      </c>
      <c r="O54" s="89">
        <f t="shared" si="0"/>
        <v>82.73</v>
      </c>
      <c r="P54" s="112" t="s">
        <v>51</v>
      </c>
    </row>
    <row r="55" spans="1:16">
      <c r="A55" s="15"/>
      <c r="B55" s="27"/>
      <c r="C55" s="16" t="s">
        <v>39</v>
      </c>
      <c r="D55" s="17" t="s">
        <v>84</v>
      </c>
      <c r="E55" s="35" t="s">
        <v>301</v>
      </c>
      <c r="F55" s="19" t="s">
        <v>121</v>
      </c>
      <c r="G55" s="29">
        <v>2950</v>
      </c>
      <c r="H55" s="21">
        <v>80</v>
      </c>
      <c r="I55" s="22">
        <v>10.4</v>
      </c>
      <c r="J55" s="23">
        <v>3.71</v>
      </c>
      <c r="K55" s="24">
        <v>0.556</v>
      </c>
      <c r="L55" s="31">
        <f t="shared" si="1"/>
        <v>0.576</v>
      </c>
      <c r="M55" s="32">
        <v>12.44</v>
      </c>
      <c r="N55" s="22">
        <v>4.19</v>
      </c>
      <c r="O55" s="26">
        <f t="shared" si="0"/>
        <v>83.37</v>
      </c>
      <c r="P55" s="112" t="s">
        <v>302</v>
      </c>
    </row>
    <row r="56" spans="1:16">
      <c r="A56" s="15"/>
      <c r="B56" s="27"/>
      <c r="C56" s="16" t="s">
        <v>39</v>
      </c>
      <c r="D56" s="17" t="s">
        <v>72</v>
      </c>
      <c r="E56" s="35" t="s">
        <v>219</v>
      </c>
      <c r="F56" s="19" t="s">
        <v>178</v>
      </c>
      <c r="G56" s="29">
        <v>10370</v>
      </c>
      <c r="H56" s="21">
        <v>280</v>
      </c>
      <c r="I56" s="22">
        <v>10.47</v>
      </c>
      <c r="J56" s="23">
        <v>3.66</v>
      </c>
      <c r="K56" s="24">
        <v>0.549</v>
      </c>
      <c r="L56" s="31">
        <f t="shared" si="1"/>
        <v>0.569</v>
      </c>
      <c r="M56" s="32">
        <v>14.58</v>
      </c>
      <c r="N56" s="22">
        <v>2.86</v>
      </c>
      <c r="O56" s="26">
        <f t="shared" si="0"/>
        <v>82.56</v>
      </c>
      <c r="P56" s="112" t="s">
        <v>303</v>
      </c>
    </row>
    <row r="57" spans="1:16">
      <c r="A57" s="15"/>
      <c r="B57" s="27"/>
      <c r="C57" s="16" t="s">
        <v>39</v>
      </c>
      <c r="D57" s="28" t="s">
        <v>129</v>
      </c>
      <c r="E57" s="28" t="s">
        <v>304</v>
      </c>
      <c r="F57" s="19" t="s">
        <v>42</v>
      </c>
      <c r="G57" s="20">
        <v>11614</v>
      </c>
      <c r="H57" s="21">
        <v>294</v>
      </c>
      <c r="I57" s="22">
        <v>14.34</v>
      </c>
      <c r="J57" s="23">
        <v>3.8</v>
      </c>
      <c r="K57" s="24">
        <v>0.571</v>
      </c>
      <c r="L57" s="31">
        <f t="shared" si="1"/>
        <v>0.591</v>
      </c>
      <c r="M57" s="32">
        <v>18.27</v>
      </c>
      <c r="N57" s="22">
        <v>13.97</v>
      </c>
      <c r="O57" s="26">
        <f t="shared" si="0"/>
        <v>67.76</v>
      </c>
      <c r="P57" t="s">
        <v>305</v>
      </c>
    </row>
    <row r="58" spans="1:16">
      <c r="A58" s="15"/>
      <c r="B58" s="27"/>
      <c r="C58" s="16" t="s">
        <v>39</v>
      </c>
      <c r="D58" s="28" t="s">
        <v>98</v>
      </c>
      <c r="E58" s="35" t="s">
        <v>292</v>
      </c>
      <c r="F58" s="19" t="s">
        <v>272</v>
      </c>
      <c r="G58" s="20">
        <v>21220</v>
      </c>
      <c r="H58" s="21">
        <v>561</v>
      </c>
      <c r="I58" s="22">
        <v>10.54</v>
      </c>
      <c r="J58" s="23">
        <v>3.17</v>
      </c>
      <c r="K58" s="24">
        <v>0.559</v>
      </c>
      <c r="L58" s="31">
        <f t="shared" si="1"/>
        <v>0.579</v>
      </c>
      <c r="M58" s="32">
        <v>13.24</v>
      </c>
      <c r="N58" s="22">
        <v>3.84</v>
      </c>
      <c r="O58" s="26">
        <f t="shared" si="0"/>
        <v>82.92</v>
      </c>
    </row>
    <row r="59" spans="1:16">
      <c r="A59" s="15">
        <v>46099</v>
      </c>
      <c r="B59" s="27">
        <v>46099</v>
      </c>
      <c r="C59" s="16" t="s">
        <v>34</v>
      </c>
      <c r="D59" s="28" t="s">
        <v>106</v>
      </c>
      <c r="E59" s="28" t="s">
        <v>295</v>
      </c>
      <c r="F59" s="19" t="s">
        <v>46</v>
      </c>
      <c r="G59" s="20">
        <v>19280</v>
      </c>
      <c r="H59" s="21">
        <v>435</v>
      </c>
      <c r="I59" s="22">
        <v>11.47</v>
      </c>
      <c r="J59" s="23">
        <v>2.17</v>
      </c>
      <c r="K59" s="24">
        <v>0.575</v>
      </c>
      <c r="L59" s="31">
        <f t="shared" si="1"/>
        <v>0.595</v>
      </c>
      <c r="M59" s="32">
        <v>12.14</v>
      </c>
      <c r="N59" s="22">
        <v>3.49</v>
      </c>
      <c r="O59" s="26">
        <f t="shared" si="0"/>
        <v>84.37</v>
      </c>
    </row>
    <row r="60" spans="1:16">
      <c r="A60" s="15"/>
      <c r="B60" s="27"/>
      <c r="C60" s="16" t="s">
        <v>34</v>
      </c>
      <c r="D60" s="28" t="s">
        <v>113</v>
      </c>
      <c r="E60" s="28" t="s">
        <v>300</v>
      </c>
      <c r="F60" s="19" t="s">
        <v>50</v>
      </c>
      <c r="G60" s="20">
        <v>16890</v>
      </c>
      <c r="H60" s="21">
        <v>438</v>
      </c>
      <c r="I60" s="22">
        <v>11.6</v>
      </c>
      <c r="J60" s="23">
        <v>2.17</v>
      </c>
      <c r="K60" s="24">
        <v>0.578</v>
      </c>
      <c r="L60" s="31">
        <f t="shared" si="1"/>
        <v>0.598</v>
      </c>
      <c r="M60" s="32">
        <v>12.38</v>
      </c>
      <c r="N60" s="22">
        <v>3.98</v>
      </c>
      <c r="O60" s="26">
        <f t="shared" si="0"/>
        <v>83.64</v>
      </c>
    </row>
    <row r="61" spans="1:16">
      <c r="A61" s="15"/>
      <c r="B61" s="27"/>
      <c r="C61" s="16" t="s">
        <v>39</v>
      </c>
      <c r="D61" s="28" t="s">
        <v>106</v>
      </c>
      <c r="E61" s="28" t="s">
        <v>306</v>
      </c>
      <c r="F61" s="19" t="s">
        <v>178</v>
      </c>
      <c r="G61" s="29">
        <v>12438</v>
      </c>
      <c r="H61" s="21">
        <v>296</v>
      </c>
      <c r="I61" s="22">
        <v>11.14</v>
      </c>
      <c r="J61" s="23">
        <v>3.11</v>
      </c>
      <c r="K61" s="24">
        <v>0.552</v>
      </c>
      <c r="L61" s="31">
        <f t="shared" si="1"/>
        <v>0.572</v>
      </c>
      <c r="M61" s="32">
        <v>13.84</v>
      </c>
      <c r="N61" s="22">
        <v>5.81</v>
      </c>
      <c r="O61" s="26">
        <f t="shared" si="0"/>
        <v>80.35</v>
      </c>
      <c r="P61" s="34" t="s">
        <v>307</v>
      </c>
    </row>
    <row r="62" spans="1:16">
      <c r="A62" s="15"/>
      <c r="B62" s="27"/>
      <c r="C62" s="16" t="s">
        <v>39</v>
      </c>
      <c r="D62" s="28" t="s">
        <v>129</v>
      </c>
      <c r="E62" s="28" t="s">
        <v>304</v>
      </c>
      <c r="F62" s="19" t="s">
        <v>308</v>
      </c>
      <c r="G62" s="20">
        <v>22990</v>
      </c>
      <c r="H62" s="21">
        <v>529</v>
      </c>
      <c r="I62" s="22">
        <v>9.6</v>
      </c>
      <c r="J62" s="23">
        <v>3.61</v>
      </c>
      <c r="K62" s="24">
        <v>0.543</v>
      </c>
      <c r="L62" s="31">
        <f t="shared" si="1"/>
        <v>0.563</v>
      </c>
      <c r="M62" s="32">
        <v>13.46</v>
      </c>
      <c r="N62" s="22">
        <v>2.64</v>
      </c>
      <c r="O62" s="26">
        <f t="shared" si="0"/>
        <v>83.9</v>
      </c>
    </row>
    <row r="63" spans="1:16">
      <c r="A63" s="15"/>
      <c r="B63" s="27"/>
      <c r="C63" s="16" t="s">
        <v>39</v>
      </c>
      <c r="D63" s="28" t="s">
        <v>129</v>
      </c>
      <c r="E63" s="28" t="s">
        <v>304</v>
      </c>
      <c r="F63" s="19" t="s">
        <v>42</v>
      </c>
      <c r="G63" s="20">
        <v>12942</v>
      </c>
      <c r="H63" s="21">
        <v>284</v>
      </c>
      <c r="I63" s="22">
        <v>13.6</v>
      </c>
      <c r="J63" s="23">
        <v>3.88</v>
      </c>
      <c r="K63" s="24">
        <v>0.568</v>
      </c>
      <c r="L63" s="31">
        <f t="shared" si="1"/>
        <v>0.588</v>
      </c>
      <c r="M63" s="32">
        <v>15.71</v>
      </c>
      <c r="N63" s="22">
        <v>8.38</v>
      </c>
      <c r="O63" s="26">
        <f t="shared" si="0"/>
        <v>75.91</v>
      </c>
      <c r="P63" t="s">
        <v>309</v>
      </c>
    </row>
    <row r="64" spans="1:16">
      <c r="A64" s="15">
        <v>46100</v>
      </c>
      <c r="B64" s="27">
        <v>46100</v>
      </c>
      <c r="C64" s="16" t="s">
        <v>39</v>
      </c>
      <c r="D64" s="28" t="s">
        <v>131</v>
      </c>
      <c r="E64" s="28" t="s">
        <v>310</v>
      </c>
      <c r="F64" s="19" t="s">
        <v>179</v>
      </c>
      <c r="G64" s="20">
        <v>23035</v>
      </c>
      <c r="H64" s="21">
        <v>692</v>
      </c>
      <c r="I64" s="22">
        <v>11.07</v>
      </c>
      <c r="J64" s="23">
        <v>2.11</v>
      </c>
      <c r="K64" s="24">
        <v>0.568</v>
      </c>
      <c r="L64" s="31">
        <f t="shared" si="1"/>
        <v>0.588</v>
      </c>
      <c r="M64" s="32">
        <v>12.44</v>
      </c>
      <c r="N64" s="22">
        <v>2.94</v>
      </c>
      <c r="O64" s="26">
        <f t="shared" si="0"/>
        <v>84.62</v>
      </c>
    </row>
    <row r="65" spans="1:16">
      <c r="A65" s="15"/>
      <c r="B65" s="27"/>
      <c r="C65" s="16" t="s">
        <v>39</v>
      </c>
      <c r="D65" s="28" t="s">
        <v>131</v>
      </c>
      <c r="E65" s="28" t="s">
        <v>310</v>
      </c>
      <c r="F65" s="19" t="s">
        <v>311</v>
      </c>
      <c r="G65" s="20">
        <v>21225</v>
      </c>
      <c r="H65" s="21">
        <v>507</v>
      </c>
      <c r="I65" s="22">
        <v>10.74</v>
      </c>
      <c r="J65" s="23">
        <v>2.51</v>
      </c>
      <c r="K65" s="24">
        <v>0.565</v>
      </c>
      <c r="L65" s="31">
        <f t="shared" si="1"/>
        <v>0.585</v>
      </c>
      <c r="M65" s="32">
        <v>14.18</v>
      </c>
      <c r="N65" s="22">
        <v>3.81</v>
      </c>
      <c r="O65" s="26">
        <f t="shared" si="0"/>
        <v>82.01</v>
      </c>
    </row>
    <row r="66" spans="1:16">
      <c r="A66" s="15"/>
      <c r="B66" s="27"/>
      <c r="C66" s="16" t="s">
        <v>39</v>
      </c>
      <c r="D66" s="28" t="s">
        <v>59</v>
      </c>
      <c r="E66" s="28" t="s">
        <v>290</v>
      </c>
      <c r="F66" s="19" t="s">
        <v>50</v>
      </c>
      <c r="G66" s="20">
        <v>20874</v>
      </c>
      <c r="H66" s="21">
        <v>504</v>
      </c>
      <c r="I66" s="22">
        <v>12.8</v>
      </c>
      <c r="J66" s="23">
        <v>3.6</v>
      </c>
      <c r="K66" s="24">
        <v>0.571</v>
      </c>
      <c r="L66" s="31">
        <f t="shared" si="1"/>
        <v>0.591</v>
      </c>
      <c r="M66" s="32">
        <v>16.39</v>
      </c>
      <c r="N66" s="22">
        <v>7.56</v>
      </c>
      <c r="O66" s="26">
        <f t="shared" si="0"/>
        <v>76.05</v>
      </c>
      <c r="P66" t="s">
        <v>312</v>
      </c>
    </row>
    <row r="67" spans="1:16">
      <c r="A67" s="15"/>
      <c r="B67" s="27"/>
      <c r="C67" s="16" t="s">
        <v>39</v>
      </c>
      <c r="D67" s="28" t="s">
        <v>131</v>
      </c>
      <c r="E67" s="28" t="s">
        <v>310</v>
      </c>
      <c r="F67" s="19" t="s">
        <v>313</v>
      </c>
      <c r="G67" s="20">
        <v>4280</v>
      </c>
      <c r="H67" s="21">
        <v>166</v>
      </c>
      <c r="I67" s="22">
        <v>7</v>
      </c>
      <c r="J67" s="23">
        <v>3.41</v>
      </c>
      <c r="K67" s="24">
        <v>0.552</v>
      </c>
      <c r="L67" s="31">
        <f t="shared" si="1"/>
        <v>0.572</v>
      </c>
      <c r="M67" s="32">
        <v>13.94</v>
      </c>
      <c r="N67" s="22">
        <v>3.99</v>
      </c>
      <c r="O67" s="26">
        <f t="shared" si="0"/>
        <v>82.07</v>
      </c>
    </row>
    <row r="68" spans="1:16">
      <c r="A68" s="15"/>
      <c r="B68" s="27"/>
      <c r="C68" s="16" t="s">
        <v>39</v>
      </c>
      <c r="D68" s="17" t="s">
        <v>54</v>
      </c>
      <c r="E68" s="35" t="s">
        <v>314</v>
      </c>
      <c r="F68" s="19" t="s">
        <v>178</v>
      </c>
      <c r="G68" s="29">
        <v>9360</v>
      </c>
      <c r="H68" s="21">
        <v>294</v>
      </c>
      <c r="I68" s="22">
        <v>9.07</v>
      </c>
      <c r="J68" s="23">
        <v>3.51</v>
      </c>
      <c r="K68" s="24">
        <v>0.556</v>
      </c>
      <c r="L68" s="31">
        <f t="shared" si="1"/>
        <v>0.576</v>
      </c>
      <c r="M68" s="32">
        <v>12.6</v>
      </c>
      <c r="N68" s="22">
        <v>3.05</v>
      </c>
      <c r="O68" s="26">
        <f t="shared" si="0"/>
        <v>84.35</v>
      </c>
      <c r="P68" s="112" t="s">
        <v>315</v>
      </c>
    </row>
    <row r="69" spans="1:16">
      <c r="A69" s="15"/>
      <c r="B69" s="27"/>
      <c r="C69" s="16" t="s">
        <v>34</v>
      </c>
      <c r="D69" s="28" t="s">
        <v>113</v>
      </c>
      <c r="E69" s="28" t="s">
        <v>300</v>
      </c>
      <c r="F69" s="19" t="s">
        <v>46</v>
      </c>
      <c r="G69" s="20">
        <v>19320</v>
      </c>
      <c r="H69" s="21">
        <v>426</v>
      </c>
      <c r="I69" s="22">
        <v>11.54</v>
      </c>
      <c r="J69" s="23">
        <v>2.14</v>
      </c>
      <c r="K69" s="24">
        <v>0.575</v>
      </c>
      <c r="L69" s="31">
        <f t="shared" si="1"/>
        <v>0.595</v>
      </c>
      <c r="M69" s="32">
        <v>13.22</v>
      </c>
      <c r="N69" s="22">
        <v>2.75</v>
      </c>
      <c r="O69" s="26">
        <f t="shared" ref="O69:O77" si="2">100-M69-N69</f>
        <v>84.03</v>
      </c>
    </row>
    <row r="70" spans="1:16">
      <c r="A70" s="15"/>
      <c r="B70" s="27"/>
      <c r="C70" s="138" t="s">
        <v>71</v>
      </c>
      <c r="D70" s="149" t="s">
        <v>111</v>
      </c>
      <c r="E70" s="150" t="s">
        <v>193</v>
      </c>
      <c r="F70" s="140" t="s">
        <v>90</v>
      </c>
      <c r="G70" s="141">
        <v>18011</v>
      </c>
      <c r="H70" s="142">
        <v>507</v>
      </c>
      <c r="I70" s="143">
        <v>17.8</v>
      </c>
      <c r="J70" s="144">
        <v>2.71</v>
      </c>
      <c r="K70" s="145">
        <v>0.571</v>
      </c>
      <c r="L70" s="146">
        <f t="shared" ref="L70:L81" si="3">K70+0.02</f>
        <v>0.591</v>
      </c>
      <c r="M70" s="147">
        <v>12.05</v>
      </c>
      <c r="N70" s="143">
        <v>3.99</v>
      </c>
      <c r="O70" s="148">
        <f t="shared" si="2"/>
        <v>83.96</v>
      </c>
      <c r="P70" s="34" t="s">
        <v>316</v>
      </c>
    </row>
    <row r="71" spans="1:16">
      <c r="A71" s="15">
        <v>46101</v>
      </c>
      <c r="B71" s="27">
        <v>46101</v>
      </c>
      <c r="C71" s="78" t="s">
        <v>48</v>
      </c>
      <c r="D71" s="91" t="s">
        <v>143</v>
      </c>
      <c r="E71" s="92"/>
      <c r="F71" s="81" t="s">
        <v>46</v>
      </c>
      <c r="G71" s="82">
        <v>17660</v>
      </c>
      <c r="H71" s="83">
        <v>493</v>
      </c>
      <c r="I71" s="84">
        <v>10.74</v>
      </c>
      <c r="J71" s="85">
        <v>2.63</v>
      </c>
      <c r="K71" s="86">
        <v>0.578</v>
      </c>
      <c r="L71" s="87">
        <f t="shared" si="3"/>
        <v>0.598</v>
      </c>
      <c r="M71" s="88">
        <v>13.55</v>
      </c>
      <c r="N71" s="84">
        <v>2.38</v>
      </c>
      <c r="O71" s="89">
        <f t="shared" si="2"/>
        <v>84.07</v>
      </c>
      <c r="P71" s="112" t="s">
        <v>218</v>
      </c>
    </row>
    <row r="72" spans="1:16">
      <c r="A72" s="15"/>
      <c r="B72" s="27"/>
      <c r="C72" s="16" t="s">
        <v>317</v>
      </c>
      <c r="D72" s="28" t="s">
        <v>35</v>
      </c>
      <c r="E72" s="28" t="s">
        <v>318</v>
      </c>
      <c r="F72" s="19" t="s">
        <v>319</v>
      </c>
      <c r="G72" s="20">
        <v>5390</v>
      </c>
      <c r="H72" s="21">
        <v>171</v>
      </c>
      <c r="I72" s="22">
        <v>11.67</v>
      </c>
      <c r="J72" s="23">
        <v>2.48</v>
      </c>
      <c r="K72" s="24">
        <v>0.571</v>
      </c>
      <c r="L72" s="31">
        <f t="shared" si="3"/>
        <v>0.591</v>
      </c>
      <c r="M72" s="32">
        <v>14.39</v>
      </c>
      <c r="N72" s="22">
        <v>2.46</v>
      </c>
      <c r="O72" s="26">
        <f t="shared" si="2"/>
        <v>83.15</v>
      </c>
    </row>
    <row r="73" spans="1:16">
      <c r="A73" s="15"/>
      <c r="B73" s="27"/>
      <c r="C73" s="16" t="s">
        <v>317</v>
      </c>
      <c r="D73" s="28" t="s">
        <v>35</v>
      </c>
      <c r="E73" s="28" t="s">
        <v>318</v>
      </c>
      <c r="F73" s="19" t="s">
        <v>320</v>
      </c>
      <c r="G73" s="20">
        <v>6080</v>
      </c>
      <c r="H73" s="21">
        <v>217</v>
      </c>
      <c r="I73" s="22">
        <v>11.87</v>
      </c>
      <c r="J73" s="23">
        <v>2.42</v>
      </c>
      <c r="K73" s="24">
        <v>0.575</v>
      </c>
      <c r="L73" s="31">
        <f t="shared" si="3"/>
        <v>0.595</v>
      </c>
      <c r="M73" s="32">
        <v>13.78</v>
      </c>
      <c r="N73" s="22">
        <v>2.72</v>
      </c>
      <c r="O73" s="26">
        <f t="shared" si="2"/>
        <v>83.5</v>
      </c>
    </row>
    <row r="74" spans="1:16">
      <c r="A74" s="15"/>
      <c r="B74" s="27"/>
      <c r="C74" s="16" t="s">
        <v>39</v>
      </c>
      <c r="D74" s="28" t="s">
        <v>129</v>
      </c>
      <c r="E74" s="28" t="s">
        <v>304</v>
      </c>
      <c r="F74" s="19" t="s">
        <v>42</v>
      </c>
      <c r="G74" s="20">
        <v>11226</v>
      </c>
      <c r="H74" s="21">
        <v>312</v>
      </c>
      <c r="I74" s="22">
        <v>11.14</v>
      </c>
      <c r="J74" s="23">
        <v>2.89</v>
      </c>
      <c r="K74" s="24">
        <v>0.575</v>
      </c>
      <c r="L74" s="31">
        <f t="shared" si="3"/>
        <v>0.595</v>
      </c>
      <c r="M74" s="32">
        <v>15.6</v>
      </c>
      <c r="N74" s="22">
        <v>5.3</v>
      </c>
      <c r="O74" s="26">
        <f t="shared" si="2"/>
        <v>79.1</v>
      </c>
      <c r="P74" t="s">
        <v>321</v>
      </c>
    </row>
    <row r="75" spans="1:16">
      <c r="A75" s="15"/>
      <c r="B75" s="27"/>
      <c r="C75" s="16" t="s">
        <v>39</v>
      </c>
      <c r="D75" s="28" t="s">
        <v>131</v>
      </c>
      <c r="E75" s="28" t="s">
        <v>310</v>
      </c>
      <c r="F75" s="19" t="s">
        <v>322</v>
      </c>
      <c r="G75" s="20">
        <v>19480</v>
      </c>
      <c r="H75" s="21">
        <v>568</v>
      </c>
      <c r="I75" s="22">
        <v>10.8</v>
      </c>
      <c r="J75" s="23">
        <v>3.18</v>
      </c>
      <c r="K75" s="24">
        <v>0.556</v>
      </c>
      <c r="L75" s="31">
        <f t="shared" si="3"/>
        <v>0.576</v>
      </c>
      <c r="M75" s="32">
        <v>12.34</v>
      </c>
      <c r="N75" s="22">
        <v>2.74</v>
      </c>
      <c r="O75" s="26">
        <f t="shared" si="2"/>
        <v>84.92</v>
      </c>
    </row>
    <row r="76" spans="1:16">
      <c r="A76" s="15">
        <v>46102</v>
      </c>
      <c r="B76" s="27">
        <v>46102</v>
      </c>
      <c r="C76" s="16" t="s">
        <v>39</v>
      </c>
      <c r="D76" s="28" t="s">
        <v>129</v>
      </c>
      <c r="E76" s="28" t="s">
        <v>304</v>
      </c>
      <c r="F76" s="19" t="s">
        <v>42</v>
      </c>
      <c r="G76" s="20">
        <v>11680</v>
      </c>
      <c r="H76" s="21">
        <v>362</v>
      </c>
      <c r="I76" s="22">
        <v>10.34</v>
      </c>
      <c r="J76" s="23">
        <v>3.12</v>
      </c>
      <c r="K76" s="24">
        <v>0.568</v>
      </c>
      <c r="L76" s="31">
        <f t="shared" si="3"/>
        <v>0.588</v>
      </c>
      <c r="M76" s="32">
        <v>12.72</v>
      </c>
      <c r="N76" s="22">
        <v>4.68</v>
      </c>
      <c r="O76" s="26">
        <f t="shared" si="2"/>
        <v>82.6</v>
      </c>
    </row>
    <row r="77" spans="1:16">
      <c r="A77" s="15"/>
      <c r="B77" s="27"/>
      <c r="C77" s="16" t="s">
        <v>34</v>
      </c>
      <c r="D77" s="28" t="s">
        <v>113</v>
      </c>
      <c r="E77" s="28" t="s">
        <v>300</v>
      </c>
      <c r="F77" s="19" t="s">
        <v>50</v>
      </c>
      <c r="G77" s="20">
        <v>17690</v>
      </c>
      <c r="H77" s="21">
        <v>463</v>
      </c>
      <c r="I77" s="22">
        <v>11.74</v>
      </c>
      <c r="J77" s="23">
        <v>2.57</v>
      </c>
      <c r="K77" s="24">
        <v>0.571</v>
      </c>
      <c r="L77" s="31">
        <f t="shared" si="3"/>
        <v>0.591</v>
      </c>
      <c r="M77" s="32">
        <v>12.27</v>
      </c>
      <c r="N77" s="22">
        <v>2.79</v>
      </c>
      <c r="O77" s="26">
        <f t="shared" si="2"/>
        <v>84.94</v>
      </c>
    </row>
    <row r="78" spans="1:16">
      <c r="A78" s="15"/>
      <c r="B78" s="27"/>
      <c r="C78" s="16" t="s">
        <v>34</v>
      </c>
      <c r="D78" s="17" t="s">
        <v>72</v>
      </c>
      <c r="E78" s="35" t="s">
        <v>323</v>
      </c>
      <c r="F78" s="19" t="s">
        <v>46</v>
      </c>
      <c r="G78" s="20">
        <v>18425</v>
      </c>
      <c r="H78" s="21">
        <v>459</v>
      </c>
      <c r="I78" s="22">
        <v>11.6</v>
      </c>
      <c r="J78" s="23">
        <v>2.68</v>
      </c>
      <c r="K78" s="24">
        <v>0.578</v>
      </c>
      <c r="L78" s="31">
        <f t="shared" si="3"/>
        <v>0.598</v>
      </c>
      <c r="M78" s="32">
        <v>11.94</v>
      </c>
      <c r="N78" s="22">
        <v>2.87</v>
      </c>
      <c r="O78" s="26">
        <f t="shared" ref="O78:O87" si="4">100-M78-N78</f>
        <v>85.19</v>
      </c>
    </row>
    <row r="79" spans="1:16">
      <c r="A79" s="15"/>
      <c r="B79" s="27"/>
      <c r="C79" s="126" t="s">
        <v>71</v>
      </c>
      <c r="D79" s="127" t="s">
        <v>138</v>
      </c>
      <c r="E79" s="151" t="s">
        <v>99</v>
      </c>
      <c r="F79" s="129" t="s">
        <v>74</v>
      </c>
      <c r="G79" s="130">
        <v>11144</v>
      </c>
      <c r="H79" s="131">
        <v>235</v>
      </c>
      <c r="I79" s="132">
        <v>15.6</v>
      </c>
      <c r="J79" s="133">
        <v>2.32</v>
      </c>
      <c r="K79" s="134">
        <v>0.575</v>
      </c>
      <c r="L79" s="135">
        <f t="shared" si="3"/>
        <v>0.595</v>
      </c>
      <c r="M79" s="136">
        <v>11.66</v>
      </c>
      <c r="N79" s="132">
        <v>3.55</v>
      </c>
      <c r="O79" s="137">
        <f t="shared" si="4"/>
        <v>84.79</v>
      </c>
      <c r="P79" s="34" t="s">
        <v>324</v>
      </c>
    </row>
    <row r="80" spans="1:16">
      <c r="A80" s="15">
        <v>46104</v>
      </c>
      <c r="B80" s="27">
        <v>46104</v>
      </c>
      <c r="C80" s="16" t="s">
        <v>125</v>
      </c>
      <c r="D80" s="28" t="s">
        <v>35</v>
      </c>
      <c r="E80" s="28" t="s">
        <v>318</v>
      </c>
      <c r="F80" s="19" t="s">
        <v>126</v>
      </c>
      <c r="G80" s="20">
        <v>18860</v>
      </c>
      <c r="H80" s="21">
        <v>478</v>
      </c>
      <c r="I80" s="22">
        <v>10.94</v>
      </c>
      <c r="J80" s="23">
        <v>2.6</v>
      </c>
      <c r="K80" s="24">
        <v>0.581</v>
      </c>
      <c r="L80" s="31">
        <f t="shared" si="3"/>
        <v>0.601</v>
      </c>
      <c r="M80" s="32">
        <v>12.23</v>
      </c>
      <c r="N80" s="22">
        <v>2.64</v>
      </c>
      <c r="O80" s="26">
        <f t="shared" si="4"/>
        <v>85.13</v>
      </c>
    </row>
    <row r="81" spans="1:20">
      <c r="A81" s="15"/>
      <c r="B81" s="27"/>
      <c r="C81" s="16" t="s">
        <v>58</v>
      </c>
      <c r="D81" s="28" t="s">
        <v>35</v>
      </c>
      <c r="E81" s="28" t="s">
        <v>318</v>
      </c>
      <c r="F81" s="19" t="s">
        <v>61</v>
      </c>
      <c r="G81" s="20">
        <v>6310</v>
      </c>
      <c r="H81" s="21">
        <v>131</v>
      </c>
      <c r="I81" s="22">
        <v>11.8</v>
      </c>
      <c r="J81" s="23">
        <v>2.64</v>
      </c>
      <c r="K81" s="24">
        <v>0.585</v>
      </c>
      <c r="L81" s="31">
        <f t="shared" si="3"/>
        <v>0.605</v>
      </c>
      <c r="M81" s="32">
        <v>12.44</v>
      </c>
      <c r="N81" s="22">
        <v>3.33</v>
      </c>
      <c r="O81" s="26">
        <f t="shared" si="4"/>
        <v>84.23</v>
      </c>
    </row>
    <row r="82" spans="1:20">
      <c r="A82" s="15">
        <v>46105</v>
      </c>
      <c r="B82" s="27">
        <v>46105</v>
      </c>
      <c r="C82" s="78" t="s">
        <v>48</v>
      </c>
      <c r="D82" s="79" t="s">
        <v>152</v>
      </c>
      <c r="E82" s="80"/>
      <c r="F82" s="81" t="s">
        <v>50</v>
      </c>
      <c r="G82" s="82">
        <v>17945</v>
      </c>
      <c r="H82" s="83">
        <v>471</v>
      </c>
      <c r="I82" s="84">
        <v>11.4</v>
      </c>
      <c r="J82" s="85">
        <v>2.6</v>
      </c>
      <c r="K82" s="86">
        <v>0.578</v>
      </c>
      <c r="L82" s="87">
        <f t="shared" ref="L82:L86" si="5">K82+0.02</f>
        <v>0.598</v>
      </c>
      <c r="M82" s="88">
        <v>13.44</v>
      </c>
      <c r="N82" s="84">
        <v>3.14</v>
      </c>
      <c r="O82" s="89">
        <f t="shared" si="4"/>
        <v>83.42</v>
      </c>
      <c r="P82" s="112" t="s">
        <v>218</v>
      </c>
    </row>
    <row r="83" spans="1:20">
      <c r="A83" s="15"/>
      <c r="B83" s="27"/>
      <c r="C83" s="16" t="s">
        <v>34</v>
      </c>
      <c r="D83" s="28" t="s">
        <v>72</v>
      </c>
      <c r="E83" s="28" t="s">
        <v>323</v>
      </c>
      <c r="F83" s="19" t="s">
        <v>46</v>
      </c>
      <c r="G83" s="20">
        <v>19240</v>
      </c>
      <c r="H83" s="21">
        <v>474</v>
      </c>
      <c r="I83" s="22">
        <v>11.6</v>
      </c>
      <c r="J83" s="23">
        <v>2.5</v>
      </c>
      <c r="K83" s="24">
        <v>0.575</v>
      </c>
      <c r="L83" s="31">
        <f t="shared" si="5"/>
        <v>0.595</v>
      </c>
      <c r="M83" s="32">
        <v>12.39</v>
      </c>
      <c r="N83" s="22">
        <v>3.64</v>
      </c>
      <c r="O83" s="26">
        <f t="shared" si="4"/>
        <v>83.97</v>
      </c>
    </row>
    <row r="84" spans="1:20">
      <c r="A84" s="15"/>
      <c r="B84" s="27"/>
      <c r="C84" s="16" t="s">
        <v>53</v>
      </c>
      <c r="D84" s="28" t="s">
        <v>154</v>
      </c>
      <c r="E84" s="28" t="s">
        <v>325</v>
      </c>
      <c r="F84" s="19" t="s">
        <v>56</v>
      </c>
      <c r="G84" s="20">
        <v>24355</v>
      </c>
      <c r="H84" s="21">
        <v>548</v>
      </c>
      <c r="I84" s="22">
        <v>11.94</v>
      </c>
      <c r="J84" s="23">
        <v>2.41</v>
      </c>
      <c r="K84" s="24">
        <v>0.575</v>
      </c>
      <c r="L84" s="31">
        <f t="shared" si="5"/>
        <v>0.595</v>
      </c>
      <c r="M84" s="32">
        <v>13.14</v>
      </c>
      <c r="N84" s="22">
        <v>2.67</v>
      </c>
      <c r="O84" s="26">
        <f t="shared" si="4"/>
        <v>84.19</v>
      </c>
    </row>
    <row r="85" spans="1:20">
      <c r="A85" s="15"/>
      <c r="B85" s="27"/>
      <c r="C85" s="16" t="s">
        <v>39</v>
      </c>
      <c r="D85" s="28" t="s">
        <v>161</v>
      </c>
      <c r="E85" s="28" t="s">
        <v>326</v>
      </c>
      <c r="F85" s="19" t="s">
        <v>327</v>
      </c>
      <c r="G85" s="20">
        <v>18150</v>
      </c>
      <c r="H85" s="21">
        <v>630</v>
      </c>
      <c r="I85" s="22">
        <v>10.07</v>
      </c>
      <c r="J85" s="23">
        <v>3.52</v>
      </c>
      <c r="K85" s="24">
        <v>0.552</v>
      </c>
      <c r="L85" s="31">
        <f t="shared" si="5"/>
        <v>0.572</v>
      </c>
      <c r="M85" s="32">
        <v>13.25</v>
      </c>
      <c r="N85" s="22">
        <v>3.94</v>
      </c>
      <c r="O85" s="26">
        <f t="shared" si="4"/>
        <v>82.81</v>
      </c>
    </row>
    <row r="86" spans="1:20">
      <c r="A86" s="15"/>
      <c r="B86" s="27"/>
      <c r="C86" s="16" t="s">
        <v>39</v>
      </c>
      <c r="D86" s="28" t="s">
        <v>156</v>
      </c>
      <c r="E86" s="28" t="s">
        <v>328</v>
      </c>
      <c r="F86" s="19" t="s">
        <v>224</v>
      </c>
      <c r="G86" s="20">
        <v>28150</v>
      </c>
      <c r="H86" s="21">
        <v>783</v>
      </c>
      <c r="I86" s="22">
        <v>10.6</v>
      </c>
      <c r="J86" s="23">
        <v>3.6</v>
      </c>
      <c r="K86" s="24">
        <v>0.546</v>
      </c>
      <c r="L86" s="31">
        <f t="shared" si="5"/>
        <v>0.566</v>
      </c>
      <c r="M86" s="32">
        <v>11.46</v>
      </c>
      <c r="N86" s="22">
        <v>4.2</v>
      </c>
      <c r="O86" s="26">
        <f t="shared" si="4"/>
        <v>84.34</v>
      </c>
      <c r="S86" s="152"/>
    </row>
    <row r="87" spans="1:20">
      <c r="A87" s="15"/>
      <c r="B87" s="27"/>
      <c r="C87" s="16" t="s">
        <v>39</v>
      </c>
      <c r="D87" s="17" t="s">
        <v>329</v>
      </c>
      <c r="E87" s="153" t="s">
        <v>290</v>
      </c>
      <c r="F87" s="19" t="s">
        <v>178</v>
      </c>
      <c r="G87" s="20">
        <v>10615</v>
      </c>
      <c r="H87" s="21">
        <v>314</v>
      </c>
      <c r="I87" s="22">
        <v>9.14</v>
      </c>
      <c r="J87" s="23">
        <v>3.73</v>
      </c>
      <c r="K87" s="24">
        <v>0.559</v>
      </c>
      <c r="L87" s="31">
        <f t="shared" ref="L87:L116" si="6">K87+0.02</f>
        <v>0.579</v>
      </c>
      <c r="M87" s="32">
        <v>14.6</v>
      </c>
      <c r="N87" s="22">
        <v>2.88</v>
      </c>
      <c r="O87" s="26">
        <f t="shared" si="4"/>
        <v>82.52</v>
      </c>
      <c r="S87" s="154"/>
      <c r="T87" s="155"/>
    </row>
    <row r="88" spans="1:20">
      <c r="A88" s="15">
        <v>46106</v>
      </c>
      <c r="B88" s="15">
        <v>46106</v>
      </c>
      <c r="C88" s="16" t="s">
        <v>34</v>
      </c>
      <c r="D88" s="28" t="s">
        <v>72</v>
      </c>
      <c r="E88" s="28" t="s">
        <v>323</v>
      </c>
      <c r="F88" s="19" t="s">
        <v>50</v>
      </c>
      <c r="G88" s="20">
        <v>17800</v>
      </c>
      <c r="H88" s="21">
        <v>426</v>
      </c>
      <c r="I88" s="22">
        <v>11.8</v>
      </c>
      <c r="J88" s="23">
        <v>2.49</v>
      </c>
      <c r="K88" s="24">
        <v>0.575</v>
      </c>
      <c r="L88" s="31">
        <f t="shared" si="6"/>
        <v>0.595</v>
      </c>
      <c r="M88" s="32">
        <v>13.71</v>
      </c>
      <c r="N88" s="22">
        <v>3.48</v>
      </c>
      <c r="O88" s="26">
        <f t="shared" ref="O88:O121" si="7">100-M88-N88</f>
        <v>82.81</v>
      </c>
      <c r="S88" s="156"/>
    </row>
    <row r="89" spans="1:20">
      <c r="A89" s="15"/>
      <c r="B89" s="27"/>
      <c r="C89" s="16" t="s">
        <v>39</v>
      </c>
      <c r="D89" s="28" t="s">
        <v>161</v>
      </c>
      <c r="E89" s="28" t="s">
        <v>326</v>
      </c>
      <c r="F89" s="19" t="s">
        <v>272</v>
      </c>
      <c r="G89" s="20">
        <v>21055</v>
      </c>
      <c r="H89" s="21">
        <v>503</v>
      </c>
      <c r="I89" s="22">
        <v>9.67</v>
      </c>
      <c r="J89" s="23">
        <v>2.88</v>
      </c>
      <c r="K89" s="24">
        <v>0.571</v>
      </c>
      <c r="L89" s="31">
        <f t="shared" si="6"/>
        <v>0.591</v>
      </c>
      <c r="M89" s="32">
        <v>12.43</v>
      </c>
      <c r="N89" s="22">
        <v>3.34</v>
      </c>
      <c r="O89" s="26">
        <f t="shared" si="7"/>
        <v>84.23</v>
      </c>
    </row>
    <row r="90" spans="1:20">
      <c r="A90" s="15"/>
      <c r="B90" s="27"/>
      <c r="C90" s="16" t="s">
        <v>39</v>
      </c>
      <c r="D90" s="28" t="s">
        <v>161</v>
      </c>
      <c r="E90" s="28" t="s">
        <v>326</v>
      </c>
      <c r="F90" s="19" t="s">
        <v>178</v>
      </c>
      <c r="G90" s="20">
        <v>10970</v>
      </c>
      <c r="H90" s="21">
        <v>282</v>
      </c>
      <c r="I90" s="22">
        <v>9.8</v>
      </c>
      <c r="J90" s="23">
        <v>3.22</v>
      </c>
      <c r="K90" s="24">
        <v>0.568</v>
      </c>
      <c r="L90" s="31">
        <f t="shared" si="6"/>
        <v>0.588</v>
      </c>
      <c r="M90" s="32">
        <v>13.88</v>
      </c>
      <c r="N90" s="22">
        <v>3.8</v>
      </c>
      <c r="O90" s="26">
        <f t="shared" si="7"/>
        <v>82.32</v>
      </c>
    </row>
    <row r="91" spans="1:20">
      <c r="A91" s="15"/>
      <c r="B91" s="27"/>
      <c r="C91" s="16" t="s">
        <v>39</v>
      </c>
      <c r="D91" s="28" t="s">
        <v>156</v>
      </c>
      <c r="E91" s="28" t="s">
        <v>328</v>
      </c>
      <c r="F91" s="19" t="s">
        <v>330</v>
      </c>
      <c r="G91" s="20">
        <v>25590</v>
      </c>
      <c r="H91" s="21">
        <v>550</v>
      </c>
      <c r="I91" s="22">
        <v>9.07</v>
      </c>
      <c r="J91" s="23">
        <v>2.78</v>
      </c>
      <c r="K91" s="24">
        <v>0.575</v>
      </c>
      <c r="L91" s="31">
        <f t="shared" si="6"/>
        <v>0.595</v>
      </c>
      <c r="M91" s="32">
        <v>14.18</v>
      </c>
      <c r="N91" s="22">
        <v>2.4</v>
      </c>
      <c r="O91" s="26">
        <f t="shared" si="7"/>
        <v>83.42</v>
      </c>
      <c r="P91" s="156"/>
      <c r="Q91" s="157"/>
    </row>
    <row r="92" spans="1:20">
      <c r="A92" s="15">
        <v>46107</v>
      </c>
      <c r="B92" s="27">
        <v>46107</v>
      </c>
      <c r="C92" s="16" t="s">
        <v>39</v>
      </c>
      <c r="D92" s="28" t="s">
        <v>161</v>
      </c>
      <c r="E92" s="28" t="s">
        <v>326</v>
      </c>
      <c r="F92" s="19" t="s">
        <v>50</v>
      </c>
      <c r="G92" s="20">
        <v>18400</v>
      </c>
      <c r="H92" s="21">
        <v>475</v>
      </c>
      <c r="I92" s="22">
        <v>10.8</v>
      </c>
      <c r="J92" s="23">
        <v>3.6</v>
      </c>
      <c r="K92" s="24">
        <v>0.552</v>
      </c>
      <c r="L92" s="31">
        <f t="shared" si="6"/>
        <v>0.572</v>
      </c>
      <c r="M92" s="32">
        <v>13.14</v>
      </c>
      <c r="N92" s="22">
        <v>4.81</v>
      </c>
      <c r="O92" s="26">
        <f t="shared" si="7"/>
        <v>82.05</v>
      </c>
    </row>
    <row r="93" spans="1:20">
      <c r="A93" s="15"/>
      <c r="B93" s="27"/>
      <c r="C93" s="16" t="s">
        <v>39</v>
      </c>
      <c r="D93" s="28" t="s">
        <v>163</v>
      </c>
      <c r="E93" s="28" t="s">
        <v>331</v>
      </c>
      <c r="F93" s="19" t="s">
        <v>204</v>
      </c>
      <c r="G93" s="20">
        <v>16570</v>
      </c>
      <c r="H93" s="21">
        <v>497</v>
      </c>
      <c r="I93" s="22">
        <v>11.34</v>
      </c>
      <c r="J93" s="23">
        <v>2.18</v>
      </c>
      <c r="K93" s="24">
        <v>0.568</v>
      </c>
      <c r="L93" s="31">
        <f t="shared" si="6"/>
        <v>0.588</v>
      </c>
      <c r="M93" s="32">
        <v>11.07</v>
      </c>
      <c r="N93" s="22">
        <v>3.73</v>
      </c>
      <c r="O93" s="26">
        <f t="shared" si="7"/>
        <v>85.2</v>
      </c>
    </row>
    <row r="94" spans="1:20">
      <c r="A94" s="15"/>
      <c r="B94" s="27"/>
      <c r="C94" s="16" t="s">
        <v>39</v>
      </c>
      <c r="D94" s="28" t="s">
        <v>156</v>
      </c>
      <c r="E94" s="28" t="s">
        <v>328</v>
      </c>
      <c r="F94" s="19" t="s">
        <v>230</v>
      </c>
      <c r="G94" s="20">
        <v>21440</v>
      </c>
      <c r="H94" s="21">
        <v>597</v>
      </c>
      <c r="I94" s="22">
        <v>9.4</v>
      </c>
      <c r="J94" s="23">
        <v>3.71</v>
      </c>
      <c r="K94" s="24">
        <v>0.546</v>
      </c>
      <c r="L94" s="31">
        <f t="shared" si="6"/>
        <v>0.566</v>
      </c>
      <c r="M94" s="32">
        <v>13.13</v>
      </c>
      <c r="N94" s="22">
        <v>3.42</v>
      </c>
      <c r="O94" s="26">
        <f t="shared" si="7"/>
        <v>83.45</v>
      </c>
    </row>
    <row r="95" spans="1:20">
      <c r="A95" s="15"/>
      <c r="B95" s="27"/>
      <c r="C95" s="16" t="s">
        <v>39</v>
      </c>
      <c r="D95" s="28" t="s">
        <v>170</v>
      </c>
      <c r="E95" s="28" t="s">
        <v>332</v>
      </c>
      <c r="F95" s="19" t="s">
        <v>224</v>
      </c>
      <c r="G95" s="20">
        <v>35790</v>
      </c>
      <c r="H95" s="21">
        <v>796</v>
      </c>
      <c r="I95" s="22">
        <v>9.6</v>
      </c>
      <c r="J95" s="23">
        <v>2.91</v>
      </c>
      <c r="K95" s="24">
        <v>0.549</v>
      </c>
      <c r="L95" s="31">
        <f t="shared" si="6"/>
        <v>0.569</v>
      </c>
      <c r="M95" s="32">
        <v>11.23</v>
      </c>
      <c r="N95" s="22">
        <v>3.57</v>
      </c>
      <c r="O95" s="26">
        <f t="shared" si="7"/>
        <v>85.2</v>
      </c>
    </row>
    <row r="96" spans="1:20">
      <c r="A96" s="15"/>
      <c r="B96" s="27"/>
      <c r="C96" s="16" t="s">
        <v>34</v>
      </c>
      <c r="D96" s="28" t="s">
        <v>72</v>
      </c>
      <c r="E96" s="28" t="s">
        <v>323</v>
      </c>
      <c r="F96" s="19" t="s">
        <v>46</v>
      </c>
      <c r="G96" s="20">
        <v>19530</v>
      </c>
      <c r="H96" s="21">
        <v>405</v>
      </c>
      <c r="I96" s="22">
        <v>11.74</v>
      </c>
      <c r="J96" s="23">
        <v>3.11</v>
      </c>
      <c r="K96" s="24">
        <v>0.575</v>
      </c>
      <c r="L96" s="31">
        <f t="shared" si="6"/>
        <v>0.595</v>
      </c>
      <c r="M96" s="32">
        <v>12.27</v>
      </c>
      <c r="N96" s="22">
        <v>2.6</v>
      </c>
      <c r="O96" s="26">
        <f t="shared" si="7"/>
        <v>85.13</v>
      </c>
    </row>
    <row r="97" spans="1:16">
      <c r="A97" s="15"/>
      <c r="B97" s="27"/>
      <c r="C97" s="138" t="s">
        <v>34</v>
      </c>
      <c r="D97" s="139" t="s">
        <v>108</v>
      </c>
      <c r="E97" s="139" t="s">
        <v>274</v>
      </c>
      <c r="F97" s="140" t="s">
        <v>333</v>
      </c>
      <c r="G97" s="141">
        <v>2341</v>
      </c>
      <c r="H97" s="142">
        <v>40</v>
      </c>
      <c r="I97" s="143">
        <v>16.07</v>
      </c>
      <c r="J97" s="144">
        <v>3.8</v>
      </c>
      <c r="K97" s="145">
        <v>0.556</v>
      </c>
      <c r="L97" s="146">
        <f t="shared" si="6"/>
        <v>0.576</v>
      </c>
      <c r="M97" s="147">
        <v>12.34</v>
      </c>
      <c r="N97" s="143">
        <v>2.48</v>
      </c>
      <c r="O97" s="148">
        <f t="shared" si="7"/>
        <v>85.18</v>
      </c>
      <c r="P97" s="34" t="s">
        <v>334</v>
      </c>
    </row>
    <row r="98" spans="1:16">
      <c r="A98" s="15">
        <v>46108</v>
      </c>
      <c r="B98" s="27">
        <v>46108</v>
      </c>
      <c r="C98" s="16" t="s">
        <v>34</v>
      </c>
      <c r="D98" s="28" t="s">
        <v>237</v>
      </c>
      <c r="E98" s="28" t="s">
        <v>335</v>
      </c>
      <c r="F98" s="19" t="s">
        <v>46</v>
      </c>
      <c r="G98" s="20">
        <v>17590</v>
      </c>
      <c r="H98" s="21">
        <v>448</v>
      </c>
      <c r="I98" s="22">
        <v>11.67</v>
      </c>
      <c r="J98" s="23">
        <v>2.56</v>
      </c>
      <c r="K98" s="24">
        <v>0.578</v>
      </c>
      <c r="L98" s="31">
        <f t="shared" si="6"/>
        <v>0.598</v>
      </c>
      <c r="M98" s="32">
        <v>13.28</v>
      </c>
      <c r="N98" s="22">
        <v>3.65</v>
      </c>
      <c r="O98" s="26">
        <f t="shared" si="7"/>
        <v>83.07</v>
      </c>
      <c r="P98" t="s">
        <v>191</v>
      </c>
    </row>
    <row r="99" spans="1:16">
      <c r="A99" s="15"/>
      <c r="B99" s="27"/>
      <c r="C99" s="78" t="s">
        <v>48</v>
      </c>
      <c r="D99" s="79" t="s">
        <v>160</v>
      </c>
      <c r="E99" s="80"/>
      <c r="F99" s="81" t="s">
        <v>50</v>
      </c>
      <c r="G99" s="82">
        <v>19025</v>
      </c>
      <c r="H99" s="83">
        <v>443</v>
      </c>
      <c r="I99" s="84">
        <v>11.4</v>
      </c>
      <c r="J99" s="85">
        <v>2.49</v>
      </c>
      <c r="K99" s="86">
        <v>0.571</v>
      </c>
      <c r="L99" s="87">
        <f t="shared" si="6"/>
        <v>0.591</v>
      </c>
      <c r="M99" s="88">
        <v>12.71</v>
      </c>
      <c r="N99" s="84">
        <v>2.99</v>
      </c>
      <c r="O99" s="89">
        <f t="shared" si="7"/>
        <v>84.3</v>
      </c>
      <c r="P99" s="112" t="s">
        <v>218</v>
      </c>
    </row>
    <row r="100" spans="1:16">
      <c r="A100" s="15"/>
      <c r="B100" s="27"/>
      <c r="C100" s="16" t="s">
        <v>39</v>
      </c>
      <c r="D100" s="28" t="s">
        <v>163</v>
      </c>
      <c r="E100" s="28" t="s">
        <v>331</v>
      </c>
      <c r="F100" s="19" t="s">
        <v>178</v>
      </c>
      <c r="G100" s="20">
        <v>10350</v>
      </c>
      <c r="H100" s="21">
        <v>288</v>
      </c>
      <c r="I100" s="22">
        <v>8.87</v>
      </c>
      <c r="J100" s="23">
        <v>3.66</v>
      </c>
      <c r="K100" s="24">
        <v>0.565</v>
      </c>
      <c r="L100" s="31">
        <f t="shared" si="6"/>
        <v>0.585</v>
      </c>
      <c r="M100" s="32">
        <v>14.18</v>
      </c>
      <c r="N100" s="22">
        <v>2.3</v>
      </c>
      <c r="O100" s="26">
        <f t="shared" si="7"/>
        <v>83.52</v>
      </c>
    </row>
    <row r="101" spans="1:16">
      <c r="A101" s="15">
        <v>46109</v>
      </c>
      <c r="B101" s="27">
        <v>46109</v>
      </c>
      <c r="C101" s="16" t="s">
        <v>39</v>
      </c>
      <c r="D101" s="28" t="s">
        <v>163</v>
      </c>
      <c r="E101" s="28" t="s">
        <v>331</v>
      </c>
      <c r="F101" s="19" t="s">
        <v>322</v>
      </c>
      <c r="G101" s="20">
        <v>17470</v>
      </c>
      <c r="H101" s="21">
        <v>473</v>
      </c>
      <c r="I101" s="22">
        <v>10.14</v>
      </c>
      <c r="J101" s="23">
        <v>3.42</v>
      </c>
      <c r="K101" s="24">
        <v>0.546</v>
      </c>
      <c r="L101" s="31">
        <f t="shared" si="6"/>
        <v>0.566</v>
      </c>
      <c r="M101" s="32">
        <v>12.65</v>
      </c>
      <c r="N101" s="22">
        <v>4.51</v>
      </c>
      <c r="O101" s="26">
        <f t="shared" si="7"/>
        <v>82.84</v>
      </c>
    </row>
    <row r="102" spans="1:16">
      <c r="A102" s="15"/>
      <c r="B102" s="27"/>
      <c r="C102" s="16" t="s">
        <v>39</v>
      </c>
      <c r="D102" s="28" t="s">
        <v>163</v>
      </c>
      <c r="E102" s="28" t="s">
        <v>331</v>
      </c>
      <c r="F102" s="19" t="s">
        <v>42</v>
      </c>
      <c r="G102" s="20">
        <v>10470</v>
      </c>
      <c r="H102" s="21">
        <v>305</v>
      </c>
      <c r="I102" s="22">
        <v>9.8</v>
      </c>
      <c r="J102" s="23">
        <v>2.61</v>
      </c>
      <c r="K102" s="24">
        <v>0.578</v>
      </c>
      <c r="L102" s="31">
        <f t="shared" si="6"/>
        <v>0.598</v>
      </c>
      <c r="M102" s="32">
        <v>13.42</v>
      </c>
      <c r="N102" s="22">
        <v>3.81</v>
      </c>
      <c r="O102" s="26">
        <f t="shared" si="7"/>
        <v>82.77</v>
      </c>
    </row>
    <row r="103" s="34" customFormat="1" spans="1:16">
      <c r="A103" s="15"/>
      <c r="B103" s="27"/>
      <c r="C103" s="16" t="s">
        <v>39</v>
      </c>
      <c r="D103" s="28" t="s">
        <v>246</v>
      </c>
      <c r="E103" s="28" t="s">
        <v>336</v>
      </c>
      <c r="F103" s="19" t="s">
        <v>179</v>
      </c>
      <c r="G103" s="20">
        <v>18140</v>
      </c>
      <c r="H103" s="21">
        <v>625</v>
      </c>
      <c r="I103" s="22">
        <v>9.94</v>
      </c>
      <c r="J103" s="23">
        <v>3.11</v>
      </c>
      <c r="K103" s="24">
        <v>0.552</v>
      </c>
      <c r="L103" s="31">
        <f t="shared" si="6"/>
        <v>0.572</v>
      </c>
      <c r="M103" s="32">
        <v>12.19</v>
      </c>
      <c r="N103" s="22">
        <v>4.6</v>
      </c>
      <c r="O103" s="26">
        <f t="shared" si="7"/>
        <v>83.21</v>
      </c>
    </row>
    <row r="104" spans="1:16">
      <c r="A104" s="15"/>
      <c r="B104" s="27"/>
      <c r="C104" s="16" t="s">
        <v>34</v>
      </c>
      <c r="D104" s="28" t="s">
        <v>237</v>
      </c>
      <c r="E104" s="28" t="s">
        <v>335</v>
      </c>
      <c r="F104" s="19" t="s">
        <v>46</v>
      </c>
      <c r="G104" s="20">
        <v>18085</v>
      </c>
      <c r="H104" s="21">
        <v>492</v>
      </c>
      <c r="I104" s="22">
        <v>11.94</v>
      </c>
      <c r="J104" s="23">
        <v>2.71</v>
      </c>
      <c r="K104" s="24">
        <v>0.578</v>
      </c>
      <c r="L104" s="31">
        <f t="shared" si="6"/>
        <v>0.598</v>
      </c>
      <c r="M104" s="32">
        <v>13.42</v>
      </c>
      <c r="N104" s="22">
        <v>3.79</v>
      </c>
      <c r="O104" s="26">
        <f t="shared" si="7"/>
        <v>82.79</v>
      </c>
    </row>
    <row r="105" spans="1:16">
      <c r="A105" s="15"/>
      <c r="B105" s="27"/>
      <c r="C105" s="16" t="s">
        <v>53</v>
      </c>
      <c r="D105" s="28" t="s">
        <v>154</v>
      </c>
      <c r="E105" s="28" t="s">
        <v>325</v>
      </c>
      <c r="F105" s="19" t="s">
        <v>56</v>
      </c>
      <c r="G105" s="20">
        <v>23870</v>
      </c>
      <c r="H105" s="21">
        <v>493</v>
      </c>
      <c r="I105" s="22">
        <v>11.8</v>
      </c>
      <c r="J105" s="23">
        <v>2.64</v>
      </c>
      <c r="K105" s="24">
        <v>0.581</v>
      </c>
      <c r="L105" s="31">
        <f t="shared" si="6"/>
        <v>0.601</v>
      </c>
      <c r="M105" s="32">
        <v>12.74</v>
      </c>
      <c r="N105" s="22">
        <v>2.98</v>
      </c>
      <c r="O105" s="26">
        <f t="shared" si="7"/>
        <v>84.28</v>
      </c>
    </row>
    <row r="106" spans="1:16">
      <c r="A106" s="15"/>
      <c r="B106" s="27"/>
      <c r="C106" s="78" t="s">
        <v>48</v>
      </c>
      <c r="D106" s="79" t="s">
        <v>166</v>
      </c>
      <c r="E106" s="80"/>
      <c r="F106" s="81" t="s">
        <v>50</v>
      </c>
      <c r="G106" s="82">
        <v>16470</v>
      </c>
      <c r="H106" s="83">
        <v>455</v>
      </c>
      <c r="I106" s="84">
        <v>11.47</v>
      </c>
      <c r="J106" s="85">
        <v>2.61</v>
      </c>
      <c r="K106" s="86">
        <v>0.575</v>
      </c>
      <c r="L106" s="87">
        <f t="shared" si="6"/>
        <v>0.595</v>
      </c>
      <c r="M106" s="88">
        <v>14.77</v>
      </c>
      <c r="N106" s="84">
        <v>3.09</v>
      </c>
      <c r="O106" s="89">
        <f t="shared" si="7"/>
        <v>82.14</v>
      </c>
      <c r="P106" s="112" t="s">
        <v>51</v>
      </c>
    </row>
    <row r="107" spans="1:16">
      <c r="A107" s="15">
        <v>46111</v>
      </c>
      <c r="B107" s="27">
        <v>46111</v>
      </c>
      <c r="C107" s="16" t="s">
        <v>34</v>
      </c>
      <c r="D107" s="28" t="s">
        <v>237</v>
      </c>
      <c r="E107" s="28" t="s">
        <v>335</v>
      </c>
      <c r="F107" s="19" t="s">
        <v>46</v>
      </c>
      <c r="G107" s="20">
        <v>18700</v>
      </c>
      <c r="H107" s="21">
        <v>433</v>
      </c>
      <c r="I107" s="22">
        <v>11.54</v>
      </c>
      <c r="J107" s="23">
        <v>2.39</v>
      </c>
      <c r="K107" s="24">
        <v>0.578</v>
      </c>
      <c r="L107" s="31">
        <f t="shared" si="6"/>
        <v>0.598</v>
      </c>
      <c r="M107" s="32">
        <v>12.8</v>
      </c>
      <c r="N107" s="22">
        <v>3.82</v>
      </c>
      <c r="O107" s="26">
        <f t="shared" si="7"/>
        <v>83.38</v>
      </c>
    </row>
    <row r="108" spans="1:16">
      <c r="A108" s="15"/>
      <c r="B108" s="27"/>
      <c r="C108" s="16" t="s">
        <v>34</v>
      </c>
      <c r="D108" s="17" t="s">
        <v>249</v>
      </c>
      <c r="E108" s="18" t="s">
        <v>337</v>
      </c>
      <c r="F108" s="19" t="s">
        <v>37</v>
      </c>
      <c r="G108" s="20">
        <v>19655</v>
      </c>
      <c r="H108" s="21">
        <v>500</v>
      </c>
      <c r="I108" s="22">
        <v>11.4</v>
      </c>
      <c r="J108" s="23">
        <v>2.6</v>
      </c>
      <c r="K108" s="24">
        <v>0.571</v>
      </c>
      <c r="L108" s="31">
        <f t="shared" si="6"/>
        <v>0.591</v>
      </c>
      <c r="M108" s="32">
        <v>12.77</v>
      </c>
      <c r="N108" s="22">
        <v>3.49</v>
      </c>
      <c r="O108" s="26">
        <f t="shared" si="7"/>
        <v>83.74</v>
      </c>
    </row>
    <row r="109" s="34" customFormat="1" spans="1:16">
      <c r="A109" s="15"/>
      <c r="B109" s="27"/>
      <c r="C109" s="16" t="s">
        <v>39</v>
      </c>
      <c r="D109" s="28" t="s">
        <v>246</v>
      </c>
      <c r="E109" s="28" t="s">
        <v>336</v>
      </c>
      <c r="F109" s="19" t="s">
        <v>50</v>
      </c>
      <c r="G109" s="20">
        <v>18830</v>
      </c>
      <c r="H109" s="21">
        <v>526</v>
      </c>
      <c r="I109" s="22">
        <v>11.14</v>
      </c>
      <c r="J109" s="23">
        <v>3.14</v>
      </c>
      <c r="K109" s="24">
        <v>0.578</v>
      </c>
      <c r="L109" s="31">
        <f t="shared" si="6"/>
        <v>0.598</v>
      </c>
      <c r="M109" s="32">
        <v>13.41</v>
      </c>
      <c r="N109" s="22">
        <v>2.81</v>
      </c>
      <c r="O109" s="26">
        <f t="shared" si="7"/>
        <v>83.78</v>
      </c>
    </row>
    <row r="110" s="34" customFormat="1" spans="1:16">
      <c r="A110" s="15"/>
      <c r="B110" s="27"/>
      <c r="C110" s="16" t="s">
        <v>39</v>
      </c>
      <c r="D110" s="28" t="s">
        <v>246</v>
      </c>
      <c r="E110" s="28" t="s">
        <v>336</v>
      </c>
      <c r="F110" s="19" t="s">
        <v>42</v>
      </c>
      <c r="G110" s="20">
        <v>9985</v>
      </c>
      <c r="H110" s="21">
        <v>303</v>
      </c>
      <c r="I110" s="22">
        <v>10.8</v>
      </c>
      <c r="J110" s="23">
        <v>2.68</v>
      </c>
      <c r="K110" s="24">
        <v>0.565</v>
      </c>
      <c r="L110" s="31">
        <f t="shared" si="6"/>
        <v>0.585</v>
      </c>
      <c r="M110" s="32">
        <v>13.18</v>
      </c>
      <c r="N110" s="22">
        <v>3.88</v>
      </c>
      <c r="O110" s="26">
        <f t="shared" si="7"/>
        <v>82.94</v>
      </c>
    </row>
    <row r="111" s="34" customFormat="1" spans="1:16">
      <c r="A111" s="15"/>
      <c r="B111" s="27"/>
      <c r="C111" s="16" t="s">
        <v>39</v>
      </c>
      <c r="D111" s="28" t="s">
        <v>246</v>
      </c>
      <c r="E111" s="28" t="s">
        <v>336</v>
      </c>
      <c r="F111" s="19" t="s">
        <v>291</v>
      </c>
      <c r="G111" s="20">
        <v>18605</v>
      </c>
      <c r="H111" s="21">
        <v>472</v>
      </c>
      <c r="I111" s="22">
        <v>10.2</v>
      </c>
      <c r="J111" s="23">
        <v>3.67</v>
      </c>
      <c r="K111" s="24">
        <v>0.549</v>
      </c>
      <c r="L111" s="31">
        <f t="shared" si="6"/>
        <v>0.569</v>
      </c>
      <c r="M111" s="32">
        <v>15.25</v>
      </c>
      <c r="N111" s="22">
        <v>3.26</v>
      </c>
      <c r="O111" s="26">
        <f t="shared" si="7"/>
        <v>81.49</v>
      </c>
    </row>
    <row r="112" spans="1:16">
      <c r="A112" s="15"/>
      <c r="B112" s="27"/>
      <c r="C112" s="16" t="s">
        <v>39</v>
      </c>
      <c r="D112" s="17" t="s">
        <v>253</v>
      </c>
      <c r="E112" s="18" t="s">
        <v>338</v>
      </c>
      <c r="F112" s="19" t="s">
        <v>179</v>
      </c>
      <c r="G112" s="20">
        <v>20655</v>
      </c>
      <c r="H112" s="21">
        <v>661</v>
      </c>
      <c r="I112" s="22">
        <v>10.74</v>
      </c>
      <c r="J112" s="23">
        <v>2.8</v>
      </c>
      <c r="K112" s="24">
        <v>0.562</v>
      </c>
      <c r="L112" s="31">
        <f t="shared" si="6"/>
        <v>0.582</v>
      </c>
      <c r="M112" s="32">
        <v>11.71</v>
      </c>
      <c r="N112" s="22">
        <v>3.71</v>
      </c>
      <c r="O112" s="26">
        <f t="shared" si="7"/>
        <v>84.58</v>
      </c>
    </row>
    <row r="113" spans="1:15">
      <c r="A113" s="15"/>
      <c r="B113" s="27"/>
      <c r="C113" s="158" t="s">
        <v>39</v>
      </c>
      <c r="D113" s="159" t="s">
        <v>253</v>
      </c>
      <c r="E113" s="159" t="s">
        <v>338</v>
      </c>
      <c r="F113" s="160" t="s">
        <v>204</v>
      </c>
      <c r="G113" s="161">
        <v>19585</v>
      </c>
      <c r="H113" s="162">
        <v>490</v>
      </c>
      <c r="I113" s="163">
        <v>10.87</v>
      </c>
      <c r="J113" s="164">
        <v>3.2</v>
      </c>
      <c r="K113" s="165">
        <v>0.556</v>
      </c>
      <c r="L113" s="166">
        <f t="shared" si="6"/>
        <v>0.576</v>
      </c>
      <c r="M113" s="167">
        <v>14.68</v>
      </c>
      <c r="N113" s="163">
        <v>3.68</v>
      </c>
      <c r="O113" s="168">
        <f t="shared" si="7"/>
        <v>81.64</v>
      </c>
    </row>
    <row r="114" spans="1:15">
      <c r="A114" s="15"/>
      <c r="B114" s="27"/>
      <c r="C114" s="16" t="s">
        <v>39</v>
      </c>
      <c r="D114" s="28" t="s">
        <v>163</v>
      </c>
      <c r="E114" s="28" t="s">
        <v>331</v>
      </c>
      <c r="F114" s="19" t="s">
        <v>178</v>
      </c>
      <c r="G114" s="20">
        <v>10605</v>
      </c>
      <c r="H114" s="21">
        <v>293</v>
      </c>
      <c r="I114" s="22">
        <v>10.47</v>
      </c>
      <c r="J114" s="23">
        <v>3.74</v>
      </c>
      <c r="K114" s="24">
        <v>0.552</v>
      </c>
      <c r="L114" s="31">
        <f t="shared" si="6"/>
        <v>0.572</v>
      </c>
      <c r="M114" s="32">
        <v>13.73</v>
      </c>
      <c r="N114" s="22">
        <v>2.63</v>
      </c>
      <c r="O114" s="26">
        <f t="shared" si="7"/>
        <v>83.64</v>
      </c>
    </row>
    <row r="115" spans="1:15">
      <c r="A115" s="15"/>
      <c r="B115" s="27"/>
      <c r="C115" s="169" t="s">
        <v>39</v>
      </c>
      <c r="D115" s="159" t="s">
        <v>253</v>
      </c>
      <c r="E115" s="159" t="s">
        <v>338</v>
      </c>
      <c r="F115" s="170" t="s">
        <v>339</v>
      </c>
      <c r="G115" s="171">
        <v>20145</v>
      </c>
      <c r="H115" s="172">
        <v>596</v>
      </c>
      <c r="I115" s="173">
        <v>10.54</v>
      </c>
      <c r="J115" s="174">
        <v>2.78</v>
      </c>
      <c r="K115" s="175">
        <v>0.575</v>
      </c>
      <c r="L115" s="176">
        <f t="shared" si="6"/>
        <v>0.595</v>
      </c>
      <c r="M115" s="177">
        <v>11.42</v>
      </c>
      <c r="N115" s="173">
        <v>4.08</v>
      </c>
      <c r="O115" s="178">
        <f t="shared" si="7"/>
        <v>84.5</v>
      </c>
    </row>
    <row r="116" spans="1:15">
      <c r="A116" s="15"/>
      <c r="B116" s="27"/>
      <c r="C116" s="16" t="s">
        <v>39</v>
      </c>
      <c r="D116" s="28" t="s">
        <v>170</v>
      </c>
      <c r="E116" s="28" t="s">
        <v>332</v>
      </c>
      <c r="F116" s="19" t="s">
        <v>224</v>
      </c>
      <c r="G116" s="20">
        <v>31210</v>
      </c>
      <c r="H116" s="21">
        <v>798</v>
      </c>
      <c r="I116" s="22">
        <v>10.67</v>
      </c>
      <c r="J116" s="23">
        <v>2.82</v>
      </c>
      <c r="K116" s="24">
        <v>0.565</v>
      </c>
      <c r="L116" s="31">
        <f t="shared" si="6"/>
        <v>0.585</v>
      </c>
      <c r="M116" s="32">
        <v>12.11</v>
      </c>
      <c r="N116" s="22">
        <v>4.19</v>
      </c>
      <c r="O116" s="26">
        <f t="shared" si="7"/>
        <v>83.7</v>
      </c>
    </row>
    <row r="117" spans="1:15">
      <c r="A117" s="15"/>
      <c r="B117" s="27"/>
      <c r="C117" s="16"/>
      <c r="D117" s="28"/>
      <c r="E117" s="28"/>
      <c r="F117" s="19"/>
      <c r="G117" s="20"/>
      <c r="H117" s="21"/>
      <c r="I117" s="22"/>
      <c r="J117" s="23"/>
      <c r="K117" s="24"/>
      <c r="L117" s="31"/>
      <c r="M117" s="32"/>
      <c r="N117" s="22"/>
      <c r="O117" s="26">
        <f t="shared" si="7"/>
        <v>100</v>
      </c>
    </row>
    <row r="118" spans="1:15">
      <c r="A118" s="15"/>
      <c r="B118" s="27"/>
      <c r="C118" s="16"/>
      <c r="D118" s="110"/>
      <c r="E118" s="111"/>
      <c r="F118" s="19"/>
      <c r="G118" s="20"/>
      <c r="H118" s="21"/>
      <c r="I118" s="22"/>
      <c r="J118" s="23"/>
      <c r="K118" s="24"/>
      <c r="L118" s="31"/>
      <c r="M118" s="32"/>
      <c r="N118" s="22"/>
      <c r="O118" s="26">
        <f t="shared" si="7"/>
        <v>100</v>
      </c>
    </row>
    <row r="119" spans="1:15">
      <c r="A119" s="15"/>
      <c r="B119" s="27"/>
      <c r="C119" s="16"/>
      <c r="D119" s="28"/>
      <c r="E119" s="28"/>
      <c r="F119" s="19"/>
      <c r="G119" s="20"/>
      <c r="H119" s="21"/>
      <c r="I119" s="22"/>
      <c r="J119" s="23"/>
      <c r="K119" s="24"/>
      <c r="L119" s="31"/>
      <c r="M119" s="32"/>
      <c r="N119" s="22"/>
      <c r="O119" s="26">
        <f t="shared" si="7"/>
        <v>100</v>
      </c>
    </row>
    <row r="120" spans="1:15">
      <c r="A120" s="15"/>
      <c r="B120" s="27"/>
      <c r="C120" s="16"/>
      <c r="D120" s="110"/>
      <c r="E120" s="111"/>
      <c r="F120" s="19"/>
      <c r="G120" s="20"/>
      <c r="H120" s="21"/>
      <c r="I120" s="22"/>
      <c r="J120" s="23"/>
      <c r="K120" s="24"/>
      <c r="L120" s="43"/>
      <c r="M120" s="32"/>
      <c r="N120" s="22"/>
      <c r="O120" s="26">
        <f t="shared" si="7"/>
        <v>100</v>
      </c>
    </row>
    <row r="121" spans="1:15">
      <c r="A121" s="15"/>
      <c r="B121" s="27"/>
      <c r="C121" s="16"/>
      <c r="D121" s="28"/>
      <c r="E121" s="28"/>
      <c r="F121" s="19"/>
      <c r="G121" s="20"/>
      <c r="H121" s="21"/>
      <c r="I121" s="22"/>
      <c r="J121" s="23"/>
      <c r="K121" s="24"/>
      <c r="L121" s="31"/>
      <c r="M121" s="32"/>
      <c r="N121" s="22"/>
      <c r="O121" s="26">
        <f t="shared" si="7"/>
        <v>100</v>
      </c>
    </row>
    <row r="122" spans="1:15">
      <c r="A122" s="44"/>
      <c r="B122" s="45"/>
      <c r="C122" s="46"/>
      <c r="D122" s="46"/>
      <c r="E122" s="46"/>
      <c r="F122" s="47"/>
      <c r="G122" s="48"/>
      <c r="H122" s="49"/>
      <c r="I122" s="50"/>
      <c r="J122" s="51"/>
      <c r="K122" s="52"/>
      <c r="L122" s="52"/>
      <c r="M122" s="50"/>
      <c r="N122" s="50"/>
      <c r="O122" s="53"/>
    </row>
    <row r="123" ht="15.75" spans="1:15">
      <c r="A123" s="54" t="s">
        <v>172</v>
      </c>
      <c r="B123" s="55"/>
      <c r="C123" s="55"/>
      <c r="D123" s="55"/>
      <c r="E123" s="55"/>
      <c r="F123" s="55"/>
      <c r="G123" s="56">
        <f>SUM(G5:G122)</f>
        <v>1800394</v>
      </c>
      <c r="H123" s="57">
        <f>SUM(H5:H122)</f>
        <v>46007</v>
      </c>
      <c r="I123" s="58">
        <f t="shared" ref="I123:O123" si="8">AVERAGE(I5:I122)</f>
        <v>11.3015315315315</v>
      </c>
      <c r="J123" s="58">
        <f t="shared" si="8"/>
        <v>2.93459459459459</v>
      </c>
      <c r="K123" s="59">
        <f t="shared" si="8"/>
        <v>0.568333333333333</v>
      </c>
      <c r="L123" s="59">
        <f t="shared" si="8"/>
        <v>0.588333333333333</v>
      </c>
      <c r="M123" s="58">
        <f t="shared" si="8"/>
        <v>13.0713513513514</v>
      </c>
      <c r="N123" s="58">
        <f t="shared" si="8"/>
        <v>3.76198198198198</v>
      </c>
      <c r="O123" s="60">
        <f t="shared" si="8"/>
        <v>84.0299145299145</v>
      </c>
    </row>
  </sheetData>
  <mergeCells count="11">
    <mergeCell ref="K4:L4"/>
    <mergeCell ref="D7:E7"/>
    <mergeCell ref="D13:E13"/>
    <mergeCell ref="D30:E30"/>
    <mergeCell ref="D38:E38"/>
    <mergeCell ref="D39:E39"/>
    <mergeCell ref="D54:E54"/>
    <mergeCell ref="D71:E71"/>
    <mergeCell ref="D82:E82"/>
    <mergeCell ref="D99:E99"/>
    <mergeCell ref="D106:E106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opLeftCell="A19" workbookViewId="0">
      <selection activeCell="D39" sqref="D39:E39"/>
    </sheetView>
  </sheetViews>
  <sheetFormatPr defaultColWidth="9.14285714285714" defaultRowHeight="15"/>
  <cols>
    <col min="1" max="2" width="10.4285714285714"/>
    <col min="4" max="4" width="9.85714285714286"/>
    <col min="6" max="6" width="10.5714285714286"/>
    <col min="7" max="7" width="11.7142857142857" customWidth="1"/>
  </cols>
  <sheetData>
    <row r="1" ht="16.5" spans="1:16">
      <c r="A1" s="206" t="s">
        <v>340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16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16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16">
      <c r="A5" s="15"/>
      <c r="B5" s="27"/>
      <c r="C5" s="16"/>
      <c r="D5" s="76"/>
      <c r="E5" s="35"/>
      <c r="F5" s="19"/>
      <c r="G5" s="20"/>
      <c r="H5" s="21"/>
      <c r="I5" s="22"/>
      <c r="J5" s="23"/>
      <c r="K5" s="24"/>
      <c r="L5" s="25"/>
      <c r="M5" s="22"/>
      <c r="N5" s="22"/>
      <c r="O5" s="26">
        <f t="shared" ref="O5:O42" si="0">100-M5-N5</f>
        <v>100</v>
      </c>
    </row>
    <row r="6" spans="1:16">
      <c r="A6" s="15">
        <v>46118</v>
      </c>
      <c r="B6" s="27">
        <v>46118</v>
      </c>
      <c r="C6" s="16" t="s">
        <v>39</v>
      </c>
      <c r="D6" s="28" t="s">
        <v>246</v>
      </c>
      <c r="E6" s="28" t="s">
        <v>336</v>
      </c>
      <c r="F6" s="19" t="s">
        <v>121</v>
      </c>
      <c r="G6" s="29">
        <v>3570</v>
      </c>
      <c r="H6" s="21">
        <v>105</v>
      </c>
      <c r="I6" s="22">
        <v>9.6</v>
      </c>
      <c r="J6" s="23">
        <v>3.13</v>
      </c>
      <c r="K6" s="24">
        <v>0.571</v>
      </c>
      <c r="L6" s="31">
        <f t="shared" ref="L6:L39" si="1">K6+0.02</f>
        <v>0.591</v>
      </c>
      <c r="M6" s="32">
        <v>13.71</v>
      </c>
      <c r="N6" s="22">
        <v>2.9</v>
      </c>
      <c r="O6" s="26">
        <f t="shared" si="0"/>
        <v>83.39</v>
      </c>
      <c r="P6" s="112" t="s">
        <v>341</v>
      </c>
    </row>
    <row r="7" spans="1:16">
      <c r="A7" s="15"/>
      <c r="B7" s="27"/>
      <c r="C7" s="16" t="s">
        <v>39</v>
      </c>
      <c r="D7" s="17" t="s">
        <v>40</v>
      </c>
      <c r="E7" s="18" t="s">
        <v>342</v>
      </c>
      <c r="F7" s="19" t="s">
        <v>204</v>
      </c>
      <c r="G7" s="20">
        <v>18485</v>
      </c>
      <c r="H7" s="21">
        <v>475</v>
      </c>
      <c r="I7" s="22">
        <v>9.54</v>
      </c>
      <c r="J7" s="23">
        <v>2.6</v>
      </c>
      <c r="K7" s="24">
        <v>0.565</v>
      </c>
      <c r="L7" s="31">
        <f t="shared" si="1"/>
        <v>0.585</v>
      </c>
      <c r="M7" s="32">
        <v>13.77</v>
      </c>
      <c r="N7" s="22">
        <v>3.36</v>
      </c>
      <c r="O7" s="26">
        <f t="shared" si="0"/>
        <v>82.87</v>
      </c>
    </row>
    <row r="8" spans="1:16">
      <c r="A8" s="15"/>
      <c r="B8" s="27"/>
      <c r="C8" s="16" t="s">
        <v>39</v>
      </c>
      <c r="D8" s="17" t="s">
        <v>40</v>
      </c>
      <c r="E8" s="18" t="s">
        <v>342</v>
      </c>
      <c r="F8" s="19" t="s">
        <v>179</v>
      </c>
      <c r="G8" s="20">
        <v>18115</v>
      </c>
      <c r="H8" s="21">
        <v>405</v>
      </c>
      <c r="I8" s="22">
        <v>9.07</v>
      </c>
      <c r="J8" s="23">
        <v>3.11</v>
      </c>
      <c r="K8" s="24">
        <v>0.556</v>
      </c>
      <c r="L8" s="31">
        <f t="shared" si="1"/>
        <v>0.576</v>
      </c>
      <c r="M8" s="32">
        <v>12.3</v>
      </c>
      <c r="N8" s="22">
        <v>4.09</v>
      </c>
      <c r="O8" s="26">
        <f t="shared" si="0"/>
        <v>83.61</v>
      </c>
    </row>
    <row r="9" spans="1:16">
      <c r="A9" s="15">
        <v>46119</v>
      </c>
      <c r="B9" s="27">
        <v>46119</v>
      </c>
      <c r="C9" s="16" t="s">
        <v>39</v>
      </c>
      <c r="D9" s="17" t="s">
        <v>40</v>
      </c>
      <c r="E9" s="18" t="s">
        <v>342</v>
      </c>
      <c r="F9" s="19" t="s">
        <v>339</v>
      </c>
      <c r="G9" s="20">
        <v>20685</v>
      </c>
      <c r="H9" s="21">
        <v>604</v>
      </c>
      <c r="I9" s="22">
        <v>10.07</v>
      </c>
      <c r="J9" s="23">
        <v>2.94</v>
      </c>
      <c r="K9" s="24">
        <v>0.571</v>
      </c>
      <c r="L9" s="31">
        <f t="shared" si="1"/>
        <v>0.591</v>
      </c>
      <c r="M9" s="32">
        <v>14.66</v>
      </c>
      <c r="N9" s="22">
        <v>4.16</v>
      </c>
      <c r="O9" s="26">
        <f t="shared" si="0"/>
        <v>81.18</v>
      </c>
    </row>
    <row r="10" spans="1:16">
      <c r="A10" s="15"/>
      <c r="B10" s="27"/>
      <c r="C10" s="78" t="s">
        <v>48</v>
      </c>
      <c r="D10" s="79" t="s">
        <v>176</v>
      </c>
      <c r="E10" s="80"/>
      <c r="F10" s="81" t="s">
        <v>46</v>
      </c>
      <c r="G10" s="82">
        <v>17765</v>
      </c>
      <c r="H10" s="83">
        <v>515</v>
      </c>
      <c r="I10" s="84">
        <v>10.74</v>
      </c>
      <c r="J10" s="85">
        <v>2.14</v>
      </c>
      <c r="K10" s="86">
        <v>0.578</v>
      </c>
      <c r="L10" s="87">
        <f t="shared" si="1"/>
        <v>0.598</v>
      </c>
      <c r="M10" s="88">
        <v>13.86</v>
      </c>
      <c r="N10" s="84">
        <v>3.58</v>
      </c>
      <c r="O10" s="89">
        <f t="shared" si="0"/>
        <v>82.56</v>
      </c>
      <c r="P10" s="112" t="s">
        <v>51</v>
      </c>
    </row>
    <row r="11" spans="1:16">
      <c r="A11" s="15"/>
      <c r="B11" s="27"/>
      <c r="C11" s="16" t="s">
        <v>34</v>
      </c>
      <c r="D11" s="28" t="s">
        <v>237</v>
      </c>
      <c r="E11" s="28" t="s">
        <v>335</v>
      </c>
      <c r="F11" s="19" t="s">
        <v>50</v>
      </c>
      <c r="G11" s="29">
        <v>16950</v>
      </c>
      <c r="H11" s="21">
        <v>417</v>
      </c>
      <c r="I11" s="22">
        <v>11.4</v>
      </c>
      <c r="J11" s="23">
        <v>2.33</v>
      </c>
      <c r="K11" s="24">
        <v>0.575</v>
      </c>
      <c r="L11" s="31">
        <f t="shared" si="1"/>
        <v>0.595</v>
      </c>
      <c r="M11" s="32">
        <v>13.24</v>
      </c>
      <c r="N11" s="22">
        <v>3.29</v>
      </c>
      <c r="O11" s="26">
        <f t="shared" si="0"/>
        <v>83.47</v>
      </c>
      <c r="P11" s="112" t="s">
        <v>343</v>
      </c>
    </row>
    <row r="12" spans="1:16">
      <c r="A12" s="15">
        <v>46120</v>
      </c>
      <c r="B12" s="27">
        <v>46120</v>
      </c>
      <c r="C12" s="78" t="s">
        <v>48</v>
      </c>
      <c r="D12" s="91" t="s">
        <v>67</v>
      </c>
      <c r="E12" s="92"/>
      <c r="F12" s="81" t="s">
        <v>46</v>
      </c>
      <c r="G12" s="82">
        <v>19220</v>
      </c>
      <c r="H12" s="83">
        <v>505</v>
      </c>
      <c r="I12" s="84">
        <v>11.27</v>
      </c>
      <c r="J12" s="85">
        <v>2.33</v>
      </c>
      <c r="K12" s="86">
        <v>0.575</v>
      </c>
      <c r="L12" s="87">
        <f t="shared" si="1"/>
        <v>0.595</v>
      </c>
      <c r="M12" s="88">
        <v>12.78</v>
      </c>
      <c r="N12" s="84">
        <v>2.55</v>
      </c>
      <c r="O12" s="89">
        <f t="shared" si="0"/>
        <v>84.67</v>
      </c>
      <c r="P12" s="112" t="s">
        <v>51</v>
      </c>
    </row>
    <row r="13" spans="1:16">
      <c r="A13" s="15"/>
      <c r="B13" s="27"/>
      <c r="C13" s="16" t="s">
        <v>39</v>
      </c>
      <c r="D13" s="17" t="s">
        <v>44</v>
      </c>
      <c r="E13" s="18" t="s">
        <v>344</v>
      </c>
      <c r="F13" s="19" t="s">
        <v>50</v>
      </c>
      <c r="G13" s="20">
        <v>16710</v>
      </c>
      <c r="H13" s="21">
        <v>499</v>
      </c>
      <c r="I13" s="22">
        <v>9.74</v>
      </c>
      <c r="J13" s="23">
        <v>3.11</v>
      </c>
      <c r="K13" s="24">
        <v>0.571</v>
      </c>
      <c r="L13" s="31">
        <f t="shared" si="1"/>
        <v>0.591</v>
      </c>
      <c r="M13" s="32">
        <v>13.61</v>
      </c>
      <c r="N13" s="22">
        <v>3.08</v>
      </c>
      <c r="O13" s="26">
        <f t="shared" si="0"/>
        <v>83.31</v>
      </c>
    </row>
    <row r="14" spans="1:16">
      <c r="A14" s="15"/>
      <c r="B14" s="27"/>
      <c r="C14" s="16" t="s">
        <v>39</v>
      </c>
      <c r="D14" s="17" t="s">
        <v>253</v>
      </c>
      <c r="E14" s="18" t="s">
        <v>338</v>
      </c>
      <c r="F14" s="19" t="s">
        <v>178</v>
      </c>
      <c r="G14" s="29">
        <v>10655</v>
      </c>
      <c r="H14" s="21">
        <v>291</v>
      </c>
      <c r="I14" s="22">
        <v>10.94</v>
      </c>
      <c r="J14" s="23">
        <v>2.94</v>
      </c>
      <c r="K14" s="24">
        <v>0.562</v>
      </c>
      <c r="L14" s="31">
        <f t="shared" si="1"/>
        <v>0.582</v>
      </c>
      <c r="M14" s="32">
        <v>13.49</v>
      </c>
      <c r="N14" s="22">
        <v>2.99</v>
      </c>
      <c r="O14" s="26">
        <f t="shared" si="0"/>
        <v>83.52</v>
      </c>
      <c r="P14" s="112" t="s">
        <v>345</v>
      </c>
    </row>
    <row r="15" spans="1:16">
      <c r="A15" s="15"/>
      <c r="B15" s="27"/>
      <c r="C15" s="16" t="s">
        <v>39</v>
      </c>
      <c r="D15" s="17" t="s">
        <v>68</v>
      </c>
      <c r="E15" s="18" t="s">
        <v>136</v>
      </c>
      <c r="F15" s="19" t="s">
        <v>330</v>
      </c>
      <c r="G15" s="20">
        <v>27415</v>
      </c>
      <c r="H15" s="21">
        <v>516</v>
      </c>
      <c r="I15" s="22">
        <v>9.87</v>
      </c>
      <c r="J15" s="23">
        <v>3.71</v>
      </c>
      <c r="K15" s="24">
        <v>0.556</v>
      </c>
      <c r="L15" s="31">
        <f t="shared" si="1"/>
        <v>0.576</v>
      </c>
      <c r="M15" s="32">
        <v>14.45</v>
      </c>
      <c r="N15" s="22">
        <v>3.89</v>
      </c>
      <c r="O15" s="26">
        <f t="shared" si="0"/>
        <v>81.66</v>
      </c>
    </row>
    <row r="16" spans="1:16">
      <c r="A16" s="15"/>
      <c r="B16" s="27"/>
      <c r="C16" s="16" t="s">
        <v>39</v>
      </c>
      <c r="D16" s="17" t="s">
        <v>44</v>
      </c>
      <c r="E16" s="18" t="s">
        <v>344</v>
      </c>
      <c r="F16" s="19" t="s">
        <v>346</v>
      </c>
      <c r="G16" s="20">
        <v>8160</v>
      </c>
      <c r="H16" s="21">
        <v>280</v>
      </c>
      <c r="I16" s="22">
        <v>7.74</v>
      </c>
      <c r="J16" s="23">
        <v>2.55</v>
      </c>
      <c r="K16" s="24">
        <v>0.578</v>
      </c>
      <c r="L16" s="31">
        <f t="shared" si="1"/>
        <v>0.598</v>
      </c>
      <c r="M16" s="32">
        <v>13.41</v>
      </c>
      <c r="N16" s="22">
        <v>2.99</v>
      </c>
      <c r="O16" s="26">
        <f t="shared" si="0"/>
        <v>83.6</v>
      </c>
    </row>
    <row r="17" spans="1:16">
      <c r="A17" s="15">
        <v>46121</v>
      </c>
      <c r="B17" s="27">
        <v>46121</v>
      </c>
      <c r="C17" s="16" t="s">
        <v>34</v>
      </c>
      <c r="D17" s="17" t="s">
        <v>249</v>
      </c>
      <c r="E17" s="18" t="s">
        <v>337</v>
      </c>
      <c r="F17" s="19" t="s">
        <v>50</v>
      </c>
      <c r="G17" s="29">
        <v>17280</v>
      </c>
      <c r="H17" s="21">
        <v>505</v>
      </c>
      <c r="I17" s="22">
        <v>11.74</v>
      </c>
      <c r="J17" s="23">
        <v>2.6</v>
      </c>
      <c r="K17" s="24">
        <v>0.571</v>
      </c>
      <c r="L17" s="31">
        <f t="shared" si="1"/>
        <v>0.591</v>
      </c>
      <c r="M17" s="32">
        <v>12.25</v>
      </c>
      <c r="N17" s="22">
        <v>3.74</v>
      </c>
      <c r="O17" s="26">
        <f t="shared" si="0"/>
        <v>84.01</v>
      </c>
      <c r="P17" s="112" t="s">
        <v>347</v>
      </c>
    </row>
    <row r="18" spans="1:16">
      <c r="A18" s="15"/>
      <c r="B18" s="27"/>
      <c r="C18" s="78" t="s">
        <v>48</v>
      </c>
      <c r="D18" s="91" t="s">
        <v>88</v>
      </c>
      <c r="E18" s="92"/>
      <c r="F18" s="81" t="s">
        <v>46</v>
      </c>
      <c r="G18" s="82">
        <v>19530</v>
      </c>
      <c r="H18" s="83">
        <v>510</v>
      </c>
      <c r="I18" s="84">
        <v>11.34</v>
      </c>
      <c r="J18" s="85">
        <v>2.43</v>
      </c>
      <c r="K18" s="86">
        <v>0.575</v>
      </c>
      <c r="L18" s="87">
        <f t="shared" si="1"/>
        <v>0.595</v>
      </c>
      <c r="M18" s="88">
        <v>12.96</v>
      </c>
      <c r="N18" s="84">
        <v>3.35</v>
      </c>
      <c r="O18" s="89">
        <f t="shared" si="0"/>
        <v>83.69</v>
      </c>
      <c r="P18" s="112" t="s">
        <v>218</v>
      </c>
    </row>
    <row r="19" spans="1:16">
      <c r="A19" s="15"/>
      <c r="B19" s="27"/>
      <c r="C19" s="16" t="s">
        <v>39</v>
      </c>
      <c r="D19" s="17" t="s">
        <v>44</v>
      </c>
      <c r="E19" s="18" t="s">
        <v>344</v>
      </c>
      <c r="F19" s="19" t="s">
        <v>204</v>
      </c>
      <c r="G19" s="20">
        <v>17400</v>
      </c>
      <c r="H19" s="21">
        <v>497</v>
      </c>
      <c r="I19" s="22">
        <v>10.07</v>
      </c>
      <c r="J19" s="23">
        <v>3.17</v>
      </c>
      <c r="K19" s="24">
        <v>0.575</v>
      </c>
      <c r="L19" s="31">
        <f t="shared" si="1"/>
        <v>0.595</v>
      </c>
      <c r="M19" s="32">
        <v>13.47</v>
      </c>
      <c r="N19" s="22">
        <v>3.98</v>
      </c>
      <c r="O19" s="26">
        <f t="shared" si="0"/>
        <v>82.55</v>
      </c>
    </row>
    <row r="20" spans="1:16">
      <c r="A20" s="15">
        <v>46122</v>
      </c>
      <c r="B20" s="27">
        <v>46122</v>
      </c>
      <c r="C20" s="16" t="s">
        <v>39</v>
      </c>
      <c r="D20" s="28" t="s">
        <v>54</v>
      </c>
      <c r="E20" s="28" t="s">
        <v>348</v>
      </c>
      <c r="F20" s="19" t="s">
        <v>222</v>
      </c>
      <c r="G20" s="20">
        <v>20150</v>
      </c>
      <c r="H20" s="21">
        <v>600</v>
      </c>
      <c r="I20" s="22">
        <v>10.8</v>
      </c>
      <c r="J20" s="23">
        <v>3.31</v>
      </c>
      <c r="K20" s="24">
        <v>0.571</v>
      </c>
      <c r="L20" s="31">
        <f t="shared" si="1"/>
        <v>0.591</v>
      </c>
      <c r="M20" s="32">
        <v>12.49</v>
      </c>
      <c r="N20" s="22">
        <v>3.96</v>
      </c>
      <c r="O20" s="26">
        <f t="shared" si="0"/>
        <v>83.55</v>
      </c>
    </row>
    <row r="21" spans="1:16">
      <c r="A21" s="15"/>
      <c r="B21" s="27"/>
      <c r="C21" s="78" t="s">
        <v>48</v>
      </c>
      <c r="D21" s="91" t="s">
        <v>93</v>
      </c>
      <c r="E21" s="92"/>
      <c r="F21" s="81" t="s">
        <v>50</v>
      </c>
      <c r="G21" s="82">
        <v>19120</v>
      </c>
      <c r="H21" s="83">
        <v>490</v>
      </c>
      <c r="I21" s="84">
        <v>11.2</v>
      </c>
      <c r="J21" s="85">
        <v>2.16</v>
      </c>
      <c r="K21" s="86">
        <v>0.575</v>
      </c>
      <c r="L21" s="87">
        <f t="shared" si="1"/>
        <v>0.595</v>
      </c>
      <c r="M21" s="88">
        <v>13.88</v>
      </c>
      <c r="N21" s="84">
        <v>3.18</v>
      </c>
      <c r="O21" s="89">
        <f t="shared" si="0"/>
        <v>82.94</v>
      </c>
      <c r="P21" s="112" t="s">
        <v>218</v>
      </c>
    </row>
    <row r="22" spans="1:16">
      <c r="A22" s="15"/>
      <c r="B22" s="27"/>
      <c r="C22" s="16" t="s">
        <v>34</v>
      </c>
      <c r="D22" s="17" t="s">
        <v>249</v>
      </c>
      <c r="E22" s="18" t="s">
        <v>337</v>
      </c>
      <c r="F22" s="19" t="s">
        <v>46</v>
      </c>
      <c r="G22" s="29">
        <v>17290</v>
      </c>
      <c r="H22" s="21">
        <v>436</v>
      </c>
      <c r="I22" s="22">
        <v>11.87</v>
      </c>
      <c r="J22" s="23">
        <v>2.73</v>
      </c>
      <c r="K22" s="24">
        <v>0.578</v>
      </c>
      <c r="L22" s="31">
        <f t="shared" si="1"/>
        <v>0.598</v>
      </c>
      <c r="M22" s="32">
        <v>13.06</v>
      </c>
      <c r="N22" s="22">
        <v>3.47</v>
      </c>
      <c r="O22" s="26">
        <f t="shared" si="0"/>
        <v>83.47</v>
      </c>
      <c r="P22" s="112" t="s">
        <v>347</v>
      </c>
    </row>
    <row r="23" spans="1:16">
      <c r="A23" s="15">
        <v>46125</v>
      </c>
      <c r="B23" s="27">
        <v>46125</v>
      </c>
      <c r="C23" s="16" t="s">
        <v>349</v>
      </c>
      <c r="D23" s="28" t="s">
        <v>35</v>
      </c>
      <c r="E23" s="28" t="s">
        <v>318</v>
      </c>
      <c r="F23" s="19" t="s">
        <v>56</v>
      </c>
      <c r="G23" s="29">
        <v>21935</v>
      </c>
      <c r="H23" s="21">
        <v>528</v>
      </c>
      <c r="I23" s="22">
        <v>11.74</v>
      </c>
      <c r="J23" s="23">
        <v>2.27</v>
      </c>
      <c r="K23" s="24">
        <v>0.571</v>
      </c>
      <c r="L23" s="31">
        <f t="shared" si="1"/>
        <v>0.591</v>
      </c>
      <c r="M23" s="32">
        <v>13.25</v>
      </c>
      <c r="N23" s="22">
        <v>3.08</v>
      </c>
      <c r="O23" s="26">
        <f t="shared" si="0"/>
        <v>83.67</v>
      </c>
      <c r="P23" s="112" t="s">
        <v>350</v>
      </c>
    </row>
    <row r="24" spans="1:16">
      <c r="A24" s="15"/>
      <c r="B24" s="27"/>
      <c r="C24" s="16" t="s">
        <v>39</v>
      </c>
      <c r="D24" s="17" t="s">
        <v>76</v>
      </c>
      <c r="E24" s="18" t="s">
        <v>193</v>
      </c>
      <c r="F24" s="19" t="s">
        <v>50</v>
      </c>
      <c r="G24" s="20">
        <v>18250</v>
      </c>
      <c r="H24" s="21">
        <v>630</v>
      </c>
      <c r="I24" s="22">
        <v>10.2</v>
      </c>
      <c r="J24" s="23">
        <v>2.68</v>
      </c>
      <c r="K24" s="24">
        <v>0.571</v>
      </c>
      <c r="L24" s="31">
        <f t="shared" si="1"/>
        <v>0.591</v>
      </c>
      <c r="M24" s="32">
        <v>12.68</v>
      </c>
      <c r="N24" s="22">
        <v>3.49</v>
      </c>
      <c r="O24" s="26">
        <f t="shared" si="0"/>
        <v>83.83</v>
      </c>
    </row>
    <row r="25" spans="1:16">
      <c r="A25" s="15">
        <v>46126</v>
      </c>
      <c r="B25" s="27">
        <v>46126</v>
      </c>
      <c r="C25" s="16" t="s">
        <v>39</v>
      </c>
      <c r="D25" s="28" t="s">
        <v>54</v>
      </c>
      <c r="E25" s="28" t="s">
        <v>348</v>
      </c>
      <c r="F25" s="19" t="s">
        <v>272</v>
      </c>
      <c r="G25" s="20">
        <v>18775</v>
      </c>
      <c r="H25" s="21">
        <v>660</v>
      </c>
      <c r="I25" s="22">
        <v>9.07</v>
      </c>
      <c r="J25" s="23">
        <v>3.6</v>
      </c>
      <c r="K25" s="24">
        <v>0.559</v>
      </c>
      <c r="L25" s="31">
        <f t="shared" si="1"/>
        <v>0.579</v>
      </c>
      <c r="M25" s="32">
        <v>13.59</v>
      </c>
      <c r="N25" s="22">
        <v>3.65</v>
      </c>
      <c r="O25" s="26">
        <f t="shared" si="0"/>
        <v>82.76</v>
      </c>
    </row>
    <row r="26" spans="1:16">
      <c r="A26" s="15"/>
      <c r="B26" s="27"/>
      <c r="C26" s="16" t="s">
        <v>39</v>
      </c>
      <c r="D26" s="28" t="s">
        <v>54</v>
      </c>
      <c r="E26" s="28" t="s">
        <v>348</v>
      </c>
      <c r="F26" s="19" t="s">
        <v>179</v>
      </c>
      <c r="G26" s="20">
        <v>18790</v>
      </c>
      <c r="H26" s="21">
        <v>595</v>
      </c>
      <c r="I26" s="22">
        <v>10.6</v>
      </c>
      <c r="J26" s="23">
        <v>3.5</v>
      </c>
      <c r="K26" s="24">
        <v>0.565</v>
      </c>
      <c r="L26" s="31">
        <f t="shared" si="1"/>
        <v>0.585</v>
      </c>
      <c r="M26" s="32">
        <v>12.44</v>
      </c>
      <c r="N26" s="22">
        <v>5.79</v>
      </c>
      <c r="O26" s="26">
        <f t="shared" si="0"/>
        <v>81.77</v>
      </c>
      <c r="P26" t="s">
        <v>351</v>
      </c>
    </row>
    <row r="27" spans="1:16">
      <c r="A27" s="15"/>
      <c r="B27" s="27"/>
      <c r="C27" s="16" t="s">
        <v>39</v>
      </c>
      <c r="D27" s="17" t="s">
        <v>44</v>
      </c>
      <c r="E27" s="18" t="s">
        <v>344</v>
      </c>
      <c r="F27" s="19" t="s">
        <v>42</v>
      </c>
      <c r="G27" s="20">
        <v>11140</v>
      </c>
      <c r="H27" s="21">
        <v>362</v>
      </c>
      <c r="I27" s="22">
        <v>9.47</v>
      </c>
      <c r="J27" s="23">
        <v>2.39</v>
      </c>
      <c r="K27" s="24">
        <v>0.575</v>
      </c>
      <c r="L27" s="31">
        <f t="shared" si="1"/>
        <v>0.595</v>
      </c>
      <c r="M27" s="32">
        <v>13.16</v>
      </c>
      <c r="N27" s="22">
        <v>2.94</v>
      </c>
      <c r="O27" s="26">
        <f t="shared" si="0"/>
        <v>83.9</v>
      </c>
    </row>
    <row r="28" spans="1:16">
      <c r="A28" s="15"/>
      <c r="B28" s="27"/>
      <c r="C28" s="16" t="s">
        <v>34</v>
      </c>
      <c r="D28" s="17" t="s">
        <v>249</v>
      </c>
      <c r="E28" s="18" t="s">
        <v>337</v>
      </c>
      <c r="F28" s="19" t="s">
        <v>46</v>
      </c>
      <c r="G28" s="29">
        <v>17410</v>
      </c>
      <c r="H28" s="21">
        <v>434</v>
      </c>
      <c r="I28" s="22">
        <v>11.94</v>
      </c>
      <c r="J28" s="23">
        <v>3</v>
      </c>
      <c r="K28" s="24">
        <v>0.578</v>
      </c>
      <c r="L28" s="31">
        <f t="shared" si="1"/>
        <v>0.598</v>
      </c>
      <c r="M28" s="32">
        <v>12.71</v>
      </c>
      <c r="N28" s="22">
        <v>3.56</v>
      </c>
      <c r="O28" s="26">
        <f t="shared" si="0"/>
        <v>83.73</v>
      </c>
      <c r="P28" s="112" t="s">
        <v>347</v>
      </c>
    </row>
    <row r="29" spans="1:16">
      <c r="A29" s="15">
        <v>46127</v>
      </c>
      <c r="B29" s="27">
        <v>46127</v>
      </c>
      <c r="C29" s="16" t="s">
        <v>34</v>
      </c>
      <c r="D29" s="17" t="s">
        <v>81</v>
      </c>
      <c r="E29" s="18" t="s">
        <v>352</v>
      </c>
      <c r="F29" s="19" t="s">
        <v>50</v>
      </c>
      <c r="G29" s="20">
        <v>17220</v>
      </c>
      <c r="H29" s="21">
        <v>480</v>
      </c>
      <c r="I29" s="22">
        <v>11.87</v>
      </c>
      <c r="J29" s="23">
        <v>2.38</v>
      </c>
      <c r="K29" s="24">
        <v>0.578</v>
      </c>
      <c r="L29" s="31">
        <f t="shared" si="1"/>
        <v>0.598</v>
      </c>
      <c r="M29" s="32">
        <v>13.58</v>
      </c>
      <c r="N29" s="22">
        <v>3.28</v>
      </c>
      <c r="O29" s="26">
        <f t="shared" si="0"/>
        <v>83.14</v>
      </c>
    </row>
    <row r="30" spans="1:16">
      <c r="A30" s="15">
        <v>46128</v>
      </c>
      <c r="B30" s="27">
        <v>46128</v>
      </c>
      <c r="C30" s="16" t="s">
        <v>34</v>
      </c>
      <c r="D30" s="17" t="s">
        <v>81</v>
      </c>
      <c r="E30" s="18" t="s">
        <v>352</v>
      </c>
      <c r="F30" s="19" t="s">
        <v>50</v>
      </c>
      <c r="G30" s="20">
        <v>16875</v>
      </c>
      <c r="H30" s="21">
        <v>443</v>
      </c>
      <c r="I30" s="22">
        <v>11.74</v>
      </c>
      <c r="J30" s="23">
        <v>2.9</v>
      </c>
      <c r="K30" s="24">
        <v>0.578</v>
      </c>
      <c r="L30" s="31">
        <f t="shared" si="1"/>
        <v>0.598</v>
      </c>
      <c r="M30" s="32">
        <v>12.38</v>
      </c>
      <c r="N30" s="22">
        <v>3.96</v>
      </c>
      <c r="O30" s="26">
        <f t="shared" si="0"/>
        <v>83.66</v>
      </c>
    </row>
    <row r="31" spans="1:16">
      <c r="A31" s="15"/>
      <c r="B31" s="27"/>
      <c r="C31" s="78" t="s">
        <v>48</v>
      </c>
      <c r="D31" s="91" t="s">
        <v>105</v>
      </c>
      <c r="E31" s="92"/>
      <c r="F31" s="81" t="s">
        <v>46</v>
      </c>
      <c r="G31" s="82">
        <v>19330</v>
      </c>
      <c r="H31" s="83">
        <v>465</v>
      </c>
      <c r="I31" s="84">
        <v>10.94</v>
      </c>
      <c r="J31" s="85">
        <v>2.4</v>
      </c>
      <c r="K31" s="86">
        <v>0.581</v>
      </c>
      <c r="L31" s="87">
        <f t="shared" si="1"/>
        <v>0.601</v>
      </c>
      <c r="M31" s="88">
        <v>13.25</v>
      </c>
      <c r="N31" s="84">
        <v>3.51</v>
      </c>
      <c r="O31" s="89">
        <f t="shared" si="0"/>
        <v>83.24</v>
      </c>
      <c r="P31" s="112" t="s">
        <v>51</v>
      </c>
    </row>
    <row r="32" spans="1:16">
      <c r="A32" s="15">
        <v>46129</v>
      </c>
      <c r="B32" s="27">
        <v>46129</v>
      </c>
      <c r="C32" s="16" t="s">
        <v>34</v>
      </c>
      <c r="D32" s="17" t="s">
        <v>81</v>
      </c>
      <c r="E32" s="18" t="s">
        <v>352</v>
      </c>
      <c r="F32" s="19" t="s">
        <v>46</v>
      </c>
      <c r="G32" s="20">
        <v>18030</v>
      </c>
      <c r="H32" s="21">
        <v>437</v>
      </c>
      <c r="I32" s="22">
        <v>11.8</v>
      </c>
      <c r="J32" s="23">
        <v>2.52</v>
      </c>
      <c r="K32" s="24">
        <v>0.578</v>
      </c>
      <c r="L32" s="31">
        <f t="shared" si="1"/>
        <v>0.598</v>
      </c>
      <c r="M32" s="32">
        <v>11.95</v>
      </c>
      <c r="N32" s="22">
        <v>3.56</v>
      </c>
      <c r="O32" s="26">
        <f t="shared" si="0"/>
        <v>84.49</v>
      </c>
    </row>
    <row r="33" spans="1:16">
      <c r="A33" s="15">
        <v>46132</v>
      </c>
      <c r="B33" s="27">
        <v>46132</v>
      </c>
      <c r="C33" s="16" t="s">
        <v>34</v>
      </c>
      <c r="D33" s="17" t="s">
        <v>81</v>
      </c>
      <c r="E33" s="18" t="s">
        <v>352</v>
      </c>
      <c r="F33" s="19" t="s">
        <v>50</v>
      </c>
      <c r="G33" s="20">
        <v>17320</v>
      </c>
      <c r="H33" s="21">
        <v>423</v>
      </c>
      <c r="I33" s="22">
        <v>11.67</v>
      </c>
      <c r="J33" s="23">
        <v>2.61</v>
      </c>
      <c r="K33" s="24">
        <v>0.575</v>
      </c>
      <c r="L33" s="31">
        <f t="shared" si="1"/>
        <v>0.595</v>
      </c>
      <c r="M33" s="32">
        <v>12.57</v>
      </c>
      <c r="N33" s="22">
        <v>2.66</v>
      </c>
      <c r="O33" s="26">
        <f t="shared" si="0"/>
        <v>84.77</v>
      </c>
    </row>
    <row r="34" spans="1:16">
      <c r="A34" s="15">
        <v>46133</v>
      </c>
      <c r="B34" s="27">
        <v>46133</v>
      </c>
      <c r="C34" s="78" t="s">
        <v>48</v>
      </c>
      <c r="D34" s="91" t="s">
        <v>127</v>
      </c>
      <c r="E34" s="92"/>
      <c r="F34" s="81" t="s">
        <v>46</v>
      </c>
      <c r="G34" s="82">
        <v>16270</v>
      </c>
      <c r="H34" s="83">
        <v>474</v>
      </c>
      <c r="I34" s="84">
        <v>11.27</v>
      </c>
      <c r="J34" s="85">
        <v>2.39</v>
      </c>
      <c r="K34" s="86">
        <v>0.575</v>
      </c>
      <c r="L34" s="87">
        <f t="shared" si="1"/>
        <v>0.595</v>
      </c>
      <c r="M34" s="88">
        <v>12.54</v>
      </c>
      <c r="N34" s="84">
        <v>2.33</v>
      </c>
      <c r="O34" s="89">
        <f t="shared" si="0"/>
        <v>85.13</v>
      </c>
      <c r="P34" s="112" t="s">
        <v>51</v>
      </c>
    </row>
    <row r="35" spans="1:16">
      <c r="A35" s="15">
        <v>46134</v>
      </c>
      <c r="B35" s="27">
        <v>46134</v>
      </c>
      <c r="C35" s="16" t="s">
        <v>34</v>
      </c>
      <c r="D35" s="17" t="s">
        <v>84</v>
      </c>
      <c r="E35" s="18" t="s">
        <v>353</v>
      </c>
      <c r="F35" s="19" t="s">
        <v>50</v>
      </c>
      <c r="G35" s="20">
        <v>19180</v>
      </c>
      <c r="H35" s="21">
        <v>511</v>
      </c>
      <c r="I35" s="22">
        <v>11.74</v>
      </c>
      <c r="J35" s="23">
        <v>2.75</v>
      </c>
      <c r="K35" s="24">
        <v>0.575</v>
      </c>
      <c r="L35" s="31">
        <f t="shared" si="1"/>
        <v>0.595</v>
      </c>
      <c r="M35" s="32">
        <v>12.3</v>
      </c>
      <c r="N35" s="22">
        <v>2.78</v>
      </c>
      <c r="O35" s="26">
        <f t="shared" si="0"/>
        <v>84.92</v>
      </c>
    </row>
    <row r="36" spans="1:16">
      <c r="A36" s="15">
        <v>46136</v>
      </c>
      <c r="B36" s="27">
        <v>46136</v>
      </c>
      <c r="C36" s="16" t="s">
        <v>34</v>
      </c>
      <c r="D36" s="17" t="s">
        <v>84</v>
      </c>
      <c r="E36" s="18" t="s">
        <v>353</v>
      </c>
      <c r="F36" s="19" t="s">
        <v>46</v>
      </c>
      <c r="G36" s="20">
        <v>20780</v>
      </c>
      <c r="H36" s="21">
        <v>520</v>
      </c>
      <c r="I36" s="22">
        <v>11.47</v>
      </c>
      <c r="J36" s="23">
        <v>2.4</v>
      </c>
      <c r="K36" s="24">
        <v>0.571</v>
      </c>
      <c r="L36" s="31">
        <f t="shared" si="1"/>
        <v>0.591</v>
      </c>
      <c r="M36" s="32">
        <v>12.22</v>
      </c>
      <c r="N36" s="22">
        <v>3.68</v>
      </c>
      <c r="O36" s="26">
        <f t="shared" si="0"/>
        <v>84.1</v>
      </c>
    </row>
    <row r="37" spans="1:16">
      <c r="A37" s="15">
        <v>46140</v>
      </c>
      <c r="B37" s="27">
        <v>46140</v>
      </c>
      <c r="C37" s="16" t="s">
        <v>349</v>
      </c>
      <c r="D37" s="17" t="s">
        <v>59</v>
      </c>
      <c r="E37" s="28" t="s">
        <v>85</v>
      </c>
      <c r="F37" s="19" t="s">
        <v>56</v>
      </c>
      <c r="G37" s="20">
        <v>22660</v>
      </c>
      <c r="H37" s="21">
        <v>494</v>
      </c>
      <c r="I37" s="22">
        <v>10.87</v>
      </c>
      <c r="J37" s="23">
        <v>2.65</v>
      </c>
      <c r="K37" s="24">
        <v>0.568</v>
      </c>
      <c r="L37" s="31">
        <f t="shared" si="1"/>
        <v>0.588</v>
      </c>
      <c r="M37" s="32">
        <v>12.8</v>
      </c>
      <c r="N37" s="22">
        <v>3.08</v>
      </c>
      <c r="O37" s="26">
        <f t="shared" si="0"/>
        <v>84.12</v>
      </c>
    </row>
    <row r="38" spans="1:16">
      <c r="A38" s="15"/>
      <c r="B38" s="27"/>
      <c r="C38" s="78" t="s">
        <v>48</v>
      </c>
      <c r="D38" s="91" t="s">
        <v>143</v>
      </c>
      <c r="E38" s="92"/>
      <c r="F38" s="81" t="s">
        <v>50</v>
      </c>
      <c r="G38" s="82">
        <v>17095</v>
      </c>
      <c r="H38" s="83">
        <v>497</v>
      </c>
      <c r="I38" s="84">
        <v>11.07</v>
      </c>
      <c r="J38" s="85">
        <v>2.48</v>
      </c>
      <c r="K38" s="86">
        <v>0.575</v>
      </c>
      <c r="L38" s="87">
        <f t="shared" si="1"/>
        <v>0.595</v>
      </c>
      <c r="M38" s="88">
        <v>14.14</v>
      </c>
      <c r="N38" s="84">
        <v>3.39</v>
      </c>
      <c r="O38" s="89">
        <f t="shared" si="0"/>
        <v>82.47</v>
      </c>
    </row>
    <row r="39" spans="1:16">
      <c r="A39" s="15">
        <v>46142</v>
      </c>
      <c r="B39" s="27">
        <v>46142</v>
      </c>
      <c r="C39" s="16" t="s">
        <v>39</v>
      </c>
      <c r="D39" s="17" t="s">
        <v>98</v>
      </c>
      <c r="E39" s="18" t="s">
        <v>354</v>
      </c>
      <c r="F39" s="19" t="s">
        <v>272</v>
      </c>
      <c r="G39" s="20">
        <v>18645</v>
      </c>
      <c r="H39" s="21">
        <v>503</v>
      </c>
      <c r="I39" s="22">
        <v>9.07</v>
      </c>
      <c r="J39" s="23">
        <v>2.88</v>
      </c>
      <c r="K39" s="24">
        <v>0.565</v>
      </c>
      <c r="L39" s="31">
        <f t="shared" si="1"/>
        <v>0.585</v>
      </c>
      <c r="M39" s="32">
        <v>13.41</v>
      </c>
      <c r="N39" s="22">
        <v>2.38</v>
      </c>
      <c r="O39" s="26">
        <f t="shared" si="0"/>
        <v>84.21</v>
      </c>
    </row>
    <row r="40" spans="1:16">
      <c r="A40" s="15"/>
      <c r="B40" s="27"/>
      <c r="C40" s="16"/>
      <c r="D40" s="28"/>
      <c r="E40" s="28"/>
      <c r="F40" s="19"/>
      <c r="G40" s="20"/>
      <c r="H40" s="21"/>
      <c r="I40" s="22"/>
      <c r="J40" s="23"/>
      <c r="K40" s="24"/>
      <c r="L40" s="31"/>
      <c r="M40" s="32"/>
      <c r="N40" s="22"/>
      <c r="O40" s="26">
        <f t="shared" si="0"/>
        <v>100</v>
      </c>
    </row>
    <row r="41" spans="1:16">
      <c r="A41" s="15"/>
      <c r="B41" s="27"/>
      <c r="C41" s="16"/>
      <c r="D41" s="110"/>
      <c r="E41" s="111"/>
      <c r="F41" s="19"/>
      <c r="G41" s="20"/>
      <c r="H41" s="21"/>
      <c r="I41" s="22"/>
      <c r="J41" s="23"/>
      <c r="K41" s="24"/>
      <c r="L41" s="43"/>
      <c r="M41" s="32"/>
      <c r="N41" s="22"/>
      <c r="O41" s="26">
        <f t="shared" si="0"/>
        <v>100</v>
      </c>
    </row>
    <row r="42" spans="1:16">
      <c r="A42" s="15"/>
      <c r="B42" s="27"/>
      <c r="C42" s="16"/>
      <c r="D42" s="28"/>
      <c r="E42" s="28"/>
      <c r="F42" s="19"/>
      <c r="G42" s="20"/>
      <c r="H42" s="21"/>
      <c r="I42" s="22"/>
      <c r="J42" s="23"/>
      <c r="K42" s="24"/>
      <c r="L42" s="31"/>
      <c r="M42" s="32"/>
      <c r="N42" s="22"/>
      <c r="O42" s="26">
        <f t="shared" si="0"/>
        <v>100</v>
      </c>
    </row>
    <row r="43" spans="1:16">
      <c r="A43" s="44"/>
      <c r="B43" s="45"/>
      <c r="C43" s="46"/>
      <c r="D43" s="46"/>
      <c r="E43" s="46"/>
      <c r="F43" s="47"/>
      <c r="G43" s="48"/>
      <c r="H43" s="49"/>
      <c r="I43" s="50"/>
      <c r="J43" s="51"/>
      <c r="K43" s="52"/>
      <c r="L43" s="52"/>
      <c r="M43" s="50"/>
      <c r="N43" s="50"/>
      <c r="O43" s="53"/>
    </row>
    <row r="44" ht="15.75" spans="1:16">
      <c r="A44" s="54" t="s">
        <v>172</v>
      </c>
      <c r="B44" s="55"/>
      <c r="C44" s="55"/>
      <c r="D44" s="55"/>
      <c r="E44" s="55"/>
      <c r="F44" s="55"/>
      <c r="G44" s="56">
        <f>SUM(G5:G43)</f>
        <v>598205</v>
      </c>
      <c r="H44" s="57">
        <f>SUM(H5:H43)</f>
        <v>16106</v>
      </c>
      <c r="I44" s="58">
        <f t="shared" ref="I44:O44" si="2">AVERAGE(I5:I43)</f>
        <v>10.6920588235294</v>
      </c>
      <c r="J44" s="58">
        <f t="shared" si="2"/>
        <v>2.73794117647059</v>
      </c>
      <c r="K44" s="59">
        <f t="shared" si="2"/>
        <v>0.571794117647059</v>
      </c>
      <c r="L44" s="59">
        <f t="shared" si="2"/>
        <v>0.591794117647059</v>
      </c>
      <c r="M44" s="58">
        <f t="shared" si="2"/>
        <v>13.1282352941176</v>
      </c>
      <c r="N44" s="58">
        <f t="shared" si="2"/>
        <v>3.40235294117647</v>
      </c>
      <c r="O44" s="60">
        <f t="shared" si="2"/>
        <v>85.2094736842105</v>
      </c>
    </row>
  </sheetData>
  <mergeCells count="8">
    <mergeCell ref="K4:L4"/>
    <mergeCell ref="D10:E10"/>
    <mergeCell ref="D12:E12"/>
    <mergeCell ref="D18:E18"/>
    <mergeCell ref="D21:E21"/>
    <mergeCell ref="D31:E31"/>
    <mergeCell ref="D34:E34"/>
    <mergeCell ref="D38:E38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opLeftCell="A7" workbookViewId="0">
      <selection activeCell="D15" sqref="D15:E15"/>
    </sheetView>
  </sheetViews>
  <sheetFormatPr defaultColWidth="9.14285714285714" defaultRowHeight="15"/>
  <cols>
    <col min="1" max="2" width="10.8571428571429"/>
    <col min="4" max="4" width="9.85714285714286"/>
    <col min="6" max="6" width="10.5714285714286"/>
    <col min="7" max="7" width="11.7142857142857" customWidth="1"/>
  </cols>
  <sheetData>
    <row r="1" ht="16.5" spans="1:16">
      <c r="A1" s="206" t="s">
        <v>355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16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16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16">
      <c r="A5" s="15"/>
      <c r="B5" s="27"/>
      <c r="C5" s="16"/>
      <c r="D5" s="76"/>
      <c r="E5" s="35"/>
      <c r="F5" s="19"/>
      <c r="G5" s="20"/>
      <c r="H5" s="21"/>
      <c r="I5" s="22"/>
      <c r="J5" s="23"/>
      <c r="K5" s="24"/>
      <c r="L5" s="25"/>
      <c r="M5" s="22"/>
      <c r="N5" s="22"/>
      <c r="O5" s="26">
        <f t="shared" ref="O5:O22" si="0">100-M5-N5</f>
        <v>100</v>
      </c>
    </row>
    <row r="6" spans="1:16">
      <c r="A6" s="15">
        <v>46146</v>
      </c>
      <c r="B6" s="27">
        <v>46146</v>
      </c>
      <c r="C6" s="16" t="s">
        <v>39</v>
      </c>
      <c r="D6" s="17" t="s">
        <v>98</v>
      </c>
      <c r="E6" s="18" t="s">
        <v>354</v>
      </c>
      <c r="F6" s="19" t="s">
        <v>272</v>
      </c>
      <c r="G6" s="29">
        <v>20970</v>
      </c>
      <c r="H6" s="21">
        <v>520</v>
      </c>
      <c r="I6" s="30">
        <v>9.87</v>
      </c>
      <c r="J6" s="23">
        <v>3.51</v>
      </c>
      <c r="K6" s="24">
        <v>0.575</v>
      </c>
      <c r="L6" s="31">
        <f t="shared" ref="L6:L11" si="1">K6+0.02</f>
        <v>0.595</v>
      </c>
      <c r="M6" s="32">
        <v>13.81</v>
      </c>
      <c r="N6" s="22">
        <v>3.68</v>
      </c>
      <c r="O6" s="26">
        <f t="shared" si="0"/>
        <v>82.51</v>
      </c>
      <c r="P6" s="33" t="s">
        <v>356</v>
      </c>
    </row>
    <row r="7" spans="1:16">
      <c r="A7" s="15"/>
      <c r="B7" s="27"/>
      <c r="C7" s="16" t="s">
        <v>39</v>
      </c>
      <c r="D7" s="17" t="s">
        <v>98</v>
      </c>
      <c r="E7" s="18" t="s">
        <v>354</v>
      </c>
      <c r="F7" s="19" t="s">
        <v>42</v>
      </c>
      <c r="G7" s="29">
        <v>11410</v>
      </c>
      <c r="H7" s="21">
        <v>273</v>
      </c>
      <c r="I7" s="30">
        <v>10.07</v>
      </c>
      <c r="J7" s="23">
        <v>2.47</v>
      </c>
      <c r="K7" s="24">
        <v>0.581</v>
      </c>
      <c r="L7" s="31">
        <f t="shared" si="1"/>
        <v>0.601</v>
      </c>
      <c r="M7" s="32">
        <v>12.36</v>
      </c>
      <c r="N7" s="22">
        <v>2.79</v>
      </c>
      <c r="O7" s="26">
        <f t="shared" si="0"/>
        <v>84.85</v>
      </c>
      <c r="P7" s="33" t="s">
        <v>356</v>
      </c>
    </row>
    <row r="8" spans="1:16">
      <c r="A8" s="15"/>
      <c r="B8" s="27"/>
      <c r="C8" s="16" t="s">
        <v>39</v>
      </c>
      <c r="D8" s="17" t="s">
        <v>40</v>
      </c>
      <c r="E8" s="18" t="s">
        <v>357</v>
      </c>
      <c r="F8" s="19" t="s">
        <v>178</v>
      </c>
      <c r="G8" s="20">
        <v>10630</v>
      </c>
      <c r="H8" s="21">
        <v>192</v>
      </c>
      <c r="I8" s="30">
        <v>10.8</v>
      </c>
      <c r="J8" s="23">
        <v>3.41</v>
      </c>
      <c r="K8" s="24">
        <v>0.562</v>
      </c>
      <c r="L8" s="31">
        <f t="shared" si="1"/>
        <v>0.582</v>
      </c>
      <c r="M8" s="32">
        <v>14.19</v>
      </c>
      <c r="N8" s="22">
        <v>3.43</v>
      </c>
      <c r="O8" s="26">
        <f t="shared" si="0"/>
        <v>82.38</v>
      </c>
      <c r="P8" s="61"/>
    </row>
    <row r="9" spans="1:16">
      <c r="A9" s="15"/>
      <c r="B9" s="27"/>
      <c r="C9" s="16" t="s">
        <v>39</v>
      </c>
      <c r="D9" s="17" t="s">
        <v>40</v>
      </c>
      <c r="E9" s="18" t="s">
        <v>357</v>
      </c>
      <c r="F9" s="19" t="s">
        <v>120</v>
      </c>
      <c r="G9" s="20">
        <v>8780</v>
      </c>
      <c r="H9" s="21">
        <v>235</v>
      </c>
      <c r="I9" s="30">
        <v>9.6</v>
      </c>
      <c r="J9" s="23">
        <v>3.1</v>
      </c>
      <c r="K9" s="24">
        <v>0.559</v>
      </c>
      <c r="L9" s="31">
        <f t="shared" si="1"/>
        <v>0.579</v>
      </c>
      <c r="M9" s="32">
        <v>12.48</v>
      </c>
      <c r="N9" s="22">
        <v>4.29</v>
      </c>
      <c r="O9" s="26">
        <f t="shared" si="0"/>
        <v>83.23</v>
      </c>
      <c r="P9" s="61"/>
    </row>
    <row r="10" spans="1:16">
      <c r="A10" s="15"/>
      <c r="B10" s="27"/>
      <c r="C10" s="16" t="s">
        <v>34</v>
      </c>
      <c r="D10" s="17" t="s">
        <v>84</v>
      </c>
      <c r="E10" s="18" t="s">
        <v>353</v>
      </c>
      <c r="F10" s="19" t="s">
        <v>37</v>
      </c>
      <c r="G10" s="29">
        <v>20330</v>
      </c>
      <c r="H10" s="21">
        <v>487</v>
      </c>
      <c r="I10" s="30">
        <v>11</v>
      </c>
      <c r="J10" s="23">
        <v>2.31</v>
      </c>
      <c r="K10" s="24">
        <v>0.578</v>
      </c>
      <c r="L10" s="31">
        <f t="shared" si="1"/>
        <v>0.598</v>
      </c>
      <c r="M10" s="32">
        <v>13.25</v>
      </c>
      <c r="N10" s="22">
        <v>3.19</v>
      </c>
      <c r="O10" s="26">
        <f t="shared" si="0"/>
        <v>83.56</v>
      </c>
      <c r="P10" s="33" t="s">
        <v>358</v>
      </c>
    </row>
    <row r="11" spans="1:16">
      <c r="A11" s="15"/>
      <c r="B11" s="27"/>
      <c r="C11" s="16" t="s">
        <v>53</v>
      </c>
      <c r="D11" s="17" t="s">
        <v>59</v>
      </c>
      <c r="E11" s="28" t="s">
        <v>85</v>
      </c>
      <c r="F11" s="19" t="s">
        <v>56</v>
      </c>
      <c r="G11" s="29">
        <v>23505</v>
      </c>
      <c r="H11" s="21">
        <v>515</v>
      </c>
      <c r="I11" s="22">
        <v>11.34</v>
      </c>
      <c r="J11" s="23">
        <v>2.16</v>
      </c>
      <c r="K11" s="24">
        <v>0.578</v>
      </c>
      <c r="L11" s="31">
        <f t="shared" si="1"/>
        <v>0.598</v>
      </c>
      <c r="M11" s="32">
        <v>12.76</v>
      </c>
      <c r="N11" s="22">
        <v>2.88</v>
      </c>
      <c r="O11" s="26">
        <f t="shared" si="0"/>
        <v>84.36</v>
      </c>
      <c r="P11" s="33" t="s">
        <v>359</v>
      </c>
    </row>
    <row r="12" spans="1:16">
      <c r="A12" s="15">
        <v>46147</v>
      </c>
      <c r="B12" s="27">
        <v>46147</v>
      </c>
      <c r="C12" s="16" t="s">
        <v>34</v>
      </c>
      <c r="D12" s="77" t="s">
        <v>44</v>
      </c>
      <c r="E12" s="28" t="s">
        <v>360</v>
      </c>
      <c r="F12" s="19" t="s">
        <v>50</v>
      </c>
      <c r="G12" s="20">
        <v>18595</v>
      </c>
      <c r="H12" s="21">
        <v>439</v>
      </c>
      <c r="I12" s="22">
        <v>11.87</v>
      </c>
      <c r="J12" s="23">
        <v>2.8</v>
      </c>
      <c r="K12" s="24">
        <v>0.578</v>
      </c>
      <c r="L12" s="31">
        <f t="shared" ref="L12:L59" si="2">K12+0.02</f>
        <v>0.598</v>
      </c>
      <c r="M12" s="32">
        <v>12.23</v>
      </c>
      <c r="N12" s="22">
        <v>3.56</v>
      </c>
      <c r="O12" s="26">
        <f t="shared" si="0"/>
        <v>84.21</v>
      </c>
      <c r="P12" s="61"/>
    </row>
    <row r="13" spans="1:16">
      <c r="A13" s="15"/>
      <c r="B13" s="27"/>
      <c r="C13" s="16" t="s">
        <v>34</v>
      </c>
      <c r="D13" s="77" t="s">
        <v>44</v>
      </c>
      <c r="E13" s="28" t="s">
        <v>360</v>
      </c>
      <c r="F13" s="19" t="s">
        <v>361</v>
      </c>
      <c r="G13" s="20">
        <v>19710</v>
      </c>
      <c r="H13" s="21">
        <v>513</v>
      </c>
      <c r="I13" s="22">
        <v>8.94</v>
      </c>
      <c r="J13" s="23">
        <v>2.56</v>
      </c>
      <c r="K13" s="24">
        <v>0.571</v>
      </c>
      <c r="L13" s="31">
        <f t="shared" si="2"/>
        <v>0.591</v>
      </c>
      <c r="M13" s="32">
        <v>13.48</v>
      </c>
      <c r="N13" s="22">
        <v>2.71</v>
      </c>
      <c r="O13" s="26">
        <f t="shared" si="0"/>
        <v>83.81</v>
      </c>
      <c r="P13" s="61"/>
    </row>
    <row r="14" spans="1:16">
      <c r="A14" s="15"/>
      <c r="B14" s="27"/>
      <c r="C14" s="16" t="s">
        <v>34</v>
      </c>
      <c r="D14" s="77" t="s">
        <v>44</v>
      </c>
      <c r="E14" s="28" t="s">
        <v>360</v>
      </c>
      <c r="F14" s="19" t="s">
        <v>362</v>
      </c>
      <c r="G14" s="20">
        <v>12895</v>
      </c>
      <c r="H14" s="21">
        <v>292</v>
      </c>
      <c r="I14" s="22">
        <v>11.8</v>
      </c>
      <c r="J14" s="23">
        <v>2.68</v>
      </c>
      <c r="K14" s="24">
        <v>0.571</v>
      </c>
      <c r="L14" s="31">
        <f t="shared" si="2"/>
        <v>0.591</v>
      </c>
      <c r="M14" s="32">
        <v>11.67</v>
      </c>
      <c r="N14" s="22">
        <v>3.44</v>
      </c>
      <c r="O14" s="26">
        <f t="shared" si="0"/>
        <v>84.89</v>
      </c>
      <c r="P14" s="61"/>
    </row>
    <row r="15" spans="1:16">
      <c r="A15" s="15"/>
      <c r="B15" s="27"/>
      <c r="C15" s="78" t="s">
        <v>48</v>
      </c>
      <c r="D15" s="79" t="s">
        <v>176</v>
      </c>
      <c r="E15" s="80"/>
      <c r="F15" s="81" t="s">
        <v>363</v>
      </c>
      <c r="G15" s="82">
        <v>16845</v>
      </c>
      <c r="H15" s="83">
        <v>479</v>
      </c>
      <c r="I15" s="84">
        <v>11.27</v>
      </c>
      <c r="J15" s="85">
        <v>2.4</v>
      </c>
      <c r="K15" s="86">
        <v>0.581</v>
      </c>
      <c r="L15" s="87">
        <f t="shared" si="2"/>
        <v>0.601</v>
      </c>
      <c r="M15" s="88">
        <v>13.4</v>
      </c>
      <c r="N15" s="84">
        <v>3.24</v>
      </c>
      <c r="O15" s="89">
        <f t="shared" si="0"/>
        <v>83.36</v>
      </c>
      <c r="P15" s="90" t="s">
        <v>364</v>
      </c>
    </row>
    <row r="16" spans="1:16">
      <c r="A16" s="15"/>
      <c r="B16" s="27"/>
      <c r="C16" s="16" t="s">
        <v>39</v>
      </c>
      <c r="D16" s="17" t="s">
        <v>98</v>
      </c>
      <c r="E16" s="18" t="s">
        <v>354</v>
      </c>
      <c r="F16" s="19" t="s">
        <v>42</v>
      </c>
      <c r="G16" s="29">
        <v>8805</v>
      </c>
      <c r="H16" s="21">
        <v>223</v>
      </c>
      <c r="I16" s="22">
        <v>10.87</v>
      </c>
      <c r="J16" s="23">
        <v>3.18</v>
      </c>
      <c r="K16" s="24">
        <v>0.578</v>
      </c>
      <c r="L16" s="31">
        <f t="shared" si="2"/>
        <v>0.598</v>
      </c>
      <c r="M16" s="32">
        <v>13.71</v>
      </c>
      <c r="N16" s="22">
        <v>3.09</v>
      </c>
      <c r="O16" s="26">
        <f t="shared" si="0"/>
        <v>83.2</v>
      </c>
      <c r="P16" s="33" t="s">
        <v>356</v>
      </c>
    </row>
    <row r="17" spans="1:16">
      <c r="A17" s="15"/>
      <c r="B17" s="27"/>
      <c r="C17" s="16" t="s">
        <v>39</v>
      </c>
      <c r="D17" s="17" t="s">
        <v>40</v>
      </c>
      <c r="E17" s="18" t="s">
        <v>357</v>
      </c>
      <c r="F17" s="19" t="s">
        <v>339</v>
      </c>
      <c r="G17" s="20">
        <v>22335</v>
      </c>
      <c r="H17" s="21">
        <v>607</v>
      </c>
      <c r="I17" s="22">
        <v>10.67</v>
      </c>
      <c r="J17" s="23">
        <v>2.9</v>
      </c>
      <c r="K17" s="24">
        <v>0.571</v>
      </c>
      <c r="L17" s="31">
        <f t="shared" si="2"/>
        <v>0.591</v>
      </c>
      <c r="M17" s="32">
        <v>12.8</v>
      </c>
      <c r="N17" s="22">
        <v>2.9</v>
      </c>
      <c r="O17" s="26">
        <f t="shared" si="0"/>
        <v>84.3</v>
      </c>
      <c r="P17" s="61"/>
    </row>
    <row r="18" spans="1:16">
      <c r="A18" s="15"/>
      <c r="B18" s="27"/>
      <c r="C18" s="16" t="s">
        <v>39</v>
      </c>
      <c r="D18" s="17" t="s">
        <v>68</v>
      </c>
      <c r="E18" s="18" t="s">
        <v>136</v>
      </c>
      <c r="F18" s="19" t="s">
        <v>365</v>
      </c>
      <c r="G18" s="29">
        <v>22693</v>
      </c>
      <c r="H18" s="21">
        <v>440</v>
      </c>
      <c r="I18" s="22">
        <v>9.34</v>
      </c>
      <c r="J18" s="23">
        <v>2.75</v>
      </c>
      <c r="K18" s="24">
        <v>0.552</v>
      </c>
      <c r="L18" s="31">
        <f t="shared" si="2"/>
        <v>0.572</v>
      </c>
      <c r="M18" s="32">
        <v>10.75</v>
      </c>
      <c r="N18" s="22">
        <v>7.94</v>
      </c>
      <c r="O18" s="26">
        <f t="shared" si="0"/>
        <v>81.31</v>
      </c>
      <c r="P18" s="34" t="s">
        <v>366</v>
      </c>
    </row>
    <row r="19" spans="1:16">
      <c r="A19" s="15"/>
      <c r="B19" s="27"/>
      <c r="C19" s="16" t="s">
        <v>39</v>
      </c>
      <c r="D19" s="17" t="s">
        <v>68</v>
      </c>
      <c r="E19" s="18" t="s">
        <v>89</v>
      </c>
      <c r="F19" s="19" t="s">
        <v>224</v>
      </c>
      <c r="G19" s="20">
        <v>33312</v>
      </c>
      <c r="H19" s="21">
        <v>895</v>
      </c>
      <c r="I19" s="22">
        <v>10.4</v>
      </c>
      <c r="J19" s="23">
        <v>3.22</v>
      </c>
      <c r="K19" s="24">
        <v>0.549</v>
      </c>
      <c r="L19" s="31">
        <f t="shared" si="2"/>
        <v>0.569</v>
      </c>
      <c r="M19" s="32">
        <v>10.38</v>
      </c>
      <c r="N19" s="22">
        <v>6.88</v>
      </c>
      <c r="O19" s="26">
        <f t="shared" si="0"/>
        <v>82.74</v>
      </c>
      <c r="P19" t="s">
        <v>367</v>
      </c>
    </row>
    <row r="20" spans="1:16">
      <c r="A20" s="15">
        <v>46148</v>
      </c>
      <c r="B20" s="27">
        <v>46148</v>
      </c>
      <c r="C20" s="16" t="s">
        <v>39</v>
      </c>
      <c r="D20" s="17" t="s">
        <v>40</v>
      </c>
      <c r="E20" s="18" t="s">
        <v>357</v>
      </c>
      <c r="F20" s="19" t="s">
        <v>178</v>
      </c>
      <c r="G20" s="20">
        <v>11385</v>
      </c>
      <c r="H20" s="21">
        <v>312</v>
      </c>
      <c r="I20" s="22">
        <v>8.4</v>
      </c>
      <c r="J20" s="23">
        <v>2.77</v>
      </c>
      <c r="K20" s="24">
        <v>0.565</v>
      </c>
      <c r="L20" s="31">
        <f t="shared" si="2"/>
        <v>0.585</v>
      </c>
      <c r="M20" s="32">
        <v>13.41</v>
      </c>
      <c r="N20" s="22">
        <v>2.46</v>
      </c>
      <c r="O20" s="26">
        <f t="shared" si="0"/>
        <v>84.13</v>
      </c>
      <c r="P20" s="61"/>
    </row>
    <row r="21" spans="1:16">
      <c r="A21" s="15"/>
      <c r="B21" s="27"/>
      <c r="C21" s="16" t="s">
        <v>39</v>
      </c>
      <c r="D21" s="28" t="s">
        <v>76</v>
      </c>
      <c r="E21" s="28" t="s">
        <v>368</v>
      </c>
      <c r="F21" s="19" t="s">
        <v>121</v>
      </c>
      <c r="G21" s="20">
        <v>3665</v>
      </c>
      <c r="H21" s="21">
        <v>129</v>
      </c>
      <c r="I21" s="22">
        <v>8.8</v>
      </c>
      <c r="J21" s="23">
        <v>3.5</v>
      </c>
      <c r="K21" s="24">
        <v>0.568</v>
      </c>
      <c r="L21" s="31">
        <f t="shared" si="2"/>
        <v>0.588</v>
      </c>
      <c r="M21" s="32">
        <v>13.44</v>
      </c>
      <c r="N21" s="22">
        <v>2.14</v>
      </c>
      <c r="O21" s="26">
        <f t="shared" si="0"/>
        <v>84.42</v>
      </c>
      <c r="P21" s="61"/>
    </row>
    <row r="22" spans="1:16">
      <c r="A22" s="15"/>
      <c r="B22" s="27"/>
      <c r="C22" s="16" t="s">
        <v>39</v>
      </c>
      <c r="D22" s="28" t="s">
        <v>76</v>
      </c>
      <c r="E22" s="28" t="s">
        <v>368</v>
      </c>
      <c r="F22" s="19" t="s">
        <v>179</v>
      </c>
      <c r="G22" s="20">
        <v>20450</v>
      </c>
      <c r="H22" s="21">
        <v>561</v>
      </c>
      <c r="I22" s="22">
        <v>9.34</v>
      </c>
      <c r="J22" s="23">
        <v>3.16</v>
      </c>
      <c r="K22" s="24">
        <v>0.568</v>
      </c>
      <c r="L22" s="31">
        <f t="shared" si="2"/>
        <v>0.588</v>
      </c>
      <c r="M22" s="32">
        <v>12.28</v>
      </c>
      <c r="N22" s="22">
        <v>3.98</v>
      </c>
      <c r="O22" s="26">
        <f t="shared" si="0"/>
        <v>83.74</v>
      </c>
      <c r="P22" s="61"/>
    </row>
    <row r="23" spans="1:16">
      <c r="A23" s="15"/>
      <c r="B23" s="27"/>
      <c r="C23" s="16" t="s">
        <v>39</v>
      </c>
      <c r="D23" s="28" t="s">
        <v>76</v>
      </c>
      <c r="E23" s="28" t="s">
        <v>368</v>
      </c>
      <c r="F23" s="19" t="s">
        <v>322</v>
      </c>
      <c r="G23" s="20">
        <v>18165</v>
      </c>
      <c r="H23" s="21">
        <v>553</v>
      </c>
      <c r="I23" s="22">
        <v>9.4</v>
      </c>
      <c r="J23" s="23">
        <v>3.18</v>
      </c>
      <c r="K23" s="24">
        <v>0.559</v>
      </c>
      <c r="L23" s="31">
        <f t="shared" si="2"/>
        <v>0.579</v>
      </c>
      <c r="M23" s="32">
        <v>13.04</v>
      </c>
      <c r="N23" s="22">
        <v>3.68</v>
      </c>
      <c r="O23" s="26">
        <f t="shared" ref="O23:O67" si="3">100-M23-N23</f>
        <v>83.28</v>
      </c>
      <c r="P23" s="61"/>
    </row>
    <row r="24" spans="1:16">
      <c r="A24" s="15"/>
      <c r="B24" s="27"/>
      <c r="C24" s="16" t="s">
        <v>34</v>
      </c>
      <c r="D24" s="77" t="s">
        <v>44</v>
      </c>
      <c r="E24" s="28" t="s">
        <v>360</v>
      </c>
      <c r="F24" s="19" t="s">
        <v>46</v>
      </c>
      <c r="G24" s="20">
        <v>19000</v>
      </c>
      <c r="H24" s="21">
        <v>437</v>
      </c>
      <c r="I24" s="22">
        <v>10.94</v>
      </c>
      <c r="J24" s="23">
        <v>2.71</v>
      </c>
      <c r="K24" s="24">
        <v>0.578</v>
      </c>
      <c r="L24" s="31">
        <f t="shared" si="2"/>
        <v>0.598</v>
      </c>
      <c r="M24" s="32">
        <v>12.81</v>
      </c>
      <c r="N24" s="22">
        <v>3.75</v>
      </c>
      <c r="O24" s="26">
        <f t="shared" si="3"/>
        <v>83.44</v>
      </c>
      <c r="P24" s="61"/>
    </row>
    <row r="25" spans="1:16">
      <c r="A25" s="15"/>
      <c r="B25" s="27"/>
      <c r="C25" s="16" t="s">
        <v>34</v>
      </c>
      <c r="D25" s="28" t="s">
        <v>54</v>
      </c>
      <c r="E25" s="28" t="s">
        <v>369</v>
      </c>
      <c r="F25" s="19" t="s">
        <v>50</v>
      </c>
      <c r="G25" s="20">
        <v>17390</v>
      </c>
      <c r="H25" s="21">
        <v>418</v>
      </c>
      <c r="I25" s="22">
        <v>11.4</v>
      </c>
      <c r="J25" s="23">
        <v>2.61</v>
      </c>
      <c r="K25" s="24">
        <v>0.575</v>
      </c>
      <c r="L25" s="31">
        <f t="shared" si="2"/>
        <v>0.595</v>
      </c>
      <c r="M25" s="32">
        <v>12.77</v>
      </c>
      <c r="N25" s="22">
        <v>4.1</v>
      </c>
      <c r="O25" s="26">
        <f t="shared" si="3"/>
        <v>83.13</v>
      </c>
      <c r="P25" s="61"/>
    </row>
    <row r="26" spans="1:16">
      <c r="A26" s="15">
        <v>46149</v>
      </c>
      <c r="B26" s="27">
        <v>46149</v>
      </c>
      <c r="C26" s="16" t="s">
        <v>34</v>
      </c>
      <c r="D26" s="28" t="s">
        <v>54</v>
      </c>
      <c r="E26" s="28" t="s">
        <v>369</v>
      </c>
      <c r="F26" s="19" t="s">
        <v>363</v>
      </c>
      <c r="G26" s="20">
        <v>19405</v>
      </c>
      <c r="H26" s="21">
        <v>456</v>
      </c>
      <c r="I26" s="22">
        <v>11.6</v>
      </c>
      <c r="J26" s="23">
        <v>2.54</v>
      </c>
      <c r="K26" s="24">
        <v>0.575</v>
      </c>
      <c r="L26" s="31">
        <f t="shared" si="2"/>
        <v>0.595</v>
      </c>
      <c r="M26" s="32">
        <v>12.98</v>
      </c>
      <c r="N26" s="22">
        <v>3.22</v>
      </c>
      <c r="O26" s="26">
        <f t="shared" si="3"/>
        <v>83.8</v>
      </c>
      <c r="P26" s="61"/>
    </row>
    <row r="27" spans="1:16">
      <c r="A27" s="15"/>
      <c r="B27" s="27"/>
      <c r="C27" s="16" t="s">
        <v>34</v>
      </c>
      <c r="D27" s="28" t="s">
        <v>54</v>
      </c>
      <c r="E27" s="28" t="s">
        <v>369</v>
      </c>
      <c r="F27" s="19" t="s">
        <v>50</v>
      </c>
      <c r="G27" s="20">
        <v>16785</v>
      </c>
      <c r="H27" s="21">
        <v>459</v>
      </c>
      <c r="I27" s="22">
        <v>10.74</v>
      </c>
      <c r="J27" s="23">
        <v>2.13</v>
      </c>
      <c r="K27" s="24">
        <v>0.575</v>
      </c>
      <c r="L27" s="31">
        <f t="shared" si="2"/>
        <v>0.595</v>
      </c>
      <c r="M27" s="32">
        <v>13.64</v>
      </c>
      <c r="N27" s="22">
        <v>2.55</v>
      </c>
      <c r="O27" s="26">
        <f t="shared" si="3"/>
        <v>83.81</v>
      </c>
      <c r="P27" s="61"/>
    </row>
    <row r="28" spans="1:16">
      <c r="C28" s="16" t="s">
        <v>34</v>
      </c>
      <c r="D28" s="28" t="s">
        <v>81</v>
      </c>
      <c r="E28" s="28" t="s">
        <v>370</v>
      </c>
      <c r="F28" s="19" t="s">
        <v>37</v>
      </c>
      <c r="G28" s="20">
        <v>19870</v>
      </c>
      <c r="H28" s="21">
        <v>541</v>
      </c>
      <c r="I28" s="22">
        <v>11.07</v>
      </c>
      <c r="J28" s="23">
        <v>2.66</v>
      </c>
      <c r="K28" s="24">
        <v>0.578</v>
      </c>
      <c r="L28" s="31">
        <f t="shared" si="2"/>
        <v>0.598</v>
      </c>
      <c r="M28" s="32">
        <v>12.36</v>
      </c>
      <c r="N28" s="22">
        <v>3.86</v>
      </c>
      <c r="O28" s="26">
        <f t="shared" si="3"/>
        <v>83.78</v>
      </c>
      <c r="P28" s="61"/>
    </row>
    <row r="29" spans="1:16">
      <c r="A29" s="15"/>
      <c r="B29" s="27"/>
      <c r="C29" s="16" t="s">
        <v>53</v>
      </c>
      <c r="D29" s="17" t="s">
        <v>59</v>
      </c>
      <c r="E29" s="28" t="s">
        <v>85</v>
      </c>
      <c r="F29" s="19" t="s">
        <v>56</v>
      </c>
      <c r="G29" s="29">
        <v>24305</v>
      </c>
      <c r="H29" s="21">
        <v>568</v>
      </c>
      <c r="I29" s="22">
        <v>11.27</v>
      </c>
      <c r="J29" s="23">
        <v>2.17</v>
      </c>
      <c r="K29" s="24">
        <v>0.578</v>
      </c>
      <c r="L29" s="31">
        <f t="shared" si="2"/>
        <v>0.598</v>
      </c>
      <c r="M29" s="32">
        <v>13.51</v>
      </c>
      <c r="N29" s="22">
        <v>2.92</v>
      </c>
      <c r="O29" s="26">
        <f t="shared" si="3"/>
        <v>83.57</v>
      </c>
      <c r="P29" s="33" t="s">
        <v>359</v>
      </c>
    </row>
    <row r="30" spans="1:16">
      <c r="A30" s="15"/>
      <c r="B30" s="27"/>
      <c r="C30" s="16" t="s">
        <v>39</v>
      </c>
      <c r="D30" s="28" t="s">
        <v>76</v>
      </c>
      <c r="E30" s="28" t="s">
        <v>368</v>
      </c>
      <c r="F30" s="19" t="s">
        <v>371</v>
      </c>
      <c r="G30" s="20">
        <v>19940</v>
      </c>
      <c r="H30" s="21">
        <v>603</v>
      </c>
      <c r="I30" s="22">
        <v>9.801</v>
      </c>
      <c r="J30" s="23">
        <v>3.73</v>
      </c>
      <c r="K30" s="24">
        <v>0.562</v>
      </c>
      <c r="L30" s="31">
        <f t="shared" si="2"/>
        <v>0.582</v>
      </c>
      <c r="M30" s="32">
        <v>14.68</v>
      </c>
      <c r="N30" s="22">
        <v>3.66</v>
      </c>
      <c r="O30" s="26">
        <f t="shared" si="3"/>
        <v>81.66</v>
      </c>
      <c r="P30" s="61"/>
    </row>
    <row r="31" spans="1:16">
      <c r="A31" s="15">
        <v>46150</v>
      </c>
      <c r="B31" s="27">
        <v>46150</v>
      </c>
      <c r="C31" s="16" t="s">
        <v>34</v>
      </c>
      <c r="D31" s="28" t="s">
        <v>54</v>
      </c>
      <c r="E31" s="28" t="s">
        <v>369</v>
      </c>
      <c r="F31" s="19" t="s">
        <v>363</v>
      </c>
      <c r="G31" s="20">
        <v>18985</v>
      </c>
      <c r="H31" s="21">
        <v>423</v>
      </c>
      <c r="I31" s="22">
        <v>11.6</v>
      </c>
      <c r="J31" s="23">
        <v>2.5</v>
      </c>
      <c r="K31" s="24">
        <v>0.575</v>
      </c>
      <c r="L31" s="31">
        <f t="shared" si="2"/>
        <v>0.595</v>
      </c>
      <c r="M31" s="32">
        <v>12.39</v>
      </c>
      <c r="N31" s="22">
        <v>3.69</v>
      </c>
      <c r="O31" s="26">
        <f t="shared" si="3"/>
        <v>83.92</v>
      </c>
      <c r="P31" s="61"/>
    </row>
    <row r="32" spans="1:16">
      <c r="A32" s="15"/>
      <c r="B32" s="27"/>
      <c r="C32" s="78" t="s">
        <v>48</v>
      </c>
      <c r="D32" s="91" t="s">
        <v>67</v>
      </c>
      <c r="E32" s="92"/>
      <c r="F32" s="81" t="s">
        <v>50</v>
      </c>
      <c r="G32" s="82">
        <v>18495</v>
      </c>
      <c r="H32" s="83">
        <v>540</v>
      </c>
      <c r="I32" s="84">
        <v>10.74</v>
      </c>
      <c r="J32" s="85">
        <v>2.42</v>
      </c>
      <c r="K32" s="86">
        <v>0.578</v>
      </c>
      <c r="L32" s="87">
        <f t="shared" si="2"/>
        <v>0.598</v>
      </c>
      <c r="M32" s="88">
        <v>13.47</v>
      </c>
      <c r="N32" s="84">
        <v>3.1</v>
      </c>
      <c r="O32" s="89">
        <f t="shared" si="3"/>
        <v>83.43</v>
      </c>
      <c r="P32" s="33" t="s">
        <v>51</v>
      </c>
    </row>
    <row r="33" spans="1:16">
      <c r="A33" s="15">
        <v>46151</v>
      </c>
      <c r="B33" s="27">
        <v>46151</v>
      </c>
      <c r="C33" s="78" t="s">
        <v>48</v>
      </c>
      <c r="D33" s="91" t="s">
        <v>88</v>
      </c>
      <c r="E33" s="92"/>
      <c r="F33" s="81" t="s">
        <v>363</v>
      </c>
      <c r="G33" s="82">
        <v>19250</v>
      </c>
      <c r="H33" s="83">
        <v>421</v>
      </c>
      <c r="I33" s="84">
        <v>11.07</v>
      </c>
      <c r="J33" s="85">
        <v>2.44</v>
      </c>
      <c r="K33" s="86">
        <v>0.581</v>
      </c>
      <c r="L33" s="87">
        <f t="shared" si="2"/>
        <v>0.601</v>
      </c>
      <c r="M33" s="88">
        <v>13.7</v>
      </c>
      <c r="N33" s="84">
        <v>2.57</v>
      </c>
      <c r="O33" s="89">
        <f t="shared" si="3"/>
        <v>83.73</v>
      </c>
      <c r="P33" s="33" t="s">
        <v>51</v>
      </c>
    </row>
    <row r="34" spans="1:16">
      <c r="A34" s="15"/>
      <c r="B34" s="27"/>
      <c r="C34" s="78" t="s">
        <v>48</v>
      </c>
      <c r="D34" s="91" t="s">
        <v>93</v>
      </c>
      <c r="E34" s="92"/>
      <c r="F34" s="81" t="s">
        <v>372</v>
      </c>
      <c r="G34" s="82">
        <v>20930</v>
      </c>
      <c r="H34" s="83">
        <v>552</v>
      </c>
      <c r="I34" s="84">
        <v>11.34</v>
      </c>
      <c r="J34" s="85">
        <v>2.48</v>
      </c>
      <c r="K34" s="86">
        <v>0.575</v>
      </c>
      <c r="L34" s="87">
        <f t="shared" si="2"/>
        <v>0.595</v>
      </c>
      <c r="M34" s="88">
        <v>13.47</v>
      </c>
      <c r="N34" s="84">
        <v>3.84</v>
      </c>
      <c r="O34" s="89">
        <f t="shared" si="3"/>
        <v>82.69</v>
      </c>
      <c r="P34" s="33" t="s">
        <v>51</v>
      </c>
    </row>
    <row r="35" spans="1:16">
      <c r="A35" s="15"/>
      <c r="B35" s="27"/>
      <c r="C35" s="16" t="s">
        <v>34</v>
      </c>
      <c r="D35" s="28" t="s">
        <v>81</v>
      </c>
      <c r="E35" s="28" t="s">
        <v>370</v>
      </c>
      <c r="F35" s="19" t="s">
        <v>50</v>
      </c>
      <c r="G35" s="20">
        <v>17825</v>
      </c>
      <c r="H35" s="21">
        <v>452</v>
      </c>
      <c r="I35" s="22">
        <v>11.4</v>
      </c>
      <c r="J35" s="23">
        <v>2.33</v>
      </c>
      <c r="K35" s="24">
        <v>0.578</v>
      </c>
      <c r="L35" s="31">
        <f t="shared" si="2"/>
        <v>0.598</v>
      </c>
      <c r="M35" s="32">
        <v>13.75</v>
      </c>
      <c r="N35" s="22">
        <v>3.77</v>
      </c>
      <c r="O35" s="26">
        <f t="shared" si="3"/>
        <v>82.48</v>
      </c>
      <c r="P35" s="61"/>
    </row>
    <row r="36" spans="1:16">
      <c r="A36" s="15"/>
      <c r="B36" s="27"/>
      <c r="C36" s="16" t="s">
        <v>34</v>
      </c>
      <c r="D36" s="28" t="s">
        <v>81</v>
      </c>
      <c r="E36" s="28" t="s">
        <v>370</v>
      </c>
      <c r="F36" s="19" t="s">
        <v>37</v>
      </c>
      <c r="G36" s="20">
        <v>20555</v>
      </c>
      <c r="H36" s="21">
        <v>497</v>
      </c>
      <c r="I36" s="22">
        <v>11.54</v>
      </c>
      <c r="J36" s="23">
        <v>2.71</v>
      </c>
      <c r="K36" s="24">
        <v>0.581</v>
      </c>
      <c r="L36" s="31">
        <f t="shared" si="2"/>
        <v>0.601</v>
      </c>
      <c r="M36" s="32">
        <v>12.8</v>
      </c>
      <c r="N36" s="22">
        <v>4.04</v>
      </c>
      <c r="O36" s="26">
        <f t="shared" si="3"/>
        <v>83.16</v>
      </c>
      <c r="P36" s="61"/>
    </row>
    <row r="37" spans="1:16">
      <c r="A37" s="15">
        <v>46153</v>
      </c>
      <c r="B37" s="27">
        <v>46153</v>
      </c>
      <c r="C37" s="62" t="s">
        <v>48</v>
      </c>
      <c r="D37" s="93" t="s">
        <v>105</v>
      </c>
      <c r="E37" s="94"/>
      <c r="F37" s="65" t="s">
        <v>46</v>
      </c>
      <c r="G37" s="66">
        <v>20060</v>
      </c>
      <c r="H37" s="67">
        <v>463</v>
      </c>
      <c r="I37" s="73">
        <v>10.07</v>
      </c>
      <c r="J37" s="69">
        <v>2.43</v>
      </c>
      <c r="K37" s="70">
        <v>0.575</v>
      </c>
      <c r="L37" s="71">
        <f t="shared" si="2"/>
        <v>0.595</v>
      </c>
      <c r="M37" s="72">
        <v>13.41</v>
      </c>
      <c r="N37" s="73">
        <v>3.84</v>
      </c>
      <c r="O37" s="74">
        <f t="shared" si="3"/>
        <v>82.75</v>
      </c>
      <c r="P37" s="33" t="s">
        <v>51</v>
      </c>
    </row>
    <row r="38" spans="1:16">
      <c r="A38" s="15"/>
      <c r="B38" s="27"/>
      <c r="C38" s="16" t="s">
        <v>39</v>
      </c>
      <c r="D38" s="77" t="s">
        <v>84</v>
      </c>
      <c r="E38" s="28" t="s">
        <v>373</v>
      </c>
      <c r="F38" s="19" t="s">
        <v>272</v>
      </c>
      <c r="G38" s="20">
        <v>20240</v>
      </c>
      <c r="H38" s="21">
        <v>520</v>
      </c>
      <c r="I38" s="22">
        <v>9.74</v>
      </c>
      <c r="J38" s="23">
        <v>2.92</v>
      </c>
      <c r="K38" s="24">
        <v>0.559</v>
      </c>
      <c r="L38" s="31">
        <f t="shared" si="2"/>
        <v>0.579</v>
      </c>
      <c r="M38" s="32">
        <v>12.98</v>
      </c>
      <c r="N38" s="22">
        <v>3.67</v>
      </c>
      <c r="O38" s="26">
        <f t="shared" si="3"/>
        <v>83.35</v>
      </c>
      <c r="P38" s="61"/>
    </row>
    <row r="39" spans="1:16">
      <c r="A39" s="15"/>
      <c r="B39" s="27"/>
      <c r="C39" s="16" t="s">
        <v>39</v>
      </c>
      <c r="D39" s="77" t="s">
        <v>84</v>
      </c>
      <c r="E39" s="28" t="s">
        <v>373</v>
      </c>
      <c r="F39" s="19" t="s">
        <v>313</v>
      </c>
      <c r="G39" s="20">
        <v>2440</v>
      </c>
      <c r="H39" s="21">
        <v>120</v>
      </c>
      <c r="I39" s="22">
        <v>8.27</v>
      </c>
      <c r="J39" s="23">
        <v>2.82</v>
      </c>
      <c r="K39" s="24">
        <v>0.562</v>
      </c>
      <c r="L39" s="31">
        <f t="shared" si="2"/>
        <v>0.582</v>
      </c>
      <c r="M39" s="32">
        <v>12.68</v>
      </c>
      <c r="N39" s="22">
        <v>2.85</v>
      </c>
      <c r="O39" s="26">
        <f t="shared" si="3"/>
        <v>84.47</v>
      </c>
      <c r="P39" s="61"/>
    </row>
    <row r="40" spans="1:16">
      <c r="A40" s="15">
        <v>46154</v>
      </c>
      <c r="B40" s="27">
        <v>46154</v>
      </c>
      <c r="C40" s="16" t="s">
        <v>39</v>
      </c>
      <c r="D40" s="77" t="s">
        <v>84</v>
      </c>
      <c r="E40" s="28" t="s">
        <v>373</v>
      </c>
      <c r="F40" s="19" t="s">
        <v>180</v>
      </c>
      <c r="G40" s="20">
        <v>7175</v>
      </c>
      <c r="H40" s="21">
        <v>237</v>
      </c>
      <c r="I40" s="22">
        <v>8.4</v>
      </c>
      <c r="J40" s="23">
        <v>3.18</v>
      </c>
      <c r="K40" s="24">
        <v>0.578</v>
      </c>
      <c r="L40" s="31">
        <f t="shared" si="2"/>
        <v>0.598</v>
      </c>
      <c r="M40" s="32">
        <v>13.34</v>
      </c>
      <c r="N40" s="22">
        <v>2.41</v>
      </c>
      <c r="O40" s="26">
        <f t="shared" si="3"/>
        <v>84.25</v>
      </c>
      <c r="P40" s="61"/>
    </row>
    <row r="41" spans="1:16">
      <c r="C41" s="16" t="s">
        <v>34</v>
      </c>
      <c r="D41" s="77" t="s">
        <v>59</v>
      </c>
      <c r="E41" s="28" t="s">
        <v>45</v>
      </c>
      <c r="F41" s="19" t="s">
        <v>46</v>
      </c>
      <c r="G41" s="20">
        <v>18215</v>
      </c>
      <c r="H41" s="21">
        <v>434</v>
      </c>
      <c r="I41" s="22">
        <v>11.54</v>
      </c>
      <c r="J41" s="23">
        <v>2.35</v>
      </c>
      <c r="K41" s="24">
        <v>0.575</v>
      </c>
      <c r="L41" s="31">
        <f t="shared" si="2"/>
        <v>0.595</v>
      </c>
      <c r="M41" s="32">
        <v>12.34</v>
      </c>
      <c r="N41" s="22">
        <v>3.46</v>
      </c>
      <c r="O41" s="26">
        <f t="shared" si="3"/>
        <v>84.2</v>
      </c>
      <c r="P41" s="61"/>
    </row>
    <row r="42" spans="1:16">
      <c r="A42" s="15"/>
      <c r="B42" s="27"/>
      <c r="C42" s="16" t="s">
        <v>34</v>
      </c>
      <c r="D42" s="95" t="s">
        <v>81</v>
      </c>
      <c r="E42" s="95" t="s">
        <v>370</v>
      </c>
      <c r="F42" s="96" t="s">
        <v>50</v>
      </c>
      <c r="G42" s="97">
        <v>17200</v>
      </c>
      <c r="H42" s="21">
        <v>438</v>
      </c>
      <c r="I42" s="22">
        <v>11.74</v>
      </c>
      <c r="J42" s="23">
        <v>2.47</v>
      </c>
      <c r="K42" s="24">
        <v>0.575</v>
      </c>
      <c r="L42" s="31">
        <f t="shared" si="2"/>
        <v>0.595</v>
      </c>
      <c r="M42" s="32">
        <v>12.81</v>
      </c>
      <c r="N42" s="22">
        <v>3.6</v>
      </c>
      <c r="O42" s="26">
        <f t="shared" si="3"/>
        <v>83.59</v>
      </c>
      <c r="P42" s="61"/>
    </row>
    <row r="43" spans="1:16">
      <c r="A43" s="15"/>
      <c r="B43" s="27"/>
      <c r="C43" s="16" t="s">
        <v>34</v>
      </c>
      <c r="D43" s="77" t="s">
        <v>59</v>
      </c>
      <c r="E43" s="28" t="s">
        <v>45</v>
      </c>
      <c r="F43" s="19" t="s">
        <v>65</v>
      </c>
      <c r="G43" s="20">
        <v>14165</v>
      </c>
      <c r="H43" s="21">
        <v>420</v>
      </c>
      <c r="I43" s="22">
        <v>10.07</v>
      </c>
      <c r="J43" s="23">
        <v>2.48</v>
      </c>
      <c r="K43" s="24">
        <v>0.575</v>
      </c>
      <c r="L43" s="31">
        <f t="shared" si="2"/>
        <v>0.595</v>
      </c>
      <c r="M43" s="32">
        <v>12.55</v>
      </c>
      <c r="N43" s="22">
        <v>2.84</v>
      </c>
      <c r="O43" s="26">
        <f t="shared" si="3"/>
        <v>84.61</v>
      </c>
      <c r="P43" s="61"/>
    </row>
    <row r="44" spans="1:16">
      <c r="A44" s="15">
        <v>46155</v>
      </c>
      <c r="B44" s="27">
        <v>46155</v>
      </c>
      <c r="C44" s="16" t="s">
        <v>34</v>
      </c>
      <c r="D44" s="77" t="s">
        <v>59</v>
      </c>
      <c r="E44" s="28" t="s">
        <v>45</v>
      </c>
      <c r="F44" s="19" t="s">
        <v>46</v>
      </c>
      <c r="G44" s="20">
        <v>18705</v>
      </c>
      <c r="H44" s="21">
        <v>443</v>
      </c>
      <c r="I44" s="22">
        <v>11.54</v>
      </c>
      <c r="J44" s="23">
        <v>2.3</v>
      </c>
      <c r="K44" s="24">
        <v>0.571</v>
      </c>
      <c r="L44" s="31">
        <f t="shared" si="2"/>
        <v>0.591</v>
      </c>
      <c r="M44" s="32">
        <v>13.22</v>
      </c>
      <c r="N44" s="22">
        <v>3.68</v>
      </c>
      <c r="O44" s="26">
        <f t="shared" si="3"/>
        <v>83.1</v>
      </c>
      <c r="P44" s="61"/>
    </row>
    <row r="45" spans="1:16">
      <c r="A45" s="15"/>
      <c r="B45" s="27"/>
      <c r="C45" s="16" t="s">
        <v>48</v>
      </c>
      <c r="D45" s="28" t="s">
        <v>106</v>
      </c>
      <c r="E45" s="28" t="s">
        <v>109</v>
      </c>
      <c r="F45" s="19" t="s">
        <v>50</v>
      </c>
      <c r="G45" s="20">
        <v>19665</v>
      </c>
      <c r="H45" s="21">
        <v>484</v>
      </c>
      <c r="I45" s="22">
        <v>11.07</v>
      </c>
      <c r="J45" s="23">
        <v>2.38</v>
      </c>
      <c r="K45" s="24">
        <v>0.575</v>
      </c>
      <c r="L45" s="31">
        <f t="shared" si="2"/>
        <v>0.595</v>
      </c>
      <c r="M45" s="32">
        <v>14.35</v>
      </c>
      <c r="N45" s="22">
        <v>3.45</v>
      </c>
      <c r="O45" s="26">
        <f t="shared" si="3"/>
        <v>82.2</v>
      </c>
      <c r="P45" s="61"/>
    </row>
    <row r="46" spans="1:16">
      <c r="A46" s="15"/>
      <c r="B46" s="27"/>
      <c r="C46" s="16" t="s">
        <v>39</v>
      </c>
      <c r="D46" s="17" t="s">
        <v>98</v>
      </c>
      <c r="E46" s="18" t="s">
        <v>374</v>
      </c>
      <c r="F46" s="19" t="s">
        <v>272</v>
      </c>
      <c r="G46" s="20">
        <v>17765</v>
      </c>
      <c r="H46" s="21">
        <v>598</v>
      </c>
      <c r="I46" s="22">
        <v>9.8</v>
      </c>
      <c r="J46" s="23">
        <v>2.73</v>
      </c>
      <c r="K46" s="24">
        <v>0.571</v>
      </c>
      <c r="L46" s="31">
        <f t="shared" si="2"/>
        <v>0.591</v>
      </c>
      <c r="M46" s="32">
        <v>13.78</v>
      </c>
      <c r="N46" s="22">
        <v>4.15</v>
      </c>
      <c r="O46" s="26">
        <f t="shared" si="3"/>
        <v>82.07</v>
      </c>
      <c r="P46" s="61"/>
    </row>
    <row r="47" spans="1:16">
      <c r="A47" s="15">
        <v>46156</v>
      </c>
      <c r="B47" s="27">
        <v>46156</v>
      </c>
      <c r="C47" s="16" t="s">
        <v>34</v>
      </c>
      <c r="D47" s="77" t="s">
        <v>59</v>
      </c>
      <c r="E47" s="28" t="s">
        <v>45</v>
      </c>
      <c r="F47" s="19" t="s">
        <v>50</v>
      </c>
      <c r="G47" s="20">
        <v>15255</v>
      </c>
      <c r="H47" s="21">
        <v>432</v>
      </c>
      <c r="I47" s="22">
        <v>11.27</v>
      </c>
      <c r="J47" s="23">
        <v>2.32</v>
      </c>
      <c r="K47" s="24">
        <v>0.578</v>
      </c>
      <c r="L47" s="31">
        <f t="shared" si="2"/>
        <v>0.598</v>
      </c>
      <c r="M47" s="32">
        <v>12.24</v>
      </c>
      <c r="N47" s="22">
        <v>3.02</v>
      </c>
      <c r="O47" s="26">
        <f t="shared" si="3"/>
        <v>84.74</v>
      </c>
    </row>
    <row r="48" spans="1:16">
      <c r="A48" s="15"/>
      <c r="B48" s="27"/>
      <c r="C48" s="16" t="s">
        <v>53</v>
      </c>
      <c r="D48" s="17" t="s">
        <v>108</v>
      </c>
      <c r="E48" s="18" t="s">
        <v>375</v>
      </c>
      <c r="F48" s="19" t="s">
        <v>56</v>
      </c>
      <c r="G48" s="20">
        <v>24435</v>
      </c>
      <c r="H48" s="21">
        <v>553</v>
      </c>
      <c r="I48" s="22">
        <v>11.8</v>
      </c>
      <c r="J48" s="23">
        <v>2.72</v>
      </c>
      <c r="K48" s="24">
        <v>0.571</v>
      </c>
      <c r="L48" s="31">
        <f t="shared" si="2"/>
        <v>0.591</v>
      </c>
      <c r="M48" s="32">
        <v>12.79</v>
      </c>
      <c r="N48" s="22">
        <v>2.93</v>
      </c>
      <c r="O48" s="26">
        <f t="shared" si="3"/>
        <v>84.28</v>
      </c>
      <c r="P48" s="61"/>
    </row>
    <row r="49" spans="1:16">
      <c r="A49" s="15"/>
      <c r="B49" s="27"/>
      <c r="C49" s="16" t="s">
        <v>48</v>
      </c>
      <c r="D49" s="28" t="s">
        <v>106</v>
      </c>
      <c r="E49" s="28" t="s">
        <v>109</v>
      </c>
      <c r="F49" s="19" t="s">
        <v>46</v>
      </c>
      <c r="G49" s="20">
        <v>20175</v>
      </c>
      <c r="H49" s="21">
        <v>470</v>
      </c>
      <c r="I49" s="22">
        <v>11.34</v>
      </c>
      <c r="J49" s="23">
        <v>2.63</v>
      </c>
      <c r="K49" s="24">
        <v>0.571</v>
      </c>
      <c r="L49" s="31">
        <f t="shared" si="2"/>
        <v>0.591</v>
      </c>
      <c r="M49" s="32">
        <v>13.98</v>
      </c>
      <c r="N49" s="22">
        <v>2.66</v>
      </c>
      <c r="O49" s="26">
        <f t="shared" si="3"/>
        <v>83.36</v>
      </c>
      <c r="P49" s="61"/>
    </row>
    <row r="50" spans="1:16">
      <c r="A50" s="15">
        <v>46157</v>
      </c>
      <c r="B50" s="27">
        <v>46157</v>
      </c>
      <c r="C50" s="16" t="s">
        <v>48</v>
      </c>
      <c r="D50" s="28" t="s">
        <v>106</v>
      </c>
      <c r="E50" s="28" t="s">
        <v>109</v>
      </c>
      <c r="F50" s="19" t="s">
        <v>50</v>
      </c>
      <c r="G50" s="20">
        <v>19260</v>
      </c>
      <c r="H50" s="21">
        <v>500</v>
      </c>
      <c r="I50" s="22">
        <v>11.87</v>
      </c>
      <c r="J50" s="23">
        <v>2.21</v>
      </c>
      <c r="K50" s="24">
        <v>0.578</v>
      </c>
      <c r="L50" s="31">
        <f t="shared" si="2"/>
        <v>0.598</v>
      </c>
      <c r="M50" s="32">
        <v>12.35</v>
      </c>
      <c r="N50" s="22">
        <v>3.75</v>
      </c>
      <c r="O50" s="26">
        <f t="shared" si="3"/>
        <v>83.9</v>
      </c>
      <c r="P50" s="61"/>
    </row>
    <row r="51" spans="1:16">
      <c r="A51" s="15"/>
      <c r="B51" s="27"/>
      <c r="C51" s="16" t="s">
        <v>39</v>
      </c>
      <c r="D51" s="17" t="s">
        <v>68</v>
      </c>
      <c r="E51" s="18" t="s">
        <v>89</v>
      </c>
      <c r="F51" s="19" t="s">
        <v>376</v>
      </c>
      <c r="G51" s="20">
        <v>28905</v>
      </c>
      <c r="H51" s="21">
        <v>775</v>
      </c>
      <c r="I51" s="22">
        <v>9.6</v>
      </c>
      <c r="J51" s="23">
        <v>2.6</v>
      </c>
      <c r="K51" s="24">
        <v>0.562</v>
      </c>
      <c r="L51" s="31">
        <f t="shared" si="2"/>
        <v>0.582</v>
      </c>
      <c r="M51" s="32">
        <v>11.35</v>
      </c>
      <c r="N51" s="22">
        <v>9.7</v>
      </c>
      <c r="O51" s="26">
        <f t="shared" si="3"/>
        <v>78.95</v>
      </c>
      <c r="P51" t="s">
        <v>377</v>
      </c>
    </row>
    <row r="52" spans="1:16">
      <c r="A52" s="15">
        <v>46160</v>
      </c>
      <c r="B52" s="27">
        <v>46160</v>
      </c>
      <c r="C52" s="16" t="s">
        <v>34</v>
      </c>
      <c r="D52" s="17" t="s">
        <v>111</v>
      </c>
      <c r="E52" s="18" t="s">
        <v>36</v>
      </c>
      <c r="F52" s="19" t="s">
        <v>50</v>
      </c>
      <c r="G52" s="20">
        <v>16475</v>
      </c>
      <c r="H52" s="21">
        <v>436</v>
      </c>
      <c r="I52" s="22">
        <v>11.6</v>
      </c>
      <c r="J52" s="23">
        <v>2.61</v>
      </c>
      <c r="K52" s="24">
        <v>0.578</v>
      </c>
      <c r="L52" s="31">
        <f t="shared" si="2"/>
        <v>0.598</v>
      </c>
      <c r="M52" s="32">
        <v>12.37</v>
      </c>
      <c r="N52" s="22">
        <v>2.63</v>
      </c>
      <c r="O52" s="26">
        <f t="shared" si="3"/>
        <v>85</v>
      </c>
      <c r="P52" s="61"/>
    </row>
    <row r="53" spans="1:16">
      <c r="A53" s="15"/>
      <c r="B53" s="27"/>
      <c r="C53" s="16" t="s">
        <v>34</v>
      </c>
      <c r="D53" s="17" t="s">
        <v>111</v>
      </c>
      <c r="E53" s="18" t="s">
        <v>36</v>
      </c>
      <c r="F53" s="19" t="s">
        <v>37</v>
      </c>
      <c r="G53" s="20">
        <v>22275</v>
      </c>
      <c r="H53" s="21">
        <v>516</v>
      </c>
      <c r="I53" s="22">
        <v>11.47</v>
      </c>
      <c r="J53" s="23">
        <v>2.51</v>
      </c>
      <c r="K53" s="24">
        <v>0.578</v>
      </c>
      <c r="L53" s="31">
        <f t="shared" si="2"/>
        <v>0.598</v>
      </c>
      <c r="M53" s="32">
        <v>12.4</v>
      </c>
      <c r="N53" s="22">
        <v>2.71</v>
      </c>
      <c r="O53" s="26">
        <f t="shared" si="3"/>
        <v>84.89</v>
      </c>
      <c r="P53" s="61"/>
    </row>
    <row r="54" spans="1:16">
      <c r="A54" s="15"/>
      <c r="B54" s="27"/>
      <c r="C54" s="16" t="s">
        <v>53</v>
      </c>
      <c r="D54" s="17" t="s">
        <v>108</v>
      </c>
      <c r="E54" s="18" t="s">
        <v>375</v>
      </c>
      <c r="F54" s="19" t="s">
        <v>56</v>
      </c>
      <c r="G54" s="20">
        <v>25435</v>
      </c>
      <c r="H54" s="21">
        <v>561</v>
      </c>
      <c r="I54" s="22">
        <v>11.94</v>
      </c>
      <c r="J54" s="23">
        <v>2.31</v>
      </c>
      <c r="K54" s="24">
        <v>0.581</v>
      </c>
      <c r="L54" s="31">
        <f t="shared" si="2"/>
        <v>0.601</v>
      </c>
      <c r="M54" s="32">
        <v>11.99</v>
      </c>
      <c r="N54" s="22">
        <v>2.54</v>
      </c>
      <c r="O54" s="26">
        <f t="shared" si="3"/>
        <v>85.47</v>
      </c>
      <c r="P54" s="61"/>
    </row>
    <row r="55" spans="1:16">
      <c r="A55" s="15"/>
      <c r="B55" s="27"/>
      <c r="C55" s="16" t="s">
        <v>39</v>
      </c>
      <c r="D55" s="17" t="s">
        <v>98</v>
      </c>
      <c r="E55" s="18" t="s">
        <v>374</v>
      </c>
      <c r="F55" s="19" t="s">
        <v>272</v>
      </c>
      <c r="G55" s="20">
        <v>18915</v>
      </c>
      <c r="H55" s="21">
        <v>596</v>
      </c>
      <c r="I55" s="22">
        <v>10.87</v>
      </c>
      <c r="J55" s="23">
        <v>3.11</v>
      </c>
      <c r="K55" s="24">
        <v>0.565</v>
      </c>
      <c r="L55" s="31">
        <f t="shared" si="2"/>
        <v>0.585</v>
      </c>
      <c r="M55" s="32">
        <v>13.41</v>
      </c>
      <c r="N55" s="22">
        <v>3.49</v>
      </c>
      <c r="O55" s="26">
        <f t="shared" si="3"/>
        <v>83.1</v>
      </c>
    </row>
    <row r="56" spans="1:16">
      <c r="A56" s="15">
        <v>46161</v>
      </c>
      <c r="B56" s="27">
        <v>46161</v>
      </c>
      <c r="C56" s="16" t="s">
        <v>34</v>
      </c>
      <c r="D56" s="17" t="s">
        <v>111</v>
      </c>
      <c r="E56" s="18" t="s">
        <v>36</v>
      </c>
      <c r="F56" s="19" t="s">
        <v>50</v>
      </c>
      <c r="G56" s="20">
        <v>16895</v>
      </c>
      <c r="H56" s="21">
        <v>449</v>
      </c>
      <c r="I56" s="22">
        <v>11.6</v>
      </c>
      <c r="J56" s="23">
        <v>2.31</v>
      </c>
      <c r="K56" s="24">
        <v>0.578</v>
      </c>
      <c r="L56" s="31">
        <f t="shared" si="2"/>
        <v>0.598</v>
      </c>
      <c r="M56" s="32">
        <v>13.68</v>
      </c>
      <c r="N56" s="22">
        <v>2.99</v>
      </c>
      <c r="O56" s="26">
        <f t="shared" si="3"/>
        <v>83.33</v>
      </c>
      <c r="P56" s="61"/>
    </row>
    <row r="57" spans="1:16">
      <c r="A57" s="15"/>
      <c r="B57" s="27"/>
      <c r="C57" s="16" t="s">
        <v>34</v>
      </c>
      <c r="D57" s="17" t="s">
        <v>111</v>
      </c>
      <c r="E57" s="18" t="s">
        <v>36</v>
      </c>
      <c r="F57" s="19" t="s">
        <v>363</v>
      </c>
      <c r="G57" s="20">
        <v>18700</v>
      </c>
      <c r="H57" s="21">
        <v>442</v>
      </c>
      <c r="I57" s="22">
        <v>11.74</v>
      </c>
      <c r="J57" s="23">
        <v>2.48</v>
      </c>
      <c r="K57" s="24">
        <v>0.575</v>
      </c>
      <c r="L57" s="31">
        <f t="shared" si="2"/>
        <v>0.595</v>
      </c>
      <c r="M57" s="32">
        <v>12.41</v>
      </c>
      <c r="N57" s="22">
        <v>3.84</v>
      </c>
      <c r="O57" s="26">
        <f t="shared" si="3"/>
        <v>83.75</v>
      </c>
      <c r="P57" s="61"/>
    </row>
    <row r="58" spans="1:16">
      <c r="A58" s="15">
        <v>46162</v>
      </c>
      <c r="B58" s="27">
        <v>46162</v>
      </c>
      <c r="C58" s="16" t="s">
        <v>48</v>
      </c>
      <c r="D58" s="28" t="s">
        <v>106</v>
      </c>
      <c r="E58" s="28" t="s">
        <v>109</v>
      </c>
      <c r="F58" s="19" t="s">
        <v>46</v>
      </c>
      <c r="G58" s="20">
        <v>20110</v>
      </c>
      <c r="H58" s="21">
        <v>486</v>
      </c>
      <c r="I58" s="22">
        <v>11.8</v>
      </c>
      <c r="J58" s="23">
        <v>2.38</v>
      </c>
      <c r="K58" s="24">
        <v>0.571</v>
      </c>
      <c r="L58" s="31">
        <f t="shared" si="2"/>
        <v>0.591</v>
      </c>
      <c r="M58" s="32">
        <v>12.34</v>
      </c>
      <c r="N58" s="22">
        <v>3.99</v>
      </c>
      <c r="O58" s="26">
        <f t="shared" si="3"/>
        <v>83.67</v>
      </c>
      <c r="P58" s="61"/>
    </row>
    <row r="59" spans="1:16">
      <c r="A59" s="15">
        <v>46163</v>
      </c>
      <c r="B59" s="27">
        <v>46163</v>
      </c>
      <c r="C59" s="16" t="s">
        <v>39</v>
      </c>
      <c r="D59" s="77" t="s">
        <v>84</v>
      </c>
      <c r="E59" s="28" t="s">
        <v>373</v>
      </c>
      <c r="F59" s="19" t="s">
        <v>50</v>
      </c>
      <c r="G59" s="20">
        <v>16135</v>
      </c>
      <c r="H59" s="21">
        <v>504</v>
      </c>
      <c r="I59" s="22">
        <v>8.27</v>
      </c>
      <c r="J59" s="23">
        <v>2.83</v>
      </c>
      <c r="K59" s="24">
        <v>0.581</v>
      </c>
      <c r="L59" s="31">
        <f t="shared" si="2"/>
        <v>0.601</v>
      </c>
      <c r="M59" s="32">
        <v>13.52</v>
      </c>
      <c r="N59" s="22">
        <v>3.22</v>
      </c>
      <c r="O59" s="26">
        <f t="shared" si="3"/>
        <v>83.26</v>
      </c>
    </row>
    <row r="60" spans="1:16">
      <c r="A60" s="15">
        <v>46165</v>
      </c>
      <c r="B60" s="15">
        <v>46165</v>
      </c>
      <c r="C60" s="16" t="s">
        <v>39</v>
      </c>
      <c r="D60" s="17" t="s">
        <v>98</v>
      </c>
      <c r="E60" s="18" t="s">
        <v>374</v>
      </c>
      <c r="F60" s="19" t="s">
        <v>46</v>
      </c>
      <c r="G60" s="20">
        <v>18725</v>
      </c>
      <c r="H60" s="21">
        <v>473</v>
      </c>
      <c r="I60" s="22">
        <v>10.94</v>
      </c>
      <c r="J60" s="23">
        <v>2.73</v>
      </c>
      <c r="K60" s="24">
        <v>0.571</v>
      </c>
      <c r="L60" s="31">
        <v>0.591</v>
      </c>
      <c r="M60" s="32">
        <v>13.39</v>
      </c>
      <c r="N60" s="22">
        <v>3.53</v>
      </c>
      <c r="O60" s="26">
        <f t="shared" si="3"/>
        <v>83.08</v>
      </c>
      <c r="P60" s="61"/>
    </row>
    <row r="61" spans="1:16">
      <c r="A61" s="15">
        <v>46168</v>
      </c>
      <c r="B61" s="15">
        <v>46168</v>
      </c>
      <c r="C61" s="98" t="s">
        <v>48</v>
      </c>
      <c r="D61" s="99" t="s">
        <v>127</v>
      </c>
      <c r="E61" s="100"/>
      <c r="F61" s="101" t="s">
        <v>50</v>
      </c>
      <c r="G61" s="102">
        <v>19330</v>
      </c>
      <c r="H61" s="103">
        <v>463</v>
      </c>
      <c r="I61" s="104">
        <v>11.67</v>
      </c>
      <c r="J61" s="105">
        <v>2.48</v>
      </c>
      <c r="K61" s="106">
        <v>0.581</v>
      </c>
      <c r="L61" s="107">
        <v>0.601</v>
      </c>
      <c r="M61" s="108">
        <v>12.61</v>
      </c>
      <c r="N61" s="104">
        <v>3.26</v>
      </c>
      <c r="O61" s="109">
        <f t="shared" si="3"/>
        <v>84.13</v>
      </c>
      <c r="P61" s="33" t="s">
        <v>51</v>
      </c>
    </row>
    <row r="62" spans="1:16">
      <c r="A62" s="15">
        <v>46169</v>
      </c>
      <c r="B62" s="15">
        <v>46169</v>
      </c>
      <c r="C62" s="16" t="s">
        <v>39</v>
      </c>
      <c r="D62" s="17" t="s">
        <v>113</v>
      </c>
      <c r="E62" s="18" t="s">
        <v>60</v>
      </c>
      <c r="F62" s="19" t="s">
        <v>272</v>
      </c>
      <c r="G62" s="20">
        <v>20250</v>
      </c>
      <c r="H62" s="21">
        <v>671</v>
      </c>
      <c r="I62" s="22">
        <v>11.34</v>
      </c>
      <c r="J62" s="23">
        <v>2.83</v>
      </c>
      <c r="K62" s="24">
        <v>0.568</v>
      </c>
      <c r="L62" s="43">
        <v>0.588</v>
      </c>
      <c r="M62" s="32">
        <v>12.93</v>
      </c>
      <c r="N62" s="22">
        <v>3.4</v>
      </c>
      <c r="O62" s="26">
        <f t="shared" si="3"/>
        <v>83.67</v>
      </c>
      <c r="P62" s="61"/>
    </row>
    <row r="63" spans="1:16">
      <c r="A63" s="15"/>
      <c r="B63" s="27"/>
      <c r="C63" s="16"/>
      <c r="D63" s="28"/>
      <c r="E63" s="28"/>
      <c r="F63" s="19"/>
      <c r="G63" s="20"/>
      <c r="H63" s="21"/>
      <c r="I63" s="22"/>
      <c r="J63" s="23"/>
      <c r="K63" s="24"/>
      <c r="L63" s="31"/>
      <c r="M63" s="32"/>
      <c r="N63" s="22"/>
      <c r="O63" s="26">
        <f t="shared" si="3"/>
        <v>100</v>
      </c>
    </row>
    <row r="64" spans="1:16">
      <c r="A64" s="15"/>
      <c r="B64" s="27"/>
      <c r="C64" s="16"/>
      <c r="D64" s="17"/>
      <c r="E64" s="18"/>
      <c r="F64" s="19"/>
      <c r="G64" s="20"/>
      <c r="H64" s="21"/>
      <c r="I64" s="22"/>
      <c r="J64" s="23"/>
      <c r="K64" s="24"/>
      <c r="L64" s="31"/>
      <c r="M64" s="32"/>
      <c r="N64" s="22"/>
      <c r="O64" s="26">
        <f t="shared" si="3"/>
        <v>100</v>
      </c>
      <c r="P64" s="61"/>
    </row>
    <row r="65" spans="1:16">
      <c r="A65" s="15"/>
      <c r="B65" s="27"/>
      <c r="C65" s="16"/>
      <c r="D65" s="28"/>
      <c r="E65" s="28"/>
      <c r="F65" s="19"/>
      <c r="G65" s="20"/>
      <c r="H65" s="21"/>
      <c r="I65" s="22"/>
      <c r="J65" s="23"/>
      <c r="K65" s="24"/>
      <c r="L65" s="31"/>
      <c r="M65" s="32"/>
      <c r="N65" s="22"/>
      <c r="O65" s="26">
        <f t="shared" si="3"/>
        <v>100</v>
      </c>
      <c r="P65" s="61"/>
    </row>
    <row r="66" spans="1:16">
      <c r="A66" s="15"/>
      <c r="B66" s="27"/>
      <c r="C66" s="16"/>
      <c r="D66" s="110"/>
      <c r="E66" s="111"/>
      <c r="F66" s="19"/>
      <c r="G66" s="20"/>
      <c r="H66" s="21"/>
      <c r="I66" s="22"/>
      <c r="J66" s="23"/>
      <c r="K66" s="24"/>
      <c r="L66" s="43"/>
      <c r="M66" s="32"/>
      <c r="N66" s="22"/>
      <c r="O66" s="26">
        <f t="shared" si="3"/>
        <v>100</v>
      </c>
      <c r="P66" s="61"/>
    </row>
    <row r="67" spans="1:16">
      <c r="A67" s="15"/>
      <c r="B67" s="27"/>
      <c r="C67" s="16"/>
      <c r="D67" s="28"/>
      <c r="E67" s="28"/>
      <c r="F67" s="19"/>
      <c r="G67" s="20"/>
      <c r="H67" s="21"/>
      <c r="I67" s="22"/>
      <c r="J67" s="23"/>
      <c r="K67" s="24"/>
      <c r="L67" s="31"/>
      <c r="M67" s="32"/>
      <c r="N67" s="22"/>
      <c r="O67" s="26">
        <f t="shared" si="3"/>
        <v>100</v>
      </c>
    </row>
    <row r="68" spans="1:16">
      <c r="A68" s="44"/>
      <c r="B68" s="45"/>
      <c r="C68" s="46"/>
      <c r="D68" s="46"/>
      <c r="E68" s="46"/>
      <c r="F68" s="47"/>
      <c r="G68" s="48"/>
      <c r="H68" s="49"/>
      <c r="I68" s="50"/>
      <c r="J68" s="51"/>
      <c r="K68" s="52"/>
      <c r="L68" s="52"/>
      <c r="M68" s="50"/>
      <c r="N68" s="50"/>
      <c r="O68" s="53"/>
    </row>
    <row r="69" ht="15.75" spans="1:16">
      <c r="A69" s="54" t="s">
        <v>172</v>
      </c>
      <c r="B69" s="55"/>
      <c r="C69" s="55"/>
      <c r="D69" s="55"/>
      <c r="E69" s="55"/>
      <c r="F69" s="55"/>
      <c r="G69" s="56">
        <f>SUM(G5:G68)</f>
        <v>1034120</v>
      </c>
      <c r="H69" s="57">
        <f>SUM(H5:H68)</f>
        <v>26516</v>
      </c>
      <c r="I69" s="58">
        <f t="shared" ref="I69:O69" si="4">AVERAGE(I5:I68)</f>
        <v>10.6956315789474</v>
      </c>
      <c r="J69" s="58">
        <f t="shared" si="4"/>
        <v>2.67736842105263</v>
      </c>
      <c r="K69" s="59">
        <f t="shared" si="4"/>
        <v>0.572561403508772</v>
      </c>
      <c r="L69" s="59">
        <f t="shared" si="4"/>
        <v>0.592561403508772</v>
      </c>
      <c r="M69" s="58">
        <f t="shared" si="4"/>
        <v>12.929649122807</v>
      </c>
      <c r="N69" s="58">
        <f t="shared" si="4"/>
        <v>3.56070175438596</v>
      </c>
      <c r="O69" s="60">
        <f t="shared" si="4"/>
        <v>85.0801587301587</v>
      </c>
    </row>
  </sheetData>
  <mergeCells count="7">
    <mergeCell ref="K4:L4"/>
    <mergeCell ref="D15:E15"/>
    <mergeCell ref="D32:E32"/>
    <mergeCell ref="D33:E33"/>
    <mergeCell ref="D34:E34"/>
    <mergeCell ref="D37:E37"/>
    <mergeCell ref="D61:E6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A25" workbookViewId="0">
      <selection activeCell="D42" sqref="D42:E42"/>
    </sheetView>
  </sheetViews>
  <sheetFormatPr defaultColWidth="9.14285714285714" defaultRowHeight="15"/>
  <cols>
    <col min="1" max="2" width="10"/>
    <col min="3" max="3" width="11.7142857142857" customWidth="1"/>
  </cols>
  <sheetData>
    <row r="1" ht="16.5" spans="1:20">
      <c r="A1" s="206" t="s">
        <v>378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0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20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20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20">
      <c r="A5" s="15">
        <v>46174</v>
      </c>
      <c r="B5" s="15">
        <v>46174</v>
      </c>
      <c r="C5" s="16" t="s">
        <v>379</v>
      </c>
      <c r="D5" s="17" t="s">
        <v>113</v>
      </c>
      <c r="E5" s="18" t="s">
        <v>60</v>
      </c>
      <c r="F5" s="19" t="s">
        <v>272</v>
      </c>
      <c r="G5" s="29">
        <v>20450</v>
      </c>
      <c r="H5" s="21">
        <v>648</v>
      </c>
      <c r="I5" s="22">
        <v>10.07</v>
      </c>
      <c r="J5" s="23">
        <v>2.78</v>
      </c>
      <c r="K5" s="24">
        <v>0.568</v>
      </c>
      <c r="L5" s="25">
        <v>0.588</v>
      </c>
      <c r="M5" s="22">
        <v>12.87</v>
      </c>
      <c r="N5" s="22">
        <v>3.04</v>
      </c>
      <c r="O5" s="26">
        <f>100-M5-N5</f>
        <v>84.09</v>
      </c>
      <c r="P5" s="33" t="s">
        <v>380</v>
      </c>
      <c r="Q5" s="61"/>
      <c r="R5" s="61"/>
      <c r="S5" s="61"/>
      <c r="T5" s="61"/>
    </row>
    <row r="6" spans="1:20">
      <c r="A6" s="15">
        <v>46175</v>
      </c>
      <c r="B6" s="27">
        <v>46175</v>
      </c>
      <c r="C6" s="16" t="s">
        <v>379</v>
      </c>
      <c r="D6" s="17" t="s">
        <v>98</v>
      </c>
      <c r="E6" s="18" t="s">
        <v>354</v>
      </c>
      <c r="F6" s="19" t="s">
        <v>178</v>
      </c>
      <c r="G6" s="29">
        <v>10865</v>
      </c>
      <c r="H6" s="21">
        <v>255</v>
      </c>
      <c r="I6" s="30">
        <v>9.07</v>
      </c>
      <c r="J6" s="23">
        <v>2.56</v>
      </c>
      <c r="K6" s="24">
        <v>0.578</v>
      </c>
      <c r="L6" s="31">
        <f>K6+0.02</f>
        <v>0.598</v>
      </c>
      <c r="M6" s="32">
        <v>13.59</v>
      </c>
      <c r="N6" s="22">
        <v>3.78</v>
      </c>
      <c r="O6" s="26">
        <f>100-M6-N6</f>
        <v>82.63</v>
      </c>
      <c r="P6" s="33" t="s">
        <v>356</v>
      </c>
      <c r="Q6" s="61"/>
      <c r="R6" s="61"/>
      <c r="S6" s="61"/>
      <c r="T6" s="61"/>
    </row>
    <row r="7" spans="1:20">
      <c r="A7" s="15">
        <v>46176</v>
      </c>
      <c r="B7" s="27">
        <v>46176</v>
      </c>
      <c r="C7" s="16" t="s">
        <v>379</v>
      </c>
      <c r="D7" s="17" t="s">
        <v>68</v>
      </c>
      <c r="E7" s="18" t="s">
        <v>64</v>
      </c>
      <c r="F7" s="19" t="s">
        <v>272</v>
      </c>
      <c r="G7" s="20">
        <v>21200</v>
      </c>
      <c r="H7" s="21">
        <v>676</v>
      </c>
      <c r="I7" s="30">
        <v>9.2</v>
      </c>
      <c r="J7" s="23">
        <v>2.71</v>
      </c>
      <c r="K7" s="24">
        <v>0.578</v>
      </c>
      <c r="L7" s="31">
        <f t="shared" ref="L7:L30" si="0">K7+0.02</f>
        <v>0.598</v>
      </c>
      <c r="M7" s="32">
        <v>13.5</v>
      </c>
      <c r="N7" s="22">
        <v>3.89</v>
      </c>
      <c r="O7" s="26">
        <f t="shared" ref="O7:O37" si="1">100-M7-N7</f>
        <v>82.61</v>
      </c>
      <c r="P7" s="33"/>
      <c r="Q7" s="61"/>
      <c r="R7" s="61"/>
      <c r="S7" s="61"/>
      <c r="T7" s="61"/>
    </row>
    <row r="8" spans="1:20">
      <c r="A8" s="15"/>
      <c r="B8" s="27"/>
      <c r="C8" s="16" t="s">
        <v>379</v>
      </c>
      <c r="D8" s="17" t="s">
        <v>40</v>
      </c>
      <c r="E8" s="18" t="s">
        <v>357</v>
      </c>
      <c r="F8" s="19" t="s">
        <v>180</v>
      </c>
      <c r="G8" s="29">
        <v>4095</v>
      </c>
      <c r="H8" s="21">
        <v>104</v>
      </c>
      <c r="I8" s="22">
        <v>9.4</v>
      </c>
      <c r="J8" s="23">
        <v>2.91</v>
      </c>
      <c r="K8" s="24">
        <v>0.556</v>
      </c>
      <c r="L8" s="31">
        <f t="shared" si="0"/>
        <v>0.576</v>
      </c>
      <c r="M8" s="32">
        <v>14.14</v>
      </c>
      <c r="N8" s="22">
        <v>4.24</v>
      </c>
      <c r="O8" s="26">
        <f t="shared" si="1"/>
        <v>81.62</v>
      </c>
      <c r="P8" s="33" t="s">
        <v>381</v>
      </c>
      <c r="Q8" s="61"/>
      <c r="R8" s="61"/>
      <c r="S8" s="61"/>
      <c r="T8" s="61"/>
    </row>
    <row r="9" spans="1:20">
      <c r="A9" s="15"/>
      <c r="B9" s="27"/>
      <c r="C9" s="16" t="s">
        <v>382</v>
      </c>
      <c r="D9" s="17" t="s">
        <v>40</v>
      </c>
      <c r="E9" s="18" t="s">
        <v>82</v>
      </c>
      <c r="F9" s="19" t="s">
        <v>50</v>
      </c>
      <c r="G9" s="20">
        <v>16250</v>
      </c>
      <c r="H9" s="21">
        <v>433</v>
      </c>
      <c r="I9" s="30">
        <v>11.2</v>
      </c>
      <c r="J9" s="23">
        <v>2.33</v>
      </c>
      <c r="K9" s="24">
        <v>0.575</v>
      </c>
      <c r="L9" s="31">
        <f t="shared" si="0"/>
        <v>0.595</v>
      </c>
      <c r="M9" s="32">
        <v>11.79</v>
      </c>
      <c r="N9" s="22">
        <v>4.05</v>
      </c>
      <c r="O9" s="26">
        <f t="shared" si="1"/>
        <v>84.16</v>
      </c>
      <c r="P9" s="33"/>
      <c r="Q9" s="61"/>
      <c r="R9" s="61"/>
      <c r="S9" s="61"/>
      <c r="T9" s="61"/>
    </row>
    <row r="10" spans="1:20">
      <c r="A10" s="15"/>
      <c r="B10" s="27"/>
      <c r="C10" s="16" t="s">
        <v>382</v>
      </c>
      <c r="D10" s="17" t="s">
        <v>40</v>
      </c>
      <c r="E10" s="18" t="s">
        <v>82</v>
      </c>
      <c r="F10" s="19" t="s">
        <v>46</v>
      </c>
      <c r="G10" s="20">
        <v>20130</v>
      </c>
      <c r="H10" s="21">
        <v>451</v>
      </c>
      <c r="I10" s="30">
        <v>11.74</v>
      </c>
      <c r="J10" s="23">
        <v>2.6</v>
      </c>
      <c r="K10" s="24">
        <v>0.578</v>
      </c>
      <c r="L10" s="31">
        <f t="shared" si="0"/>
        <v>0.598</v>
      </c>
      <c r="M10" s="32">
        <v>12.41</v>
      </c>
      <c r="N10" s="22">
        <v>3.77</v>
      </c>
      <c r="O10" s="26">
        <f t="shared" si="1"/>
        <v>83.82</v>
      </c>
      <c r="P10" s="33"/>
      <c r="Q10" s="61"/>
      <c r="R10" s="61"/>
      <c r="S10" s="61"/>
      <c r="T10" s="61"/>
    </row>
    <row r="11" spans="1:20">
      <c r="A11" s="15"/>
      <c r="B11" s="27"/>
      <c r="C11" s="16" t="s">
        <v>382</v>
      </c>
      <c r="D11" s="17" t="s">
        <v>44</v>
      </c>
      <c r="E11" s="28" t="s">
        <v>77</v>
      </c>
      <c r="F11" s="19" t="s">
        <v>37</v>
      </c>
      <c r="G11" s="20">
        <v>20720</v>
      </c>
      <c r="H11" s="21">
        <v>544</v>
      </c>
      <c r="I11" s="22">
        <v>10.87</v>
      </c>
      <c r="J11" s="23">
        <v>2.47</v>
      </c>
      <c r="K11" s="24">
        <v>0.578</v>
      </c>
      <c r="L11" s="31">
        <f t="shared" si="0"/>
        <v>0.598</v>
      </c>
      <c r="M11" s="32">
        <v>12.55</v>
      </c>
      <c r="N11" s="22">
        <v>3.54</v>
      </c>
      <c r="O11" s="26">
        <f t="shared" si="1"/>
        <v>83.91</v>
      </c>
      <c r="P11" s="61"/>
      <c r="Q11" s="61"/>
      <c r="R11" s="61"/>
      <c r="S11" s="61"/>
      <c r="T11" s="61"/>
    </row>
    <row r="12" spans="1:20">
      <c r="A12" s="15"/>
      <c r="B12" s="27"/>
      <c r="C12" s="62" t="s">
        <v>383</v>
      </c>
      <c r="D12" s="63" t="s">
        <v>176</v>
      </c>
      <c r="E12" s="64"/>
      <c r="F12" s="65" t="s">
        <v>56</v>
      </c>
      <c r="G12" s="66">
        <v>25640</v>
      </c>
      <c r="H12" s="67">
        <v>630</v>
      </c>
      <c r="I12" s="68">
        <v>11.67</v>
      </c>
      <c r="J12" s="69">
        <v>2.8</v>
      </c>
      <c r="K12" s="70">
        <v>0.581</v>
      </c>
      <c r="L12" s="71">
        <f t="shared" si="0"/>
        <v>0.601</v>
      </c>
      <c r="M12" s="72">
        <v>13.24</v>
      </c>
      <c r="N12" s="73">
        <v>2.68</v>
      </c>
      <c r="O12" s="74">
        <f t="shared" si="1"/>
        <v>84.08</v>
      </c>
      <c r="P12" s="33" t="s">
        <v>51</v>
      </c>
      <c r="Q12" s="61"/>
      <c r="R12" s="61"/>
      <c r="S12" s="61"/>
      <c r="T12" s="61"/>
    </row>
    <row r="13" spans="1:20">
      <c r="A13" s="15">
        <v>46177</v>
      </c>
      <c r="B13" s="27">
        <v>46177</v>
      </c>
      <c r="C13" s="16" t="s">
        <v>382</v>
      </c>
      <c r="D13" s="17" t="s">
        <v>40</v>
      </c>
      <c r="E13" s="18" t="s">
        <v>82</v>
      </c>
      <c r="F13" s="19" t="s">
        <v>50</v>
      </c>
      <c r="G13" s="20">
        <v>17520</v>
      </c>
      <c r="H13" s="21">
        <v>438</v>
      </c>
      <c r="I13" s="30">
        <v>11.4</v>
      </c>
      <c r="J13" s="23">
        <v>2.62</v>
      </c>
      <c r="K13" s="24">
        <v>0.571</v>
      </c>
      <c r="L13" s="31">
        <f t="shared" si="0"/>
        <v>0.591</v>
      </c>
      <c r="M13" s="32">
        <v>12.64</v>
      </c>
      <c r="N13" s="22">
        <v>3.2</v>
      </c>
      <c r="O13" s="26">
        <f t="shared" si="1"/>
        <v>84.16</v>
      </c>
      <c r="P13" s="33"/>
      <c r="Q13" s="61"/>
      <c r="R13" s="61"/>
      <c r="S13" s="61"/>
      <c r="T13" s="61"/>
    </row>
    <row r="14" spans="1:20">
      <c r="A14" s="15"/>
      <c r="B14" s="27"/>
      <c r="C14" s="62" t="s">
        <v>384</v>
      </c>
      <c r="D14" s="63" t="s">
        <v>67</v>
      </c>
      <c r="E14" s="64"/>
      <c r="F14" s="65" t="s">
        <v>46</v>
      </c>
      <c r="G14" s="66">
        <v>20730</v>
      </c>
      <c r="H14" s="67">
        <v>461</v>
      </c>
      <c r="I14" s="73">
        <v>10.67</v>
      </c>
      <c r="J14" s="69">
        <v>2.58</v>
      </c>
      <c r="K14" s="70">
        <v>0.575</v>
      </c>
      <c r="L14" s="71">
        <f t="shared" si="0"/>
        <v>0.595</v>
      </c>
      <c r="M14" s="72">
        <v>14.49</v>
      </c>
      <c r="N14" s="73">
        <v>2.95</v>
      </c>
      <c r="O14" s="74">
        <f t="shared" si="1"/>
        <v>82.56</v>
      </c>
      <c r="P14" s="33" t="s">
        <v>51</v>
      </c>
      <c r="Q14" s="61"/>
      <c r="R14" s="61"/>
      <c r="S14" s="61"/>
      <c r="T14" s="61"/>
    </row>
    <row r="15" spans="1:20">
      <c r="A15" s="15">
        <v>46178</v>
      </c>
      <c r="B15" s="27">
        <v>46178</v>
      </c>
      <c r="C15" s="16" t="s">
        <v>382</v>
      </c>
      <c r="D15" s="17" t="s">
        <v>40</v>
      </c>
      <c r="E15" s="18" t="s">
        <v>82</v>
      </c>
      <c r="F15" s="19" t="s">
        <v>46</v>
      </c>
      <c r="G15" s="20">
        <v>17880</v>
      </c>
      <c r="H15" s="21">
        <v>437</v>
      </c>
      <c r="I15" s="30">
        <v>11.67</v>
      </c>
      <c r="J15" s="23">
        <v>2.53</v>
      </c>
      <c r="K15" s="24">
        <v>0.575</v>
      </c>
      <c r="L15" s="31">
        <f t="shared" si="0"/>
        <v>0.595</v>
      </c>
      <c r="M15" s="32">
        <v>13.37</v>
      </c>
      <c r="N15" s="22">
        <v>2.65</v>
      </c>
      <c r="O15" s="26">
        <f t="shared" si="1"/>
        <v>83.98</v>
      </c>
      <c r="P15" s="33"/>
      <c r="Q15" s="61"/>
      <c r="R15" s="61"/>
      <c r="S15" s="61"/>
      <c r="T15" s="61"/>
    </row>
    <row r="16" spans="1:20">
      <c r="A16" s="15">
        <v>46181</v>
      </c>
      <c r="B16" s="27">
        <v>46181</v>
      </c>
      <c r="C16" s="16" t="s">
        <v>382</v>
      </c>
      <c r="D16" s="17" t="s">
        <v>44</v>
      </c>
      <c r="E16" s="28" t="s">
        <v>77</v>
      </c>
      <c r="F16" s="19" t="s">
        <v>50</v>
      </c>
      <c r="G16" s="20">
        <v>18285</v>
      </c>
      <c r="H16" s="21">
        <v>434</v>
      </c>
      <c r="I16" s="30">
        <v>8.94</v>
      </c>
      <c r="J16" s="23">
        <v>2.35</v>
      </c>
      <c r="K16" s="24">
        <v>0.571</v>
      </c>
      <c r="L16" s="31">
        <f t="shared" si="0"/>
        <v>0.591</v>
      </c>
      <c r="M16" s="32">
        <v>14.65</v>
      </c>
      <c r="N16" s="22">
        <v>2.86</v>
      </c>
      <c r="O16" s="26">
        <f t="shared" si="1"/>
        <v>82.49</v>
      </c>
      <c r="P16" s="33"/>
      <c r="Q16" s="61"/>
      <c r="R16" s="61"/>
      <c r="S16" s="61"/>
      <c r="T16" s="61"/>
    </row>
    <row r="17" spans="1:20">
      <c r="A17" s="15"/>
      <c r="B17" s="27"/>
      <c r="C17" s="16" t="s">
        <v>379</v>
      </c>
      <c r="D17" s="17" t="s">
        <v>113</v>
      </c>
      <c r="E17" s="18" t="s">
        <v>60</v>
      </c>
      <c r="F17" s="19" t="s">
        <v>178</v>
      </c>
      <c r="G17" s="29">
        <v>9900</v>
      </c>
      <c r="H17" s="21">
        <v>280</v>
      </c>
      <c r="I17" s="22">
        <v>8.54</v>
      </c>
      <c r="J17" s="23">
        <v>3.24</v>
      </c>
      <c r="K17" s="24">
        <v>0.568</v>
      </c>
      <c r="L17" s="31">
        <f t="shared" si="0"/>
        <v>0.588</v>
      </c>
      <c r="M17" s="32">
        <v>13.26</v>
      </c>
      <c r="N17" s="22">
        <v>4.28</v>
      </c>
      <c r="O17" s="26">
        <f t="shared" si="1"/>
        <v>82.46</v>
      </c>
      <c r="P17" s="33" t="s">
        <v>380</v>
      </c>
      <c r="Q17" s="61"/>
      <c r="R17" s="61"/>
      <c r="S17" s="61"/>
      <c r="T17" s="61"/>
    </row>
    <row r="18" spans="1:20">
      <c r="A18" s="15"/>
      <c r="B18" s="27"/>
      <c r="C18" s="16" t="s">
        <v>379</v>
      </c>
      <c r="D18" s="17" t="s">
        <v>68</v>
      </c>
      <c r="E18" s="18" t="s">
        <v>64</v>
      </c>
      <c r="F18" s="19" t="s">
        <v>42</v>
      </c>
      <c r="G18" s="20">
        <v>11305</v>
      </c>
      <c r="H18" s="21">
        <v>280</v>
      </c>
      <c r="I18" s="30">
        <v>8.74</v>
      </c>
      <c r="J18" s="23">
        <v>2.73</v>
      </c>
      <c r="K18" s="24">
        <v>0.578</v>
      </c>
      <c r="L18" s="31">
        <f t="shared" si="0"/>
        <v>0.598</v>
      </c>
      <c r="M18" s="32">
        <v>14.58</v>
      </c>
      <c r="N18" s="22">
        <v>2.44</v>
      </c>
      <c r="O18" s="26">
        <f t="shared" si="1"/>
        <v>82.98</v>
      </c>
      <c r="P18" s="33"/>
      <c r="Q18" s="61"/>
      <c r="R18" s="61"/>
      <c r="S18" s="61"/>
      <c r="T18" s="61"/>
    </row>
    <row r="19" spans="1:20">
      <c r="A19" s="15">
        <v>46182</v>
      </c>
      <c r="B19" s="27">
        <v>46182</v>
      </c>
      <c r="C19" s="16" t="s">
        <v>382</v>
      </c>
      <c r="D19" s="17" t="s">
        <v>54</v>
      </c>
      <c r="E19" s="18" t="s">
        <v>385</v>
      </c>
      <c r="F19" s="19" t="s">
        <v>37</v>
      </c>
      <c r="G19" s="20">
        <v>21295</v>
      </c>
      <c r="H19" s="21">
        <v>670</v>
      </c>
      <c r="I19" s="30">
        <v>11.34</v>
      </c>
      <c r="J19" s="23">
        <v>2.52</v>
      </c>
      <c r="K19" s="24">
        <v>0.575</v>
      </c>
      <c r="L19" s="31">
        <f t="shared" si="0"/>
        <v>0.595</v>
      </c>
      <c r="M19" s="32">
        <v>12.49</v>
      </c>
      <c r="N19" s="22">
        <v>3.9</v>
      </c>
      <c r="O19" s="26">
        <f t="shared" si="1"/>
        <v>83.61</v>
      </c>
      <c r="P19" s="33"/>
      <c r="Q19" s="61"/>
      <c r="R19" s="61"/>
      <c r="S19" s="61"/>
      <c r="T19" s="61"/>
    </row>
    <row r="20" spans="1:20">
      <c r="A20" s="15">
        <v>46183</v>
      </c>
      <c r="B20" s="27">
        <v>46183</v>
      </c>
      <c r="C20" s="16" t="s">
        <v>382</v>
      </c>
      <c r="D20" s="17" t="s">
        <v>44</v>
      </c>
      <c r="E20" s="28" t="s">
        <v>77</v>
      </c>
      <c r="F20" s="19" t="s">
        <v>46</v>
      </c>
      <c r="G20" s="20">
        <v>19915</v>
      </c>
      <c r="H20" s="21">
        <v>480</v>
      </c>
      <c r="I20" s="22">
        <v>10.8</v>
      </c>
      <c r="J20" s="23">
        <v>2.68</v>
      </c>
      <c r="K20" s="24">
        <v>0.571</v>
      </c>
      <c r="L20" s="31">
        <f t="shared" si="0"/>
        <v>0.591</v>
      </c>
      <c r="M20" s="32">
        <v>12.82</v>
      </c>
      <c r="N20" s="22">
        <v>3.66</v>
      </c>
      <c r="O20" s="26">
        <f t="shared" si="1"/>
        <v>83.52</v>
      </c>
      <c r="P20" s="61"/>
      <c r="Q20" s="61"/>
      <c r="R20" s="61"/>
      <c r="S20" s="61"/>
      <c r="T20" s="61"/>
    </row>
    <row r="21" spans="1:20">
      <c r="A21" s="15"/>
      <c r="B21" s="27"/>
      <c r="C21" s="62" t="s">
        <v>384</v>
      </c>
      <c r="D21" s="63" t="s">
        <v>88</v>
      </c>
      <c r="E21" s="64"/>
      <c r="F21" s="65" t="s">
        <v>50</v>
      </c>
      <c r="G21" s="66">
        <v>19245</v>
      </c>
      <c r="H21" s="67">
        <v>486</v>
      </c>
      <c r="I21" s="68">
        <v>10.07</v>
      </c>
      <c r="J21" s="69">
        <v>2.48</v>
      </c>
      <c r="K21" s="70">
        <v>0.578</v>
      </c>
      <c r="L21" s="71">
        <f t="shared" si="0"/>
        <v>0.598</v>
      </c>
      <c r="M21" s="72">
        <v>13.79</v>
      </c>
      <c r="N21" s="73">
        <v>2.85</v>
      </c>
      <c r="O21" s="74">
        <f t="shared" si="1"/>
        <v>83.36</v>
      </c>
      <c r="P21" s="33" t="s">
        <v>51</v>
      </c>
      <c r="Q21" s="61"/>
      <c r="R21" s="61"/>
      <c r="S21" s="61"/>
      <c r="T21" s="61"/>
    </row>
    <row r="22" spans="1:20">
      <c r="A22" s="15"/>
      <c r="B22" s="27"/>
      <c r="C22" s="16" t="s">
        <v>379</v>
      </c>
      <c r="D22" s="17" t="s">
        <v>68</v>
      </c>
      <c r="E22" s="18" t="s">
        <v>64</v>
      </c>
      <c r="F22" s="19" t="s">
        <v>272</v>
      </c>
      <c r="G22" s="20">
        <v>21410</v>
      </c>
      <c r="H22" s="21">
        <v>605</v>
      </c>
      <c r="I22" s="30">
        <v>9.07</v>
      </c>
      <c r="J22" s="23">
        <v>2.83</v>
      </c>
      <c r="K22" s="24">
        <v>0.565</v>
      </c>
      <c r="L22" s="31">
        <f t="shared" si="0"/>
        <v>0.585</v>
      </c>
      <c r="M22" s="32">
        <v>13.33</v>
      </c>
      <c r="N22" s="22">
        <v>3.79</v>
      </c>
      <c r="O22" s="26">
        <f t="shared" si="1"/>
        <v>82.88</v>
      </c>
      <c r="P22" s="33"/>
      <c r="Q22" s="61"/>
      <c r="R22" s="61"/>
      <c r="S22" s="61"/>
      <c r="T22" s="61"/>
    </row>
    <row r="23" spans="1:20">
      <c r="A23" s="15">
        <v>46185</v>
      </c>
      <c r="B23" s="27">
        <v>46185</v>
      </c>
      <c r="C23" s="16" t="s">
        <v>379</v>
      </c>
      <c r="D23" s="28" t="s">
        <v>76</v>
      </c>
      <c r="E23" s="28" t="s">
        <v>386</v>
      </c>
      <c r="F23" s="19" t="s">
        <v>272</v>
      </c>
      <c r="G23" s="20">
        <v>20950</v>
      </c>
      <c r="H23" s="21">
        <v>602</v>
      </c>
      <c r="I23" s="22">
        <v>9.6</v>
      </c>
      <c r="J23" s="23">
        <v>2.68</v>
      </c>
      <c r="K23" s="24">
        <v>0.568</v>
      </c>
      <c r="L23" s="31">
        <f t="shared" si="0"/>
        <v>0.588</v>
      </c>
      <c r="M23" s="32">
        <v>12.71</v>
      </c>
      <c r="N23" s="22">
        <v>3.14</v>
      </c>
      <c r="O23" s="26">
        <f t="shared" si="1"/>
        <v>84.15</v>
      </c>
      <c r="P23" s="61"/>
      <c r="Q23" s="61"/>
      <c r="R23" s="61"/>
      <c r="S23" s="61"/>
      <c r="T23" s="61"/>
    </row>
    <row r="24" spans="1:20">
      <c r="A24" s="15">
        <v>46188</v>
      </c>
      <c r="B24" s="27">
        <v>46188</v>
      </c>
      <c r="C24" s="16" t="s">
        <v>379</v>
      </c>
      <c r="D24" s="28" t="s">
        <v>76</v>
      </c>
      <c r="E24" s="28" t="s">
        <v>386</v>
      </c>
      <c r="F24" s="19" t="s">
        <v>272</v>
      </c>
      <c r="G24" s="20">
        <v>20020</v>
      </c>
      <c r="H24" s="21">
        <v>571</v>
      </c>
      <c r="I24" s="30">
        <v>9.14</v>
      </c>
      <c r="J24" s="23">
        <v>2.89</v>
      </c>
      <c r="K24" s="24">
        <v>0.571</v>
      </c>
      <c r="L24" s="31">
        <f t="shared" si="0"/>
        <v>0.591</v>
      </c>
      <c r="M24" s="32">
        <v>13.81</v>
      </c>
      <c r="N24" s="22">
        <v>3.09</v>
      </c>
      <c r="O24" s="26">
        <f t="shared" si="1"/>
        <v>83.1</v>
      </c>
      <c r="P24" s="33"/>
      <c r="Q24" s="61"/>
      <c r="R24" s="61"/>
      <c r="S24" s="61"/>
      <c r="T24" s="61"/>
    </row>
    <row r="25" spans="1:20">
      <c r="A25" s="15"/>
      <c r="B25" s="27"/>
      <c r="C25" s="16" t="s">
        <v>379</v>
      </c>
      <c r="D25" s="28" t="s">
        <v>76</v>
      </c>
      <c r="E25" s="28" t="s">
        <v>386</v>
      </c>
      <c r="F25" s="19" t="s">
        <v>387</v>
      </c>
      <c r="G25" s="20">
        <v>10375</v>
      </c>
      <c r="H25" s="21">
        <v>292</v>
      </c>
      <c r="I25" s="30">
        <v>8.87</v>
      </c>
      <c r="J25" s="23">
        <v>2.77</v>
      </c>
      <c r="K25" s="24">
        <v>0.578</v>
      </c>
      <c r="L25" s="31">
        <f t="shared" si="0"/>
        <v>0.598</v>
      </c>
      <c r="M25" s="32">
        <v>14.65</v>
      </c>
      <c r="N25" s="22">
        <v>3.38</v>
      </c>
      <c r="O25" s="26">
        <f t="shared" si="1"/>
        <v>81.97</v>
      </c>
      <c r="P25" s="33"/>
      <c r="Q25" s="61"/>
      <c r="R25" s="61"/>
      <c r="S25" s="61"/>
      <c r="T25" s="61"/>
    </row>
    <row r="26" spans="1:20">
      <c r="A26" s="15"/>
      <c r="B26" s="27"/>
      <c r="C26" s="62" t="s">
        <v>384</v>
      </c>
      <c r="D26" s="63" t="s">
        <v>93</v>
      </c>
      <c r="E26" s="64"/>
      <c r="F26" s="65" t="s">
        <v>46</v>
      </c>
      <c r="G26" s="66">
        <v>18575</v>
      </c>
      <c r="H26" s="67">
        <v>524</v>
      </c>
      <c r="I26" s="68">
        <v>9.54</v>
      </c>
      <c r="J26" s="69">
        <v>2.36</v>
      </c>
      <c r="K26" s="70">
        <v>0.575</v>
      </c>
      <c r="L26" s="71">
        <f t="shared" si="0"/>
        <v>0.595</v>
      </c>
      <c r="M26" s="72">
        <v>13.13</v>
      </c>
      <c r="N26" s="73">
        <v>2.86</v>
      </c>
      <c r="O26" s="74">
        <f t="shared" si="1"/>
        <v>84.01</v>
      </c>
      <c r="P26" s="33" t="s">
        <v>218</v>
      </c>
      <c r="Q26" s="61"/>
      <c r="R26" s="61"/>
      <c r="S26" s="61"/>
      <c r="T26" s="61"/>
    </row>
    <row r="27" spans="1:20">
      <c r="A27" s="15">
        <v>46189</v>
      </c>
      <c r="B27" s="27">
        <v>46189</v>
      </c>
      <c r="C27" s="16" t="s">
        <v>382</v>
      </c>
      <c r="D27" s="17" t="s">
        <v>44</v>
      </c>
      <c r="E27" s="28" t="s">
        <v>77</v>
      </c>
      <c r="F27" s="19" t="s">
        <v>50</v>
      </c>
      <c r="G27" s="20">
        <v>16657</v>
      </c>
      <c r="H27" s="21">
        <v>446</v>
      </c>
      <c r="I27" s="30">
        <v>12.2</v>
      </c>
      <c r="J27" s="23">
        <v>2.13</v>
      </c>
      <c r="K27" s="24">
        <v>0.578</v>
      </c>
      <c r="L27" s="31">
        <f t="shared" si="0"/>
        <v>0.598</v>
      </c>
      <c r="M27" s="32">
        <v>13.41</v>
      </c>
      <c r="N27" s="22">
        <v>3.79</v>
      </c>
      <c r="O27" s="26">
        <f t="shared" si="1"/>
        <v>82.8</v>
      </c>
      <c r="P27" s="75" t="s">
        <v>388</v>
      </c>
      <c r="Q27" s="61"/>
      <c r="R27" s="61"/>
      <c r="S27" s="61"/>
      <c r="T27" s="61"/>
    </row>
    <row r="28" spans="1:20">
      <c r="A28" s="15"/>
      <c r="B28" s="27"/>
      <c r="C28" s="62" t="s">
        <v>383</v>
      </c>
      <c r="D28" s="63" t="s">
        <v>105</v>
      </c>
      <c r="E28" s="64"/>
      <c r="F28" s="65" t="s">
        <v>56</v>
      </c>
      <c r="G28" s="66">
        <v>25990</v>
      </c>
      <c r="H28" s="67">
        <v>643</v>
      </c>
      <c r="I28" s="68">
        <v>11.07</v>
      </c>
      <c r="J28" s="69">
        <v>2.41</v>
      </c>
      <c r="K28" s="70">
        <v>0.581</v>
      </c>
      <c r="L28" s="71">
        <f t="shared" si="0"/>
        <v>0.601</v>
      </c>
      <c r="M28" s="72">
        <v>13.28</v>
      </c>
      <c r="N28" s="73">
        <v>2.65</v>
      </c>
      <c r="O28" s="74">
        <f t="shared" si="1"/>
        <v>84.07</v>
      </c>
      <c r="P28" s="33" t="s">
        <v>51</v>
      </c>
      <c r="Q28" s="61"/>
      <c r="R28" s="61"/>
      <c r="S28" s="61"/>
      <c r="T28" s="61"/>
    </row>
    <row r="29" spans="1:20">
      <c r="A29" s="15"/>
      <c r="B29" s="27"/>
      <c r="C29" s="36" t="s">
        <v>379</v>
      </c>
      <c r="D29" s="28" t="s">
        <v>81</v>
      </c>
      <c r="E29" s="28" t="s">
        <v>193</v>
      </c>
      <c r="F29" s="36" t="s">
        <v>389</v>
      </c>
      <c r="G29" s="20">
        <v>17683</v>
      </c>
      <c r="H29" s="21">
        <f>533-31</f>
        <v>502</v>
      </c>
      <c r="I29" s="22">
        <v>12.14</v>
      </c>
      <c r="J29" s="37">
        <v>3.61</v>
      </c>
      <c r="K29" s="38">
        <v>0.552</v>
      </c>
      <c r="L29" s="39">
        <f t="shared" si="0"/>
        <v>0.572</v>
      </c>
      <c r="M29" s="40">
        <v>12.77</v>
      </c>
      <c r="N29" s="41">
        <v>10.86</v>
      </c>
      <c r="O29" s="42">
        <f t="shared" si="1"/>
        <v>76.37</v>
      </c>
      <c r="P29" s="61" t="s">
        <v>390</v>
      </c>
      <c r="Q29" s="61"/>
      <c r="R29" s="61"/>
      <c r="S29" s="61"/>
      <c r="T29" s="61"/>
    </row>
    <row r="30" spans="1:20">
      <c r="A30" s="15"/>
      <c r="B30" s="27"/>
      <c r="C30" s="36"/>
      <c r="D30" s="28"/>
      <c r="E30" s="28"/>
      <c r="F30" s="36"/>
      <c r="G30" s="20">
        <v>960</v>
      </c>
      <c r="H30" s="21">
        <v>31</v>
      </c>
      <c r="I30" s="30">
        <v>16.07</v>
      </c>
      <c r="J30" s="37"/>
      <c r="K30" s="38"/>
      <c r="L30" s="39"/>
      <c r="M30" s="40"/>
      <c r="N30" s="41"/>
      <c r="O30" s="42"/>
      <c r="P30" s="61" t="s">
        <v>391</v>
      </c>
      <c r="Q30" s="61"/>
      <c r="R30" s="61"/>
      <c r="S30" s="61"/>
      <c r="T30" s="61"/>
    </row>
    <row r="31" ht="14" customHeight="1" spans="1:20">
      <c r="A31" s="15"/>
      <c r="B31" s="27"/>
      <c r="C31" s="36" t="s">
        <v>379</v>
      </c>
      <c r="D31" s="28" t="s">
        <v>81</v>
      </c>
      <c r="E31" s="28" t="s">
        <v>193</v>
      </c>
      <c r="F31" s="36" t="s">
        <v>330</v>
      </c>
      <c r="G31" s="20">
        <v>25706</v>
      </c>
      <c r="H31" s="21">
        <f>334-18</f>
        <v>316</v>
      </c>
      <c r="I31" s="30">
        <v>11.74</v>
      </c>
      <c r="J31" s="37">
        <v>3.44</v>
      </c>
      <c r="K31" s="38">
        <v>0.556</v>
      </c>
      <c r="L31" s="39">
        <f t="shared" ref="L31:L45" si="2">K31+0.02</f>
        <v>0.576</v>
      </c>
      <c r="M31" s="40">
        <v>12.58</v>
      </c>
      <c r="N31" s="41">
        <v>8.75</v>
      </c>
      <c r="O31" s="42">
        <f t="shared" ref="O31:O51" si="3">100-M31-N31</f>
        <v>78.67</v>
      </c>
      <c r="P31" s="61" t="s">
        <v>392</v>
      </c>
      <c r="Q31" s="61"/>
      <c r="R31" s="61"/>
      <c r="S31" s="61"/>
      <c r="T31" s="61"/>
    </row>
    <row r="32" spans="1:20">
      <c r="A32" s="15"/>
      <c r="B32" s="27"/>
      <c r="C32" s="36"/>
      <c r="D32" s="28"/>
      <c r="E32" s="28"/>
      <c r="F32" s="36"/>
      <c r="G32" s="20">
        <v>1633</v>
      </c>
      <c r="H32" s="21">
        <v>18</v>
      </c>
      <c r="I32" s="30">
        <v>16.87</v>
      </c>
      <c r="J32" s="37"/>
      <c r="K32" s="38"/>
      <c r="L32" s="39"/>
      <c r="M32" s="40"/>
      <c r="N32" s="41"/>
      <c r="O32" s="42"/>
      <c r="P32" s="61" t="s">
        <v>393</v>
      </c>
      <c r="Q32" s="61"/>
      <c r="R32" s="61"/>
      <c r="S32" s="61"/>
      <c r="T32" s="61"/>
    </row>
    <row r="33" spans="1:20">
      <c r="A33" s="15">
        <v>46190</v>
      </c>
      <c r="B33" s="27">
        <v>46190</v>
      </c>
      <c r="C33" s="16" t="s">
        <v>382</v>
      </c>
      <c r="D33" s="17" t="s">
        <v>54</v>
      </c>
      <c r="E33" s="18" t="s">
        <v>385</v>
      </c>
      <c r="F33" s="19" t="s">
        <v>46</v>
      </c>
      <c r="G33" s="20">
        <v>17865</v>
      </c>
      <c r="H33" s="21">
        <v>461</v>
      </c>
      <c r="I33" s="30">
        <v>11.94</v>
      </c>
      <c r="J33" s="23">
        <v>2.55</v>
      </c>
      <c r="K33" s="24">
        <v>0.575</v>
      </c>
      <c r="L33" s="31">
        <f t="shared" si="2"/>
        <v>0.595</v>
      </c>
      <c r="M33" s="32">
        <v>12.34</v>
      </c>
      <c r="N33" s="22">
        <v>2.64</v>
      </c>
      <c r="O33" s="26">
        <f t="shared" si="3"/>
        <v>85.02</v>
      </c>
      <c r="P33" s="33"/>
      <c r="Q33" s="61"/>
      <c r="R33" s="61"/>
      <c r="S33" s="61"/>
      <c r="T33" s="61"/>
    </row>
    <row r="34" spans="1:20">
      <c r="A34" s="15"/>
      <c r="B34" s="27"/>
      <c r="C34" s="16" t="s">
        <v>379</v>
      </c>
      <c r="D34" s="17" t="s">
        <v>84</v>
      </c>
      <c r="E34" s="18" t="s">
        <v>394</v>
      </c>
      <c r="F34" s="19" t="s">
        <v>272</v>
      </c>
      <c r="G34" s="20">
        <v>22610</v>
      </c>
      <c r="H34" s="21">
        <v>627</v>
      </c>
      <c r="I34" s="30">
        <v>10</v>
      </c>
      <c r="J34" s="23">
        <v>3.16</v>
      </c>
      <c r="K34" s="24">
        <v>0.559</v>
      </c>
      <c r="L34" s="31">
        <f t="shared" si="2"/>
        <v>0.579</v>
      </c>
      <c r="M34" s="32">
        <v>11.67</v>
      </c>
      <c r="N34" s="22">
        <v>3.99</v>
      </c>
      <c r="O34" s="26">
        <f t="shared" si="3"/>
        <v>84.34</v>
      </c>
      <c r="P34" s="33"/>
      <c r="Q34" s="61"/>
      <c r="R34" s="61"/>
      <c r="S34" s="61"/>
      <c r="T34" s="61"/>
    </row>
    <row r="35" spans="1:20">
      <c r="A35" s="15">
        <v>46191</v>
      </c>
      <c r="B35" s="27">
        <v>46191</v>
      </c>
      <c r="C35" s="16" t="s">
        <v>382</v>
      </c>
      <c r="D35" s="17" t="s">
        <v>54</v>
      </c>
      <c r="E35" s="18" t="s">
        <v>385</v>
      </c>
      <c r="F35" s="19" t="s">
        <v>46</v>
      </c>
      <c r="G35" s="20">
        <v>18390</v>
      </c>
      <c r="H35" s="21">
        <v>435</v>
      </c>
      <c r="I35" s="22">
        <v>11.87</v>
      </c>
      <c r="J35" s="23">
        <v>2.48</v>
      </c>
      <c r="K35" s="24">
        <v>0.571</v>
      </c>
      <c r="L35" s="31">
        <f t="shared" si="2"/>
        <v>0.591</v>
      </c>
      <c r="M35" s="32">
        <v>12.08</v>
      </c>
      <c r="N35" s="22">
        <v>3.24</v>
      </c>
      <c r="O35" s="26">
        <f t="shared" si="3"/>
        <v>84.68</v>
      </c>
      <c r="P35" s="61"/>
      <c r="Q35" s="61"/>
      <c r="R35" s="61"/>
      <c r="S35" s="61"/>
      <c r="T35" s="61"/>
    </row>
    <row r="36" spans="1:20">
      <c r="A36" s="15"/>
      <c r="B36" s="27"/>
      <c r="C36" s="62" t="s">
        <v>384</v>
      </c>
      <c r="D36" s="63" t="s">
        <v>127</v>
      </c>
      <c r="E36" s="64"/>
      <c r="F36" s="65" t="s">
        <v>50</v>
      </c>
      <c r="G36" s="66">
        <v>19035</v>
      </c>
      <c r="H36" s="67">
        <v>532</v>
      </c>
      <c r="I36" s="68">
        <v>11.2</v>
      </c>
      <c r="J36" s="69">
        <v>2.31</v>
      </c>
      <c r="K36" s="70">
        <v>0.578</v>
      </c>
      <c r="L36" s="71">
        <f t="shared" si="2"/>
        <v>0.598</v>
      </c>
      <c r="M36" s="72">
        <v>13.36</v>
      </c>
      <c r="N36" s="73">
        <v>3.49</v>
      </c>
      <c r="O36" s="74">
        <f t="shared" si="3"/>
        <v>83.15</v>
      </c>
      <c r="P36" s="33" t="s">
        <v>232</v>
      </c>
      <c r="Q36" s="61"/>
      <c r="R36" s="61"/>
      <c r="S36" s="61"/>
      <c r="T36" s="61"/>
    </row>
    <row r="37" spans="1:20">
      <c r="A37" s="15">
        <v>46192</v>
      </c>
      <c r="B37" s="27">
        <v>46192</v>
      </c>
      <c r="C37" s="16" t="s">
        <v>382</v>
      </c>
      <c r="D37" s="17" t="s">
        <v>54</v>
      </c>
      <c r="E37" s="18" t="s">
        <v>385</v>
      </c>
      <c r="F37" s="19" t="s">
        <v>50</v>
      </c>
      <c r="G37" s="20">
        <v>17508</v>
      </c>
      <c r="H37" s="21">
        <v>447</v>
      </c>
      <c r="I37" s="30">
        <v>13.14</v>
      </c>
      <c r="J37" s="23">
        <v>2.68</v>
      </c>
      <c r="K37" s="24">
        <v>0.568</v>
      </c>
      <c r="L37" s="31">
        <f t="shared" si="2"/>
        <v>0.588</v>
      </c>
      <c r="M37" s="32">
        <v>14.56</v>
      </c>
      <c r="N37" s="22">
        <v>2.88</v>
      </c>
      <c r="O37" s="26">
        <f t="shared" si="3"/>
        <v>82.56</v>
      </c>
      <c r="P37" s="75" t="s">
        <v>395</v>
      </c>
      <c r="Q37" s="61"/>
      <c r="R37" s="61"/>
      <c r="S37" s="61"/>
      <c r="T37" s="61"/>
    </row>
    <row r="38" spans="1:20">
      <c r="A38" s="15"/>
      <c r="B38" s="27"/>
      <c r="C38" s="16" t="s">
        <v>379</v>
      </c>
      <c r="D38" s="17" t="s">
        <v>84</v>
      </c>
      <c r="E38" s="18" t="s">
        <v>394</v>
      </c>
      <c r="F38" s="19" t="s">
        <v>42</v>
      </c>
      <c r="G38" s="20">
        <v>11595</v>
      </c>
      <c r="H38" s="21">
        <v>298</v>
      </c>
      <c r="I38" s="22">
        <v>8.8</v>
      </c>
      <c r="J38" s="23">
        <v>2.61</v>
      </c>
      <c r="K38" s="24">
        <v>0.571</v>
      </c>
      <c r="L38" s="31">
        <f t="shared" si="2"/>
        <v>0.591</v>
      </c>
      <c r="M38" s="32">
        <v>13.85</v>
      </c>
      <c r="N38" s="22">
        <v>2.64</v>
      </c>
      <c r="O38" s="26">
        <f t="shared" si="3"/>
        <v>83.51</v>
      </c>
      <c r="P38" s="61"/>
      <c r="Q38" s="61"/>
      <c r="R38" s="61"/>
      <c r="S38" s="61"/>
      <c r="T38" s="61"/>
    </row>
    <row r="39" spans="1:20">
      <c r="A39" s="15"/>
      <c r="B39" s="27"/>
      <c r="C39" s="16" t="s">
        <v>379</v>
      </c>
      <c r="D39" s="17" t="s">
        <v>84</v>
      </c>
      <c r="E39" s="18" t="s">
        <v>394</v>
      </c>
      <c r="F39" s="19" t="s">
        <v>272</v>
      </c>
      <c r="G39" s="20">
        <v>21255</v>
      </c>
      <c r="H39" s="21">
        <v>605</v>
      </c>
      <c r="I39" s="22">
        <v>8.54</v>
      </c>
      <c r="J39" s="23">
        <v>2.56</v>
      </c>
      <c r="K39" s="24">
        <v>0.578</v>
      </c>
      <c r="L39" s="31">
        <f t="shared" si="2"/>
        <v>0.598</v>
      </c>
      <c r="M39" s="32">
        <v>13.47</v>
      </c>
      <c r="N39" s="22">
        <v>3.8</v>
      </c>
      <c r="O39" s="26">
        <f t="shared" si="3"/>
        <v>82.73</v>
      </c>
      <c r="P39" s="61"/>
      <c r="Q39" s="61"/>
      <c r="R39" s="61"/>
      <c r="S39" s="61"/>
      <c r="T39" s="61"/>
    </row>
    <row r="40" spans="1:20">
      <c r="A40" s="15">
        <v>46193</v>
      </c>
      <c r="B40" s="27">
        <v>46193</v>
      </c>
      <c r="C40" s="16" t="s">
        <v>379</v>
      </c>
      <c r="D40" s="17" t="s">
        <v>59</v>
      </c>
      <c r="E40" s="18" t="s">
        <v>274</v>
      </c>
      <c r="F40" s="19" t="s">
        <v>272</v>
      </c>
      <c r="G40" s="20">
        <v>21185</v>
      </c>
      <c r="H40" s="21">
        <v>628</v>
      </c>
      <c r="I40" s="30">
        <v>10.67</v>
      </c>
      <c r="J40" s="23">
        <v>2.81</v>
      </c>
      <c r="K40" s="24">
        <v>0.562</v>
      </c>
      <c r="L40" s="31">
        <f t="shared" si="2"/>
        <v>0.582</v>
      </c>
      <c r="M40" s="32">
        <v>13.8</v>
      </c>
      <c r="N40" s="22">
        <v>3.78</v>
      </c>
      <c r="O40" s="26">
        <f t="shared" si="3"/>
        <v>82.42</v>
      </c>
      <c r="P40" s="33"/>
      <c r="Q40" s="61"/>
      <c r="R40" s="61"/>
      <c r="S40" s="61"/>
      <c r="T40" s="61"/>
    </row>
    <row r="41" spans="1:20">
      <c r="A41" s="15"/>
      <c r="B41" s="27"/>
      <c r="C41" s="16" t="s">
        <v>382</v>
      </c>
      <c r="D41" s="17" t="s">
        <v>98</v>
      </c>
      <c r="E41" s="18" t="s">
        <v>396</v>
      </c>
      <c r="F41" s="19" t="s">
        <v>46</v>
      </c>
      <c r="G41" s="20">
        <v>17983</v>
      </c>
      <c r="H41" s="21">
        <v>447</v>
      </c>
      <c r="I41" s="30">
        <v>12.4</v>
      </c>
      <c r="J41" s="23">
        <v>2.8</v>
      </c>
      <c r="K41" s="24">
        <v>0.575</v>
      </c>
      <c r="L41" s="31">
        <f t="shared" si="2"/>
        <v>0.595</v>
      </c>
      <c r="M41" s="32">
        <v>13.4</v>
      </c>
      <c r="N41" s="22">
        <v>3.96</v>
      </c>
      <c r="O41" s="26">
        <f t="shared" si="3"/>
        <v>82.64</v>
      </c>
      <c r="P41" s="75" t="s">
        <v>397</v>
      </c>
      <c r="Q41" s="61"/>
      <c r="R41" s="61"/>
      <c r="S41" s="61"/>
      <c r="T41" s="61"/>
    </row>
    <row r="42" spans="1:20">
      <c r="A42" s="15">
        <v>46195</v>
      </c>
      <c r="B42" s="27">
        <v>46195</v>
      </c>
      <c r="C42" s="16" t="s">
        <v>382</v>
      </c>
      <c r="D42" s="17" t="s">
        <v>98</v>
      </c>
      <c r="E42" s="18" t="s">
        <v>396</v>
      </c>
      <c r="F42" s="19" t="s">
        <v>50</v>
      </c>
      <c r="G42" s="20">
        <v>15995</v>
      </c>
      <c r="H42" s="21">
        <v>428</v>
      </c>
      <c r="I42" s="22">
        <v>11.34</v>
      </c>
      <c r="J42" s="23">
        <v>2.36</v>
      </c>
      <c r="K42" s="24">
        <v>0.578</v>
      </c>
      <c r="L42" s="31">
        <f t="shared" si="2"/>
        <v>0.598</v>
      </c>
      <c r="M42" s="32">
        <v>13.35</v>
      </c>
      <c r="N42" s="22">
        <v>3.04</v>
      </c>
      <c r="O42" s="26">
        <f t="shared" si="3"/>
        <v>83.61</v>
      </c>
      <c r="P42" s="61"/>
      <c r="Q42" s="61"/>
      <c r="R42" s="61"/>
      <c r="S42" s="61"/>
      <c r="T42" s="61"/>
    </row>
    <row r="43" spans="1:20">
      <c r="A43" s="15"/>
      <c r="B43" s="27"/>
      <c r="C43" s="16" t="s">
        <v>379</v>
      </c>
      <c r="D43" s="17" t="s">
        <v>59</v>
      </c>
      <c r="E43" s="18" t="s">
        <v>274</v>
      </c>
      <c r="F43" s="19" t="s">
        <v>178</v>
      </c>
      <c r="G43" s="20">
        <v>11330</v>
      </c>
      <c r="H43" s="21">
        <v>269</v>
      </c>
      <c r="I43" s="30">
        <v>9.54</v>
      </c>
      <c r="J43" s="23">
        <v>2.49</v>
      </c>
      <c r="K43" s="24">
        <v>0.575</v>
      </c>
      <c r="L43" s="31">
        <f t="shared" si="2"/>
        <v>0.595</v>
      </c>
      <c r="M43" s="32">
        <v>14.61</v>
      </c>
      <c r="N43" s="22">
        <v>2.81</v>
      </c>
      <c r="O43" s="26">
        <f t="shared" si="3"/>
        <v>82.58</v>
      </c>
      <c r="P43" s="33"/>
      <c r="Q43" s="61"/>
      <c r="R43" s="61"/>
      <c r="S43" s="61"/>
      <c r="T43" s="61"/>
    </row>
    <row r="44" spans="1:20">
      <c r="A44" s="15"/>
      <c r="B44" s="27"/>
      <c r="C44" s="16" t="s">
        <v>379</v>
      </c>
      <c r="D44" s="17" t="s">
        <v>59</v>
      </c>
      <c r="E44" s="18" t="s">
        <v>274</v>
      </c>
      <c r="F44" s="19" t="s">
        <v>179</v>
      </c>
      <c r="G44" s="20">
        <v>18270</v>
      </c>
      <c r="H44" s="21">
        <v>538</v>
      </c>
      <c r="I44" s="30">
        <v>8.74</v>
      </c>
      <c r="J44" s="23">
        <v>2.67</v>
      </c>
      <c r="K44" s="24">
        <v>0.556</v>
      </c>
      <c r="L44" s="31">
        <f t="shared" si="2"/>
        <v>0.576</v>
      </c>
      <c r="M44" s="32">
        <v>13.47</v>
      </c>
      <c r="N44" s="22">
        <v>4.02</v>
      </c>
      <c r="O44" s="26">
        <f t="shared" si="3"/>
        <v>82.51</v>
      </c>
      <c r="P44" s="33"/>
      <c r="Q44" s="61"/>
      <c r="R44" s="61"/>
      <c r="S44" s="61"/>
      <c r="T44" s="61"/>
    </row>
    <row r="45" spans="1:20">
      <c r="A45" s="15">
        <v>46196</v>
      </c>
      <c r="B45" s="27">
        <v>46196</v>
      </c>
      <c r="C45" s="16" t="s">
        <v>379</v>
      </c>
      <c r="D45" s="17" t="s">
        <v>59</v>
      </c>
      <c r="E45" s="18" t="s">
        <v>274</v>
      </c>
      <c r="F45" s="19" t="s">
        <v>272</v>
      </c>
      <c r="G45" s="20">
        <v>20775</v>
      </c>
      <c r="H45" s="21">
        <v>558</v>
      </c>
      <c r="I45" s="22">
        <v>8.47</v>
      </c>
      <c r="J45" s="23">
        <v>3.77</v>
      </c>
      <c r="K45" s="24">
        <v>0.568</v>
      </c>
      <c r="L45" s="31">
        <f t="shared" si="2"/>
        <v>0.588</v>
      </c>
      <c r="M45" s="32">
        <v>12.94</v>
      </c>
      <c r="N45" s="22">
        <v>3.43</v>
      </c>
      <c r="O45" s="26">
        <f t="shared" si="3"/>
        <v>83.63</v>
      </c>
      <c r="P45" s="61"/>
      <c r="Q45" s="61"/>
      <c r="R45" s="61"/>
      <c r="S45" s="61"/>
      <c r="T45" s="61"/>
    </row>
    <row r="46" spans="1:20">
      <c r="A46" s="15">
        <v>46198</v>
      </c>
      <c r="B46" s="15">
        <v>46198</v>
      </c>
      <c r="C46" s="16" t="s">
        <v>379</v>
      </c>
      <c r="D46" s="28" t="s">
        <v>106</v>
      </c>
      <c r="E46" s="28" t="s">
        <v>398</v>
      </c>
      <c r="F46" s="19" t="s">
        <v>272</v>
      </c>
      <c r="G46" s="20">
        <v>20390</v>
      </c>
      <c r="H46" s="21">
        <v>578</v>
      </c>
      <c r="I46" s="22">
        <v>7.87</v>
      </c>
      <c r="J46" s="23">
        <v>2.73</v>
      </c>
      <c r="K46" s="24">
        <v>0.565</v>
      </c>
      <c r="L46" s="43">
        <v>0.585</v>
      </c>
      <c r="M46" s="32">
        <v>12.41</v>
      </c>
      <c r="N46" s="22">
        <v>3.6</v>
      </c>
      <c r="O46" s="26">
        <f t="shared" si="3"/>
        <v>83.99</v>
      </c>
      <c r="P46" s="61"/>
      <c r="Q46" s="61"/>
      <c r="R46" s="61"/>
      <c r="S46" s="61"/>
      <c r="T46" s="61"/>
    </row>
    <row r="47" spans="1:20">
      <c r="A47" s="15"/>
      <c r="B47" s="27"/>
      <c r="C47" s="16" t="s">
        <v>379</v>
      </c>
      <c r="D47" s="28" t="s">
        <v>106</v>
      </c>
      <c r="E47" s="28" t="s">
        <v>398</v>
      </c>
      <c r="F47" s="19" t="s">
        <v>178</v>
      </c>
      <c r="G47" s="20">
        <v>10530</v>
      </c>
      <c r="H47" s="21">
        <v>271</v>
      </c>
      <c r="I47" s="30">
        <v>11.74</v>
      </c>
      <c r="J47" s="23">
        <v>3.08</v>
      </c>
      <c r="K47" s="24">
        <v>0.559</v>
      </c>
      <c r="L47" s="43">
        <v>0.579</v>
      </c>
      <c r="M47" s="32">
        <v>13.78</v>
      </c>
      <c r="N47" s="22">
        <v>2.71</v>
      </c>
      <c r="O47" s="26">
        <f t="shared" si="3"/>
        <v>83.51</v>
      </c>
      <c r="P47" s="33"/>
      <c r="Q47" s="61"/>
      <c r="R47" s="61"/>
      <c r="S47" s="61"/>
      <c r="T47" s="61"/>
    </row>
    <row r="48" spans="1:20">
      <c r="A48" s="15">
        <v>46199</v>
      </c>
      <c r="B48" s="27">
        <v>46199</v>
      </c>
      <c r="C48" s="16" t="s">
        <v>379</v>
      </c>
      <c r="D48" s="28" t="s">
        <v>106</v>
      </c>
      <c r="E48" s="28" t="s">
        <v>398</v>
      </c>
      <c r="F48" s="19" t="s">
        <v>121</v>
      </c>
      <c r="G48" s="20">
        <v>2475</v>
      </c>
      <c r="H48" s="21">
        <v>76</v>
      </c>
      <c r="I48" s="22">
        <v>10.94</v>
      </c>
      <c r="J48" s="23">
        <v>3.14</v>
      </c>
      <c r="K48" s="24">
        <v>0.571</v>
      </c>
      <c r="L48" s="31">
        <f>K48+0.02</f>
        <v>0.591</v>
      </c>
      <c r="M48" s="32">
        <v>13.34</v>
      </c>
      <c r="N48" s="22">
        <v>2.48</v>
      </c>
      <c r="O48" s="26">
        <f t="shared" si="3"/>
        <v>84.18</v>
      </c>
      <c r="P48" s="61"/>
      <c r="Q48" s="61"/>
      <c r="R48" s="61"/>
      <c r="S48" s="61"/>
      <c r="T48" s="61"/>
    </row>
    <row r="49" spans="1:20">
      <c r="A49" s="15">
        <v>46203</v>
      </c>
      <c r="B49" s="27">
        <v>46203</v>
      </c>
      <c r="C49" s="16" t="s">
        <v>384</v>
      </c>
      <c r="D49" s="17" t="s">
        <v>143</v>
      </c>
      <c r="E49" s="35"/>
      <c r="F49" s="19" t="s">
        <v>46</v>
      </c>
      <c r="G49" s="20">
        <v>19425</v>
      </c>
      <c r="H49" s="21">
        <v>548</v>
      </c>
      <c r="I49" s="30">
        <v>11.4</v>
      </c>
      <c r="J49" s="23">
        <v>2.38</v>
      </c>
      <c r="K49" s="24">
        <v>0.578</v>
      </c>
      <c r="L49" s="31">
        <f>K49+0.02</f>
        <v>0.598</v>
      </c>
      <c r="M49" s="32">
        <v>12.74</v>
      </c>
      <c r="N49" s="22">
        <v>3.85</v>
      </c>
      <c r="O49" s="26">
        <f t="shared" si="3"/>
        <v>83.41</v>
      </c>
      <c r="P49" s="33"/>
      <c r="Q49" s="61"/>
      <c r="R49" s="61"/>
      <c r="S49" s="61"/>
      <c r="T49" s="61"/>
    </row>
    <row r="50" spans="1:20">
      <c r="A50" s="15"/>
      <c r="B50" s="27"/>
      <c r="C50" s="16"/>
      <c r="D50" s="17"/>
      <c r="E50" s="18"/>
      <c r="F50" s="19"/>
      <c r="G50" s="20"/>
      <c r="H50" s="21"/>
      <c r="I50" s="30"/>
      <c r="J50" s="23"/>
      <c r="K50" s="24"/>
      <c r="L50" s="31"/>
      <c r="M50" s="32"/>
      <c r="N50" s="22"/>
      <c r="O50" s="26">
        <f t="shared" si="3"/>
        <v>100</v>
      </c>
      <c r="P50" s="33"/>
      <c r="Q50" s="61"/>
      <c r="R50" s="61"/>
      <c r="S50" s="61"/>
      <c r="T50" s="61"/>
    </row>
    <row r="51" spans="1:20">
      <c r="A51" s="15"/>
      <c r="B51" s="27"/>
      <c r="C51" s="16"/>
      <c r="D51" s="28"/>
      <c r="E51" s="28"/>
      <c r="F51" s="19"/>
      <c r="G51" s="20"/>
      <c r="H51" s="21"/>
      <c r="I51" s="22"/>
      <c r="J51" s="23"/>
      <c r="K51" s="24"/>
      <c r="L51" s="31"/>
      <c r="M51" s="32"/>
      <c r="N51" s="22"/>
      <c r="O51" s="26">
        <f t="shared" si="3"/>
        <v>100</v>
      </c>
      <c r="P51" s="61"/>
      <c r="Q51" s="61"/>
      <c r="R51" s="61"/>
      <c r="S51" s="61"/>
      <c r="T51" s="61"/>
    </row>
    <row r="52" spans="1:20">
      <c r="A52" s="44"/>
      <c r="B52" s="45"/>
      <c r="C52" s="46"/>
      <c r="D52" s="46"/>
      <c r="E52" s="46"/>
      <c r="F52" s="47"/>
      <c r="G52" s="48"/>
      <c r="H52" s="49"/>
      <c r="I52" s="50"/>
      <c r="J52" s="51"/>
      <c r="K52" s="52"/>
      <c r="L52" s="52"/>
      <c r="M52" s="50"/>
      <c r="N52" s="50"/>
      <c r="O52" s="53"/>
    </row>
    <row r="53" ht="15.75" spans="1:20">
      <c r="A53" s="54" t="s">
        <v>172</v>
      </c>
      <c r="B53" s="55"/>
      <c r="C53" s="55"/>
      <c r="D53" s="55"/>
      <c r="E53" s="55"/>
      <c r="F53" s="55"/>
      <c r="G53" s="56">
        <f>SUM(G5:G52)</f>
        <v>762000</v>
      </c>
      <c r="H53" s="57">
        <f>SUM(H5:H52)</f>
        <v>20003</v>
      </c>
      <c r="I53" s="58">
        <f t="shared" ref="I53:O53" si="4">AVERAGE(I5:I52)</f>
        <v>10.6733333333333</v>
      </c>
      <c r="J53" s="58">
        <f t="shared" si="4"/>
        <v>2.71139534883721</v>
      </c>
      <c r="K53" s="59">
        <f t="shared" si="4"/>
        <v>0.571279069767442</v>
      </c>
      <c r="L53" s="59">
        <f t="shared" si="4"/>
        <v>0.591279069767442</v>
      </c>
      <c r="M53" s="58">
        <f t="shared" si="4"/>
        <v>13.2795348837209</v>
      </c>
      <c r="N53" s="58">
        <f t="shared" si="4"/>
        <v>3.63837209302326</v>
      </c>
      <c r="O53" s="60">
        <f t="shared" si="4"/>
        <v>83.834</v>
      </c>
    </row>
  </sheetData>
  <mergeCells count="28">
    <mergeCell ref="K4:L4"/>
    <mergeCell ref="D12:E12"/>
    <mergeCell ref="D14:E14"/>
    <mergeCell ref="D21:E21"/>
    <mergeCell ref="D26:E26"/>
    <mergeCell ref="D28:E28"/>
    <mergeCell ref="D36:E36"/>
    <mergeCell ref="D49:E49"/>
    <mergeCell ref="C29:C30"/>
    <mergeCell ref="C31:C32"/>
    <mergeCell ref="D29:D30"/>
    <mergeCell ref="D31:D32"/>
    <mergeCell ref="E29:E30"/>
    <mergeCell ref="E31:E32"/>
    <mergeCell ref="F29:F30"/>
    <mergeCell ref="F31:F32"/>
    <mergeCell ref="J29:J30"/>
    <mergeCell ref="J31:J32"/>
    <mergeCell ref="K29:K30"/>
    <mergeCell ref="K31:K32"/>
    <mergeCell ref="L29:L30"/>
    <mergeCell ref="L31:L32"/>
    <mergeCell ref="M29:M30"/>
    <mergeCell ref="M31:M32"/>
    <mergeCell ref="N29:N30"/>
    <mergeCell ref="N31:N32"/>
    <mergeCell ref="O29:O30"/>
    <mergeCell ref="O31:O32"/>
  </mergeCells>
  <pageMargins left="0.75" right="0.75" top="1" bottom="1" header="0.5" footer="0.5"/>
  <pageSetup paperSize="9" scale="65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workbookViewId="0">
      <selection activeCell="F14" sqref="F14"/>
    </sheetView>
  </sheetViews>
  <sheetFormatPr defaultColWidth="9.14285714285714" defaultRowHeight="15"/>
  <cols>
    <col min="1" max="2" width="10"/>
    <col min="3" max="3" width="11.7142857142857" customWidth="1"/>
  </cols>
  <sheetData>
    <row r="1" ht="16.5" spans="1:16">
      <c r="A1" s="206" t="s">
        <v>399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8</v>
      </c>
      <c r="J2" s="4" t="s">
        <v>9</v>
      </c>
      <c r="K2" s="5" t="s">
        <v>10</v>
      </c>
      <c r="L2" s="6"/>
      <c r="M2" s="4" t="s">
        <v>11</v>
      </c>
      <c r="N2" s="4" t="s">
        <v>12</v>
      </c>
      <c r="O2" s="4" t="s">
        <v>13</v>
      </c>
    </row>
    <row r="3" ht="15.75" spans="1:16">
      <c r="A3" s="7" t="s">
        <v>14</v>
      </c>
      <c r="B3" s="7" t="s">
        <v>15</v>
      </c>
      <c r="C3" s="8" t="s">
        <v>16</v>
      </c>
      <c r="D3" s="8"/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/>
      <c r="K3" s="9" t="s">
        <v>22</v>
      </c>
      <c r="L3" s="10" t="s">
        <v>23</v>
      </c>
      <c r="M3" s="8" t="s">
        <v>24</v>
      </c>
      <c r="N3" s="8" t="s">
        <v>21</v>
      </c>
      <c r="O3" s="8" t="s">
        <v>25</v>
      </c>
    </row>
    <row r="4" ht="15.75" spans="1:16">
      <c r="A4" s="11"/>
      <c r="B4" s="11"/>
      <c r="C4" s="12" t="s">
        <v>26</v>
      </c>
      <c r="D4" s="12"/>
      <c r="E4" s="12"/>
      <c r="F4" s="12" t="s">
        <v>27</v>
      </c>
      <c r="G4" s="12"/>
      <c r="H4" s="12"/>
      <c r="I4" s="12" t="s">
        <v>28</v>
      </c>
      <c r="J4" s="12" t="s">
        <v>29</v>
      </c>
      <c r="K4" s="13" t="s">
        <v>30</v>
      </c>
      <c r="L4" s="14"/>
      <c r="M4" s="12" t="s">
        <v>31</v>
      </c>
      <c r="N4" s="12" t="s">
        <v>32</v>
      </c>
      <c r="O4" s="12" t="s">
        <v>33</v>
      </c>
    </row>
    <row r="5" spans="1:16">
      <c r="A5" s="15"/>
      <c r="B5" s="15"/>
      <c r="C5" s="16"/>
      <c r="D5" s="17"/>
      <c r="E5" s="18"/>
      <c r="F5" s="19"/>
      <c r="G5" s="20"/>
      <c r="H5" s="21"/>
      <c r="I5" s="22"/>
      <c r="J5" s="23"/>
      <c r="K5" s="24"/>
      <c r="L5" s="25"/>
      <c r="M5" s="22"/>
      <c r="N5" s="22"/>
      <c r="O5" s="26">
        <f t="shared" ref="O5:O29" si="0">100-M5-N5</f>
        <v>100</v>
      </c>
    </row>
    <row r="6" spans="1:16">
      <c r="A6" s="15">
        <v>46204</v>
      </c>
      <c r="B6" s="27">
        <v>46204</v>
      </c>
      <c r="C6" s="16" t="s">
        <v>39</v>
      </c>
      <c r="D6" s="28" t="s">
        <v>106</v>
      </c>
      <c r="E6" s="28" t="s">
        <v>398</v>
      </c>
      <c r="F6" s="19" t="s">
        <v>272</v>
      </c>
      <c r="G6" s="29">
        <v>20640</v>
      </c>
      <c r="H6" s="21">
        <v>580</v>
      </c>
      <c r="I6" s="30">
        <v>11.27</v>
      </c>
      <c r="J6" s="23">
        <v>3.38</v>
      </c>
      <c r="K6" s="24">
        <v>0.581</v>
      </c>
      <c r="L6" s="31">
        <f>K6+0.02</f>
        <v>0.601</v>
      </c>
      <c r="M6" s="32">
        <v>13.96</v>
      </c>
      <c r="N6" s="22">
        <v>3.64</v>
      </c>
      <c r="O6" s="26">
        <f t="shared" si="0"/>
        <v>82.4</v>
      </c>
      <c r="P6" s="33" t="s">
        <v>400</v>
      </c>
    </row>
    <row r="7" spans="1:16">
      <c r="A7" s="15"/>
      <c r="B7" s="27"/>
      <c r="C7" s="16" t="s">
        <v>39</v>
      </c>
      <c r="D7" s="28" t="s">
        <v>106</v>
      </c>
      <c r="E7" s="28" t="s">
        <v>398</v>
      </c>
      <c r="F7" s="19" t="s">
        <v>178</v>
      </c>
      <c r="G7" s="29">
        <v>10870</v>
      </c>
      <c r="H7" s="21">
        <v>270</v>
      </c>
      <c r="I7" s="30">
        <v>11.6</v>
      </c>
      <c r="J7" s="23">
        <v>2.77</v>
      </c>
      <c r="K7" s="24">
        <v>0.565</v>
      </c>
      <c r="L7" s="31">
        <f>K7+0.02</f>
        <v>0.585</v>
      </c>
      <c r="M7" s="32">
        <v>14.08</v>
      </c>
      <c r="N7" s="22">
        <v>2.99</v>
      </c>
      <c r="O7" s="26">
        <f t="shared" si="0"/>
        <v>82.93</v>
      </c>
      <c r="P7" s="33" t="s">
        <v>400</v>
      </c>
    </row>
    <row r="8" spans="1:16">
      <c r="A8" s="15">
        <v>46205</v>
      </c>
      <c r="B8" s="27">
        <v>46205</v>
      </c>
      <c r="C8" s="16" t="s">
        <v>39</v>
      </c>
      <c r="D8" s="17" t="s">
        <v>40</v>
      </c>
      <c r="E8" s="18" t="s">
        <v>401</v>
      </c>
      <c r="F8" s="19" t="s">
        <v>42</v>
      </c>
      <c r="G8" s="20">
        <v>12725</v>
      </c>
      <c r="H8" s="21">
        <v>286</v>
      </c>
      <c r="I8" s="22">
        <v>8.8</v>
      </c>
      <c r="J8" s="23">
        <v>3.39</v>
      </c>
      <c r="K8" s="24">
        <v>0.571</v>
      </c>
      <c r="L8" s="31">
        <f>K8+0.02</f>
        <v>0.591</v>
      </c>
      <c r="M8" s="32">
        <v>11.47</v>
      </c>
      <c r="N8" s="22">
        <v>2.54</v>
      </c>
      <c r="O8" s="26">
        <f t="shared" si="0"/>
        <v>85.99</v>
      </c>
    </row>
    <row r="9" spans="1:16">
      <c r="A9" s="15"/>
      <c r="B9" s="27"/>
      <c r="C9" s="16" t="s">
        <v>34</v>
      </c>
      <c r="D9" s="17" t="s">
        <v>98</v>
      </c>
      <c r="E9" s="18" t="s">
        <v>396</v>
      </c>
      <c r="F9" s="19" t="s">
        <v>37</v>
      </c>
      <c r="G9" s="29">
        <v>21789</v>
      </c>
      <c r="H9" s="21">
        <v>583</v>
      </c>
      <c r="I9" s="30">
        <v>12.87</v>
      </c>
      <c r="J9" s="23">
        <v>2.46</v>
      </c>
      <c r="K9" s="24">
        <v>0.575</v>
      </c>
      <c r="L9" s="31">
        <f>K9+0.02</f>
        <v>0.595</v>
      </c>
      <c r="M9" s="32">
        <v>11.87</v>
      </c>
      <c r="N9" s="22">
        <v>2.38</v>
      </c>
      <c r="O9" s="26">
        <f t="shared" si="0"/>
        <v>85.75</v>
      </c>
      <c r="P9" s="34" t="s">
        <v>402</v>
      </c>
    </row>
    <row r="10" spans="1:16">
      <c r="A10" s="15"/>
      <c r="B10" s="27"/>
      <c r="C10" s="16" t="s">
        <v>53</v>
      </c>
      <c r="D10" s="17" t="s">
        <v>44</v>
      </c>
      <c r="E10" s="18" t="s">
        <v>375</v>
      </c>
      <c r="F10" s="19" t="s">
        <v>403</v>
      </c>
      <c r="G10" s="20">
        <v>23930</v>
      </c>
      <c r="H10" s="21">
        <v>625</v>
      </c>
      <c r="I10" s="30">
        <v>12.27</v>
      </c>
      <c r="J10" s="23">
        <v>2.6</v>
      </c>
      <c r="K10" s="24">
        <v>0.578</v>
      </c>
      <c r="L10" s="31">
        <f>K10+0.02</f>
        <v>0.598</v>
      </c>
      <c r="M10" s="32">
        <v>12.07</v>
      </c>
      <c r="N10" s="22">
        <v>2.86</v>
      </c>
      <c r="O10" s="26">
        <f t="shared" si="0"/>
        <v>85.07</v>
      </c>
    </row>
    <row r="11" spans="1:16">
      <c r="A11" s="15"/>
      <c r="B11" s="27"/>
      <c r="C11" s="16"/>
      <c r="D11" s="17"/>
      <c r="E11" s="28"/>
      <c r="F11" s="19"/>
      <c r="G11" s="20"/>
      <c r="H11" s="21"/>
      <c r="I11" s="22"/>
      <c r="J11" s="23"/>
      <c r="K11" s="24"/>
      <c r="L11" s="31"/>
      <c r="M11" s="32"/>
      <c r="N11" s="22"/>
      <c r="O11" s="26">
        <f t="shared" si="0"/>
        <v>100</v>
      </c>
    </row>
    <row r="12" spans="1:16">
      <c r="A12" s="15"/>
      <c r="B12" s="27"/>
      <c r="C12" s="16"/>
      <c r="D12" s="17"/>
      <c r="E12" s="35"/>
      <c r="F12" s="19"/>
      <c r="G12" s="20"/>
      <c r="H12" s="21"/>
      <c r="I12" s="30"/>
      <c r="J12" s="23"/>
      <c r="K12" s="24"/>
      <c r="L12" s="31"/>
      <c r="M12" s="32"/>
      <c r="N12" s="22"/>
      <c r="O12" s="26">
        <f t="shared" si="0"/>
        <v>100</v>
      </c>
    </row>
    <row r="13" spans="1:16">
      <c r="A13" s="15"/>
      <c r="B13" s="27"/>
      <c r="C13" s="16"/>
      <c r="D13" s="17"/>
      <c r="E13" s="18"/>
      <c r="F13" s="19"/>
      <c r="G13" s="20"/>
      <c r="H13" s="21"/>
      <c r="I13" s="30"/>
      <c r="J13" s="23"/>
      <c r="K13" s="24"/>
      <c r="L13" s="31"/>
      <c r="M13" s="32"/>
      <c r="N13" s="22"/>
      <c r="O13" s="26">
        <f t="shared" si="0"/>
        <v>100</v>
      </c>
    </row>
    <row r="14" spans="1:16">
      <c r="A14" s="15"/>
      <c r="B14" s="27"/>
      <c r="C14" s="16"/>
      <c r="D14" s="17"/>
      <c r="E14" s="35"/>
      <c r="F14" s="19"/>
      <c r="G14" s="20"/>
      <c r="H14" s="21"/>
      <c r="I14" s="22"/>
      <c r="J14" s="23"/>
      <c r="K14" s="24"/>
      <c r="L14" s="31"/>
      <c r="M14" s="32"/>
      <c r="N14" s="22"/>
      <c r="O14" s="26">
        <f t="shared" si="0"/>
        <v>100</v>
      </c>
    </row>
    <row r="15" spans="1:16">
      <c r="A15" s="15"/>
      <c r="B15" s="27"/>
      <c r="C15" s="16"/>
      <c r="D15" s="17"/>
      <c r="E15" s="18"/>
      <c r="F15" s="19"/>
      <c r="G15" s="20"/>
      <c r="H15" s="21"/>
      <c r="I15" s="30"/>
      <c r="J15" s="23"/>
      <c r="K15" s="24"/>
      <c r="L15" s="31"/>
      <c r="M15" s="32"/>
      <c r="N15" s="22"/>
      <c r="O15" s="26">
        <f t="shared" si="0"/>
        <v>100</v>
      </c>
    </row>
    <row r="16" spans="1:16">
      <c r="A16" s="15"/>
      <c r="B16" s="27"/>
      <c r="C16" s="16"/>
      <c r="D16" s="17"/>
      <c r="E16" s="28"/>
      <c r="F16" s="19"/>
      <c r="G16" s="20"/>
      <c r="H16" s="21"/>
      <c r="I16" s="30"/>
      <c r="J16" s="23"/>
      <c r="K16" s="24"/>
      <c r="L16" s="31"/>
      <c r="M16" s="32"/>
      <c r="N16" s="22"/>
      <c r="O16" s="26">
        <f t="shared" si="0"/>
        <v>100</v>
      </c>
    </row>
    <row r="17" spans="1:15">
      <c r="A17" s="15"/>
      <c r="B17" s="27"/>
      <c r="C17" s="16"/>
      <c r="D17" s="17"/>
      <c r="E17" s="18"/>
      <c r="F17" s="19"/>
      <c r="G17" s="20"/>
      <c r="H17" s="21"/>
      <c r="I17" s="22"/>
      <c r="J17" s="23"/>
      <c r="K17" s="24"/>
      <c r="L17" s="31"/>
      <c r="M17" s="32"/>
      <c r="N17" s="22"/>
      <c r="O17" s="26">
        <f t="shared" si="0"/>
        <v>100</v>
      </c>
    </row>
    <row r="18" spans="1:15">
      <c r="A18" s="15"/>
      <c r="B18" s="27"/>
      <c r="C18" s="16"/>
      <c r="D18" s="17"/>
      <c r="E18" s="18"/>
      <c r="F18" s="19"/>
      <c r="G18" s="20"/>
      <c r="H18" s="21"/>
      <c r="I18" s="30"/>
      <c r="J18" s="23"/>
      <c r="K18" s="24"/>
      <c r="L18" s="31"/>
      <c r="M18" s="32"/>
      <c r="N18" s="22"/>
      <c r="O18" s="26">
        <f t="shared" si="0"/>
        <v>100</v>
      </c>
    </row>
    <row r="19" spans="1:15">
      <c r="A19" s="15"/>
      <c r="B19" s="27"/>
      <c r="C19" s="16"/>
      <c r="D19" s="17"/>
      <c r="E19" s="18"/>
      <c r="F19" s="19"/>
      <c r="G19" s="20"/>
      <c r="H19" s="21"/>
      <c r="I19" s="30"/>
      <c r="J19" s="23"/>
      <c r="K19" s="24"/>
      <c r="L19" s="31"/>
      <c r="M19" s="32"/>
      <c r="N19" s="22"/>
      <c r="O19" s="26">
        <f t="shared" si="0"/>
        <v>100</v>
      </c>
    </row>
    <row r="20" spans="1:15">
      <c r="A20" s="15"/>
      <c r="B20" s="27"/>
      <c r="C20" s="16"/>
      <c r="D20" s="17"/>
      <c r="E20" s="28"/>
      <c r="F20" s="19"/>
      <c r="G20" s="20"/>
      <c r="H20" s="21"/>
      <c r="I20" s="22"/>
      <c r="J20" s="23"/>
      <c r="K20" s="24"/>
      <c r="L20" s="31"/>
      <c r="M20" s="32"/>
      <c r="N20" s="22"/>
      <c r="O20" s="26">
        <f t="shared" si="0"/>
        <v>100</v>
      </c>
    </row>
    <row r="21" spans="1:15">
      <c r="A21" s="15"/>
      <c r="B21" s="27"/>
      <c r="C21" s="16"/>
      <c r="D21" s="17"/>
      <c r="E21" s="35"/>
      <c r="F21" s="19"/>
      <c r="G21" s="20"/>
      <c r="H21" s="21"/>
      <c r="I21" s="30"/>
      <c r="J21" s="23"/>
      <c r="K21" s="24"/>
      <c r="L21" s="31"/>
      <c r="M21" s="32"/>
      <c r="N21" s="22"/>
      <c r="O21" s="26">
        <f t="shared" si="0"/>
        <v>100</v>
      </c>
    </row>
    <row r="22" spans="1:15">
      <c r="A22" s="15"/>
      <c r="B22" s="27"/>
      <c r="C22" s="16"/>
      <c r="D22" s="17"/>
      <c r="E22" s="18"/>
      <c r="F22" s="19"/>
      <c r="G22" s="20"/>
      <c r="H22" s="21"/>
      <c r="I22" s="30"/>
      <c r="J22" s="23"/>
      <c r="K22" s="24"/>
      <c r="L22" s="31"/>
      <c r="M22" s="32"/>
      <c r="N22" s="22"/>
      <c r="O22" s="26">
        <f t="shared" si="0"/>
        <v>100</v>
      </c>
    </row>
    <row r="23" spans="1:15">
      <c r="A23" s="15"/>
      <c r="B23" s="27"/>
      <c r="C23" s="16"/>
      <c r="D23" s="28"/>
      <c r="E23" s="28"/>
      <c r="F23" s="19"/>
      <c r="G23" s="20"/>
      <c r="H23" s="21"/>
      <c r="I23" s="22"/>
      <c r="J23" s="23"/>
      <c r="K23" s="24"/>
      <c r="L23" s="31"/>
      <c r="M23" s="32"/>
      <c r="N23" s="22"/>
      <c r="O23" s="26">
        <f t="shared" si="0"/>
        <v>100</v>
      </c>
    </row>
    <row r="24" spans="1:15">
      <c r="A24" s="15"/>
      <c r="B24" s="27"/>
      <c r="C24" s="16"/>
      <c r="D24" s="28"/>
      <c r="E24" s="28"/>
      <c r="F24" s="19"/>
      <c r="G24" s="20"/>
      <c r="H24" s="21"/>
      <c r="I24" s="30"/>
      <c r="J24" s="23"/>
      <c r="K24" s="24"/>
      <c r="L24" s="31"/>
      <c r="M24" s="32"/>
      <c r="N24" s="22"/>
      <c r="O24" s="26">
        <f t="shared" si="0"/>
        <v>100</v>
      </c>
    </row>
    <row r="25" spans="1:15">
      <c r="A25" s="15"/>
      <c r="B25" s="27"/>
      <c r="C25" s="16"/>
      <c r="D25" s="28"/>
      <c r="E25" s="28"/>
      <c r="F25" s="19"/>
      <c r="G25" s="20"/>
      <c r="H25" s="21"/>
      <c r="I25" s="30"/>
      <c r="J25" s="23"/>
      <c r="K25" s="24"/>
      <c r="L25" s="31"/>
      <c r="M25" s="32"/>
      <c r="N25" s="22"/>
      <c r="O25" s="26">
        <f t="shared" si="0"/>
        <v>100</v>
      </c>
    </row>
    <row r="26" spans="1:15">
      <c r="A26" s="15"/>
      <c r="B26" s="27"/>
      <c r="C26" s="16"/>
      <c r="D26" s="17"/>
      <c r="E26" s="35"/>
      <c r="F26" s="19"/>
      <c r="G26" s="20"/>
      <c r="H26" s="21"/>
      <c r="I26" s="30"/>
      <c r="J26" s="23"/>
      <c r="K26" s="24"/>
      <c r="L26" s="31"/>
      <c r="M26" s="32"/>
      <c r="N26" s="22"/>
      <c r="O26" s="26">
        <f t="shared" si="0"/>
        <v>100</v>
      </c>
    </row>
    <row r="27" spans="1:15">
      <c r="A27" s="15"/>
      <c r="B27" s="27"/>
      <c r="C27" s="16"/>
      <c r="D27" s="17"/>
      <c r="E27" s="28"/>
      <c r="F27" s="19"/>
      <c r="G27" s="20"/>
      <c r="H27" s="21"/>
      <c r="I27" s="30"/>
      <c r="J27" s="23"/>
      <c r="K27" s="24"/>
      <c r="L27" s="31"/>
      <c r="M27" s="32"/>
      <c r="N27" s="22"/>
      <c r="O27" s="26">
        <f t="shared" si="0"/>
        <v>100</v>
      </c>
    </row>
    <row r="28" spans="1:15">
      <c r="A28" s="15"/>
      <c r="B28" s="27"/>
      <c r="C28" s="16"/>
      <c r="D28" s="17"/>
      <c r="E28" s="35"/>
      <c r="F28" s="19"/>
      <c r="G28" s="20"/>
      <c r="H28" s="21"/>
      <c r="I28" s="30"/>
      <c r="J28" s="23"/>
      <c r="K28" s="24"/>
      <c r="L28" s="31"/>
      <c r="M28" s="32"/>
      <c r="N28" s="22"/>
      <c r="O28" s="26">
        <f t="shared" si="0"/>
        <v>100</v>
      </c>
    </row>
    <row r="29" spans="1:15">
      <c r="A29" s="15"/>
      <c r="B29" s="27"/>
      <c r="C29" s="36"/>
      <c r="D29" s="28"/>
      <c r="E29" s="28"/>
      <c r="F29" s="36"/>
      <c r="G29" s="20"/>
      <c r="H29" s="21"/>
      <c r="I29" s="22"/>
      <c r="J29" s="37"/>
      <c r="K29" s="38"/>
      <c r="L29" s="39"/>
      <c r="M29" s="40"/>
      <c r="N29" s="41"/>
      <c r="O29" s="42">
        <f t="shared" si="0"/>
        <v>100</v>
      </c>
    </row>
    <row r="30" spans="1:15">
      <c r="A30" s="15"/>
      <c r="B30" s="27"/>
      <c r="C30" s="36"/>
      <c r="D30" s="28"/>
      <c r="E30" s="28"/>
      <c r="F30" s="36"/>
      <c r="G30" s="20"/>
      <c r="H30" s="21"/>
      <c r="I30" s="30"/>
      <c r="J30" s="37"/>
      <c r="K30" s="38"/>
      <c r="L30" s="39"/>
      <c r="M30" s="40"/>
      <c r="N30" s="41"/>
      <c r="O30" s="42"/>
    </row>
    <row r="31" spans="1:15">
      <c r="A31" s="15"/>
      <c r="B31" s="27"/>
      <c r="C31" s="36"/>
      <c r="D31" s="28"/>
      <c r="E31" s="28"/>
      <c r="F31" s="36"/>
      <c r="G31" s="20"/>
      <c r="H31" s="21"/>
      <c r="I31" s="30"/>
      <c r="J31" s="37"/>
      <c r="K31" s="38"/>
      <c r="L31" s="39"/>
      <c r="M31" s="40"/>
      <c r="N31" s="41"/>
      <c r="O31" s="42">
        <f t="shared" ref="O31:O51" si="1">100-M31-N31</f>
        <v>100</v>
      </c>
    </row>
    <row r="32" spans="1:15">
      <c r="A32" s="15"/>
      <c r="B32" s="27"/>
      <c r="C32" s="36"/>
      <c r="D32" s="28"/>
      <c r="E32" s="28"/>
      <c r="F32" s="36"/>
      <c r="G32" s="20"/>
      <c r="H32" s="21"/>
      <c r="I32" s="30"/>
      <c r="J32" s="37"/>
      <c r="K32" s="38"/>
      <c r="L32" s="39"/>
      <c r="M32" s="40"/>
      <c r="N32" s="41"/>
      <c r="O32" s="42"/>
    </row>
    <row r="33" spans="1:15">
      <c r="A33" s="15"/>
      <c r="B33" s="27"/>
      <c r="C33" s="16"/>
      <c r="D33" s="17"/>
      <c r="E33" s="18"/>
      <c r="F33" s="19"/>
      <c r="G33" s="20"/>
      <c r="H33" s="21"/>
      <c r="I33" s="30"/>
      <c r="J33" s="23"/>
      <c r="K33" s="24"/>
      <c r="L33" s="31"/>
      <c r="M33" s="32"/>
      <c r="N33" s="22"/>
      <c r="O33" s="26">
        <f t="shared" si="1"/>
        <v>100</v>
      </c>
    </row>
    <row r="34" spans="1:15">
      <c r="A34" s="15"/>
      <c r="B34" s="27"/>
      <c r="C34" s="16"/>
      <c r="D34" s="17"/>
      <c r="E34" s="18"/>
      <c r="F34" s="19"/>
      <c r="G34" s="20"/>
      <c r="H34" s="21"/>
      <c r="I34" s="30"/>
      <c r="J34" s="23"/>
      <c r="K34" s="24"/>
      <c r="L34" s="31"/>
      <c r="M34" s="32"/>
      <c r="N34" s="22"/>
      <c r="O34" s="26">
        <f t="shared" si="1"/>
        <v>100</v>
      </c>
    </row>
    <row r="35" spans="1:15">
      <c r="A35" s="15"/>
      <c r="B35" s="27"/>
      <c r="C35" s="16"/>
      <c r="D35" s="17"/>
      <c r="E35" s="18"/>
      <c r="F35" s="19"/>
      <c r="G35" s="20"/>
      <c r="H35" s="21"/>
      <c r="I35" s="22"/>
      <c r="J35" s="23"/>
      <c r="K35" s="24"/>
      <c r="L35" s="31"/>
      <c r="M35" s="32"/>
      <c r="N35" s="22"/>
      <c r="O35" s="26">
        <f t="shared" si="1"/>
        <v>100</v>
      </c>
    </row>
    <row r="36" spans="1:15">
      <c r="A36" s="15"/>
      <c r="B36" s="27"/>
      <c r="C36" s="16"/>
      <c r="D36" s="17"/>
      <c r="E36" s="35"/>
      <c r="F36" s="19"/>
      <c r="G36" s="20"/>
      <c r="H36" s="21"/>
      <c r="I36" s="30"/>
      <c r="J36" s="23"/>
      <c r="K36" s="24"/>
      <c r="L36" s="31"/>
      <c r="M36" s="32"/>
      <c r="N36" s="22"/>
      <c r="O36" s="26">
        <f t="shared" si="1"/>
        <v>100</v>
      </c>
    </row>
    <row r="37" spans="1:15">
      <c r="A37" s="15"/>
      <c r="B37" s="27"/>
      <c r="C37" s="16"/>
      <c r="D37" s="17"/>
      <c r="E37" s="18"/>
      <c r="F37" s="19"/>
      <c r="G37" s="20"/>
      <c r="H37" s="21"/>
      <c r="I37" s="30"/>
      <c r="J37" s="23"/>
      <c r="K37" s="24"/>
      <c r="L37" s="31"/>
      <c r="M37" s="32"/>
      <c r="N37" s="22"/>
      <c r="O37" s="26">
        <f t="shared" si="1"/>
        <v>100</v>
      </c>
    </row>
    <row r="38" spans="1:15">
      <c r="A38" s="15"/>
      <c r="B38" s="27"/>
      <c r="C38" s="16"/>
      <c r="D38" s="17"/>
      <c r="E38" s="18"/>
      <c r="F38" s="19"/>
      <c r="G38" s="20"/>
      <c r="H38" s="21"/>
      <c r="I38" s="22"/>
      <c r="J38" s="23"/>
      <c r="K38" s="24"/>
      <c r="L38" s="31"/>
      <c r="M38" s="32"/>
      <c r="N38" s="22"/>
      <c r="O38" s="26">
        <f t="shared" si="1"/>
        <v>100</v>
      </c>
    </row>
    <row r="39" spans="1:15">
      <c r="A39" s="15"/>
      <c r="B39" s="27"/>
      <c r="C39" s="16"/>
      <c r="D39" s="17"/>
      <c r="E39" s="18"/>
      <c r="F39" s="19"/>
      <c r="G39" s="20"/>
      <c r="H39" s="21"/>
      <c r="I39" s="22"/>
      <c r="J39" s="23"/>
      <c r="K39" s="24"/>
      <c r="L39" s="31"/>
      <c r="M39" s="32"/>
      <c r="N39" s="22"/>
      <c r="O39" s="26">
        <f t="shared" si="1"/>
        <v>100</v>
      </c>
    </row>
    <row r="40" spans="1:15">
      <c r="A40" s="15"/>
      <c r="B40" s="27"/>
      <c r="C40" s="16"/>
      <c r="D40" s="17"/>
      <c r="E40" s="18"/>
      <c r="F40" s="19"/>
      <c r="G40" s="20"/>
      <c r="H40" s="21"/>
      <c r="I40" s="30"/>
      <c r="J40" s="23"/>
      <c r="K40" s="24"/>
      <c r="L40" s="31"/>
      <c r="M40" s="32"/>
      <c r="N40" s="22"/>
      <c r="O40" s="26">
        <f t="shared" si="1"/>
        <v>100</v>
      </c>
    </row>
    <row r="41" spans="1:15">
      <c r="A41" s="15"/>
      <c r="B41" s="27"/>
      <c r="C41" s="16"/>
      <c r="D41" s="17"/>
      <c r="E41" s="18"/>
      <c r="F41" s="19"/>
      <c r="G41" s="20"/>
      <c r="H41" s="21"/>
      <c r="I41" s="30"/>
      <c r="J41" s="23"/>
      <c r="K41" s="24"/>
      <c r="L41" s="31"/>
      <c r="M41" s="32"/>
      <c r="N41" s="22"/>
      <c r="O41" s="26">
        <f t="shared" si="1"/>
        <v>100</v>
      </c>
    </row>
    <row r="42" spans="1:15">
      <c r="A42" s="15"/>
      <c r="B42" s="27"/>
      <c r="C42" s="16"/>
      <c r="D42" s="17"/>
      <c r="E42" s="18"/>
      <c r="F42" s="19"/>
      <c r="G42" s="20"/>
      <c r="H42" s="21"/>
      <c r="I42" s="22"/>
      <c r="J42" s="23"/>
      <c r="K42" s="24"/>
      <c r="L42" s="31"/>
      <c r="M42" s="32"/>
      <c r="N42" s="22"/>
      <c r="O42" s="26">
        <f t="shared" si="1"/>
        <v>100</v>
      </c>
    </row>
    <row r="43" spans="1:15">
      <c r="A43" s="15"/>
      <c r="B43" s="27"/>
      <c r="C43" s="16"/>
      <c r="D43" s="17"/>
      <c r="E43" s="18"/>
      <c r="F43" s="19"/>
      <c r="G43" s="20"/>
      <c r="H43" s="21"/>
      <c r="I43" s="30"/>
      <c r="J43" s="23"/>
      <c r="K43" s="24"/>
      <c r="L43" s="31"/>
      <c r="M43" s="32"/>
      <c r="N43" s="22"/>
      <c r="O43" s="26">
        <f t="shared" si="1"/>
        <v>100</v>
      </c>
    </row>
    <row r="44" spans="1:15">
      <c r="A44" s="15"/>
      <c r="B44" s="27"/>
      <c r="C44" s="16"/>
      <c r="D44" s="17"/>
      <c r="E44" s="18"/>
      <c r="F44" s="19"/>
      <c r="G44" s="20"/>
      <c r="H44" s="21"/>
      <c r="I44" s="30"/>
      <c r="J44" s="23"/>
      <c r="K44" s="24"/>
      <c r="L44" s="31"/>
      <c r="M44" s="32"/>
      <c r="N44" s="22"/>
      <c r="O44" s="26">
        <f t="shared" si="1"/>
        <v>100</v>
      </c>
    </row>
    <row r="45" spans="1:15">
      <c r="A45" s="15"/>
      <c r="B45" s="27"/>
      <c r="C45" s="16"/>
      <c r="D45" s="17"/>
      <c r="E45" s="18"/>
      <c r="F45" s="19"/>
      <c r="G45" s="20"/>
      <c r="H45" s="21"/>
      <c r="I45" s="22"/>
      <c r="J45" s="23"/>
      <c r="K45" s="24"/>
      <c r="L45" s="31"/>
      <c r="M45" s="32"/>
      <c r="N45" s="22"/>
      <c r="O45" s="26">
        <f t="shared" si="1"/>
        <v>100</v>
      </c>
    </row>
    <row r="46" spans="1:15">
      <c r="A46" s="15"/>
      <c r="B46" s="15"/>
      <c r="C46" s="16"/>
      <c r="D46" s="28"/>
      <c r="E46" s="28"/>
      <c r="F46" s="19"/>
      <c r="G46" s="20"/>
      <c r="H46" s="21"/>
      <c r="I46" s="22"/>
      <c r="J46" s="23"/>
      <c r="K46" s="24"/>
      <c r="L46" s="43"/>
      <c r="M46" s="32"/>
      <c r="N46" s="22"/>
      <c r="O46" s="26">
        <f t="shared" si="1"/>
        <v>100</v>
      </c>
    </row>
    <row r="47" spans="1:15">
      <c r="A47" s="15"/>
      <c r="B47" s="27"/>
      <c r="C47" s="16"/>
      <c r="D47" s="28"/>
      <c r="E47" s="28"/>
      <c r="F47" s="19"/>
      <c r="G47" s="20"/>
      <c r="H47" s="21"/>
      <c r="I47" s="30"/>
      <c r="J47" s="23"/>
      <c r="K47" s="24"/>
      <c r="L47" s="43"/>
      <c r="M47" s="32"/>
      <c r="N47" s="22"/>
      <c r="O47" s="26">
        <f t="shared" si="1"/>
        <v>100</v>
      </c>
    </row>
    <row r="48" spans="1:15">
      <c r="A48" s="15"/>
      <c r="B48" s="27"/>
      <c r="C48" s="16"/>
      <c r="D48" s="28"/>
      <c r="E48" s="28"/>
      <c r="F48" s="19"/>
      <c r="G48" s="20"/>
      <c r="H48" s="21"/>
      <c r="I48" s="22"/>
      <c r="J48" s="23"/>
      <c r="K48" s="24"/>
      <c r="L48" s="31"/>
      <c r="M48" s="32"/>
      <c r="N48" s="22"/>
      <c r="O48" s="26">
        <f t="shared" si="1"/>
        <v>100</v>
      </c>
    </row>
    <row r="49" spans="1:15">
      <c r="A49" s="15"/>
      <c r="B49" s="27"/>
      <c r="C49" s="16"/>
      <c r="D49" s="17"/>
      <c r="E49" s="35"/>
      <c r="F49" s="19"/>
      <c r="G49" s="20"/>
      <c r="H49" s="21"/>
      <c r="I49" s="30"/>
      <c r="J49" s="23"/>
      <c r="K49" s="24"/>
      <c r="L49" s="31"/>
      <c r="M49" s="32"/>
      <c r="N49" s="22"/>
      <c r="O49" s="26">
        <f t="shared" si="1"/>
        <v>100</v>
      </c>
    </row>
    <row r="50" spans="1:15">
      <c r="A50" s="15"/>
      <c r="B50" s="27"/>
      <c r="C50" s="16"/>
      <c r="D50" s="17"/>
      <c r="E50" s="18"/>
      <c r="F50" s="19"/>
      <c r="G50" s="20"/>
      <c r="H50" s="21"/>
      <c r="I50" s="30"/>
      <c r="J50" s="23"/>
      <c r="K50" s="24"/>
      <c r="L50" s="31"/>
      <c r="M50" s="32"/>
      <c r="N50" s="22"/>
      <c r="O50" s="26">
        <f t="shared" si="1"/>
        <v>100</v>
      </c>
    </row>
    <row r="51" spans="1:15">
      <c r="A51" s="15"/>
      <c r="B51" s="27"/>
      <c r="C51" s="16"/>
      <c r="D51" s="28"/>
      <c r="E51" s="28"/>
      <c r="F51" s="19"/>
      <c r="G51" s="20"/>
      <c r="H51" s="21"/>
      <c r="I51" s="22"/>
      <c r="J51" s="23"/>
      <c r="K51" s="24"/>
      <c r="L51" s="31"/>
      <c r="M51" s="32"/>
      <c r="N51" s="22"/>
      <c r="O51" s="26">
        <f t="shared" si="1"/>
        <v>100</v>
      </c>
    </row>
    <row r="52" spans="1:15">
      <c r="A52" s="44"/>
      <c r="B52" s="45"/>
      <c r="C52" s="46"/>
      <c r="D52" s="46"/>
      <c r="E52" s="46"/>
      <c r="F52" s="47"/>
      <c r="G52" s="48"/>
      <c r="H52" s="49"/>
      <c r="I52" s="50"/>
      <c r="J52" s="51"/>
      <c r="K52" s="52"/>
      <c r="L52" s="52"/>
      <c r="M52" s="50"/>
      <c r="N52" s="50"/>
      <c r="O52" s="53"/>
    </row>
    <row r="53" ht="15.75" spans="1:15">
      <c r="A53" s="54" t="s">
        <v>172</v>
      </c>
      <c r="B53" s="55"/>
      <c r="C53" s="55"/>
      <c r="D53" s="55"/>
      <c r="E53" s="55"/>
      <c r="F53" s="55"/>
      <c r="G53" s="56">
        <f>SUM(G5:G52)</f>
        <v>89954</v>
      </c>
      <c r="H53" s="57">
        <f>SUM(H5:H52)</f>
        <v>2344</v>
      </c>
      <c r="I53" s="58">
        <f t="shared" ref="I53:O53" si="2">AVERAGE(I5:I52)</f>
        <v>11.362</v>
      </c>
      <c r="J53" s="58">
        <f t="shared" si="2"/>
        <v>2.92</v>
      </c>
      <c r="K53" s="59">
        <f t="shared" si="2"/>
        <v>0.574</v>
      </c>
      <c r="L53" s="59">
        <f t="shared" si="2"/>
        <v>0.594</v>
      </c>
      <c r="M53" s="58">
        <f t="shared" si="2"/>
        <v>12.69</v>
      </c>
      <c r="N53" s="58">
        <f t="shared" si="2"/>
        <v>2.882</v>
      </c>
      <c r="O53" s="60">
        <f t="shared" si="2"/>
        <v>98.2697777777778</v>
      </c>
    </row>
  </sheetData>
  <mergeCells count="28">
    <mergeCell ref="K4:L4"/>
    <mergeCell ref="D12:E12"/>
    <mergeCell ref="D14:E14"/>
    <mergeCell ref="D21:E21"/>
    <mergeCell ref="D26:E26"/>
    <mergeCell ref="D28:E28"/>
    <mergeCell ref="D36:E36"/>
    <mergeCell ref="D49:E49"/>
    <mergeCell ref="C29:C30"/>
    <mergeCell ref="C31:C32"/>
    <mergeCell ref="D29:D30"/>
    <mergeCell ref="D31:D32"/>
    <mergeCell ref="E29:E30"/>
    <mergeCell ref="E31:E32"/>
    <mergeCell ref="F29:F30"/>
    <mergeCell ref="F31:F32"/>
    <mergeCell ref="J29:J30"/>
    <mergeCell ref="J31:J32"/>
    <mergeCell ref="K29:K30"/>
    <mergeCell ref="K31:K32"/>
    <mergeCell ref="L29:L30"/>
    <mergeCell ref="L31:L32"/>
    <mergeCell ref="M29:M30"/>
    <mergeCell ref="M31:M32"/>
    <mergeCell ref="N29:N30"/>
    <mergeCell ref="N31:N32"/>
    <mergeCell ref="O29:O30"/>
    <mergeCell ref="O31:O3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JANUARY 2026</vt:lpstr>
      <vt:lpstr>FEBRUARY 2026</vt:lpstr>
      <vt:lpstr>MARCH 2026</vt:lpstr>
      <vt:lpstr>APRIL 2026</vt:lpstr>
      <vt:lpstr>MAY 2026</vt:lpstr>
      <vt:lpstr>JUNE 2026</vt:lpstr>
      <vt:lpstr>JULY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WPS_1684995436</cp:lastModifiedBy>
  <dcterms:created xsi:type="dcterms:W3CDTF">2026-01-02T05:59:00Z</dcterms:created>
  <dcterms:modified xsi:type="dcterms:W3CDTF">2026-07-03T03:22:59Z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A6821FDE3723408ABA4E973A502D4D9A_13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