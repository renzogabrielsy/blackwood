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2"/>
  </bookViews>
  <sheets>
    <sheet name="JUNE 30" sheetId="1" r:id="rId1"/>
    <sheet name="JULY 1" sheetId="2" r:id="rId2"/>
    <sheet name="JULY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<sst xmlns="http://schemas.openxmlformats.org/spreadsheetml/2006/main" count="365" uniqueCount="61">
  <si>
    <t xml:space="preserve">DAILY REPORT OF RAW CHARCOAL FED </t>
  </si>
  <si>
    <t xml:space="preserve">DATE </t>
  </si>
  <si>
    <t>JUNE 30,2026</t>
  </si>
  <si>
    <t>STARTING OF JULY FEEDING</t>
  </si>
  <si>
    <t>PALLET</t>
  </si>
  <si>
    <t>BLOCK</t>
  </si>
  <si>
    <t>DONE FEEDING</t>
  </si>
  <si>
    <t>NO.</t>
  </si>
  <si>
    <t>ORNALES</t>
  </si>
  <si>
    <t>WHSE #</t>
  </si>
  <si>
    <t>C-6A</t>
  </si>
  <si>
    <t>STRT. BAL</t>
  </si>
  <si>
    <t>BLOCK DATE</t>
  </si>
  <si>
    <t>DAY TOTAL</t>
  </si>
  <si>
    <t>BLOCK NO.</t>
  </si>
  <si>
    <t># 9</t>
  </si>
  <si>
    <t>END BAL.</t>
  </si>
  <si>
    <t>Gross weight</t>
  </si>
  <si>
    <t>REMARKS</t>
  </si>
  <si>
    <t>DONE</t>
  </si>
  <si>
    <t>Pallet</t>
  </si>
  <si>
    <t>Net</t>
  </si>
  <si>
    <t>A-5B</t>
  </si>
  <si>
    <t># 26</t>
  </si>
  <si>
    <t>FOR FEEDING</t>
  </si>
  <si>
    <t>OPENED FEEDING: BLOCKING</t>
  </si>
  <si>
    <t>C-11B</t>
  </si>
  <si>
    <t>MC AVERAGE:</t>
  </si>
  <si>
    <t xml:space="preserve">OPEN MC: </t>
  </si>
  <si>
    <t>ASH:</t>
  </si>
  <si>
    <t>TAG-AT</t>
  </si>
  <si>
    <t>D-7B</t>
  </si>
  <si>
    <t># 25</t>
  </si>
  <si>
    <t>A-7C</t>
  </si>
  <si>
    <t># 4</t>
  </si>
  <si>
    <t>SUNDRY</t>
  </si>
  <si>
    <t>REDRIED</t>
  </si>
  <si>
    <t>9X50 =none</t>
  </si>
  <si>
    <t>2X6 = NONE</t>
  </si>
  <si>
    <t>SACKS</t>
  </si>
  <si>
    <t>3X50  = NONE</t>
  </si>
  <si>
    <t>7x70 =NONE</t>
  </si>
  <si>
    <t xml:space="preserve">   </t>
  </si>
  <si>
    <t>RC =NONE</t>
  </si>
  <si>
    <t xml:space="preserve"> </t>
  </si>
  <si>
    <t>NAME :  _____________________</t>
  </si>
  <si>
    <t>RC BLOCKS</t>
  </si>
  <si>
    <t>NET         :   __________________</t>
  </si>
  <si>
    <t xml:space="preserve">                             WEIGHER</t>
  </si>
  <si>
    <t>ACTUAL :   __________________</t>
  </si>
  <si>
    <t>CHECKED BY:</t>
  </si>
  <si>
    <t>__________________________ QC CLERK</t>
  </si>
  <si>
    <t>BALANCE : __________________</t>
  </si>
  <si>
    <t>APPROVED :</t>
  </si>
  <si>
    <t>__________________________ QC MANAGER</t>
  </si>
  <si>
    <t>TOTAL FED =</t>
  </si>
  <si>
    <t>JULY 1,2026</t>
  </si>
  <si>
    <t>OPENED FEEDING: FEEDING AREA</t>
  </si>
  <si>
    <t>FEEDING AREA</t>
  </si>
  <si>
    <t># 7</t>
  </si>
  <si>
    <t>JULY 2,2026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</si>
</sst>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</numFmts>
  <fonts count="31">
    <font>
      <sz val="11"/>
      <color theme="1"/>
      <name val="Calibri"/>
      <charset val="134"/>
      <scheme val="minor"/>
    </font>
    <font>
      <b/>
      <sz val="18"/>
      <color indexed="8"/>
      <name val="Book Antiqua"/>
      <charset val="134"/>
    </font>
    <font>
      <sz val="12"/>
      <color indexed="8"/>
      <name val="Book Antiqua"/>
      <charset val="134"/>
    </font>
    <font>
      <sz val="11"/>
      <color indexed="8"/>
      <name val="Book Antiqua"/>
      <charset val="134"/>
    </font>
    <font>
      <sz val="11"/>
      <color theme="1"/>
      <name val="Book Antiqua"/>
      <charset val="134"/>
    </font>
    <font>
      <sz val="10"/>
      <color indexed="8"/>
      <name val="Book Antiqua"/>
      <charset val="134"/>
    </font>
    <font>
      <b/>
      <sz val="10"/>
      <color indexed="8"/>
      <name val="Book Antiqua"/>
      <charset val="134"/>
    </font>
    <font>
      <b/>
      <sz val="11"/>
      <color indexed="8"/>
      <name val="Book Antiqua"/>
      <charset val="134"/>
    </font>
    <font>
      <sz val="10"/>
      <color theme="1" tint="0.0499893185216834"/>
      <name val="Book Antiqua"/>
      <charset val="134"/>
    </font>
    <font>
      <b/>
      <sz val="12"/>
      <color indexed="8"/>
      <name val="Book Antiqua"/>
      <charset val="134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0" tint="-0.25"/>
      </left>
      <right style="medium">
        <color auto="1"/>
      </right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36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2" fillId="7" borderId="36" applyNumberFormat="0" applyAlignment="0" applyProtection="0">
      <alignment vertical="center"/>
    </xf>
    <xf numFmtId="0" fontId="23" fillId="8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>
      <alignment horizontal="left"/>
    </xf>
    <xf numFmtId="0" fontId="4" fillId="0" borderId="0" xfId="0" applyFont="1" applyFill="1" applyAlignment="1">
      <alignment vertical="center"/>
    </xf>
    <xf numFmtId="0" fontId="5" fillId="0" borderId="0" xfId="0" applyNumberFormat="1" applyFont="1" applyFill="1" applyAlignment="1" applyProtection="1">
      <alignment horizontal="left"/>
    </xf>
    <xf numFmtId="3" fontId="6" fillId="0" borderId="0" xfId="0" applyNumberFormat="1" applyFont="1" applyFill="1" applyAlignment="1" applyProtection="1"/>
    <xf numFmtId="3" fontId="3" fillId="0" borderId="0" xfId="0" applyNumberFormat="1" applyFont="1" applyFill="1" applyAlignment="1" applyProtection="1"/>
    <xf numFmtId="0" fontId="3" fillId="0" borderId="1" xfId="0" applyNumberFormat="1" applyFont="1" applyFill="1" applyBorder="1" applyAlignment="1" applyProtection="1">
      <alignment horizontal="center"/>
    </xf>
    <xf numFmtId="3" fontId="5" fillId="0" borderId="2" xfId="0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>
      <alignment horizontal="center"/>
    </xf>
    <xf numFmtId="3" fontId="5" fillId="0" borderId="5" xfId="0" applyNumberFormat="1" applyFont="1" applyFill="1" applyBorder="1" applyAlignment="1" applyProtection="1">
      <alignment horizontal="center" vertical="center"/>
    </xf>
    <xf numFmtId="3" fontId="3" fillId="0" borderId="6" xfId="0" applyNumberFormat="1" applyFont="1" applyFill="1" applyBorder="1" applyAlignment="1" applyProtection="1">
      <alignment horizontal="center"/>
    </xf>
    <xf numFmtId="0" fontId="5" fillId="0" borderId="4" xfId="0" applyNumberFormat="1" applyFont="1" applyFill="1" applyBorder="1" applyAlignment="1" applyProtection="1">
      <alignment horizontal="left"/>
    </xf>
    <xf numFmtId="49" fontId="6" fillId="0" borderId="7" xfId="0" applyNumberFormat="1" applyFont="1" applyFill="1" applyBorder="1" applyAlignment="1" applyProtection="1">
      <alignment horizontal="center"/>
    </xf>
    <xf numFmtId="3" fontId="5" fillId="0" borderId="5" xfId="0" applyNumberFormat="1" applyFont="1" applyFill="1" applyBorder="1" applyAlignment="1" applyProtection="1"/>
    <xf numFmtId="3" fontId="5" fillId="0" borderId="5" xfId="0" applyNumberFormat="1" applyFont="1" applyFill="1" applyBorder="1" applyAlignment="1" applyProtection="1">
      <alignment horizontal="right"/>
    </xf>
    <xf numFmtId="176" fontId="6" fillId="0" borderId="7" xfId="0" applyNumberFormat="1" applyFont="1" applyFill="1" applyBorder="1" applyAlignment="1" applyProtection="1">
      <alignment horizontal="center"/>
    </xf>
    <xf numFmtId="3" fontId="5" fillId="0" borderId="7" xfId="0" applyNumberFormat="1" applyFont="1" applyFill="1" applyBorder="1" applyAlignment="1" applyProtection="1"/>
    <xf numFmtId="3" fontId="7" fillId="0" borderId="6" xfId="0" applyNumberFormat="1" applyFont="1" applyFill="1" applyBorder="1" applyAlignment="1" applyProtection="1">
      <alignment horizontal="center"/>
    </xf>
    <xf numFmtId="3" fontId="6" fillId="0" borderId="7" xfId="0" applyNumberFormat="1" applyFont="1" applyFill="1" applyBorder="1" applyAlignment="1" applyProtection="1"/>
    <xf numFmtId="0" fontId="5" fillId="0" borderId="8" xfId="0" applyNumberFormat="1" applyFont="1" applyFill="1" applyBorder="1" applyAlignment="1" applyProtection="1">
      <alignment horizontal="left"/>
    </xf>
    <xf numFmtId="3" fontId="3" fillId="0" borderId="5" xfId="0" applyNumberFormat="1" applyFont="1" applyFill="1" applyBorder="1" applyAlignment="1" applyProtection="1"/>
    <xf numFmtId="3" fontId="8" fillId="0" borderId="5" xfId="0" applyNumberFormat="1" applyFont="1" applyFill="1" applyBorder="1" applyAlignment="1" applyProtection="1"/>
    <xf numFmtId="3" fontId="5" fillId="0" borderId="7" xfId="0" applyNumberFormat="1" applyFont="1" applyFill="1" applyBorder="1" applyAlignment="1" applyProtection="1">
      <alignment horizontal="right"/>
    </xf>
    <xf numFmtId="3" fontId="7" fillId="0" borderId="9" xfId="0" applyNumberFormat="1" applyFont="1" applyFill="1" applyBorder="1" applyAlignment="1" applyProtection="1">
      <alignment horizontal="center"/>
    </xf>
    <xf numFmtId="3" fontId="3" fillId="0" borderId="7" xfId="0" applyNumberFormat="1" applyFont="1" applyFill="1" applyBorder="1" applyAlignment="1" applyProtection="1"/>
    <xf numFmtId="3" fontId="3" fillId="0" borderId="9" xfId="0" applyNumberFormat="1" applyFont="1" applyFill="1" applyBorder="1" applyAlignment="1" applyProtection="1"/>
    <xf numFmtId="0" fontId="5" fillId="0" borderId="10" xfId="0" applyNumberFormat="1" applyFont="1" applyFill="1" applyBorder="1" applyAlignment="1" applyProtection="1">
      <alignment horizontal="left"/>
    </xf>
    <xf numFmtId="3" fontId="6" fillId="0" borderId="11" xfId="0" applyNumberFormat="1" applyFont="1" applyFill="1" applyBorder="1" applyAlignment="1" applyProtection="1"/>
    <xf numFmtId="3" fontId="3" fillId="0" borderId="12" xfId="0" applyNumberFormat="1" applyFont="1" applyFill="1" applyBorder="1" applyAlignment="1" applyProtection="1"/>
    <xf numFmtId="3" fontId="5" fillId="0" borderId="13" xfId="0" applyNumberFormat="1" applyFont="1" applyFill="1" applyBorder="1" applyAlignment="1" applyProtection="1">
      <alignment vertical="center"/>
    </xf>
    <xf numFmtId="3" fontId="5" fillId="0" borderId="14" xfId="0" applyNumberFormat="1" applyFont="1" applyFill="1" applyBorder="1" applyAlignment="1" applyProtection="1">
      <alignment vertical="center"/>
    </xf>
    <xf numFmtId="3" fontId="5" fillId="0" borderId="15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3" fontId="3" fillId="0" borderId="16" xfId="0" applyNumberFormat="1" applyFont="1" applyFill="1" applyBorder="1" applyAlignment="1" applyProtection="1">
      <alignment horizontal="center" vertical="center"/>
    </xf>
    <xf numFmtId="176" fontId="5" fillId="0" borderId="5" xfId="0" applyNumberFormat="1" applyFont="1" applyFill="1" applyBorder="1" applyAlignment="1" applyProtection="1">
      <alignment horizontal="center"/>
    </xf>
    <xf numFmtId="3" fontId="5" fillId="0" borderId="17" xfId="0" applyNumberFormat="1" applyFont="1" applyFill="1" applyBorder="1" applyAlignment="1" applyProtection="1">
      <alignment horizontal="center"/>
    </xf>
    <xf numFmtId="3" fontId="5" fillId="0" borderId="18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/>
    <xf numFmtId="3" fontId="3" fillId="0" borderId="20" xfId="0" applyNumberFormat="1" applyFont="1" applyFill="1" applyBorder="1" applyAlignment="1" applyProtection="1"/>
    <xf numFmtId="3" fontId="3" fillId="0" borderId="21" xfId="0" applyNumberFormat="1" applyFont="1" applyFill="1" applyBorder="1" applyAlignment="1" applyProtection="1"/>
    <xf numFmtId="3" fontId="5" fillId="0" borderId="15" xfId="0" applyNumberFormat="1" applyFont="1" applyFill="1" applyBorder="1" applyAlignment="1" applyProtection="1">
      <alignment horizontal="right"/>
    </xf>
    <xf numFmtId="0" fontId="3" fillId="0" borderId="22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>
      <alignment vertical="center"/>
    </xf>
    <xf numFmtId="3" fontId="5" fillId="0" borderId="0" xfId="0" applyNumberFormat="1" applyFont="1" applyFill="1" applyBorder="1" applyAlignment="1" applyProtection="1">
      <alignment vertical="center"/>
    </xf>
    <xf numFmtId="3" fontId="5" fillId="0" borderId="23" xfId="0" applyNumberFormat="1" applyFont="1" applyFill="1" applyBorder="1" applyAlignment="1" applyProtection="1"/>
    <xf numFmtId="3" fontId="5" fillId="0" borderId="5" xfId="0" applyNumberFormat="1" applyFont="1" applyFill="1" applyBorder="1" applyAlignment="1" applyProtection="1">
      <alignment horizontal="center"/>
    </xf>
    <xf numFmtId="3" fontId="5" fillId="0" borderId="22" xfId="0" applyNumberFormat="1" applyFont="1" applyFill="1" applyBorder="1" applyAlignment="1" applyProtection="1"/>
    <xf numFmtId="3" fontId="5" fillId="0" borderId="23" xfId="0" applyNumberFormat="1" applyFont="1" applyFill="1" applyBorder="1" applyAlignment="1" applyProtection="1">
      <alignment vertical="center"/>
    </xf>
    <xf numFmtId="3" fontId="9" fillId="0" borderId="0" xfId="0" applyNumberFormat="1" applyFont="1" applyFill="1" applyBorder="1" applyAlignment="1" applyProtection="1">
      <alignment vertical="top"/>
    </xf>
    <xf numFmtId="3" fontId="5" fillId="0" borderId="0" xfId="0" applyNumberFormat="1" applyFont="1" applyFill="1" applyBorder="1" applyAlignment="1" applyProtection="1">
      <alignment vertical="top"/>
    </xf>
    <xf numFmtId="3" fontId="5" fillId="0" borderId="21" xfId="0" applyNumberFormat="1" applyFont="1" applyFill="1" applyBorder="1" applyAlignment="1" applyProtection="1">
      <alignment horizontal="center"/>
    </xf>
    <xf numFmtId="3" fontId="3" fillId="0" borderId="9" xfId="0" applyNumberFormat="1" applyFont="1" applyFill="1" applyBorder="1" applyAlignment="1" applyProtection="1">
      <alignment horizontal="center"/>
    </xf>
    <xf numFmtId="3" fontId="3" fillId="0" borderId="13" xfId="0" applyNumberFormat="1" applyFont="1" applyFill="1" applyBorder="1" applyAlignment="1" applyProtection="1"/>
    <xf numFmtId="3" fontId="3" fillId="0" borderId="22" xfId="0" applyNumberFormat="1" applyFont="1" applyFill="1" applyBorder="1" applyAlignment="1" applyProtection="1"/>
    <xf numFmtId="3" fontId="6" fillId="0" borderId="0" xfId="0" applyNumberFormat="1" applyFont="1" applyFill="1" applyBorder="1" applyAlignment="1" applyProtection="1">
      <alignment vertical="top"/>
    </xf>
    <xf numFmtId="3" fontId="5" fillId="0" borderId="23" xfId="0" applyNumberFormat="1" applyFont="1" applyFill="1" applyBorder="1" applyAlignment="1" applyProtection="1">
      <alignment vertical="top"/>
    </xf>
    <xf numFmtId="3" fontId="5" fillId="0" borderId="21" xfId="0" applyNumberFormat="1" applyFont="1" applyFill="1" applyBorder="1" applyAlignment="1" applyProtection="1"/>
    <xf numFmtId="0" fontId="3" fillId="0" borderId="17" xfId="0" applyNumberFormat="1" applyFont="1" applyFill="1" applyBorder="1" applyAlignment="1" applyProtection="1"/>
    <xf numFmtId="0" fontId="3" fillId="0" borderId="13" xfId="0" applyNumberFormat="1" applyFont="1" applyFill="1" applyBorder="1" applyAlignment="1" applyProtection="1"/>
    <xf numFmtId="3" fontId="9" fillId="0" borderId="14" xfId="0" applyNumberFormat="1" applyFont="1" applyFill="1" applyBorder="1" applyAlignment="1" applyProtection="1">
      <alignment vertical="top"/>
    </xf>
    <xf numFmtId="3" fontId="2" fillId="0" borderId="14" xfId="0" applyNumberFormat="1" applyFont="1" applyFill="1" applyBorder="1" applyAlignment="1" applyProtection="1">
      <alignment vertical="top"/>
    </xf>
    <xf numFmtId="3" fontId="5" fillId="0" borderId="14" xfId="0" applyNumberFormat="1" applyFont="1" applyFill="1" applyBorder="1" applyAlignment="1" applyProtection="1">
      <alignment vertical="top"/>
    </xf>
    <xf numFmtId="3" fontId="5" fillId="0" borderId="15" xfId="0" applyNumberFormat="1" applyFont="1" applyFill="1" applyBorder="1" applyAlignment="1" applyProtection="1">
      <alignment vertical="top"/>
    </xf>
    <xf numFmtId="3" fontId="5" fillId="0" borderId="11" xfId="0" applyNumberFormat="1" applyFont="1" applyFill="1" applyBorder="1" applyAlignment="1" applyProtection="1"/>
    <xf numFmtId="3" fontId="5" fillId="0" borderId="24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/>
    </xf>
    <xf numFmtId="3" fontId="6" fillId="0" borderId="0" xfId="0" applyNumberFormat="1" applyFont="1" applyFill="1" applyBorder="1" applyAlignment="1" applyProtection="1"/>
    <xf numFmtId="3" fontId="5" fillId="0" borderId="0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3" fontId="5" fillId="0" borderId="0" xfId="0" applyNumberFormat="1" applyFont="1" applyFill="1" applyBorder="1" applyAlignment="1" applyProtection="1"/>
    <xf numFmtId="3" fontId="7" fillId="0" borderId="0" xfId="0" applyNumberFormat="1" applyFont="1" applyFill="1" applyBorder="1" applyAlignment="1" applyProtection="1"/>
    <xf numFmtId="3" fontId="7" fillId="0" borderId="0" xfId="0" applyNumberFormat="1" applyFont="1" applyFill="1" applyBorder="1" applyAlignment="1" applyProtection="1">
      <alignment horizontal="right"/>
    </xf>
    <xf numFmtId="3" fontId="7" fillId="2" borderId="0" xfId="0" applyNumberFormat="1" applyFont="1" applyFill="1" applyBorder="1" applyAlignment="1" applyProtection="1"/>
    <xf numFmtId="3" fontId="7" fillId="2" borderId="0" xfId="0" applyNumberFormat="1" applyFont="1" applyFill="1" applyBorder="1" applyAlignment="1" applyProtection="1">
      <alignment horizontal="right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31" xfId="0" applyFill="1" applyBorder="1" applyAlignment="1">
      <alignment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0" fontId="11" fillId="3" borderId="0" xfId="0" applyNumberFormat="1" applyFont="1" applyFill="1" applyAlignment="1">
      <alignment vertical="center"/>
    </xf>
    <xf numFmtId="0" fontId="0" fillId="3" borderId="32" xfId="0" applyFill="1" applyBorder="1" applyAlignment="1">
      <alignment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10" fontId="11" fillId="3" borderId="28" xfId="0" applyNumberFormat="1" applyFont="1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3" fontId="6" fillId="2" borderId="0" xfId="0" applyNumberFormat="1" applyFont="1" applyFill="1" applyAlignment="1" applyProtection="1">
      <alignment horizont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topLeftCell="A29" workbookViewId="0">
      <selection activeCell="A42" sqref="$A42:$XFD50"/>
    </sheetView>
  </sheetViews>
  <sheetFormatPr defaultColWidth="9.14285714285714" defaultRowHeight="15"/>
  <cols>
    <col min="1" max="11" width="9.14285714285714" style="1"/>
    <col min="12" max="12" width="11.8571428571429" style="1" customWidth="1"/>
  </cols>
  <sheetData>
    <row r="1" ht="23.25" spans="1:16">
      <c r="A1" s="2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5"/>
      <c r="L1" s="6"/>
    </row>
    <row r="4" ht="16.5" spans="1:16">
      <c r="A4" s="7"/>
      <c r="B4" s="8"/>
      <c r="C4" s="97" t="s">
        <v>3</v>
      </c>
      <c r="D4" s="97"/>
      <c r="E4" s="97"/>
      <c r="F4" s="97"/>
      <c r="G4" s="97"/>
      <c r="H4" s="97"/>
      <c r="I4" s="97"/>
      <c r="J4" s="8"/>
      <c r="K4" s="8"/>
      <c r="L4" s="9"/>
    </row>
    <row r="5" ht="17.25" spans="1:16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ht="16.5" spans="1:16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 t="s">
        <v>5</v>
      </c>
      <c r="L6" s="12"/>
      <c r="M6" s="98" t="s">
        <v>6</v>
      </c>
      <c r="N6" s="99"/>
      <c r="O6" s="99"/>
      <c r="P6" s="100"/>
    </row>
    <row r="7" ht="17.25" spans="1:16">
      <c r="A7" s="13" t="s">
        <v>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01" t="s">
        <v>8</v>
      </c>
      <c r="N7" s="102"/>
      <c r="O7" s="102"/>
      <c r="P7" s="103"/>
    </row>
    <row r="8" ht="16.5" spans="1:16">
      <c r="A8" s="16" t="s">
        <v>9</v>
      </c>
      <c r="B8" s="17" t="s">
        <v>10</v>
      </c>
      <c r="C8" s="18"/>
      <c r="D8" s="18"/>
      <c r="E8" s="18"/>
      <c r="F8" s="18"/>
      <c r="G8" s="18"/>
      <c r="H8" s="18"/>
      <c r="I8" s="18"/>
      <c r="J8" s="18"/>
      <c r="K8" s="19" t="s">
        <v>11</v>
      </c>
      <c r="L8" s="15">
        <v>3359</v>
      </c>
    </row>
    <row r="9" spans="1:16">
      <c r="A9" s="16" t="s">
        <v>12</v>
      </c>
      <c r="B9" s="20">
        <v>46082</v>
      </c>
      <c r="C9" s="21"/>
      <c r="D9" s="21"/>
      <c r="E9" s="21"/>
      <c r="F9" s="21"/>
      <c r="G9" s="21"/>
      <c r="H9" s="21"/>
      <c r="I9" s="21"/>
      <c r="J9" s="21"/>
      <c r="K9" s="19" t="s">
        <v>13</v>
      </c>
      <c r="L9" s="22">
        <f>SUM(C10:J10,B13:J13,)</f>
        <v>1414</v>
      </c>
    </row>
    <row r="10" ht="16.5" spans="1:16">
      <c r="A10" s="16" t="s">
        <v>14</v>
      </c>
      <c r="B10" s="17" t="s">
        <v>15</v>
      </c>
      <c r="C10" s="23"/>
      <c r="D10" s="23"/>
      <c r="E10" s="23"/>
      <c r="F10" s="23"/>
      <c r="G10" s="23"/>
      <c r="H10" s="23"/>
      <c r="I10" s="23"/>
      <c r="J10" s="23"/>
      <c r="K10" s="19" t="s">
        <v>16</v>
      </c>
      <c r="L10" s="15">
        <f>L8-L9</f>
        <v>1945</v>
      </c>
    </row>
    <row r="11" ht="16.5" spans="1:16">
      <c r="A11" s="24" t="s">
        <v>17</v>
      </c>
      <c r="B11" s="25">
        <v>1498</v>
      </c>
      <c r="C11" s="25"/>
      <c r="D11" s="25"/>
      <c r="E11" s="25"/>
      <c r="F11" s="25"/>
      <c r="G11" s="25"/>
      <c r="H11" s="25"/>
      <c r="I11" s="26"/>
      <c r="J11" s="26"/>
      <c r="K11" s="27" t="s">
        <v>18</v>
      </c>
      <c r="L11" s="28" t="s">
        <v>19</v>
      </c>
    </row>
    <row r="12" ht="16.5" spans="1:16">
      <c r="A12" s="24" t="s">
        <v>20</v>
      </c>
      <c r="B12" s="29">
        <v>84</v>
      </c>
      <c r="C12" s="29"/>
      <c r="D12" s="29"/>
      <c r="E12" s="29"/>
      <c r="F12" s="29"/>
      <c r="G12" s="29"/>
      <c r="H12" s="29"/>
      <c r="I12" s="29"/>
      <c r="J12" s="29"/>
      <c r="K12" s="27"/>
      <c r="L12" s="30"/>
    </row>
    <row r="13" ht="17.25" spans="1:16">
      <c r="A13" s="31" t="s">
        <v>21</v>
      </c>
      <c r="B13" s="32">
        <f>B11-B12</f>
        <v>1414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ht="17.25" spans="1:16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ht="16.5" spans="1:16">
      <c r="A15" s="10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 t="s">
        <v>5</v>
      </c>
      <c r="L15" s="12"/>
    </row>
    <row r="16" ht="16.5" spans="1:16">
      <c r="A16" s="13" t="s">
        <v>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ht="16.5" spans="1:16">
      <c r="A17" s="16" t="s">
        <v>9</v>
      </c>
      <c r="B17" s="17" t="s">
        <v>22</v>
      </c>
      <c r="C17" s="18"/>
      <c r="D17" s="18"/>
      <c r="E17" s="18"/>
      <c r="F17" s="18"/>
      <c r="G17" s="18"/>
      <c r="H17" s="18"/>
      <c r="I17" s="18"/>
      <c r="J17" s="18"/>
      <c r="K17" s="19" t="s">
        <v>11</v>
      </c>
      <c r="L17" s="15">
        <v>37555</v>
      </c>
    </row>
    <row r="18" spans="1:16">
      <c r="A18" s="16" t="s">
        <v>12</v>
      </c>
      <c r="B18" s="20">
        <v>46082</v>
      </c>
      <c r="C18" s="21"/>
      <c r="D18" s="21"/>
      <c r="E18" s="21"/>
      <c r="F18" s="21"/>
      <c r="G18" s="21"/>
      <c r="H18" s="21"/>
      <c r="I18" s="21"/>
      <c r="J18" s="21"/>
      <c r="K18" s="19" t="s">
        <v>13</v>
      </c>
      <c r="L18" s="22">
        <f>SUM(C19:J19,B22:J22,)</f>
        <v>1203</v>
      </c>
    </row>
    <row r="19" ht="16.5" spans="1:16">
      <c r="A19" s="16" t="s">
        <v>14</v>
      </c>
      <c r="B19" s="17" t="s">
        <v>23</v>
      </c>
      <c r="C19" s="23"/>
      <c r="D19" s="23"/>
      <c r="E19" s="23"/>
      <c r="F19" s="23"/>
      <c r="G19" s="23"/>
      <c r="H19" s="23"/>
      <c r="I19" s="23"/>
      <c r="J19" s="23"/>
      <c r="K19" s="19" t="s">
        <v>16</v>
      </c>
      <c r="L19" s="15">
        <f>L17-L18</f>
        <v>36352</v>
      </c>
    </row>
    <row r="20" ht="16.5" spans="1:16">
      <c r="A20" s="24" t="s">
        <v>17</v>
      </c>
      <c r="B20" s="25">
        <v>1329</v>
      </c>
      <c r="C20" s="25"/>
      <c r="D20" s="25"/>
      <c r="E20" s="25"/>
      <c r="F20" s="25"/>
      <c r="G20" s="25"/>
      <c r="H20" s="25"/>
      <c r="I20" s="26"/>
      <c r="J20" s="26"/>
      <c r="K20" s="27" t="s">
        <v>18</v>
      </c>
      <c r="L20" s="28" t="s">
        <v>24</v>
      </c>
    </row>
    <row r="21" ht="16.5" spans="1:16">
      <c r="A21" s="24" t="s">
        <v>20</v>
      </c>
      <c r="B21" s="29">
        <v>126</v>
      </c>
      <c r="C21" s="29"/>
      <c r="D21" s="29"/>
      <c r="E21" s="29"/>
      <c r="F21" s="29"/>
      <c r="G21" s="29"/>
      <c r="H21" s="29"/>
      <c r="I21" s="29"/>
      <c r="J21" s="29"/>
      <c r="K21" s="27"/>
      <c r="L21" s="30"/>
    </row>
    <row r="22" ht="17.25" spans="1:16">
      <c r="A22" s="31" t="s">
        <v>21</v>
      </c>
      <c r="B22" s="32">
        <f>B20-B21</f>
        <v>1203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ht="17.25" spans="1:16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</row>
    <row r="24" s="1" customFormat="1" ht="16.5" spans="1:16">
      <c r="A24" s="10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 t="s">
        <v>5</v>
      </c>
      <c r="L24" s="12"/>
      <c r="M24" s="80" t="s">
        <v>25</v>
      </c>
      <c r="N24" s="81"/>
      <c r="O24" s="81"/>
      <c r="P24" s="82"/>
    </row>
    <row r="25" s="1" customFormat="1" ht="17.25" spans="1:16">
      <c r="A25" s="13" t="s">
        <v>7</v>
      </c>
      <c r="B25" s="34"/>
      <c r="C25" s="35"/>
      <c r="D25" s="35"/>
      <c r="E25" s="35"/>
      <c r="F25" s="36"/>
      <c r="G25" s="14"/>
      <c r="H25" s="14"/>
      <c r="I25" s="14"/>
      <c r="J25" s="14"/>
      <c r="K25" s="14"/>
      <c r="L25" s="15"/>
      <c r="M25" s="83" t="s">
        <v>8</v>
      </c>
      <c r="N25" s="84"/>
      <c r="O25" s="84"/>
      <c r="P25" s="85"/>
    </row>
    <row r="26" s="1" customFormat="1" ht="16.5" spans="1:16">
      <c r="A26" s="16" t="s">
        <v>9</v>
      </c>
      <c r="B26" s="17" t="s">
        <v>26</v>
      </c>
      <c r="C26" s="18"/>
      <c r="D26" s="18"/>
      <c r="E26" s="18"/>
      <c r="F26" s="18"/>
      <c r="G26" s="18"/>
      <c r="H26" s="18"/>
      <c r="I26" s="18"/>
      <c r="J26" s="18"/>
      <c r="K26" s="19" t="s">
        <v>11</v>
      </c>
      <c r="L26" s="15">
        <v>59365</v>
      </c>
      <c r="M26" s="86"/>
      <c r="N26" s="87"/>
      <c r="O26" s="87"/>
      <c r="P26" s="88"/>
    </row>
    <row r="27" s="1" customFormat="1" spans="1:16">
      <c r="A27" s="16" t="s">
        <v>12</v>
      </c>
      <c r="B27" s="20">
        <v>45839</v>
      </c>
      <c r="C27" s="21"/>
      <c r="D27" s="21"/>
      <c r="E27" s="21"/>
      <c r="F27" s="21"/>
      <c r="G27" s="21"/>
      <c r="H27" s="21"/>
      <c r="I27" s="21"/>
      <c r="J27" s="21"/>
      <c r="K27" s="19" t="s">
        <v>13</v>
      </c>
      <c r="L27" s="22">
        <f>SUM(C28:J28,B31:J31,)</f>
        <v>11384</v>
      </c>
      <c r="M27" s="89" t="s">
        <v>27</v>
      </c>
      <c r="N27" s="90"/>
      <c r="O27" s="91">
        <v>0.0951</v>
      </c>
      <c r="P27" s="88"/>
    </row>
    <row r="28" s="1" customFormat="1" ht="16.5" spans="1:16">
      <c r="A28" s="16" t="s">
        <v>14</v>
      </c>
      <c r="B28" s="17" t="s">
        <v>15</v>
      </c>
      <c r="C28" s="23"/>
      <c r="D28" s="23"/>
      <c r="E28" s="23"/>
      <c r="F28" s="23"/>
      <c r="G28" s="23"/>
      <c r="H28" s="23"/>
      <c r="I28" s="23"/>
      <c r="J28" s="23"/>
      <c r="K28" s="19" t="s">
        <v>16</v>
      </c>
      <c r="L28" s="15">
        <f>L26-L27</f>
        <v>47981</v>
      </c>
      <c r="M28" s="89" t="s">
        <v>28</v>
      </c>
      <c r="N28" s="90"/>
      <c r="O28" s="91">
        <v>0.0767</v>
      </c>
      <c r="P28" s="92"/>
    </row>
    <row r="29" s="1" customFormat="1" ht="17.25" spans="1:16">
      <c r="A29" s="24" t="s">
        <v>17</v>
      </c>
      <c r="B29" s="25">
        <v>1729</v>
      </c>
      <c r="C29" s="25">
        <v>1391</v>
      </c>
      <c r="D29" s="25">
        <v>1470</v>
      </c>
      <c r="E29" s="25">
        <v>1288</v>
      </c>
      <c r="F29" s="25">
        <v>1356</v>
      </c>
      <c r="G29" s="25">
        <v>1234</v>
      </c>
      <c r="H29" s="25">
        <v>1409</v>
      </c>
      <c r="I29" s="26">
        <v>1243</v>
      </c>
      <c r="J29" s="26">
        <v>1325</v>
      </c>
      <c r="K29" s="27" t="s">
        <v>18</v>
      </c>
      <c r="L29" s="28" t="s">
        <v>24</v>
      </c>
      <c r="M29" s="93" t="s">
        <v>29</v>
      </c>
      <c r="N29" s="94"/>
      <c r="O29" s="95">
        <v>0.0318</v>
      </c>
      <c r="P29" s="96"/>
    </row>
    <row r="30" s="1" customFormat="1" ht="16.5" spans="1:16">
      <c r="A30" s="24" t="s">
        <v>20</v>
      </c>
      <c r="B30" s="29">
        <v>118</v>
      </c>
      <c r="C30" s="29">
        <v>116</v>
      </c>
      <c r="D30" s="29">
        <v>118</v>
      </c>
      <c r="E30" s="29">
        <v>120</v>
      </c>
      <c r="F30" s="29">
        <v>112</v>
      </c>
      <c r="G30" s="29">
        <v>120</v>
      </c>
      <c r="H30" s="29">
        <v>116</v>
      </c>
      <c r="I30" s="29">
        <v>123</v>
      </c>
      <c r="J30" s="29">
        <v>118</v>
      </c>
      <c r="K30" s="27"/>
      <c r="L30" s="30"/>
    </row>
    <row r="31" s="1" customFormat="1" ht="17.25" spans="1:16">
      <c r="A31" s="31" t="s">
        <v>21</v>
      </c>
      <c r="B31" s="32">
        <f t="shared" ref="B31:J31" si="0">B29-B30</f>
        <v>1611</v>
      </c>
      <c r="C31" s="32">
        <f t="shared" si="0"/>
        <v>1275</v>
      </c>
      <c r="D31" s="32">
        <f t="shared" si="0"/>
        <v>1352</v>
      </c>
      <c r="E31" s="32">
        <f t="shared" si="0"/>
        <v>1168</v>
      </c>
      <c r="F31" s="32">
        <f t="shared" si="0"/>
        <v>1244</v>
      </c>
      <c r="G31" s="32">
        <f t="shared" si="0"/>
        <v>1114</v>
      </c>
      <c r="H31" s="32">
        <f t="shared" si="0"/>
        <v>1293</v>
      </c>
      <c r="I31" s="32">
        <f t="shared" si="0"/>
        <v>1120</v>
      </c>
      <c r="J31" s="32">
        <f t="shared" si="0"/>
        <v>1207</v>
      </c>
      <c r="K31" s="32"/>
      <c r="L31" s="33"/>
    </row>
    <row r="32" ht="17.25" spans="1:16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</row>
    <row r="33" s="1" customFormat="1" ht="16.5" spans="1:16">
      <c r="A33" s="10" t="s">
        <v>4</v>
      </c>
      <c r="B33" s="11"/>
      <c r="C33" s="11"/>
      <c r="D33" s="11"/>
      <c r="E33" s="11"/>
      <c r="F33" s="11"/>
      <c r="G33" s="11"/>
      <c r="H33" s="11"/>
      <c r="I33" s="11"/>
      <c r="J33" s="11"/>
      <c r="K33" s="11" t="s">
        <v>5</v>
      </c>
      <c r="L33" s="12"/>
      <c r="M33" s="80" t="s">
        <v>25</v>
      </c>
      <c r="N33" s="81"/>
      <c r="O33" s="81"/>
      <c r="P33" s="82"/>
    </row>
    <row r="34" s="1" customFormat="1" ht="17.25" spans="1:16">
      <c r="A34" s="13" t="s">
        <v>7</v>
      </c>
      <c r="B34" s="34"/>
      <c r="C34" s="35"/>
      <c r="D34" s="35"/>
      <c r="E34" s="35"/>
      <c r="F34" s="36"/>
      <c r="G34" s="14"/>
      <c r="H34" s="14"/>
      <c r="I34" s="14"/>
      <c r="J34" s="14"/>
      <c r="K34" s="14"/>
      <c r="L34" s="15"/>
      <c r="M34" s="83" t="s">
        <v>30</v>
      </c>
      <c r="N34" s="84"/>
      <c r="O34" s="84"/>
      <c r="P34" s="85"/>
    </row>
    <row r="35" s="1" customFormat="1" ht="16.5" spans="1:16">
      <c r="A35" s="16" t="s">
        <v>9</v>
      </c>
      <c r="B35" s="17" t="s">
        <v>31</v>
      </c>
      <c r="C35" s="18"/>
      <c r="D35" s="18"/>
      <c r="E35" s="18"/>
      <c r="F35" s="18"/>
      <c r="G35" s="18"/>
      <c r="H35" s="18"/>
      <c r="I35" s="18"/>
      <c r="J35" s="18"/>
      <c r="K35" s="19" t="s">
        <v>11</v>
      </c>
      <c r="L35" s="15">
        <v>69675</v>
      </c>
      <c r="M35" s="86"/>
      <c r="N35" s="87"/>
      <c r="O35" s="87"/>
      <c r="P35" s="88"/>
    </row>
    <row r="36" s="1" customFormat="1" spans="1:16">
      <c r="A36" s="16" t="s">
        <v>12</v>
      </c>
      <c r="B36" s="20">
        <v>45931</v>
      </c>
      <c r="C36" s="21"/>
      <c r="D36" s="21"/>
      <c r="E36" s="21"/>
      <c r="F36" s="21"/>
      <c r="G36" s="21"/>
      <c r="H36" s="21"/>
      <c r="I36" s="21"/>
      <c r="J36" s="21"/>
      <c r="K36" s="19" t="s">
        <v>13</v>
      </c>
      <c r="L36" s="22">
        <f>SUM(C37:J37,B40:J40,)</f>
        <v>2455</v>
      </c>
      <c r="M36" s="89" t="s">
        <v>27</v>
      </c>
      <c r="N36" s="90"/>
      <c r="O36" s="91">
        <v>0.109</v>
      </c>
      <c r="P36" s="88"/>
    </row>
    <row r="37" s="1" customFormat="1" ht="16.5" spans="1:16">
      <c r="A37" s="16" t="s">
        <v>14</v>
      </c>
      <c r="B37" s="17" t="s">
        <v>32</v>
      </c>
      <c r="C37" s="23"/>
      <c r="D37" s="23"/>
      <c r="E37" s="23"/>
      <c r="F37" s="23"/>
      <c r="G37" s="23"/>
      <c r="H37" s="23"/>
      <c r="I37" s="23"/>
      <c r="J37" s="23"/>
      <c r="K37" s="19" t="s">
        <v>16</v>
      </c>
      <c r="L37" s="15">
        <f>L35-L36</f>
        <v>67220</v>
      </c>
      <c r="M37" s="89" t="s">
        <v>28</v>
      </c>
      <c r="N37" s="90"/>
      <c r="O37" s="91">
        <v>0.086</v>
      </c>
      <c r="P37" s="92"/>
    </row>
    <row r="38" s="1" customFormat="1" ht="17.25" spans="1:16">
      <c r="A38" s="24" t="s">
        <v>17</v>
      </c>
      <c r="B38" s="25">
        <v>1335</v>
      </c>
      <c r="C38" s="25">
        <v>1415</v>
      </c>
      <c r="D38" s="25"/>
      <c r="E38" s="25"/>
      <c r="F38" s="25"/>
      <c r="G38" s="25"/>
      <c r="H38" s="25"/>
      <c r="I38" s="26"/>
      <c r="J38" s="26"/>
      <c r="K38" s="27" t="s">
        <v>18</v>
      </c>
      <c r="L38" s="28" t="s">
        <v>24</v>
      </c>
      <c r="M38" s="93" t="s">
        <v>29</v>
      </c>
      <c r="N38" s="94"/>
      <c r="O38" s="95">
        <v>0.03423</v>
      </c>
      <c r="P38" s="96"/>
    </row>
    <row r="39" s="1" customFormat="1" ht="16.5" spans="1:16">
      <c r="A39" s="24" t="s">
        <v>20</v>
      </c>
      <c r="B39" s="29">
        <v>121</v>
      </c>
      <c r="C39" s="29">
        <v>174</v>
      </c>
      <c r="D39" s="29"/>
      <c r="E39" s="29"/>
      <c r="F39" s="29"/>
      <c r="G39" s="29"/>
      <c r="H39" s="29"/>
      <c r="I39" s="29"/>
      <c r="J39" s="29"/>
      <c r="K39" s="27"/>
      <c r="L39" s="30"/>
    </row>
    <row r="40" s="1" customFormat="1" ht="17.25" spans="1:16">
      <c r="A40" s="31" t="s">
        <v>21</v>
      </c>
      <c r="B40" s="32">
        <f>B38-B39</f>
        <v>1214</v>
      </c>
      <c r="C40" s="32">
        <f>C38-C39</f>
        <v>1241</v>
      </c>
      <c r="D40" s="32"/>
      <c r="E40" s="32"/>
      <c r="F40" s="32"/>
      <c r="G40" s="32"/>
      <c r="H40" s="32"/>
      <c r="I40" s="32"/>
      <c r="J40" s="32"/>
      <c r="K40" s="32"/>
      <c r="L40" s="33"/>
    </row>
    <row r="41" customFormat="1" ht="17.25" spans="1:16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="1" customFormat="1" ht="16.5" spans="1:16">
      <c r="A42" s="10" t="s">
        <v>4</v>
      </c>
      <c r="B42" s="11"/>
      <c r="C42" s="11"/>
      <c r="D42" s="11"/>
      <c r="E42" s="11"/>
      <c r="F42" s="11"/>
      <c r="G42" s="11"/>
      <c r="H42" s="11"/>
      <c r="I42" s="11"/>
      <c r="J42" s="11"/>
      <c r="K42" s="11" t="s">
        <v>5</v>
      </c>
      <c r="L42" s="12"/>
      <c r="M42" s="80" t="s">
        <v>25</v>
      </c>
      <c r="N42" s="81"/>
      <c r="O42" s="81"/>
      <c r="P42" s="82"/>
    </row>
    <row r="43" s="1" customFormat="1" ht="17.25" spans="1:16">
      <c r="A43" s="13" t="s">
        <v>7</v>
      </c>
      <c r="B43" s="34"/>
      <c r="C43" s="35"/>
      <c r="D43" s="35"/>
      <c r="E43" s="35"/>
      <c r="F43" s="36"/>
      <c r="G43" s="14"/>
      <c r="H43" s="14"/>
      <c r="I43" s="14"/>
      <c r="J43" s="14"/>
      <c r="K43" s="14"/>
      <c r="L43" s="15"/>
      <c r="M43" s="83" t="s">
        <v>8</v>
      </c>
      <c r="N43" s="84"/>
      <c r="O43" s="84"/>
      <c r="P43" s="85"/>
    </row>
    <row r="44" s="1" customFormat="1" ht="16.5" spans="1:16">
      <c r="A44" s="16" t="s">
        <v>9</v>
      </c>
      <c r="B44" s="17" t="s">
        <v>33</v>
      </c>
      <c r="C44" s="18"/>
      <c r="D44" s="18"/>
      <c r="E44" s="18"/>
      <c r="F44" s="18"/>
      <c r="G44" s="18"/>
      <c r="H44" s="18"/>
      <c r="I44" s="18"/>
      <c r="J44" s="18"/>
      <c r="K44" s="19" t="s">
        <v>11</v>
      </c>
      <c r="L44" s="15">
        <v>65820</v>
      </c>
      <c r="M44" s="86"/>
      <c r="N44" s="87"/>
      <c r="O44" s="87"/>
      <c r="P44" s="88"/>
    </row>
    <row r="45" s="1" customFormat="1" spans="1:16">
      <c r="A45" s="16" t="s">
        <v>12</v>
      </c>
      <c r="B45" s="20">
        <v>46054</v>
      </c>
      <c r="C45" s="21"/>
      <c r="D45" s="21"/>
      <c r="E45" s="21"/>
      <c r="F45" s="21"/>
      <c r="G45" s="21"/>
      <c r="H45" s="21"/>
      <c r="I45" s="21"/>
      <c r="J45" s="21"/>
      <c r="K45" s="19" t="s">
        <v>13</v>
      </c>
      <c r="L45" s="22">
        <f>SUM(C46:J46,B49:J49,)</f>
        <v>2507</v>
      </c>
      <c r="M45" s="89" t="s">
        <v>27</v>
      </c>
      <c r="N45" s="90"/>
      <c r="O45" s="91">
        <v>0.1004</v>
      </c>
      <c r="P45" s="88"/>
    </row>
    <row r="46" s="1" customFormat="1" ht="16.5" spans="1:16">
      <c r="A46" s="16" t="s">
        <v>14</v>
      </c>
      <c r="B46" s="17" t="s">
        <v>34</v>
      </c>
      <c r="C46" s="23"/>
      <c r="D46" s="23"/>
      <c r="E46" s="23"/>
      <c r="F46" s="23"/>
      <c r="G46" s="23"/>
      <c r="H46" s="23"/>
      <c r="I46" s="23"/>
      <c r="J46" s="23"/>
      <c r="K46" s="19" t="s">
        <v>16</v>
      </c>
      <c r="L46" s="15">
        <f>L44-L45</f>
        <v>63313</v>
      </c>
      <c r="M46" s="89" t="s">
        <v>28</v>
      </c>
      <c r="N46" s="90"/>
      <c r="O46" s="91">
        <v>0.0774</v>
      </c>
      <c r="P46" s="92"/>
    </row>
    <row r="47" s="1" customFormat="1" ht="17.25" spans="1:16">
      <c r="A47" s="24" t="s">
        <v>17</v>
      </c>
      <c r="B47" s="25">
        <v>1372</v>
      </c>
      <c r="C47" s="25">
        <v>1365</v>
      </c>
      <c r="D47" s="25"/>
      <c r="E47" s="25"/>
      <c r="F47" s="25"/>
      <c r="G47" s="25"/>
      <c r="H47" s="25"/>
      <c r="I47" s="26"/>
      <c r="J47" s="26"/>
      <c r="K47" s="27" t="s">
        <v>18</v>
      </c>
      <c r="L47" s="28" t="s">
        <v>24</v>
      </c>
      <c r="M47" s="93" t="s">
        <v>29</v>
      </c>
      <c r="N47" s="94"/>
      <c r="O47" s="95">
        <v>0.0259</v>
      </c>
      <c r="P47" s="96"/>
    </row>
    <row r="48" s="1" customFormat="1" ht="16.5" spans="1:16">
      <c r="A48" s="24" t="s">
        <v>20</v>
      </c>
      <c r="B48" s="29">
        <v>118</v>
      </c>
      <c r="C48" s="29">
        <v>112</v>
      </c>
      <c r="D48" s="29"/>
      <c r="E48" s="29"/>
      <c r="F48" s="29"/>
      <c r="G48" s="29"/>
      <c r="H48" s="29"/>
      <c r="I48" s="29"/>
      <c r="J48" s="29"/>
      <c r="K48" s="27"/>
      <c r="L48" s="30"/>
    </row>
    <row r="49" s="1" customFormat="1" ht="17.25" spans="1:12">
      <c r="A49" s="31" t="s">
        <v>21</v>
      </c>
      <c r="B49" s="32">
        <f>B47-B48</f>
        <v>1254</v>
      </c>
      <c r="C49" s="32">
        <f>C47-C48</f>
        <v>1253</v>
      </c>
      <c r="D49" s="32"/>
      <c r="E49" s="32"/>
      <c r="F49" s="32"/>
      <c r="G49" s="32"/>
      <c r="H49" s="32"/>
      <c r="I49" s="32"/>
      <c r="J49" s="32"/>
      <c r="K49" s="32"/>
      <c r="L49" s="33"/>
    </row>
    <row r="50" ht="17.25" spans="1:12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</row>
    <row r="51" ht="16.5" spans="1:12">
      <c r="A51" s="37" t="s">
        <v>35</v>
      </c>
      <c r="B51" s="11"/>
      <c r="C51" s="11"/>
      <c r="D51" s="11"/>
      <c r="E51" s="11"/>
      <c r="F51" s="11"/>
      <c r="G51" s="11"/>
      <c r="H51" s="11"/>
      <c r="I51" s="11"/>
      <c r="J51" s="11"/>
      <c r="K51" s="11">
        <v>10</v>
      </c>
      <c r="L51" s="38"/>
    </row>
    <row r="52" ht="16.5" spans="1:12">
      <c r="A52" s="16" t="s">
        <v>9</v>
      </c>
      <c r="B52" s="39"/>
      <c r="C52" s="40"/>
      <c r="D52" s="41"/>
      <c r="E52" s="42"/>
      <c r="F52" s="42" t="s">
        <v>36</v>
      </c>
      <c r="G52" s="42"/>
      <c r="H52" s="43"/>
      <c r="I52" s="44"/>
      <c r="J52" s="29"/>
      <c r="K52" s="45" t="s">
        <v>11</v>
      </c>
      <c r="L52" s="15"/>
    </row>
    <row r="53" ht="16.5" spans="1:12">
      <c r="A53" s="16" t="s">
        <v>12</v>
      </c>
      <c r="B53" s="39"/>
      <c r="C53" s="40"/>
      <c r="D53" s="46"/>
      <c r="E53" s="47" t="s">
        <v>37</v>
      </c>
      <c r="F53" s="48"/>
      <c r="G53" s="48"/>
      <c r="H53" s="49"/>
      <c r="I53" s="44"/>
      <c r="J53" s="29"/>
      <c r="K53" s="45" t="s">
        <v>13</v>
      </c>
      <c r="L53" s="15"/>
    </row>
    <row r="54" ht="16.5" spans="1:12">
      <c r="A54" s="16" t="s">
        <v>14</v>
      </c>
      <c r="B54" s="50"/>
      <c r="C54" s="40"/>
      <c r="D54" s="51"/>
      <c r="E54" s="47" t="s">
        <v>38</v>
      </c>
      <c r="F54" s="48"/>
      <c r="G54" s="48"/>
      <c r="H54" s="52"/>
      <c r="I54" s="44"/>
      <c r="J54" s="29"/>
      <c r="K54" s="45" t="s">
        <v>16</v>
      </c>
      <c r="L54" s="15"/>
    </row>
    <row r="55" ht="16.5" spans="1:12">
      <c r="A55" s="16" t="s">
        <v>39</v>
      </c>
      <c r="B55" s="40"/>
      <c r="C55" s="40"/>
      <c r="D55" s="51"/>
      <c r="E55" s="53" t="s">
        <v>40</v>
      </c>
      <c r="F55" s="53"/>
      <c r="G55" s="54"/>
      <c r="H55" s="52"/>
      <c r="I55" s="55"/>
      <c r="J55" s="50"/>
      <c r="K55" s="27" t="s">
        <v>18</v>
      </c>
      <c r="L55" s="56"/>
    </row>
    <row r="56" ht="16.5" spans="1:12">
      <c r="A56" s="24" t="s">
        <v>17</v>
      </c>
      <c r="B56" s="21"/>
      <c r="C56" s="57"/>
      <c r="D56" s="58"/>
      <c r="E56" s="53" t="s">
        <v>41</v>
      </c>
      <c r="F56" s="59"/>
      <c r="G56" s="54"/>
      <c r="H56" s="60"/>
      <c r="I56" s="61"/>
      <c r="J56" s="21"/>
      <c r="K56" s="27"/>
      <c r="L56" s="30" t="s">
        <v>42</v>
      </c>
    </row>
    <row r="57" ht="17.25" spans="1:12">
      <c r="A57" s="24" t="s">
        <v>20</v>
      </c>
      <c r="B57" s="21"/>
      <c r="C57" s="62"/>
      <c r="D57" s="63"/>
      <c r="E57" s="64" t="s">
        <v>43</v>
      </c>
      <c r="F57" s="65"/>
      <c r="G57" s="66"/>
      <c r="H57" s="67"/>
      <c r="I57" s="61"/>
      <c r="J57" s="21"/>
      <c r="K57" s="68"/>
      <c r="L57" s="30"/>
    </row>
    <row r="58" ht="17.25" spans="1:12">
      <c r="A58" s="31" t="s">
        <v>21</v>
      </c>
      <c r="B58" s="69"/>
      <c r="C58" s="69"/>
      <c r="D58" s="69"/>
      <c r="E58" s="69" t="s">
        <v>44</v>
      </c>
      <c r="F58" s="69"/>
      <c r="G58" s="69"/>
      <c r="H58" s="69"/>
      <c r="I58" s="68"/>
      <c r="J58" s="68"/>
      <c r="K58" s="68"/>
      <c r="L58" s="33"/>
    </row>
    <row r="59" ht="16.5" spans="1:12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2"/>
      <c r="L59" s="73"/>
    </row>
    <row r="60" ht="16.5" spans="1:12">
      <c r="A60" s="74" t="s">
        <v>45</v>
      </c>
      <c r="B60" s="75"/>
      <c r="C60" s="75"/>
      <c r="D60" s="75"/>
      <c r="E60" s="75"/>
      <c r="F60" s="73"/>
      <c r="G60" s="75" t="s">
        <v>46</v>
      </c>
      <c r="H60" s="75" t="s">
        <v>47</v>
      </c>
      <c r="I60" s="75"/>
      <c r="J60" s="75"/>
      <c r="K60" s="76"/>
      <c r="L60" s="77"/>
    </row>
    <row r="61" ht="16.5" spans="1:12">
      <c r="A61" s="74" t="s">
        <v>48</v>
      </c>
      <c r="B61" s="75"/>
      <c r="C61" s="75"/>
      <c r="D61" s="75"/>
      <c r="E61" s="75"/>
      <c r="F61" s="73"/>
      <c r="G61" s="75"/>
      <c r="H61" s="75" t="s">
        <v>49</v>
      </c>
      <c r="I61" s="75"/>
      <c r="J61" s="75"/>
      <c r="K61" s="75"/>
      <c r="L61" s="73"/>
    </row>
    <row r="62" ht="16.5" spans="1:12">
      <c r="A62" s="74" t="s">
        <v>50</v>
      </c>
      <c r="B62" s="74" t="s">
        <v>51</v>
      </c>
      <c r="C62" s="75"/>
      <c r="D62" s="75"/>
      <c r="E62" s="75"/>
      <c r="F62" s="73"/>
      <c r="G62" s="75"/>
      <c r="H62" s="75" t="s">
        <v>52</v>
      </c>
      <c r="I62" s="75"/>
      <c r="J62" s="75"/>
      <c r="K62" s="75"/>
      <c r="L62" s="73"/>
    </row>
    <row r="63" ht="16.5" spans="1:12">
      <c r="A63" s="74"/>
      <c r="B63" s="74"/>
      <c r="C63" s="75"/>
      <c r="D63" s="75"/>
      <c r="E63" s="75"/>
      <c r="F63" s="75"/>
      <c r="G63" s="75"/>
      <c r="H63" s="75"/>
      <c r="I63" s="75"/>
      <c r="J63" s="75"/>
      <c r="K63" s="75"/>
      <c r="L63" s="73"/>
    </row>
    <row r="64" spans="1:12">
      <c r="A64" s="74" t="s">
        <v>53</v>
      </c>
      <c r="B64" s="74" t="s">
        <v>54</v>
      </c>
      <c r="C64" s="75"/>
      <c r="D64" s="75"/>
      <c r="E64" s="75"/>
      <c r="F64" s="75"/>
      <c r="G64" s="75"/>
      <c r="H64" s="75"/>
      <c r="I64" s="75"/>
      <c r="J64" s="75"/>
      <c r="K64" s="78" t="s">
        <v>55</v>
      </c>
      <c r="L64" s="79">
        <f>SUM(L9,L18,L27,L36,L45)</f>
        <v>18963</v>
      </c>
    </row>
    <row r="65" ht="16.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</sheetData>
  <mergeCells count="23">
    <mergeCell ref="A1:G1"/>
    <mergeCell ref="J1:K1"/>
    <mergeCell ref="C4:I4"/>
    <mergeCell ref="M6:P6"/>
    <mergeCell ref="M7:P7"/>
    <mergeCell ref="M24:P24"/>
    <mergeCell ref="M25:P25"/>
    <mergeCell ref="N26:O26"/>
    <mergeCell ref="M27:N27"/>
    <mergeCell ref="M28:N28"/>
    <mergeCell ref="M29:N29"/>
    <mergeCell ref="M33:P33"/>
    <mergeCell ref="M34:P34"/>
    <mergeCell ref="N35:O35"/>
    <mergeCell ref="M36:N36"/>
    <mergeCell ref="M37:N37"/>
    <mergeCell ref="M38:N38"/>
    <mergeCell ref="M42:P42"/>
    <mergeCell ref="M43:P43"/>
    <mergeCell ref="N44:O44"/>
    <mergeCell ref="M45:N45"/>
    <mergeCell ref="M46:N46"/>
    <mergeCell ref="M47:N4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workbookViewId="0">
      <selection activeCell="A2" sqref="A$1:L$1048576"/>
    </sheetView>
  </sheetViews>
  <sheetFormatPr defaultColWidth="9.14285714285714" defaultRowHeight="15"/>
  <cols>
    <col min="1" max="11" width="9.14285714285714" style="1"/>
    <col min="12" max="12" width="11.8571428571429" style="1" customWidth="1"/>
  </cols>
  <sheetData>
    <row r="1" ht="23.25" spans="1:12">
      <c r="A1" s="2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56</v>
      </c>
      <c r="K1" s="5"/>
      <c r="L1" s="6"/>
    </row>
    <row r="4" ht="17.25" spans="1:1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ht="16.5" spans="1:12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 t="s">
        <v>5</v>
      </c>
      <c r="L5" s="12"/>
    </row>
    <row r="6" ht="16.5" spans="1:12">
      <c r="A6" s="13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6.5" spans="1:12">
      <c r="A7" s="16" t="s">
        <v>9</v>
      </c>
      <c r="B7" s="17" t="s">
        <v>22</v>
      </c>
      <c r="C7" s="18"/>
      <c r="D7" s="18"/>
      <c r="E7" s="18"/>
      <c r="F7" s="18"/>
      <c r="G7" s="18"/>
      <c r="H7" s="18"/>
      <c r="I7" s="18"/>
      <c r="J7" s="18"/>
      <c r="K7" s="19" t="s">
        <v>11</v>
      </c>
      <c r="L7" s="15">
        <v>36352</v>
      </c>
    </row>
    <row r="8" spans="1:12">
      <c r="A8" s="16" t="s">
        <v>12</v>
      </c>
      <c r="B8" s="20">
        <v>46082</v>
      </c>
      <c r="C8" s="21"/>
      <c r="D8" s="21"/>
      <c r="E8" s="21"/>
      <c r="F8" s="21"/>
      <c r="G8" s="21"/>
      <c r="H8" s="21"/>
      <c r="I8" s="21"/>
      <c r="J8" s="21"/>
      <c r="K8" s="19" t="s">
        <v>13</v>
      </c>
      <c r="L8" s="22">
        <f>SUM(C9:J9,B12:J12,)</f>
        <v>2576</v>
      </c>
    </row>
    <row r="9" ht="16.5" spans="1:12">
      <c r="A9" s="16" t="s">
        <v>14</v>
      </c>
      <c r="B9" s="17" t="s">
        <v>23</v>
      </c>
      <c r="C9" s="23"/>
      <c r="D9" s="23"/>
      <c r="E9" s="23"/>
      <c r="F9" s="23"/>
      <c r="G9" s="23"/>
      <c r="H9" s="23"/>
      <c r="I9" s="23"/>
      <c r="J9" s="23"/>
      <c r="K9" s="19" t="s">
        <v>16</v>
      </c>
      <c r="L9" s="15">
        <f>L7-L8</f>
        <v>33776</v>
      </c>
    </row>
    <row r="10" ht="16.5" spans="1:12">
      <c r="A10" s="24" t="s">
        <v>17</v>
      </c>
      <c r="B10" s="25">
        <v>1359</v>
      </c>
      <c r="C10" s="25">
        <v>1492</v>
      </c>
      <c r="D10" s="25"/>
      <c r="E10" s="25"/>
      <c r="F10" s="25"/>
      <c r="G10" s="25"/>
      <c r="H10" s="25"/>
      <c r="I10" s="26"/>
      <c r="J10" s="26"/>
      <c r="K10" s="27" t="s">
        <v>18</v>
      </c>
      <c r="L10" s="28" t="s">
        <v>24</v>
      </c>
    </row>
    <row r="11" ht="16.5" spans="1:12">
      <c r="A11" s="24" t="s">
        <v>20</v>
      </c>
      <c r="B11" s="29">
        <v>165</v>
      </c>
      <c r="C11" s="29">
        <v>110</v>
      </c>
      <c r="D11" s="29"/>
      <c r="E11" s="29"/>
      <c r="F11" s="29"/>
      <c r="G11" s="29"/>
      <c r="H11" s="29"/>
      <c r="I11" s="29"/>
      <c r="J11" s="29"/>
      <c r="K11" s="27"/>
      <c r="L11" s="30"/>
    </row>
    <row r="12" ht="17.25" spans="1:12">
      <c r="A12" s="31" t="s">
        <v>21</v>
      </c>
      <c r="B12" s="32">
        <f>B10-B11</f>
        <v>1194</v>
      </c>
      <c r="C12" s="32">
        <f>C10-C11</f>
        <v>1382</v>
      </c>
      <c r="D12" s="32"/>
      <c r="E12" s="32"/>
      <c r="F12" s="32"/>
      <c r="G12" s="32"/>
      <c r="H12" s="32"/>
      <c r="I12" s="32"/>
      <c r="J12" s="32"/>
      <c r="K12" s="32"/>
      <c r="L12" s="33"/>
    </row>
    <row r="13" ht="17.25" spans="1:1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</row>
    <row r="14" ht="16.5" spans="1:12">
      <c r="A14" s="10" t="s">
        <v>4</v>
      </c>
      <c r="B14" s="11"/>
      <c r="C14" s="11"/>
      <c r="D14" s="11"/>
      <c r="E14" s="11"/>
      <c r="F14" s="11"/>
      <c r="G14" s="11"/>
      <c r="H14" s="11"/>
      <c r="I14" s="11"/>
      <c r="J14" s="11"/>
      <c r="K14" s="11" t="s">
        <v>5</v>
      </c>
      <c r="L14" s="12"/>
    </row>
    <row r="15" ht="16.5" spans="1:12">
      <c r="A15" s="13" t="s">
        <v>7</v>
      </c>
      <c r="B15" s="34"/>
      <c r="C15" s="35"/>
      <c r="D15" s="35"/>
      <c r="E15" s="35"/>
      <c r="F15" s="36"/>
      <c r="G15" s="14"/>
      <c r="H15" s="14"/>
      <c r="I15" s="14"/>
      <c r="J15" s="14"/>
      <c r="K15" s="14"/>
      <c r="L15" s="15"/>
    </row>
    <row r="16" ht="16.5" spans="1:12">
      <c r="A16" s="16" t="s">
        <v>9</v>
      </c>
      <c r="B16" s="17" t="s">
        <v>26</v>
      </c>
      <c r="C16" s="18">
        <v>1298</v>
      </c>
      <c r="D16" s="18"/>
      <c r="E16" s="18"/>
      <c r="F16" s="18"/>
      <c r="G16" s="18"/>
      <c r="H16" s="18"/>
      <c r="I16" s="18"/>
      <c r="J16" s="18"/>
      <c r="K16" s="19" t="s">
        <v>11</v>
      </c>
      <c r="L16" s="15">
        <v>47981</v>
      </c>
    </row>
    <row r="17" spans="1:12">
      <c r="A17" s="16" t="s">
        <v>12</v>
      </c>
      <c r="B17" s="20">
        <v>45839</v>
      </c>
      <c r="C17" s="21">
        <v>120</v>
      </c>
      <c r="D17" s="21"/>
      <c r="E17" s="21"/>
      <c r="F17" s="21"/>
      <c r="G17" s="21"/>
      <c r="H17" s="21"/>
      <c r="I17" s="21"/>
      <c r="J17" s="21"/>
      <c r="K17" s="19" t="s">
        <v>13</v>
      </c>
      <c r="L17" s="22">
        <f>SUM(C18:J18,B21:J21,)</f>
        <v>12473</v>
      </c>
    </row>
    <row r="18" ht="16.5" spans="1:12">
      <c r="A18" s="16" t="s">
        <v>14</v>
      </c>
      <c r="B18" s="17" t="s">
        <v>15</v>
      </c>
      <c r="C18" s="23">
        <f>C16-C17</f>
        <v>1178</v>
      </c>
      <c r="D18" s="23"/>
      <c r="E18" s="23"/>
      <c r="F18" s="23"/>
      <c r="G18" s="23"/>
      <c r="H18" s="23"/>
      <c r="I18" s="23"/>
      <c r="J18" s="23"/>
      <c r="K18" s="19" t="s">
        <v>16</v>
      </c>
      <c r="L18" s="15">
        <f>L16-L17</f>
        <v>35508</v>
      </c>
    </row>
    <row r="19" ht="16.5" spans="1:12">
      <c r="A19" s="24" t="s">
        <v>17</v>
      </c>
      <c r="B19" s="25">
        <v>1452</v>
      </c>
      <c r="C19" s="25">
        <v>1286</v>
      </c>
      <c r="D19" s="25">
        <v>1292</v>
      </c>
      <c r="E19" s="25">
        <v>1376</v>
      </c>
      <c r="F19" s="25">
        <v>1398</v>
      </c>
      <c r="G19" s="25">
        <v>1407</v>
      </c>
      <c r="H19" s="25">
        <v>1365</v>
      </c>
      <c r="I19" s="26">
        <v>1383</v>
      </c>
      <c r="J19" s="26">
        <v>1412</v>
      </c>
      <c r="K19" s="27" t="s">
        <v>18</v>
      </c>
      <c r="L19" s="28" t="s">
        <v>24</v>
      </c>
    </row>
    <row r="20" ht="16.5" spans="1:12">
      <c r="A20" s="24" t="s">
        <v>20</v>
      </c>
      <c r="B20" s="29">
        <v>84</v>
      </c>
      <c r="C20" s="29">
        <v>165</v>
      </c>
      <c r="D20" s="29">
        <v>84</v>
      </c>
      <c r="E20" s="29">
        <v>117</v>
      </c>
      <c r="F20" s="29">
        <v>110</v>
      </c>
      <c r="G20" s="29">
        <v>120</v>
      </c>
      <c r="H20" s="29">
        <v>121</v>
      </c>
      <c r="I20" s="29">
        <v>163</v>
      </c>
      <c r="J20" s="29">
        <v>112</v>
      </c>
      <c r="K20" s="27"/>
      <c r="L20" s="30"/>
    </row>
    <row r="21" ht="17.25" spans="1:12">
      <c r="A21" s="31" t="s">
        <v>21</v>
      </c>
      <c r="B21" s="32">
        <f t="shared" ref="B21:J21" si="0">B19-B20</f>
        <v>1368</v>
      </c>
      <c r="C21" s="32">
        <f t="shared" si="0"/>
        <v>1121</v>
      </c>
      <c r="D21" s="32">
        <f t="shared" si="0"/>
        <v>1208</v>
      </c>
      <c r="E21" s="32">
        <f t="shared" si="0"/>
        <v>1259</v>
      </c>
      <c r="F21" s="32">
        <f t="shared" si="0"/>
        <v>1288</v>
      </c>
      <c r="G21" s="32">
        <f t="shared" si="0"/>
        <v>1287</v>
      </c>
      <c r="H21" s="32">
        <f t="shared" si="0"/>
        <v>1244</v>
      </c>
      <c r="I21" s="32">
        <f t="shared" si="0"/>
        <v>1220</v>
      </c>
      <c r="J21" s="32">
        <f t="shared" si="0"/>
        <v>1300</v>
      </c>
      <c r="K21" s="32"/>
      <c r="L21" s="33"/>
    </row>
    <row r="22" ht="17.25" spans="1:1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ht="16.5" spans="1:12">
      <c r="A23" s="10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 t="s">
        <v>5</v>
      </c>
      <c r="L23" s="12"/>
    </row>
    <row r="24" ht="16.5" spans="1:12">
      <c r="A24" s="13" t="s">
        <v>7</v>
      </c>
      <c r="B24" s="34"/>
      <c r="C24" s="35"/>
      <c r="D24" s="35"/>
      <c r="E24" s="35"/>
      <c r="F24" s="36"/>
      <c r="G24" s="14"/>
      <c r="H24" s="14"/>
      <c r="I24" s="14"/>
      <c r="J24" s="14"/>
      <c r="K24" s="14"/>
      <c r="L24" s="15"/>
    </row>
    <row r="25" ht="16.5" spans="1:12">
      <c r="A25" s="16" t="s">
        <v>9</v>
      </c>
      <c r="B25" s="17" t="s">
        <v>31</v>
      </c>
      <c r="C25" s="18"/>
      <c r="D25" s="18"/>
      <c r="E25" s="18"/>
      <c r="F25" s="18"/>
      <c r="G25" s="18"/>
      <c r="H25" s="18"/>
      <c r="I25" s="18"/>
      <c r="J25" s="18"/>
      <c r="K25" s="19" t="s">
        <v>11</v>
      </c>
      <c r="L25" s="15">
        <v>67220</v>
      </c>
    </row>
    <row r="26" spans="1:12">
      <c r="A26" s="16" t="s">
        <v>12</v>
      </c>
      <c r="B26" s="20">
        <v>45931</v>
      </c>
      <c r="C26" s="21"/>
      <c r="D26" s="21"/>
      <c r="E26" s="21"/>
      <c r="F26" s="21"/>
      <c r="G26" s="21"/>
      <c r="H26" s="21"/>
      <c r="I26" s="21"/>
      <c r="J26" s="21"/>
      <c r="K26" s="19" t="s">
        <v>13</v>
      </c>
      <c r="L26" s="22">
        <f>SUM(C27:J27,B30:J30,)</f>
        <v>5519</v>
      </c>
    </row>
    <row r="27" ht="16.5" spans="1:12">
      <c r="A27" s="16" t="s">
        <v>14</v>
      </c>
      <c r="B27" s="17" t="s">
        <v>32</v>
      </c>
      <c r="C27" s="23"/>
      <c r="D27" s="23"/>
      <c r="E27" s="23"/>
      <c r="F27" s="23"/>
      <c r="G27" s="23"/>
      <c r="H27" s="23"/>
      <c r="I27" s="23"/>
      <c r="J27" s="23"/>
      <c r="K27" s="19" t="s">
        <v>16</v>
      </c>
      <c r="L27" s="15">
        <f>L25-L26</f>
        <v>61701</v>
      </c>
    </row>
    <row r="28" ht="16.5" spans="1:12">
      <c r="A28" s="24" t="s">
        <v>17</v>
      </c>
      <c r="B28" s="25">
        <v>1601</v>
      </c>
      <c r="C28" s="25">
        <v>1528</v>
      </c>
      <c r="D28" s="25">
        <v>1559</v>
      </c>
      <c r="E28" s="25">
        <v>1350</v>
      </c>
      <c r="F28" s="25"/>
      <c r="G28" s="25"/>
      <c r="H28" s="25"/>
      <c r="I28" s="26"/>
      <c r="J28" s="26"/>
      <c r="K28" s="27" t="s">
        <v>18</v>
      </c>
      <c r="L28" s="28" t="s">
        <v>24</v>
      </c>
    </row>
    <row r="29" ht="16.5" spans="1:12">
      <c r="A29" s="24" t="s">
        <v>20</v>
      </c>
      <c r="B29" s="29">
        <v>165</v>
      </c>
      <c r="C29" s="29">
        <v>114</v>
      </c>
      <c r="D29" s="29">
        <v>123</v>
      </c>
      <c r="E29" s="29">
        <v>117</v>
      </c>
      <c r="F29" s="29"/>
      <c r="G29" s="29"/>
      <c r="H29" s="29"/>
      <c r="I29" s="29"/>
      <c r="J29" s="29"/>
      <c r="K29" s="27"/>
      <c r="L29" s="30"/>
    </row>
    <row r="30" ht="17.25" spans="1:12">
      <c r="A30" s="31" t="s">
        <v>21</v>
      </c>
      <c r="B30" s="32">
        <f>B28-B29</f>
        <v>1436</v>
      </c>
      <c r="C30" s="32">
        <f>C28-C29</f>
        <v>1414</v>
      </c>
      <c r="D30" s="32">
        <f>D28-D29</f>
        <v>1436</v>
      </c>
      <c r="E30" s="32">
        <f>E28-E29</f>
        <v>1233</v>
      </c>
      <c r="F30" s="32"/>
      <c r="G30" s="32"/>
      <c r="H30" s="32"/>
      <c r="I30" s="32"/>
      <c r="J30" s="32"/>
      <c r="K30" s="32"/>
      <c r="L30" s="33"/>
    </row>
    <row r="31" ht="17.25" spans="1:1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 ht="16.5" spans="1:12">
      <c r="A32" s="10" t="s">
        <v>4</v>
      </c>
      <c r="B32" s="11"/>
      <c r="C32" s="11"/>
      <c r="D32" s="11"/>
      <c r="E32" s="11"/>
      <c r="F32" s="11"/>
      <c r="G32" s="11"/>
      <c r="H32" s="11"/>
      <c r="I32" s="11"/>
      <c r="J32" s="11"/>
      <c r="K32" s="11" t="s">
        <v>5</v>
      </c>
      <c r="L32" s="12"/>
    </row>
    <row r="33" ht="16.5" spans="1:16">
      <c r="A33" s="13" t="s">
        <v>7</v>
      </c>
      <c r="B33" s="34"/>
      <c r="C33" s="35"/>
      <c r="D33" s="35"/>
      <c r="E33" s="35"/>
      <c r="F33" s="36"/>
      <c r="G33" s="14"/>
      <c r="H33" s="14"/>
      <c r="I33" s="14"/>
      <c r="J33" s="14"/>
      <c r="K33" s="14"/>
      <c r="L33" s="15"/>
    </row>
    <row r="34" ht="16.5" spans="1:16">
      <c r="A34" s="16" t="s">
        <v>9</v>
      </c>
      <c r="B34" s="17" t="s">
        <v>33</v>
      </c>
      <c r="C34" s="18"/>
      <c r="D34" s="18"/>
      <c r="E34" s="18"/>
      <c r="F34" s="18"/>
      <c r="G34" s="18"/>
      <c r="H34" s="18"/>
      <c r="I34" s="18"/>
      <c r="J34" s="18"/>
      <c r="K34" s="19" t="s">
        <v>11</v>
      </c>
      <c r="L34" s="15">
        <v>63313</v>
      </c>
    </row>
    <row r="35" spans="1:16">
      <c r="A35" s="16" t="s">
        <v>12</v>
      </c>
      <c r="B35" s="20">
        <v>46054</v>
      </c>
      <c r="C35" s="21"/>
      <c r="D35" s="21"/>
      <c r="E35" s="21"/>
      <c r="F35" s="21"/>
      <c r="G35" s="21"/>
      <c r="H35" s="21"/>
      <c r="I35" s="21"/>
      <c r="J35" s="21"/>
      <c r="K35" s="19" t="s">
        <v>13</v>
      </c>
      <c r="L35" s="22">
        <f>SUM(C36:J36,B39:J39,)</f>
        <v>5658</v>
      </c>
    </row>
    <row r="36" ht="16.5" spans="1:16">
      <c r="A36" s="16" t="s">
        <v>14</v>
      </c>
      <c r="B36" s="17" t="s">
        <v>34</v>
      </c>
      <c r="C36" s="23"/>
      <c r="D36" s="23"/>
      <c r="E36" s="23"/>
      <c r="F36" s="23"/>
      <c r="G36" s="23"/>
      <c r="H36" s="23"/>
      <c r="I36" s="23"/>
      <c r="J36" s="23"/>
      <c r="K36" s="19" t="s">
        <v>16</v>
      </c>
      <c r="L36" s="15">
        <f>L34-L35</f>
        <v>57655</v>
      </c>
    </row>
    <row r="37" ht="16.5" spans="1:16">
      <c r="A37" s="24" t="s">
        <v>17</v>
      </c>
      <c r="B37" s="25">
        <v>1559</v>
      </c>
      <c r="C37" s="25">
        <v>1555</v>
      </c>
      <c r="D37" s="25">
        <v>1602</v>
      </c>
      <c r="E37" s="25">
        <v>1503</v>
      </c>
      <c r="F37" s="25"/>
      <c r="G37" s="25"/>
      <c r="H37" s="25"/>
      <c r="I37" s="26"/>
      <c r="J37" s="26"/>
      <c r="K37" s="27" t="s">
        <v>18</v>
      </c>
      <c r="L37" s="28" t="s">
        <v>24</v>
      </c>
    </row>
    <row r="38" ht="16.5" spans="1:16">
      <c r="A38" s="24" t="s">
        <v>20</v>
      </c>
      <c r="B38" s="29">
        <v>114</v>
      </c>
      <c r="C38" s="29">
        <v>120</v>
      </c>
      <c r="D38" s="29">
        <v>160</v>
      </c>
      <c r="E38" s="29">
        <v>167</v>
      </c>
      <c r="F38" s="29"/>
      <c r="G38" s="29"/>
      <c r="H38" s="29"/>
      <c r="I38" s="29"/>
      <c r="J38" s="29"/>
      <c r="K38" s="27"/>
      <c r="L38" s="30"/>
    </row>
    <row r="39" ht="17.25" spans="1:16">
      <c r="A39" s="31" t="s">
        <v>21</v>
      </c>
      <c r="B39" s="32">
        <f>B37-B38</f>
        <v>1445</v>
      </c>
      <c r="C39" s="32">
        <f>C37-C38</f>
        <v>1435</v>
      </c>
      <c r="D39" s="32">
        <f>D37-D38</f>
        <v>1442</v>
      </c>
      <c r="E39" s="32">
        <f>E37-E38</f>
        <v>1336</v>
      </c>
      <c r="F39" s="32"/>
      <c r="G39" s="32"/>
      <c r="H39" s="32"/>
      <c r="I39" s="32"/>
      <c r="J39" s="32"/>
      <c r="K39" s="32"/>
      <c r="L39" s="33"/>
    </row>
    <row r="40" ht="17.25" spans="1:16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s="1" customFormat="1" ht="16.5" spans="1:16">
      <c r="A41" s="10" t="s">
        <v>4</v>
      </c>
      <c r="B41" s="11"/>
      <c r="C41" s="11"/>
      <c r="D41" s="11"/>
      <c r="E41" s="11"/>
      <c r="F41" s="11"/>
      <c r="G41" s="11"/>
      <c r="H41" s="11"/>
      <c r="I41" s="11"/>
      <c r="J41" s="11"/>
      <c r="K41" s="11" t="s">
        <v>5</v>
      </c>
      <c r="L41" s="12"/>
      <c r="M41" s="80" t="s">
        <v>57</v>
      </c>
      <c r="N41" s="81"/>
      <c r="O41" s="81"/>
      <c r="P41" s="82"/>
    </row>
    <row r="42" s="1" customFormat="1" ht="17.25" spans="1:16">
      <c r="A42" s="13" t="s">
        <v>7</v>
      </c>
      <c r="B42" s="34"/>
      <c r="C42" s="35"/>
      <c r="D42" s="35"/>
      <c r="E42" s="35"/>
      <c r="F42" s="36"/>
      <c r="G42" s="14"/>
      <c r="H42" s="14"/>
      <c r="I42" s="14"/>
      <c r="J42" s="14"/>
      <c r="K42" s="14"/>
      <c r="L42" s="15"/>
      <c r="M42" s="83" t="s">
        <v>30</v>
      </c>
      <c r="N42" s="84"/>
      <c r="O42" s="84"/>
      <c r="P42" s="85"/>
    </row>
    <row r="43" s="1" customFormat="1" ht="16.5" spans="1:16">
      <c r="A43" s="16" t="s">
        <v>9</v>
      </c>
      <c r="B43" s="17" t="s">
        <v>58</v>
      </c>
      <c r="C43" s="18"/>
      <c r="D43" s="18"/>
      <c r="E43" s="18"/>
      <c r="F43" s="18"/>
      <c r="G43" s="18"/>
      <c r="H43" s="18"/>
      <c r="I43" s="18"/>
      <c r="J43" s="18"/>
      <c r="K43" s="19" t="s">
        <v>11</v>
      </c>
      <c r="L43" s="15">
        <v>19425</v>
      </c>
      <c r="M43" s="86"/>
      <c r="N43" s="87"/>
      <c r="O43" s="87"/>
      <c r="P43" s="88"/>
    </row>
    <row r="44" s="1" customFormat="1" spans="1:16">
      <c r="A44" s="16" t="s">
        <v>12</v>
      </c>
      <c r="B44" s="20">
        <v>46174</v>
      </c>
      <c r="C44" s="21"/>
      <c r="D44" s="21"/>
      <c r="E44" s="21"/>
      <c r="F44" s="21"/>
      <c r="G44" s="21"/>
      <c r="H44" s="21"/>
      <c r="I44" s="21"/>
      <c r="J44" s="21"/>
      <c r="K44" s="19" t="s">
        <v>13</v>
      </c>
      <c r="L44" s="22">
        <f>SUM(C45:J45,B48:J48,)</f>
        <v>10000</v>
      </c>
      <c r="M44" s="89" t="s">
        <v>27</v>
      </c>
      <c r="N44" s="90"/>
      <c r="O44" s="91">
        <v>0.114</v>
      </c>
      <c r="P44" s="88"/>
    </row>
    <row r="45" s="1" customFormat="1" ht="16.5" spans="1:16">
      <c r="A45" s="16" t="s">
        <v>14</v>
      </c>
      <c r="B45" s="17" t="s">
        <v>59</v>
      </c>
      <c r="C45" s="23"/>
      <c r="D45" s="23"/>
      <c r="E45" s="23"/>
      <c r="F45" s="23"/>
      <c r="G45" s="23"/>
      <c r="H45" s="23"/>
      <c r="I45" s="23"/>
      <c r="J45" s="23"/>
      <c r="K45" s="19" t="s">
        <v>16</v>
      </c>
      <c r="L45" s="15">
        <f>L43-L44</f>
        <v>9425</v>
      </c>
      <c r="M45" s="89" t="s">
        <v>28</v>
      </c>
      <c r="N45" s="90"/>
      <c r="O45" s="91">
        <v>0.114</v>
      </c>
      <c r="P45" s="92"/>
    </row>
    <row r="46" s="1" customFormat="1" ht="17.25" spans="1:16">
      <c r="A46" s="24" t="s">
        <v>17</v>
      </c>
      <c r="B46" s="25">
        <v>10000</v>
      </c>
      <c r="C46" s="25"/>
      <c r="D46" s="25"/>
      <c r="E46" s="25"/>
      <c r="F46" s="25"/>
      <c r="G46" s="25"/>
      <c r="H46" s="25"/>
      <c r="I46" s="26"/>
      <c r="J46" s="26"/>
      <c r="K46" s="27" t="s">
        <v>18</v>
      </c>
      <c r="L46" s="28" t="s">
        <v>24</v>
      </c>
      <c r="M46" s="93" t="s">
        <v>29</v>
      </c>
      <c r="N46" s="94"/>
      <c r="O46" s="95">
        <v>0.0385</v>
      </c>
      <c r="P46" s="96"/>
    </row>
    <row r="47" s="1" customFormat="1" ht="16.5" spans="1:16">
      <c r="A47" s="24" t="s">
        <v>20</v>
      </c>
      <c r="B47" s="29">
        <v>0</v>
      </c>
      <c r="C47" s="29"/>
      <c r="D47" s="29"/>
      <c r="E47" s="29"/>
      <c r="F47" s="29"/>
      <c r="G47" s="29"/>
      <c r="H47" s="29"/>
      <c r="I47" s="29"/>
      <c r="J47" s="29"/>
      <c r="K47" s="27"/>
      <c r="L47" s="30"/>
    </row>
    <row r="48" s="1" customFormat="1" ht="17.25" spans="1:16">
      <c r="A48" s="31" t="s">
        <v>21</v>
      </c>
      <c r="B48" s="32">
        <f>B46-B47</f>
        <v>10000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ht="17.25" spans="1:1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ht="16.5" spans="1:12">
      <c r="A50" s="37" t="s">
        <v>35</v>
      </c>
      <c r="B50" s="11"/>
      <c r="C50" s="11"/>
      <c r="D50" s="11"/>
      <c r="E50" s="11"/>
      <c r="F50" s="11"/>
      <c r="G50" s="11"/>
      <c r="H50" s="11"/>
      <c r="I50" s="11"/>
      <c r="J50" s="11"/>
      <c r="K50" s="11">
        <v>10</v>
      </c>
      <c r="L50" s="38"/>
    </row>
    <row r="51" ht="16.5" spans="1:12">
      <c r="A51" s="16" t="s">
        <v>9</v>
      </c>
      <c r="B51" s="39"/>
      <c r="C51" s="40"/>
      <c r="D51" s="41"/>
      <c r="E51" s="42"/>
      <c r="F51" s="42" t="s">
        <v>36</v>
      </c>
      <c r="G51" s="42"/>
      <c r="H51" s="43"/>
      <c r="I51" s="44"/>
      <c r="J51" s="29"/>
      <c r="K51" s="45" t="s">
        <v>11</v>
      </c>
      <c r="L51" s="15"/>
    </row>
    <row r="52" ht="16.5" spans="1:12">
      <c r="A52" s="16" t="s">
        <v>12</v>
      </c>
      <c r="B52" s="39"/>
      <c r="C52" s="40"/>
      <c r="D52" s="46"/>
      <c r="E52" s="47" t="s">
        <v>37</v>
      </c>
      <c r="F52" s="48"/>
      <c r="G52" s="48"/>
      <c r="H52" s="49"/>
      <c r="I52" s="44"/>
      <c r="J52" s="29"/>
      <c r="K52" s="45" t="s">
        <v>13</v>
      </c>
      <c r="L52" s="15"/>
    </row>
    <row r="53" ht="16.5" spans="1:12">
      <c r="A53" s="16" t="s">
        <v>14</v>
      </c>
      <c r="B53" s="50"/>
      <c r="C53" s="40"/>
      <c r="D53" s="51"/>
      <c r="E53" s="47" t="s">
        <v>38</v>
      </c>
      <c r="F53" s="48"/>
      <c r="G53" s="48"/>
      <c r="H53" s="52"/>
      <c r="I53" s="44"/>
      <c r="J53" s="29"/>
      <c r="K53" s="45" t="s">
        <v>16</v>
      </c>
      <c r="L53" s="15"/>
    </row>
    <row r="54" ht="16.5" spans="1:12">
      <c r="A54" s="16" t="s">
        <v>39</v>
      </c>
      <c r="B54" s="40"/>
      <c r="C54" s="40"/>
      <c r="D54" s="51"/>
      <c r="E54" s="53" t="s">
        <v>40</v>
      </c>
      <c r="F54" s="53"/>
      <c r="G54" s="54"/>
      <c r="H54" s="52"/>
      <c r="I54" s="55"/>
      <c r="J54" s="50"/>
      <c r="K54" s="27" t="s">
        <v>18</v>
      </c>
      <c r="L54" s="56"/>
    </row>
    <row r="55" ht="16.5" spans="1:12">
      <c r="A55" s="24" t="s">
        <v>17</v>
      </c>
      <c r="B55" s="21"/>
      <c r="C55" s="57"/>
      <c r="D55" s="58"/>
      <c r="E55" s="53" t="s">
        <v>41</v>
      </c>
      <c r="F55" s="59"/>
      <c r="G55" s="54"/>
      <c r="H55" s="60"/>
      <c r="I55" s="61"/>
      <c r="J55" s="21"/>
      <c r="K55" s="27"/>
      <c r="L55" s="30" t="s">
        <v>42</v>
      </c>
    </row>
    <row r="56" ht="17.25" spans="1:12">
      <c r="A56" s="24" t="s">
        <v>20</v>
      </c>
      <c r="B56" s="21"/>
      <c r="C56" s="62"/>
      <c r="D56" s="63"/>
      <c r="E56" s="64" t="s">
        <v>43</v>
      </c>
      <c r="F56" s="65"/>
      <c r="G56" s="66"/>
      <c r="H56" s="67"/>
      <c r="I56" s="61"/>
      <c r="J56" s="21"/>
      <c r="K56" s="68"/>
      <c r="L56" s="30"/>
    </row>
    <row r="57" ht="17.25" spans="1:12">
      <c r="A57" s="31" t="s">
        <v>21</v>
      </c>
      <c r="B57" s="69"/>
      <c r="C57" s="69"/>
      <c r="D57" s="69"/>
      <c r="E57" s="69" t="s">
        <v>44</v>
      </c>
      <c r="F57" s="69"/>
      <c r="G57" s="69"/>
      <c r="H57" s="69"/>
      <c r="I57" s="68"/>
      <c r="J57" s="68"/>
      <c r="K57" s="68"/>
      <c r="L57" s="33"/>
    </row>
    <row r="58" ht="16.5" spans="1:12">
      <c r="A58" s="70"/>
      <c r="B58" s="71"/>
      <c r="C58" s="71"/>
      <c r="D58" s="71"/>
      <c r="E58" s="71"/>
      <c r="F58" s="71"/>
      <c r="G58" s="71"/>
      <c r="H58" s="71"/>
      <c r="I58" s="71"/>
      <c r="J58" s="71"/>
      <c r="K58" s="72"/>
      <c r="L58" s="73"/>
    </row>
    <row r="59" ht="16.5" spans="1:12">
      <c r="A59" s="74" t="s">
        <v>45</v>
      </c>
      <c r="B59" s="75"/>
      <c r="C59" s="75"/>
      <c r="D59" s="75"/>
      <c r="E59" s="75"/>
      <c r="F59" s="73"/>
      <c r="G59" s="75" t="s">
        <v>46</v>
      </c>
      <c r="H59" s="75" t="s">
        <v>47</v>
      </c>
      <c r="I59" s="75"/>
      <c r="J59" s="75"/>
      <c r="K59" s="76"/>
      <c r="L59" s="77"/>
    </row>
    <row r="60" ht="16.5" spans="1:12">
      <c r="A60" s="74" t="s">
        <v>48</v>
      </c>
      <c r="B60" s="75"/>
      <c r="C60" s="75"/>
      <c r="D60" s="75"/>
      <c r="E60" s="75"/>
      <c r="F60" s="73"/>
      <c r="G60" s="75"/>
      <c r="H60" s="75" t="s">
        <v>49</v>
      </c>
      <c r="I60" s="75"/>
      <c r="J60" s="75"/>
      <c r="K60" s="75"/>
      <c r="L60" s="73"/>
    </row>
    <row r="61" ht="16.5" spans="1:12">
      <c r="A61" s="74" t="s">
        <v>50</v>
      </c>
      <c r="B61" s="74" t="s">
        <v>51</v>
      </c>
      <c r="C61" s="75"/>
      <c r="D61" s="75"/>
      <c r="E61" s="75"/>
      <c r="F61" s="73"/>
      <c r="G61" s="75"/>
      <c r="H61" s="75" t="s">
        <v>52</v>
      </c>
      <c r="I61" s="75"/>
      <c r="J61" s="75"/>
      <c r="K61" s="75"/>
      <c r="L61" s="73"/>
    </row>
    <row r="62" ht="16.5" spans="1:12">
      <c r="A62" s="74"/>
      <c r="B62" s="74"/>
      <c r="C62" s="75"/>
      <c r="D62" s="75"/>
      <c r="E62" s="75"/>
      <c r="F62" s="75"/>
      <c r="G62" s="75"/>
      <c r="H62" s="75"/>
      <c r="I62" s="75"/>
      <c r="J62" s="75"/>
      <c r="K62" s="75"/>
      <c r="L62" s="73"/>
    </row>
    <row r="63" spans="1:12">
      <c r="A63" s="74" t="s">
        <v>53</v>
      </c>
      <c r="B63" s="74" t="s">
        <v>54</v>
      </c>
      <c r="C63" s="75"/>
      <c r="D63" s="75"/>
      <c r="E63" s="75"/>
      <c r="F63" s="75"/>
      <c r="G63" s="75"/>
      <c r="H63" s="75"/>
      <c r="I63" s="75"/>
      <c r="J63" s="75"/>
      <c r="K63" s="78" t="s">
        <v>55</v>
      </c>
      <c r="L63" s="79">
        <f>SUM(L44,L8,L17,L26,L35)</f>
        <v>36226</v>
      </c>
    </row>
    <row r="64" ht="16.5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8">
    <mergeCell ref="A1:G1"/>
    <mergeCell ref="J1:K1"/>
    <mergeCell ref="M41:P41"/>
    <mergeCell ref="M42:P42"/>
    <mergeCell ref="N43:O43"/>
    <mergeCell ref="M44:N44"/>
    <mergeCell ref="M45:N45"/>
    <mergeCell ref="M46:N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workbookViewId="0">
      <selection activeCell="B48" sqref="B48"/>
    </sheetView>
  </sheetViews>
  <sheetFormatPr defaultColWidth="9.14285714285714" defaultRowHeight="15"/>
  <cols>
    <col min="1" max="11" width="9.14285714285714" style="1"/>
    <col min="12" max="12" width="11.8571428571429" style="1" customWidth="1"/>
  </cols>
  <sheetData>
    <row r="1" ht="23.25" spans="1:12">
      <c r="A1" s="2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60</v>
      </c>
      <c r="K1" s="5"/>
      <c r="L1" s="6"/>
    </row>
    <row r="4" ht="17.25" spans="1:12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ht="16.5" spans="1:12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 t="s">
        <v>5</v>
      </c>
      <c r="L5" s="12"/>
    </row>
    <row r="6" ht="16.5" spans="1:12">
      <c r="A6" s="13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6.5" spans="1:12">
      <c r="A7" s="16" t="s">
        <v>9</v>
      </c>
      <c r="B7" s="17" t="s">
        <v>22</v>
      </c>
      <c r="C7" s="18"/>
      <c r="D7" s="18"/>
      <c r="E7" s="18"/>
      <c r="F7" s="18"/>
      <c r="G7" s="18"/>
      <c r="H7" s="18"/>
      <c r="I7" s="18"/>
      <c r="J7" s="18"/>
      <c r="K7" s="19" t="s">
        <v>11</v>
      </c>
      <c r="L7" s="15">
        <v>33776</v>
      </c>
    </row>
    <row r="8" spans="1:12">
      <c r="A8" s="16" t="s">
        <v>12</v>
      </c>
      <c r="B8" s="20">
        <v>46082</v>
      </c>
      <c r="C8" s="21"/>
      <c r="D8" s="21"/>
      <c r="E8" s="21"/>
      <c r="F8" s="21"/>
      <c r="G8" s="21"/>
      <c r="H8" s="21"/>
      <c r="I8" s="21"/>
      <c r="J8" s="21"/>
      <c r="K8" s="19" t="s">
        <v>13</v>
      </c>
      <c r="L8" s="22">
        <f>SUM(C9:J9,B12:J12,)</f>
        <v>2754</v>
      </c>
    </row>
    <row r="9" ht="16.5" spans="1:12">
      <c r="A9" s="16" t="s">
        <v>14</v>
      </c>
      <c r="B9" s="17" t="s">
        <v>23</v>
      </c>
      <c r="C9" s="23"/>
      <c r="D9" s="23"/>
      <c r="E9" s="23"/>
      <c r="F9" s="23"/>
      <c r="G9" s="23"/>
      <c r="H9" s="23"/>
      <c r="I9" s="23"/>
      <c r="J9" s="23"/>
      <c r="K9" s="19" t="s">
        <v>16</v>
      </c>
      <c r="L9" s="15">
        <f>L7-L8</f>
        <v>31022</v>
      </c>
    </row>
    <row r="10" ht="16.5" spans="1:12">
      <c r="A10" s="24" t="s">
        <v>17</v>
      </c>
      <c r="B10" s="25">
        <v>1437</v>
      </c>
      <c r="C10" s="25">
        <v>1550</v>
      </c>
      <c r="D10" s="25"/>
      <c r="E10" s="25"/>
      <c r="F10" s="25"/>
      <c r="G10" s="25"/>
      <c r="H10" s="25"/>
      <c r="I10" s="26"/>
      <c r="J10" s="26"/>
      <c r="K10" s="27" t="s">
        <v>18</v>
      </c>
      <c r="L10" s="28" t="s">
        <v>24</v>
      </c>
    </row>
    <row r="11" ht="16.5" spans="1:12">
      <c r="A11" s="24" t="s">
        <v>20</v>
      </c>
      <c r="B11" s="29">
        <v>121</v>
      </c>
      <c r="C11" s="29">
        <v>112</v>
      </c>
      <c r="D11" s="29"/>
      <c r="E11" s="29"/>
      <c r="F11" s="29"/>
      <c r="G11" s="29"/>
      <c r="H11" s="29"/>
      <c r="I11" s="29"/>
      <c r="J11" s="29"/>
      <c r="K11" s="27"/>
      <c r="L11" s="30"/>
    </row>
    <row r="12" ht="17.25" spans="1:12">
      <c r="A12" s="31" t="s">
        <v>21</v>
      </c>
      <c r="B12" s="32">
        <f>B10-B11</f>
        <v>1316</v>
      </c>
      <c r="C12" s="32">
        <f>C10-C11</f>
        <v>1438</v>
      </c>
      <c r="D12" s="32"/>
      <c r="E12" s="32"/>
      <c r="F12" s="32"/>
      <c r="G12" s="32"/>
      <c r="H12" s="32"/>
      <c r="I12" s="32"/>
      <c r="J12" s="32"/>
      <c r="K12" s="32"/>
      <c r="L12" s="33"/>
    </row>
    <row r="13" ht="17.25" spans="1:1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</row>
    <row r="14" ht="16.5" spans="1:12">
      <c r="A14" s="10" t="s">
        <v>4</v>
      </c>
      <c r="B14" s="11"/>
      <c r="C14" s="11"/>
      <c r="D14" s="11"/>
      <c r="E14" s="11"/>
      <c r="F14" s="11"/>
      <c r="G14" s="11"/>
      <c r="H14" s="11"/>
      <c r="I14" s="11"/>
      <c r="J14" s="11"/>
      <c r="K14" s="11" t="s">
        <v>5</v>
      </c>
      <c r="L14" s="12"/>
    </row>
    <row r="15" ht="16.5" spans="1:12">
      <c r="A15" s="13" t="s">
        <v>7</v>
      </c>
      <c r="B15" s="34"/>
      <c r="C15" s="35"/>
      <c r="D15" s="35"/>
      <c r="E15" s="35"/>
      <c r="F15" s="36"/>
      <c r="G15" s="14"/>
      <c r="H15" s="14"/>
      <c r="I15" s="14"/>
      <c r="J15" s="14"/>
      <c r="K15" s="14"/>
      <c r="L15" s="15"/>
    </row>
    <row r="16" ht="16.5" spans="1:12">
      <c r="A16" s="16" t="s">
        <v>9</v>
      </c>
      <c r="B16" s="17" t="s">
        <v>26</v>
      </c>
      <c r="C16" s="18">
        <v>1551</v>
      </c>
      <c r="D16" s="18"/>
      <c r="E16" s="18"/>
      <c r="F16" s="18"/>
      <c r="G16" s="18"/>
      <c r="H16" s="18"/>
      <c r="I16" s="18"/>
      <c r="J16" s="18"/>
      <c r="K16" s="19" t="s">
        <v>11</v>
      </c>
      <c r="L16" s="15">
        <v>35508</v>
      </c>
    </row>
    <row r="17" spans="1:12">
      <c r="A17" s="16" t="s">
        <v>12</v>
      </c>
      <c r="B17" s="20">
        <v>45839</v>
      </c>
      <c r="C17" s="21">
        <v>165</v>
      </c>
      <c r="D17" s="21"/>
      <c r="E17" s="21"/>
      <c r="F17" s="21"/>
      <c r="G17" s="21"/>
      <c r="H17" s="21"/>
      <c r="I17" s="21"/>
      <c r="J17" s="21"/>
      <c r="K17" s="19" t="s">
        <v>13</v>
      </c>
      <c r="L17" s="22">
        <f>SUM(C18:J18,B21:J21,)</f>
        <v>11831</v>
      </c>
    </row>
    <row r="18" ht="16.5" spans="1:12">
      <c r="A18" s="16" t="s">
        <v>14</v>
      </c>
      <c r="B18" s="17" t="s">
        <v>15</v>
      </c>
      <c r="C18" s="23">
        <f>C16-C17</f>
        <v>1386</v>
      </c>
      <c r="D18" s="23"/>
      <c r="E18" s="23"/>
      <c r="F18" s="23"/>
      <c r="G18" s="23"/>
      <c r="H18" s="23"/>
      <c r="I18" s="23"/>
      <c r="J18" s="23"/>
      <c r="K18" s="19" t="s">
        <v>16</v>
      </c>
      <c r="L18" s="15">
        <f>L16-L17</f>
        <v>23677</v>
      </c>
    </row>
    <row r="19" ht="16.5" spans="1:12">
      <c r="A19" s="24" t="s">
        <v>17</v>
      </c>
      <c r="B19" s="25">
        <v>1306</v>
      </c>
      <c r="C19" s="25">
        <v>1361</v>
      </c>
      <c r="D19" s="25">
        <v>1186</v>
      </c>
      <c r="E19" s="25">
        <v>1149</v>
      </c>
      <c r="F19" s="25">
        <v>1313</v>
      </c>
      <c r="G19" s="25">
        <v>1167</v>
      </c>
      <c r="H19" s="25">
        <v>1314</v>
      </c>
      <c r="I19" s="26">
        <v>1256</v>
      </c>
      <c r="J19" s="26">
        <v>1452</v>
      </c>
      <c r="K19" s="27" t="s">
        <v>18</v>
      </c>
      <c r="L19" s="28" t="s">
        <v>24</v>
      </c>
    </row>
    <row r="20" ht="16.5" spans="1:12">
      <c r="A20" s="24" t="s">
        <v>20</v>
      </c>
      <c r="B20" s="29">
        <v>114</v>
      </c>
      <c r="C20" s="29">
        <v>118</v>
      </c>
      <c r="D20" s="29">
        <v>126</v>
      </c>
      <c r="E20" s="29">
        <v>116</v>
      </c>
      <c r="F20" s="29">
        <v>118</v>
      </c>
      <c r="G20" s="29">
        <v>114</v>
      </c>
      <c r="H20" s="29">
        <v>114</v>
      </c>
      <c r="I20" s="29">
        <v>118</v>
      </c>
      <c r="J20" s="29">
        <v>121</v>
      </c>
      <c r="K20" s="27"/>
      <c r="L20" s="30"/>
    </row>
    <row r="21" ht="17.25" spans="1:12">
      <c r="A21" s="31" t="s">
        <v>21</v>
      </c>
      <c r="B21" s="32">
        <f t="shared" ref="B21:J21" si="0">B19-B20</f>
        <v>1192</v>
      </c>
      <c r="C21" s="32">
        <f t="shared" si="0"/>
        <v>1243</v>
      </c>
      <c r="D21" s="32">
        <f t="shared" si="0"/>
        <v>1060</v>
      </c>
      <c r="E21" s="32">
        <f t="shared" si="0"/>
        <v>1033</v>
      </c>
      <c r="F21" s="32">
        <f t="shared" si="0"/>
        <v>1195</v>
      </c>
      <c r="G21" s="32">
        <f t="shared" si="0"/>
        <v>1053</v>
      </c>
      <c r="H21" s="32">
        <f t="shared" si="0"/>
        <v>1200</v>
      </c>
      <c r="I21" s="32">
        <f t="shared" si="0"/>
        <v>1138</v>
      </c>
      <c r="J21" s="32">
        <f t="shared" si="0"/>
        <v>1331</v>
      </c>
      <c r="K21" s="32"/>
      <c r="L21" s="33"/>
    </row>
    <row r="22" ht="17.25" spans="1:12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ht="16.5" spans="1:12">
      <c r="A23" s="10" t="s">
        <v>4</v>
      </c>
      <c r="B23" s="11"/>
      <c r="C23" s="11"/>
      <c r="D23" s="11"/>
      <c r="E23" s="11"/>
      <c r="F23" s="11"/>
      <c r="G23" s="11"/>
      <c r="H23" s="11"/>
      <c r="I23" s="11"/>
      <c r="J23" s="11"/>
      <c r="K23" s="11" t="s">
        <v>5</v>
      </c>
      <c r="L23" s="12"/>
    </row>
    <row r="24" ht="16.5" spans="1:12">
      <c r="A24" s="13" t="s">
        <v>7</v>
      </c>
      <c r="B24" s="34"/>
      <c r="C24" s="35"/>
      <c r="D24" s="35"/>
      <c r="E24" s="35"/>
      <c r="F24" s="36"/>
      <c r="G24" s="14"/>
      <c r="H24" s="14"/>
      <c r="I24" s="14"/>
      <c r="J24" s="14"/>
      <c r="K24" s="14"/>
      <c r="L24" s="15"/>
    </row>
    <row r="25" ht="16.5" spans="1:12">
      <c r="A25" s="16" t="s">
        <v>9</v>
      </c>
      <c r="B25" s="17" t="s">
        <v>31</v>
      </c>
      <c r="C25" s="18"/>
      <c r="D25" s="18"/>
      <c r="E25" s="18"/>
      <c r="F25" s="18"/>
      <c r="G25" s="18"/>
      <c r="H25" s="18"/>
      <c r="I25" s="18"/>
      <c r="J25" s="18"/>
      <c r="K25" s="19" t="s">
        <v>11</v>
      </c>
      <c r="L25" s="15">
        <v>61701</v>
      </c>
    </row>
    <row r="26" spans="1:12">
      <c r="A26" s="16" t="s">
        <v>12</v>
      </c>
      <c r="B26" s="20">
        <v>45931</v>
      </c>
      <c r="C26" s="21"/>
      <c r="D26" s="21"/>
      <c r="E26" s="21"/>
      <c r="F26" s="21"/>
      <c r="G26" s="21"/>
      <c r="H26" s="21"/>
      <c r="I26" s="21"/>
      <c r="J26" s="21"/>
      <c r="K26" s="19" t="s">
        <v>13</v>
      </c>
      <c r="L26" s="22">
        <f>SUM(C27:J27,B30:J30,)</f>
        <v>4977</v>
      </c>
    </row>
    <row r="27" ht="16.5" spans="1:12">
      <c r="A27" s="16" t="s">
        <v>14</v>
      </c>
      <c r="B27" s="17" t="s">
        <v>32</v>
      </c>
      <c r="C27" s="23"/>
      <c r="D27" s="23"/>
      <c r="E27" s="23"/>
      <c r="F27" s="23"/>
      <c r="G27" s="23"/>
      <c r="H27" s="23"/>
      <c r="I27" s="23"/>
      <c r="J27" s="23"/>
      <c r="K27" s="19" t="s">
        <v>16</v>
      </c>
      <c r="L27" s="15">
        <f>L25-L26</f>
        <v>56724</v>
      </c>
    </row>
    <row r="28" ht="16.5" spans="1:12">
      <c r="A28" s="24" t="s">
        <v>17</v>
      </c>
      <c r="B28" s="25">
        <v>1381</v>
      </c>
      <c r="C28" s="25">
        <v>1439</v>
      </c>
      <c r="D28" s="25">
        <v>1354</v>
      </c>
      <c r="E28" s="25">
        <v>1310</v>
      </c>
      <c r="F28" s="25"/>
      <c r="G28" s="25"/>
      <c r="H28" s="25"/>
      <c r="I28" s="26"/>
      <c r="J28" s="26"/>
      <c r="K28" s="27" t="s">
        <v>18</v>
      </c>
      <c r="L28" s="28" t="s">
        <v>24</v>
      </c>
    </row>
    <row r="29" ht="16.5" spans="1:12">
      <c r="A29" s="24" t="s">
        <v>20</v>
      </c>
      <c r="B29" s="29">
        <v>163</v>
      </c>
      <c r="C29" s="29">
        <v>114</v>
      </c>
      <c r="D29" s="29">
        <v>121</v>
      </c>
      <c r="E29" s="29">
        <v>109</v>
      </c>
      <c r="F29" s="29"/>
      <c r="G29" s="29"/>
      <c r="H29" s="29"/>
      <c r="I29" s="29"/>
      <c r="J29" s="29"/>
      <c r="K29" s="27"/>
      <c r="L29" s="30"/>
    </row>
    <row r="30" ht="17.25" spans="1:12">
      <c r="A30" s="31" t="s">
        <v>21</v>
      </c>
      <c r="B30" s="32">
        <f>B28-B29</f>
        <v>1218</v>
      </c>
      <c r="C30" s="32">
        <f>C28-C29</f>
        <v>1325</v>
      </c>
      <c r="D30" s="32">
        <f>D28-D29</f>
        <v>1233</v>
      </c>
      <c r="E30" s="32">
        <f>E28-E29</f>
        <v>1201</v>
      </c>
      <c r="F30" s="32"/>
      <c r="G30" s="32"/>
      <c r="H30" s="32"/>
      <c r="I30" s="32"/>
      <c r="J30" s="32"/>
      <c r="K30" s="32"/>
      <c r="L30" s="33"/>
    </row>
    <row r="31" ht="17.25" spans="1:12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 ht="16.5" spans="1:12">
      <c r="A32" s="10" t="s">
        <v>4</v>
      </c>
      <c r="B32" s="11"/>
      <c r="C32" s="11"/>
      <c r="D32" s="11"/>
      <c r="E32" s="11"/>
      <c r="F32" s="11"/>
      <c r="G32" s="11"/>
      <c r="H32" s="11"/>
      <c r="I32" s="11"/>
      <c r="J32" s="11"/>
      <c r="K32" s="11" t="s">
        <v>5</v>
      </c>
      <c r="L32" s="12"/>
    </row>
    <row r="33" ht="16.5" spans="1:12">
      <c r="A33" s="13" t="s">
        <v>7</v>
      </c>
      <c r="B33" s="34"/>
      <c r="C33" s="35"/>
      <c r="D33" s="35"/>
      <c r="E33" s="35"/>
      <c r="F33" s="36"/>
      <c r="G33" s="14"/>
      <c r="H33" s="14"/>
      <c r="I33" s="14"/>
      <c r="J33" s="14"/>
      <c r="K33" s="14"/>
      <c r="L33" s="15"/>
    </row>
    <row r="34" ht="16.5" spans="1:12">
      <c r="A34" s="16" t="s">
        <v>9</v>
      </c>
      <c r="B34" s="17" t="s">
        <v>33</v>
      </c>
      <c r="C34" s="18"/>
      <c r="D34" s="18"/>
      <c r="E34" s="18"/>
      <c r="F34" s="18"/>
      <c r="G34" s="18"/>
      <c r="H34" s="18"/>
      <c r="I34" s="18"/>
      <c r="J34" s="18"/>
      <c r="K34" s="19" t="s">
        <v>11</v>
      </c>
      <c r="L34" s="15">
        <v>57655</v>
      </c>
    </row>
    <row r="35" spans="1:12">
      <c r="A35" s="16" t="s">
        <v>12</v>
      </c>
      <c r="B35" s="20">
        <v>46054</v>
      </c>
      <c r="C35" s="21"/>
      <c r="D35" s="21"/>
      <c r="E35" s="21"/>
      <c r="F35" s="21"/>
      <c r="G35" s="21"/>
      <c r="H35" s="21"/>
      <c r="I35" s="21"/>
      <c r="J35" s="21"/>
      <c r="K35" s="19" t="s">
        <v>13</v>
      </c>
      <c r="L35" s="22">
        <f>SUM(C36:J36,B39:J39,)</f>
        <v>5430</v>
      </c>
    </row>
    <row r="36" ht="16.5" spans="1:12">
      <c r="A36" s="16" t="s">
        <v>14</v>
      </c>
      <c r="B36" s="17" t="s">
        <v>34</v>
      </c>
      <c r="C36" s="23"/>
      <c r="D36" s="23"/>
      <c r="E36" s="23"/>
      <c r="F36" s="23"/>
      <c r="G36" s="23"/>
      <c r="H36" s="23"/>
      <c r="I36" s="23"/>
      <c r="J36" s="23"/>
      <c r="K36" s="19" t="s">
        <v>16</v>
      </c>
      <c r="L36" s="15">
        <f>L34-L35</f>
        <v>52225</v>
      </c>
    </row>
    <row r="37" ht="16.5" spans="1:12">
      <c r="A37" s="24" t="s">
        <v>17</v>
      </c>
      <c r="B37" s="25">
        <v>1472</v>
      </c>
      <c r="C37" s="25">
        <v>1416</v>
      </c>
      <c r="D37" s="25">
        <v>1512</v>
      </c>
      <c r="E37" s="25">
        <v>1502</v>
      </c>
      <c r="F37" s="25"/>
      <c r="G37" s="25"/>
      <c r="H37" s="25"/>
      <c r="I37" s="26"/>
      <c r="J37" s="26"/>
      <c r="K37" s="27" t="s">
        <v>18</v>
      </c>
      <c r="L37" s="28" t="s">
        <v>24</v>
      </c>
    </row>
    <row r="38" ht="16.5" spans="1:12">
      <c r="A38" s="24" t="s">
        <v>20</v>
      </c>
      <c r="B38" s="29">
        <v>114</v>
      </c>
      <c r="C38" s="29">
        <v>120</v>
      </c>
      <c r="D38" s="29">
        <v>121</v>
      </c>
      <c r="E38" s="29">
        <v>117</v>
      </c>
      <c r="F38" s="29"/>
      <c r="G38" s="29"/>
      <c r="H38" s="29"/>
      <c r="I38" s="29"/>
      <c r="J38" s="29"/>
      <c r="K38" s="27"/>
      <c r="L38" s="30"/>
    </row>
    <row r="39" ht="17.25" spans="1:12">
      <c r="A39" s="31" t="s">
        <v>21</v>
      </c>
      <c r="B39" s="32">
        <f>B37-B38</f>
        <v>1358</v>
      </c>
      <c r="C39" s="32">
        <f>C37-C38</f>
        <v>1296</v>
      </c>
      <c r="D39" s="32">
        <f>D37-D38</f>
        <v>1391</v>
      </c>
      <c r="E39" s="32">
        <f>E37-E38</f>
        <v>1385</v>
      </c>
      <c r="F39" s="32"/>
      <c r="G39" s="32"/>
      <c r="H39" s="32"/>
      <c r="I39" s="32"/>
      <c r="J39" s="32"/>
      <c r="K39" s="32"/>
      <c r="L39" s="33"/>
    </row>
    <row r="40" ht="17.25" spans="1:12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</row>
    <row r="41" ht="16.5" spans="1:12">
      <c r="A41" s="10" t="s">
        <v>4</v>
      </c>
      <c r="B41" s="11"/>
      <c r="C41" s="11"/>
      <c r="D41" s="11"/>
      <c r="E41" s="11"/>
      <c r="F41" s="11"/>
      <c r="G41" s="11"/>
      <c r="H41" s="11"/>
      <c r="I41" s="11"/>
      <c r="J41" s="11"/>
      <c r="K41" s="11" t="s">
        <v>5</v>
      </c>
      <c r="L41" s="12"/>
    </row>
    <row r="42" ht="16.5" spans="1:12">
      <c r="A42" s="13" t="s">
        <v>7</v>
      </c>
      <c r="B42" s="34"/>
      <c r="C42" s="35"/>
      <c r="D42" s="35"/>
      <c r="E42" s="35"/>
      <c r="F42" s="36"/>
      <c r="G42" s="14"/>
      <c r="H42" s="14"/>
      <c r="I42" s="14"/>
      <c r="J42" s="14"/>
      <c r="K42" s="14"/>
      <c r="L42" s="15"/>
    </row>
    <row r="43" ht="16.5" spans="1:12">
      <c r="A43" s="16" t="s">
        <v>9</v>
      </c>
      <c r="B43" s="17" t="s">
        <v>58</v>
      </c>
      <c r="C43" s="18"/>
      <c r="D43" s="18"/>
      <c r="E43" s="18"/>
      <c r="F43" s="18"/>
      <c r="G43" s="18"/>
      <c r="H43" s="18"/>
      <c r="I43" s="18"/>
      <c r="J43" s="18"/>
      <c r="K43" s="19" t="s">
        <v>11</v>
      </c>
      <c r="L43" s="15">
        <v>9425</v>
      </c>
    </row>
    <row r="44" spans="1:12">
      <c r="A44" s="16" t="s">
        <v>12</v>
      </c>
      <c r="B44" s="20">
        <v>46174</v>
      </c>
      <c r="C44" s="21"/>
      <c r="D44" s="21"/>
      <c r="E44" s="21"/>
      <c r="F44" s="21"/>
      <c r="G44" s="21"/>
      <c r="H44" s="21"/>
      <c r="I44" s="21"/>
      <c r="J44" s="21"/>
      <c r="K44" s="19" t="s">
        <v>13</v>
      </c>
      <c r="L44" s="22">
        <f>SUM(C45:J45,B48:J48,)</f>
        <v>6000</v>
      </c>
    </row>
    <row r="45" ht="16.5" spans="1:12">
      <c r="A45" s="16" t="s">
        <v>14</v>
      </c>
      <c r="B45" s="17" t="s">
        <v>59</v>
      </c>
      <c r="C45" s="23"/>
      <c r="D45" s="23"/>
      <c r="E45" s="23"/>
      <c r="F45" s="23"/>
      <c r="G45" s="23"/>
      <c r="H45" s="23"/>
      <c r="I45" s="23"/>
      <c r="J45" s="23"/>
      <c r="K45" s="19" t="s">
        <v>16</v>
      </c>
      <c r="L45" s="15">
        <f>L43-L44</f>
        <v>3425</v>
      </c>
    </row>
    <row r="46" ht="16.5" spans="1:12">
      <c r="A46" s="24" t="s">
        <v>17</v>
      </c>
      <c r="B46" s="25">
        <v>6000</v>
      </c>
      <c r="C46" s="25"/>
      <c r="D46" s="25"/>
      <c r="E46" s="25"/>
      <c r="F46" s="25"/>
      <c r="G46" s="25"/>
      <c r="H46" s="25"/>
      <c r="I46" s="26"/>
      <c r="J46" s="26"/>
      <c r="K46" s="27" t="s">
        <v>18</v>
      </c>
      <c r="L46" s="28" t="s">
        <v>24</v>
      </c>
    </row>
    <row r="47" ht="16.5" spans="1:12">
      <c r="A47" s="24" t="s">
        <v>20</v>
      </c>
      <c r="B47" s="29">
        <v>0</v>
      </c>
      <c r="C47" s="29"/>
      <c r="D47" s="29"/>
      <c r="E47" s="29"/>
      <c r="F47" s="29"/>
      <c r="G47" s="29"/>
      <c r="H47" s="29"/>
      <c r="I47" s="29"/>
      <c r="J47" s="29"/>
      <c r="K47" s="27"/>
      <c r="L47" s="30"/>
    </row>
    <row r="48" ht="17.25" spans="1:12">
      <c r="A48" s="31" t="s">
        <v>21</v>
      </c>
      <c r="B48" s="32">
        <f>B46-B47</f>
        <v>6000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ht="17.25" spans="1:1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ht="16.5" spans="1:12">
      <c r="A50" s="37" t="s">
        <v>35</v>
      </c>
      <c r="B50" s="11"/>
      <c r="C50" s="11"/>
      <c r="D50" s="11"/>
      <c r="E50" s="11"/>
      <c r="F50" s="11"/>
      <c r="G50" s="11"/>
      <c r="H50" s="11"/>
      <c r="I50" s="11"/>
      <c r="J50" s="11"/>
      <c r="K50" s="11">
        <v>10</v>
      </c>
      <c r="L50" s="38"/>
    </row>
    <row r="51" ht="16.5" spans="1:12">
      <c r="A51" s="16" t="s">
        <v>9</v>
      </c>
      <c r="B51" s="39"/>
      <c r="C51" s="40"/>
      <c r="D51" s="41"/>
      <c r="E51" s="42"/>
      <c r="F51" s="42" t="s">
        <v>36</v>
      </c>
      <c r="G51" s="42"/>
      <c r="H51" s="43"/>
      <c r="I51" s="44"/>
      <c r="J51" s="29"/>
      <c r="K51" s="45" t="s">
        <v>11</v>
      </c>
      <c r="L51" s="15"/>
    </row>
    <row r="52" ht="16.5" spans="1:12">
      <c r="A52" s="16" t="s">
        <v>12</v>
      </c>
      <c r="B52" s="39"/>
      <c r="C52" s="40"/>
      <c r="D52" s="46"/>
      <c r="E52" s="47" t="s">
        <v>37</v>
      </c>
      <c r="F52" s="48"/>
      <c r="G52" s="48"/>
      <c r="H52" s="49"/>
      <c r="I52" s="44"/>
      <c r="J52" s="29"/>
      <c r="K52" s="45" t="s">
        <v>13</v>
      </c>
      <c r="L52" s="15"/>
    </row>
    <row r="53" ht="16.5" spans="1:12">
      <c r="A53" s="16" t="s">
        <v>14</v>
      </c>
      <c r="B53" s="50"/>
      <c r="C53" s="40"/>
      <c r="D53" s="51"/>
      <c r="E53" s="47" t="s">
        <v>38</v>
      </c>
      <c r="F53" s="48"/>
      <c r="G53" s="48"/>
      <c r="H53" s="52"/>
      <c r="I53" s="44"/>
      <c r="J53" s="29"/>
      <c r="K53" s="45" t="s">
        <v>16</v>
      </c>
      <c r="L53" s="15"/>
    </row>
    <row r="54" ht="16.5" spans="1:12">
      <c r="A54" s="16" t="s">
        <v>39</v>
      </c>
      <c r="B54" s="40"/>
      <c r="C54" s="40"/>
      <c r="D54" s="51"/>
      <c r="E54" s="53" t="s">
        <v>40</v>
      </c>
      <c r="F54" s="53"/>
      <c r="G54" s="54"/>
      <c r="H54" s="52"/>
      <c r="I54" s="55"/>
      <c r="J54" s="50"/>
      <c r="K54" s="27" t="s">
        <v>18</v>
      </c>
      <c r="L54" s="56"/>
    </row>
    <row r="55" ht="16.5" spans="1:12">
      <c r="A55" s="24" t="s">
        <v>17</v>
      </c>
      <c r="B55" s="21"/>
      <c r="C55" s="57"/>
      <c r="D55" s="58"/>
      <c r="E55" s="53" t="s">
        <v>41</v>
      </c>
      <c r="F55" s="59"/>
      <c r="G55" s="54"/>
      <c r="H55" s="60"/>
      <c r="I55" s="61"/>
      <c r="J55" s="21"/>
      <c r="K55" s="27"/>
      <c r="L55" s="30" t="s">
        <v>42</v>
      </c>
    </row>
    <row r="56" ht="17.25" spans="1:12">
      <c r="A56" s="24" t="s">
        <v>20</v>
      </c>
      <c r="B56" s="21"/>
      <c r="C56" s="62"/>
      <c r="D56" s="63"/>
      <c r="E56" s="64" t="s">
        <v>43</v>
      </c>
      <c r="F56" s="65"/>
      <c r="G56" s="66"/>
      <c r="H56" s="67"/>
      <c r="I56" s="61"/>
      <c r="J56" s="21"/>
      <c r="K56" s="68"/>
      <c r="L56" s="30"/>
    </row>
    <row r="57" ht="17.25" spans="1:12">
      <c r="A57" s="31" t="s">
        <v>21</v>
      </c>
      <c r="B57" s="69"/>
      <c r="C57" s="69"/>
      <c r="D57" s="69"/>
      <c r="E57" s="69" t="s">
        <v>44</v>
      </c>
      <c r="F57" s="69"/>
      <c r="G57" s="69"/>
      <c r="H57" s="69"/>
      <c r="I57" s="68"/>
      <c r="J57" s="68"/>
      <c r="K57" s="68"/>
      <c r="L57" s="33"/>
    </row>
    <row r="58" ht="16.5" spans="1:12">
      <c r="A58" s="70"/>
      <c r="B58" s="71"/>
      <c r="C58" s="71"/>
      <c r="D58" s="71"/>
      <c r="E58" s="71"/>
      <c r="F58" s="71"/>
      <c r="G58" s="71"/>
      <c r="H58" s="71"/>
      <c r="I58" s="71"/>
      <c r="J58" s="71"/>
      <c r="K58" s="72"/>
      <c r="L58" s="73"/>
    </row>
    <row r="59" ht="16.5" spans="1:12">
      <c r="A59" s="74" t="s">
        <v>45</v>
      </c>
      <c r="B59" s="75"/>
      <c r="C59" s="75"/>
      <c r="D59" s="75"/>
      <c r="E59" s="75"/>
      <c r="F59" s="73"/>
      <c r="G59" s="75" t="s">
        <v>46</v>
      </c>
      <c r="H59" s="75" t="s">
        <v>47</v>
      </c>
      <c r="I59" s="75"/>
      <c r="J59" s="75"/>
      <c r="K59" s="76"/>
      <c r="L59" s="77"/>
    </row>
    <row r="60" ht="16.5" spans="1:12">
      <c r="A60" s="74" t="s">
        <v>48</v>
      </c>
      <c r="B60" s="75"/>
      <c r="C60" s="75"/>
      <c r="D60" s="75"/>
      <c r="E60" s="75"/>
      <c r="F60" s="73"/>
      <c r="G60" s="75"/>
      <c r="H60" s="75" t="s">
        <v>49</v>
      </c>
      <c r="I60" s="75"/>
      <c r="J60" s="75"/>
      <c r="K60" s="75"/>
      <c r="L60" s="73"/>
    </row>
    <row r="61" ht="16.5" spans="1:12">
      <c r="A61" s="74" t="s">
        <v>50</v>
      </c>
      <c r="B61" s="74" t="s">
        <v>51</v>
      </c>
      <c r="C61" s="75"/>
      <c r="D61" s="75"/>
      <c r="E61" s="75"/>
      <c r="F61" s="73"/>
      <c r="G61" s="75"/>
      <c r="H61" s="75" t="s">
        <v>52</v>
      </c>
      <c r="I61" s="75"/>
      <c r="J61" s="75"/>
      <c r="K61" s="75"/>
      <c r="L61" s="73"/>
    </row>
    <row r="62" ht="16.5" spans="1:12">
      <c r="A62" s="74"/>
      <c r="B62" s="74"/>
      <c r="C62" s="75"/>
      <c r="D62" s="75"/>
      <c r="E62" s="75"/>
      <c r="F62" s="75"/>
      <c r="G62" s="75"/>
      <c r="H62" s="75"/>
      <c r="I62" s="75"/>
      <c r="J62" s="75"/>
      <c r="K62" s="75"/>
      <c r="L62" s="73"/>
    </row>
    <row r="63" spans="1:12">
      <c r="A63" s="74" t="s">
        <v>53</v>
      </c>
      <c r="B63" s="74" t="s">
        <v>54</v>
      </c>
      <c r="C63" s="75"/>
      <c r="D63" s="75"/>
      <c r="E63" s="75"/>
      <c r="F63" s="75"/>
      <c r="G63" s="75"/>
      <c r="H63" s="75"/>
      <c r="I63" s="75"/>
      <c r="J63" s="75"/>
      <c r="K63" s="78" t="s">
        <v>55</v>
      </c>
      <c r="L63" s="79">
        <f>SUM(L44,L8,L17,L26,L35)</f>
        <v>30992</v>
      </c>
    </row>
    <row r="64" ht="16.5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2">
    <mergeCell ref="A1:G1"/>
    <mergeCell ref="J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JUNE 30</vt:lpstr>
      <vt:lpstr>JULY 1</vt:lpstr>
      <vt:lpstr>JULY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WPS_1684995436</cp:lastModifiedBy>
  <dcterms:created xsi:type="dcterms:W3CDTF">2026-07-01T00:18:00Z</dcterms:created>
  <dcterms:modified xsi:type="dcterms:W3CDTF">2026-07-03T03:15:22Z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64E71948D3904E389EC204F24D585F41_11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