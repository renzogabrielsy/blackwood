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activeTab="6"/>
  </bookViews>
  <sheets>
    <sheet name="JANUARY 2026" sheetId="1" r:id="rId1"/>
    <sheet name="FEBRUARY 2026" sheetId="2" r:id="rId2"/>
    <sheet name="MARCH 2026" sheetId="3" r:id="rId3"/>
    <sheet name="APRIL 2026" sheetId="4" r:id="rId4"/>
    <sheet name="MAY 2026" sheetId="5" r:id="rId5"/>
    <sheet name="JUNE 2026" sheetId="6" r:id="rId6"/>
    <sheet name="JULY 202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4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7038 SUNDRY DONE FEEDING ON LAST DECE. 3</t>
        </r>
      </text>
    </comment>
    <comment ref="C4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Admin:
PART OF 2710 SUNDRY DONE FEEDING ON LAST DECE. 3
</t>
        </r>
      </text>
    </comment>
    <comment ref="C4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</t>
        </r>
      </text>
    </comment>
    <comment ref="C4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9195 SUNDRY DONE FEEDING ON LAST DECE. 12</t>
        </r>
      </text>
    </comment>
    <comment ref="B5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</t>
        </r>
      </text>
    </comment>
    <comment ref="C5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233 SUNDRY DONE FEEDING ON LAST DECE. 12
</t>
        </r>
      </text>
    </comment>
    <comment ref="D5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233 SUNDRY DONE FEEDING ON LAST DECE. 12
</t>
        </r>
      </text>
    </comment>
    <comment ref="E5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233 SUNDRY DONE FEEDING ON LAST DECE. 12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6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
AND ADDING  ANOTHER  PILE OF JANUARY DELIVERY OF TANILON 4,828</t>
        </r>
      </text>
    </comment>
    <comment ref="D6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 AND ADDING  ANOTHER  PILE OF JANUARY DELIVERY OF TANILON 4,828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Z2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DAY SHIFT</t>
        </r>
      </text>
    </comment>
    <comment ref="Z2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NIGHT SHIFT</t>
        </r>
      </text>
    </comment>
    <comment ref="Z2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MORNING SHIFT</t>
        </r>
      </text>
    </comment>
    <comment ref="Z2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EVENING SHIFT</t>
        </r>
      </text>
    </comment>
    <comment ref="Z2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MORNING SHIFT</t>
        </r>
      </text>
    </comment>
    <comment ref="Z2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EVENING SHIFT</t>
        </r>
      </text>
    </comment>
    <comment ref="Z3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MORNING SHIFT</t>
        </r>
      </text>
    </comment>
    <comment ref="Z31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EVENING SHIFT</t>
        </r>
      </text>
    </comment>
    <comment ref="Z3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MORNING SHIFT</t>
        </r>
      </text>
    </comment>
    <comment ref="Z3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EVENING SHIFT</t>
        </r>
      </text>
    </comment>
    <comment ref="Z3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MORNING SHIFT</t>
        </r>
      </text>
    </comment>
    <comment ref="Z3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EVENING SHIFT</t>
        </r>
      </text>
    </comment>
    <comment ref="C5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
AND ADDING  ANOTHER  PILE OF JANUARY DELIVERY OF TANILON 4,828</t>
        </r>
      </text>
    </comment>
    <comment ref="D5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 AND ADDING  ANOTHER  PILE OF JANUARY DELIVERY OF TANILON 4,828
</t>
        </r>
      </text>
    </comment>
    <comment ref="E5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PART OF 2228 SUNDRY DONE FEEDING ON LAST DECE. 11 AND ADDING  ANOTHER  PILE OF JANUARY DELIVERY OF TANILON 4,828
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Z13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DAY SHIFT</t>
        </r>
      </text>
    </comment>
    <comment ref="Z14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NIGHT SHIFT</t>
        </r>
      </text>
    </comment>
    <comment ref="Z15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DAY SHIFT</t>
        </r>
      </text>
    </comment>
    <comment ref="Z16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NIGHT SHIFT</t>
        </r>
      </text>
    </comment>
    <comment ref="Z17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DAY SHIFT</t>
        </r>
      </text>
    </comment>
    <comment ref="Z18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NIGHT SHIFT</t>
        </r>
      </text>
    </comment>
    <comment ref="Z19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DAY SHIFT</t>
        </r>
      </text>
    </comment>
    <comment ref="Z20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NIGHT SHIFT</t>
        </r>
      </text>
    </comment>
  </commentList>
</comments>
</file>

<file path=xl/sharedStrings.xml><?xml version="1.0" encoding="utf-8"?>
<sst xmlns="http://schemas.openxmlformats.org/spreadsheetml/2006/main" count="2193" uniqueCount="868">
  <si>
    <t>JANUARY 2025</t>
  </si>
  <si>
    <t>DATE</t>
  </si>
  <si>
    <t>RAW CHARCOAL</t>
  </si>
  <si>
    <t>FED</t>
  </si>
  <si>
    <t>Re-Classified</t>
  </si>
  <si>
    <t>4x8 RS 2 /4x8 RS 5</t>
  </si>
  <si>
    <t>9x50/8x50</t>
  </si>
  <si>
    <t>7x70/9x50</t>
  </si>
  <si>
    <t>2x6/2x6</t>
  </si>
  <si>
    <t>BLENDING</t>
  </si>
  <si>
    <t>PRODUCTION</t>
  </si>
  <si>
    <t>NO. OF</t>
  </si>
  <si>
    <t>WASTE</t>
  </si>
  <si>
    <t>%</t>
  </si>
  <si>
    <t xml:space="preserve">% LOSSES FROM </t>
  </si>
  <si>
    <t>% LOSSES</t>
  </si>
  <si>
    <t>DERAMI</t>
  </si>
  <si>
    <t>OVER (7X70)</t>
  </si>
  <si>
    <t>OVER (4X8)</t>
  </si>
  <si>
    <t>9x50</t>
  </si>
  <si>
    <t>MIXING</t>
  </si>
  <si>
    <t>Blending</t>
  </si>
  <si>
    <t>PC/RC</t>
  </si>
  <si>
    <t>PC</t>
  </si>
  <si>
    <t>(7X70)RS2B5</t>
  </si>
  <si>
    <t>(9x50)RS 5 &amp; RS 2A</t>
  </si>
  <si>
    <t>(7X70 MIXED 8X50 )RS 5</t>
  </si>
  <si>
    <t>(9x50)RS 2A</t>
  </si>
  <si>
    <t>(9x50)RS 5</t>
  </si>
  <si>
    <t>(6X50) RS5</t>
  </si>
  <si>
    <t>(3X6)</t>
  </si>
  <si>
    <t>(3X50)</t>
  </si>
  <si>
    <t xml:space="preserve">(2X6) RS3 </t>
  </si>
  <si>
    <t xml:space="preserve">(8X50) RS5 </t>
  </si>
  <si>
    <t xml:space="preserve">(4X8) RS2 / RS 5 </t>
  </si>
  <si>
    <t>KILOS PER</t>
  </si>
  <si>
    <t>LOSSES</t>
  </si>
  <si>
    <t>WASTE PRODUCTION</t>
  </si>
  <si>
    <t>(UN-ACCOUNTED)</t>
  </si>
  <si>
    <t>(KLS.)</t>
  </si>
  <si>
    <t>7x70 (550 kgs.)</t>
  </si>
  <si>
    <t>8x50 (550 kgs.)</t>
  </si>
  <si>
    <t>4X8</t>
  </si>
  <si>
    <t>8x50</t>
  </si>
  <si>
    <t>7x70</t>
  </si>
  <si>
    <t>2x6</t>
  </si>
  <si>
    <t>6X50(KLS.)</t>
  </si>
  <si>
    <t>9X50 (KLS)</t>
  </si>
  <si>
    <t>(BAG)</t>
  </si>
  <si>
    <t>(FB)</t>
  </si>
  <si>
    <t>(SACK)</t>
  </si>
  <si>
    <t>BAG</t>
  </si>
  <si>
    <t>(KLS)</t>
  </si>
  <si>
    <t>(ACCOUNTED)</t>
  </si>
  <si>
    <t>TROUBLE</t>
  </si>
  <si>
    <t>TOTAL</t>
  </si>
  <si>
    <t>VERSUS</t>
  </si>
  <si>
    <t xml:space="preserve">TABLE FOR THREE(3) DIFFERENT REPORTS: </t>
  </si>
  <si>
    <t xml:space="preserve">           </t>
  </si>
  <si>
    <t>FEEDED RAW CHARCOAL :</t>
  </si>
  <si>
    <t>RAW CHARCOAL DELIVERY OF 2020 AND 2021</t>
  </si>
  <si>
    <t>RC FEEDED(KLS)</t>
  </si>
  <si>
    <t>REMARKS</t>
  </si>
  <si>
    <t xml:space="preserve">WAREHOUSE </t>
  </si>
  <si>
    <t>Judith Record</t>
  </si>
  <si>
    <t>TITU'S RECORD</t>
  </si>
  <si>
    <t>used RC(Fareast)</t>
  </si>
  <si>
    <t>REDRIED</t>
  </si>
  <si>
    <t>STATUS</t>
  </si>
  <si>
    <t>ACTUAL FED</t>
  </si>
  <si>
    <t>BALANCE</t>
  </si>
  <si>
    <t>BLOCK</t>
  </si>
  <si>
    <t>SEPTEMBER 2025 BLOCK 2</t>
  </si>
  <si>
    <t>DONE</t>
  </si>
  <si>
    <t>D-12D</t>
  </si>
  <si>
    <t>NOVEMBER 2025 BLOCK 14</t>
  </si>
  <si>
    <t xml:space="preserve">A-3A HALF AREA / C-8B </t>
  </si>
  <si>
    <t>NOVEMBER 2025 BLOCK 11</t>
  </si>
  <si>
    <t>C-8A / A-3A</t>
  </si>
  <si>
    <t>NOVEMBER 2025 BLOCK 8</t>
  </si>
  <si>
    <t>NOT FINISHED</t>
  </si>
  <si>
    <t>D-18D / A-3B</t>
  </si>
  <si>
    <t>DECEMBER 2025 BLOCK 3</t>
  </si>
  <si>
    <t>A-3A / C-10A</t>
  </si>
  <si>
    <t>DECEMBER 2025  BLOCK 4</t>
  </si>
  <si>
    <t>D-11D / A-5A</t>
  </si>
  <si>
    <t>SEPTEMBER 2025 BLOCK 3</t>
  </si>
  <si>
    <t>A-17B</t>
  </si>
  <si>
    <t>OCTOBER 2025 TANK  2</t>
  </si>
  <si>
    <t>D-1B</t>
  </si>
  <si>
    <t>DECEMBERR 2025 TAG-AT  FEEDING AREA</t>
  </si>
  <si>
    <t>FEEDING AREA</t>
  </si>
  <si>
    <t>DECEMBERR 2025  TAG-AT  FEEDING AREA</t>
  </si>
  <si>
    <t>DECEMBERR 2025  MERCADO  FEEDING AREA</t>
  </si>
  <si>
    <t>AUGUST 2025 BLOCK 1</t>
  </si>
  <si>
    <t>A-17A</t>
  </si>
  <si>
    <t>OCTOBER 2025 TANK  1</t>
  </si>
  <si>
    <t>D-1C</t>
  </si>
  <si>
    <t>JANUARY 2026 TAG-AT FEEDING AREA</t>
  </si>
  <si>
    <t>JANUARY 2026 TAG-AT FEEDING AREA 2</t>
  </si>
  <si>
    <t>JANUARY 2026 TAG-AT FEEDING AREA 3</t>
  </si>
  <si>
    <t>SEPTEMBER  2025 TANK  1</t>
  </si>
  <si>
    <t>D-1D</t>
  </si>
  <si>
    <t>JANUARY 2026 TAG-AT FEEDING AREA 4</t>
  </si>
  <si>
    <t>JANUARY 2026 TAG-AT FEEDING AREA 5</t>
  </si>
  <si>
    <t>JANUARY 2026 TAG-AT FEEDING AREA 6</t>
  </si>
  <si>
    <t>DECEMBER 2025  TANK 1</t>
  </si>
  <si>
    <t>D-2D</t>
  </si>
  <si>
    <t>NOVEMBER 2025 TANK 1</t>
  </si>
  <si>
    <t>D-3D</t>
  </si>
  <si>
    <t>JANUARY 2026 TAG-AT FEEDING AREA 7</t>
  </si>
  <si>
    <t>SEPTEMBER  2025 TANK  2</t>
  </si>
  <si>
    <t>D-5D</t>
  </si>
  <si>
    <t>JANUARY 2026 TAG-AT FEEDING AREA 8</t>
  </si>
  <si>
    <t>JANUARY 2026 TAG-AT FEEDING AREA 9</t>
  </si>
  <si>
    <t>SEPTEMBER  2025 TANK  3</t>
  </si>
  <si>
    <t>D-5C</t>
  </si>
  <si>
    <t>JANUARY 2026 TAG-AT FEEDING AREA 10</t>
  </si>
  <si>
    <t>PERCENTAGE LOSSES (%)</t>
  </si>
  <si>
    <t>Table 2-A (RE-DRIED)</t>
  </si>
  <si>
    <t>Total Losses of all the tables</t>
  </si>
  <si>
    <t>Computation: Total Fed fareast</t>
  </si>
  <si>
    <t xml:space="preserve">            Asuki Total Fed </t>
  </si>
  <si>
    <t>SUPPLIERS</t>
  </si>
  <si>
    <t>(Table 3)</t>
  </si>
  <si>
    <t>Sep.2025(BLK 2)</t>
  </si>
  <si>
    <t>Nov.2025 (BLK 14)</t>
  </si>
  <si>
    <t>Nov.2025(BLK 11)</t>
  </si>
  <si>
    <t>Nov. 2025(BLK 8</t>
  </si>
  <si>
    <t>Dec.2025(BLK 3)</t>
  </si>
  <si>
    <t>Dec.2025(BLK 4)</t>
  </si>
  <si>
    <t>Sep.2025(BLK3)</t>
  </si>
  <si>
    <t>Oct.2025(TNK 2)</t>
  </si>
  <si>
    <t>Dec.2025(Feeding area)</t>
  </si>
  <si>
    <t>Aug.2025 (BLK 1)</t>
  </si>
  <si>
    <t>Oct.2025(TNK 1)</t>
  </si>
  <si>
    <t>Jan.2026 Feeding Area</t>
  </si>
  <si>
    <t>sEP.2025(TNK 1)</t>
  </si>
  <si>
    <t>Dec.2025(TNK 1)</t>
  </si>
  <si>
    <t>Nov.2025(TNK 1)</t>
  </si>
  <si>
    <t>Sep.2025(TNK 2)</t>
  </si>
  <si>
    <t>Jan.2026 Feeding area</t>
  </si>
  <si>
    <t>Sep.2025(TNK 3)</t>
  </si>
  <si>
    <t>REMARKS:</t>
  </si>
  <si>
    <t>JANUARY 2, 2026</t>
  </si>
  <si>
    <t>*December 2025 tag-at delivery in feeding area had cut-off</t>
  </si>
  <si>
    <t>JANUARY 3, 2026</t>
  </si>
  <si>
    <t xml:space="preserve">* Opened new block and also cut off of December 2025 tag-at delivery in feeding area </t>
  </si>
  <si>
    <t>*September 2025 block 2 had a cut-off</t>
  </si>
  <si>
    <t>*The difference percentage from Cathy,Titus and Far-East :</t>
  </si>
  <si>
    <t>September 2025 block 2</t>
  </si>
  <si>
    <t>Computation:  62,489 (December feed) + 6,708 (January feeding) = 69,197</t>
  </si>
  <si>
    <r>
      <rPr>
        <sz val="11"/>
        <color theme="1"/>
        <rFont val="Calibri"/>
        <charset val="134"/>
        <scheme val="minor"/>
      </rPr>
      <t xml:space="preserve"> net kls of Far east Tare receiving  - 69,197 = 5,372 / 74,569  x 100 =     </t>
    </r>
    <r>
      <rPr>
        <b/>
        <sz val="11"/>
        <color theme="1"/>
        <rFont val="Calibri"/>
        <charset val="134"/>
        <scheme val="minor"/>
      </rPr>
      <t>7.20%</t>
    </r>
  </si>
  <si>
    <t>JANUARY 5, 2026</t>
  </si>
  <si>
    <t>*Opened new block August 2025 block 1</t>
  </si>
  <si>
    <t>*September 2025 block 3, october 2025 tank 2 and december 2025 mercado delivery had a cut-off</t>
  </si>
  <si>
    <t>*The difference percentage from Czarina,Titus and Far-East :</t>
  </si>
  <si>
    <t>September 2025 block 3</t>
  </si>
  <si>
    <t>Computation:  42,895 (December feed) + 26,655 (January feeding) = 69,550</t>
  </si>
  <si>
    <r>
      <rPr>
        <sz val="11"/>
        <color theme="1"/>
        <rFont val="Calibri"/>
        <charset val="134"/>
        <scheme val="minor"/>
      </rPr>
      <t xml:space="preserve"> net kls of Far east Tare receiving  - 69,550 = 4,710 / 74,260  x 100 =     </t>
    </r>
    <r>
      <rPr>
        <b/>
        <sz val="11"/>
        <color theme="1"/>
        <rFont val="Calibri"/>
        <charset val="134"/>
        <scheme val="minor"/>
      </rPr>
      <t>6.34%</t>
    </r>
  </si>
  <si>
    <t>October 2025 Tank 2</t>
  </si>
  <si>
    <t>Computation:  23,434 (December feed) + 27,929 (January feeding) = 51,363</t>
  </si>
  <si>
    <r>
      <rPr>
        <sz val="11"/>
        <color theme="1"/>
        <rFont val="Calibri"/>
        <charset val="134"/>
        <scheme val="minor"/>
      </rPr>
      <t xml:space="preserve"> net kls of Far east Tare receiving  - 51,363 = 417 / 51,780  x 100 =     </t>
    </r>
    <r>
      <rPr>
        <b/>
        <sz val="11"/>
        <color theme="1"/>
        <rFont val="Calibri"/>
        <charset val="134"/>
        <scheme val="minor"/>
      </rPr>
      <t>.81%</t>
    </r>
  </si>
  <si>
    <t>JANUARY 6, 2026</t>
  </si>
  <si>
    <t>*Opened new block: october 2025 Tank 1 and Jan 2026 feeding area</t>
  </si>
  <si>
    <t>JANUARY 7, 2026</t>
  </si>
  <si>
    <t>*Opened new block: Jan 2026 feeding area</t>
  </si>
  <si>
    <t>*January 2026 Tag-at delivery had cut-off</t>
  </si>
  <si>
    <t>JANUARY 8, 2026</t>
  </si>
  <si>
    <t>JANUARY 9, 2026</t>
  </si>
  <si>
    <t>*Opened new block: Jan 2026 feeding area and September 2025 Tank 1</t>
  </si>
  <si>
    <t>*August 2025 block 1 and october 2025 Tank 1 had a cut-off</t>
  </si>
  <si>
    <t>August 2025 2025 block 1</t>
  </si>
  <si>
    <t>Computation:  48,894</t>
  </si>
  <si>
    <r>
      <rPr>
        <sz val="11"/>
        <color theme="1"/>
        <rFont val="Calibri"/>
        <charset val="134"/>
        <scheme val="minor"/>
      </rPr>
      <t xml:space="preserve"> net kls of Far east Tare receiving  - 48,894 = 2,921 / 51,815  x 100 =     </t>
    </r>
    <r>
      <rPr>
        <b/>
        <sz val="11"/>
        <color theme="1"/>
        <rFont val="Calibri"/>
        <charset val="134"/>
        <scheme val="minor"/>
      </rPr>
      <t>5.64%</t>
    </r>
  </si>
  <si>
    <t>October 2025 Tank 1</t>
  </si>
  <si>
    <t>Computation:  48,535</t>
  </si>
  <si>
    <r>
      <rPr>
        <sz val="11"/>
        <color theme="1"/>
        <rFont val="Calibri"/>
        <charset val="134"/>
        <scheme val="minor"/>
      </rPr>
      <t xml:space="preserve"> net kls of Far east Tare receiving  - 48,535 = 700 /49,235  x 100 =     </t>
    </r>
    <r>
      <rPr>
        <b/>
        <sz val="11"/>
        <color theme="1"/>
        <rFont val="Calibri"/>
        <charset val="134"/>
        <scheme val="minor"/>
      </rPr>
      <t>1.42%</t>
    </r>
  </si>
  <si>
    <t>JANUARY 12, 2026</t>
  </si>
  <si>
    <t>*Opened new block : January 2025 feeding area</t>
  </si>
  <si>
    <t>*December 2025 block 3  had cut-off</t>
  </si>
  <si>
    <r>
      <rPr>
        <sz val="11"/>
        <color theme="1"/>
        <rFont val="Calibri"/>
        <charset val="134"/>
        <scheme val="minor"/>
      </rPr>
      <t>*The difference percentage from Cathy,Titus and Far-East :</t>
    </r>
    <r>
      <rPr>
        <b/>
        <sz val="11"/>
        <color theme="1"/>
        <rFont val="Calibri"/>
        <charset val="134"/>
        <scheme val="minor"/>
      </rPr>
      <t xml:space="preserve"> 2.95%</t>
    </r>
  </si>
  <si>
    <t>JANUARY 15, 2026</t>
  </si>
  <si>
    <t>*September 2025 Tank 1 and January 2026 feeding area # 5 had a cut-off</t>
  </si>
  <si>
    <t>September 2025 Tank - 1</t>
  </si>
  <si>
    <t>Computation:  57,444</t>
  </si>
  <si>
    <r>
      <rPr>
        <sz val="11"/>
        <color theme="1"/>
        <rFont val="Calibri"/>
        <charset val="134"/>
        <scheme val="minor"/>
      </rPr>
      <t xml:space="preserve"> net kls of Far east Tare receiving  - 57,444 = 1,466 / 58,910  x 100 =     </t>
    </r>
    <r>
      <rPr>
        <b/>
        <sz val="11"/>
        <color theme="1"/>
        <rFont val="Calibri"/>
        <charset val="134"/>
        <scheme val="minor"/>
      </rPr>
      <t>2.49%</t>
    </r>
  </si>
  <si>
    <t>JANUARY 16, 2026</t>
  </si>
  <si>
    <t>*Opened new block : January 2025 feeding area and  December 2025 Tank 1</t>
  </si>
  <si>
    <t>JANUARY 17, 2026</t>
  </si>
  <si>
    <t>*November 2025 block 11 had a cut-off</t>
  </si>
  <si>
    <t>November 2025 block 11</t>
  </si>
  <si>
    <t>Computation:  2,664 (December feed) + 62,092 (January feeding) = 64,756</t>
  </si>
  <si>
    <r>
      <rPr>
        <sz val="11"/>
        <color theme="1"/>
        <rFont val="Calibri"/>
        <charset val="134"/>
        <scheme val="minor"/>
      </rPr>
      <t xml:space="preserve"> net kls of Far east Tare receiving  - 64,756 = 1,718 / 66,474  x 100 =     </t>
    </r>
    <r>
      <rPr>
        <b/>
        <sz val="11"/>
        <color theme="1"/>
        <rFont val="Calibri"/>
        <charset val="134"/>
        <scheme val="minor"/>
      </rPr>
      <t>2.58%</t>
    </r>
  </si>
  <si>
    <t>JANUARY 19, 2026</t>
  </si>
  <si>
    <t>*Opened new block November 2025 Tank 1</t>
  </si>
  <si>
    <t>*December 2025 tag-at delivery in feeding area and December 2025 tank 1 had cut-off</t>
  </si>
  <si>
    <r>
      <rPr>
        <sz val="11"/>
        <color theme="1"/>
        <rFont val="Calibri"/>
        <charset val="134"/>
        <scheme val="minor"/>
      </rPr>
      <t>*The difference percentage from Cathy,Titus and Far-East : 1</t>
    </r>
    <r>
      <rPr>
        <b/>
        <sz val="11"/>
        <color theme="1"/>
        <rFont val="Calibri"/>
        <charset val="134"/>
        <scheme val="minor"/>
      </rPr>
      <t>.72%</t>
    </r>
  </si>
  <si>
    <t>JANUARY 22, 2026</t>
  </si>
  <si>
    <t>*November 2025 block 14 and November 2025 Tank 1 had a cut-off</t>
  </si>
  <si>
    <t>November 2025 block 14</t>
  </si>
  <si>
    <t>Computation:  6,956 (December feed) + 53,586 (January feeding) = 60,542</t>
  </si>
  <si>
    <r>
      <rPr>
        <sz val="11"/>
        <color theme="1"/>
        <rFont val="Calibri"/>
        <charset val="134"/>
        <scheme val="minor"/>
      </rPr>
      <t xml:space="preserve"> net kls of Far east Tare receiving  - 60,542 = 2,346 / 62,888  x 100 =     </t>
    </r>
    <r>
      <rPr>
        <b/>
        <sz val="11"/>
        <color theme="1"/>
        <rFont val="Calibri"/>
        <charset val="134"/>
        <scheme val="minor"/>
      </rPr>
      <t>3.73%</t>
    </r>
  </si>
  <si>
    <t>JANUARY 26, 2026</t>
  </si>
  <si>
    <t>*Opened new block : January 2026 feeding area</t>
  </si>
  <si>
    <t>JANUARY 28, 2026</t>
  </si>
  <si>
    <t>JANUARY 29, 2026</t>
  </si>
  <si>
    <t>*December 2025 block 4 and Janaury 2026 Tag-at at feeding  area  had cut-off</t>
  </si>
  <si>
    <r>
      <rPr>
        <sz val="11"/>
        <color theme="1"/>
        <rFont val="Calibri"/>
        <charset val="134"/>
        <scheme val="minor"/>
      </rPr>
      <t xml:space="preserve">*The difference percentage from Cathy,Titus and Far-East : </t>
    </r>
    <r>
      <rPr>
        <b/>
        <sz val="11"/>
        <color theme="1"/>
        <rFont val="Calibri"/>
        <charset val="134"/>
        <scheme val="minor"/>
      </rPr>
      <t>4.38%</t>
    </r>
  </si>
  <si>
    <t>December 2025 block 4</t>
  </si>
  <si>
    <t>Computation:  232 (December feed) + 71,186 (January feeding) = 71,418</t>
  </si>
  <si>
    <r>
      <rPr>
        <sz val="11"/>
        <color theme="1"/>
        <rFont val="Calibri"/>
        <charset val="134"/>
        <scheme val="minor"/>
      </rPr>
      <t xml:space="preserve"> net kls of Far east Tare receiving  - 71,418 = 3,271 /74,689  x 100 =     </t>
    </r>
    <r>
      <rPr>
        <b/>
        <sz val="11"/>
        <color theme="1"/>
        <rFont val="Calibri"/>
        <charset val="134"/>
        <scheme val="minor"/>
      </rPr>
      <t>4.38%</t>
    </r>
  </si>
  <si>
    <t>JANUARY 30, 2026</t>
  </si>
  <si>
    <t>*Opened new block : January 2025 feeding area and  September 2025 Tank 3</t>
  </si>
  <si>
    <t>*September 2025 Tank 2 had a cut-off</t>
  </si>
  <si>
    <r>
      <rPr>
        <sz val="11"/>
        <color theme="1"/>
        <rFont val="Calibri"/>
        <charset val="134"/>
        <scheme val="minor"/>
      </rPr>
      <t xml:space="preserve">*The difference percentage from Cathy,Titus and Far-East : </t>
    </r>
    <r>
      <rPr>
        <b/>
        <sz val="11"/>
        <color theme="1"/>
        <rFont val="Calibri"/>
        <charset val="134"/>
        <scheme val="minor"/>
      </rPr>
      <t>2.92%</t>
    </r>
  </si>
  <si>
    <t>FEBRUARY 2025</t>
  </si>
  <si>
    <t>DEDUCTED RC</t>
  </si>
  <si>
    <t>DECEMBERR 2025  BLOCK 13</t>
  </si>
  <si>
    <t>C-17B</t>
  </si>
  <si>
    <t>DECEMBERR 2025  BLOCK 7</t>
  </si>
  <si>
    <t>A-19C</t>
  </si>
  <si>
    <t>FEBRUARY 2026 TAG-AT FEEDING AREA 1</t>
  </si>
  <si>
    <t>SEPTEMBER  2025 BLOCK  11</t>
  </si>
  <si>
    <t>A-3A</t>
  </si>
  <si>
    <t>JANUARY 2026 BLOCK 7</t>
  </si>
  <si>
    <t>A-3B / D-16C</t>
  </si>
  <si>
    <t>JANUARY 2026 BLOCK 4</t>
  </si>
  <si>
    <t>A-3C / D-18C</t>
  </si>
  <si>
    <t>DECEMBERR 2025  BLOCK 12</t>
  </si>
  <si>
    <t>C-17A</t>
  </si>
  <si>
    <t>DECEMBERR 2025  BLOCK 10</t>
  </si>
  <si>
    <t>A-4A-B</t>
  </si>
  <si>
    <t>FEBRUARY 2026 TAG-AT FEEDING AREA 2</t>
  </si>
  <si>
    <t>DECEMBERR 2025  BLOCK 5</t>
  </si>
  <si>
    <t>C-18B</t>
  </si>
  <si>
    <t>FEBRUARY 2026 TAG-AT FEEDING AREA 3</t>
  </si>
  <si>
    <t>JANUARY 2026 BLOCK 9</t>
  </si>
  <si>
    <t>A-4C to A-3A</t>
  </si>
  <si>
    <t>FEBRUARY 2026 TAG-AT FEEDING AREA 4</t>
  </si>
  <si>
    <t>FEBRUARY 2026 TAG-AT FEEDING AREA 5</t>
  </si>
  <si>
    <t>FEBRUARY 2026 TAG-AT FEEDING AREA 6</t>
  </si>
  <si>
    <t>FEBRUARY 2026 TAG-AT FEEDING AREA 7</t>
  </si>
  <si>
    <t>FEBRUARY 2026 BLOCK 5</t>
  </si>
  <si>
    <t>C-10B</t>
  </si>
  <si>
    <t>DECEMBERR 2025  BLOCK 8</t>
  </si>
  <si>
    <t>C-18A</t>
  </si>
  <si>
    <t>NOVEMBER 2025 BLOCK  9</t>
  </si>
  <si>
    <t>A-3B-C</t>
  </si>
  <si>
    <t>FEBRUARY 2026 TAG-AT FEEDING AREA 8</t>
  </si>
  <si>
    <t>FEBRUARY 2026 TAG-AT FEEDING AREA 9</t>
  </si>
  <si>
    <t>FEBRUARY 2026 TAG-AT FEEDING AREA 10</t>
  </si>
  <si>
    <t>TOTAL FEED LESS WITH DEDUCTED RC RESULT</t>
  </si>
  <si>
    <t>Dec.2025(BLK 13)</t>
  </si>
  <si>
    <t>Dec.2025(BLK 7)</t>
  </si>
  <si>
    <t>fEB.2026 Feeding area</t>
  </si>
  <si>
    <t>Sep.2025(BLK 11)</t>
  </si>
  <si>
    <t>Jan.2026(BLK 7)</t>
  </si>
  <si>
    <t>Jan.2026(BLK 4)</t>
  </si>
  <si>
    <t>Dec.2025(BLK 12)</t>
  </si>
  <si>
    <t>Dec.2025(BLK 10)</t>
  </si>
  <si>
    <t>Dec.2025(BLK 5)</t>
  </si>
  <si>
    <t>Jan.2026 (BLK 9)</t>
  </si>
  <si>
    <t>fEB.2026(BLK 5)</t>
  </si>
  <si>
    <t>Dec.2025 (BLK 8)</t>
  </si>
  <si>
    <t>Nov. 2025(BLK 9)</t>
  </si>
  <si>
    <t>DEDUCTED RC FEED</t>
  </si>
  <si>
    <t>FEBRUARY 2, 2026</t>
  </si>
  <si>
    <t>*Opened new block : December 2025 block 13 and December 2025 block 7</t>
  </si>
  <si>
    <t>*January 2026 tag-at delivery in feeding area had a cut-off</t>
  </si>
  <si>
    <t>FEBRUARY 3, 2026</t>
  </si>
  <si>
    <t>*OPened new block : February 2026 tag-at delivery in feeding area</t>
  </si>
  <si>
    <t>FEBRUARY 4, 2026</t>
  </si>
  <si>
    <t xml:space="preserve">*Opened new block : September 2025 block 11 ,January 2026  block 7 and Janaury 2026 block 4 </t>
  </si>
  <si>
    <t>*September 2025 block 11 had a cut-off</t>
  </si>
  <si>
    <t>*The difference percentage to Czarina,Titus and far-East</t>
  </si>
  <si>
    <t>Far-east :</t>
  </si>
  <si>
    <t>Computation:  3,899</t>
  </si>
  <si>
    <r>
      <rPr>
        <sz val="11"/>
        <color theme="1"/>
        <rFont val="Calibri"/>
        <charset val="134"/>
        <scheme val="minor"/>
      </rPr>
      <t xml:space="preserve"> net kls of Far east Tare receiving  - 3,899 = 1,045 / 4,944  x 100 =     </t>
    </r>
    <r>
      <rPr>
        <b/>
        <sz val="11"/>
        <color theme="1"/>
        <rFont val="Calibri"/>
        <charset val="134"/>
        <scheme val="minor"/>
      </rPr>
      <t>21.14%</t>
    </r>
  </si>
  <si>
    <t>Re-Dried</t>
  </si>
  <si>
    <r>
      <rPr>
        <sz val="11"/>
        <color theme="1"/>
        <rFont val="Calibri"/>
        <charset val="134"/>
        <scheme val="minor"/>
      </rPr>
      <t xml:space="preserve"> net kls of Far east Tare receiving  - 3,899 = 81 / 3,818  x 100 =     </t>
    </r>
    <r>
      <rPr>
        <b/>
        <sz val="11"/>
        <color theme="1"/>
        <rFont val="Calibri"/>
        <charset val="134"/>
        <scheme val="minor"/>
      </rPr>
      <t>2.12%</t>
    </r>
  </si>
  <si>
    <t>FEBRUARY 5, 2026</t>
  </si>
  <si>
    <t>*Opened new block : December 2025 block 12</t>
  </si>
  <si>
    <t>*December 2025 block 13 had a cut-off</t>
  </si>
  <si>
    <r>
      <rPr>
        <sz val="11"/>
        <color theme="1"/>
        <rFont val="Calibri"/>
        <charset val="134"/>
        <scheme val="minor"/>
      </rPr>
      <t xml:space="preserve">*The difference percentage to Czarina,Titus and far-East : </t>
    </r>
    <r>
      <rPr>
        <b/>
        <sz val="11"/>
        <color theme="1"/>
        <rFont val="Calibri"/>
        <charset val="134"/>
        <scheme val="minor"/>
      </rPr>
      <t>1.95%</t>
    </r>
  </si>
  <si>
    <t>FEBRUARY 7, 2026</t>
  </si>
  <si>
    <t>*February 2026 tag-at delivery in feeding area was done feeding</t>
  </si>
  <si>
    <t>FEBRUARY 10, 2026</t>
  </si>
  <si>
    <t>*Opened new block : December 2025 block 5</t>
  </si>
  <si>
    <t>*dECember 2025 block 12 had a cut-off</t>
  </si>
  <si>
    <t>*The difference percentage to Czarina,Titus and far-East : 1.66%</t>
  </si>
  <si>
    <t>FEBRUARY 11, 2026</t>
  </si>
  <si>
    <t>*OPened new block : January 2026 block 9</t>
  </si>
  <si>
    <t>*December 2025 block 10 and February 2026 tag-at delivery in feeding area had a cut-off</t>
  </si>
  <si>
    <r>
      <rPr>
        <sz val="11"/>
        <color theme="1"/>
        <rFont val="Calibri"/>
        <charset val="134"/>
        <scheme val="minor"/>
      </rPr>
      <t xml:space="preserve">*The difference percentage to Czarina,Titus and far-East : </t>
    </r>
    <r>
      <rPr>
        <b/>
        <sz val="11"/>
        <color theme="1"/>
        <rFont val="Calibri"/>
        <charset val="134"/>
        <scheme val="minor"/>
      </rPr>
      <t>20.70% (FAREAST) and 0.43%(SUNDRIED)</t>
    </r>
  </si>
  <si>
    <t>FEBRUARY 12, 2026</t>
  </si>
  <si>
    <t>*OPened and Done feeding : February 2026 tag-at delivery in feeding area</t>
  </si>
  <si>
    <t>FEBRUARY 18, 2026</t>
  </si>
  <si>
    <t>*Opened new block : February 2026 block 5 and February 2026 feeding area</t>
  </si>
  <si>
    <t>*December 2025 block 5 and January 2026 block 9 had a cut-off</t>
  </si>
  <si>
    <t>December 2025 block 5</t>
  </si>
  <si>
    <t>Computation:  59, 951</t>
  </si>
  <si>
    <r>
      <rPr>
        <sz val="11"/>
        <color theme="1"/>
        <rFont val="Calibri"/>
        <charset val="134"/>
        <scheme val="minor"/>
      </rPr>
      <t xml:space="preserve"> net kls of Far east Tare receiving  - 59,951 = 2,214 /62,165  x 100 =     </t>
    </r>
    <r>
      <rPr>
        <b/>
        <sz val="11"/>
        <color theme="1"/>
        <rFont val="Calibri"/>
        <charset val="134"/>
        <scheme val="minor"/>
      </rPr>
      <t>3.56%</t>
    </r>
  </si>
  <si>
    <t>January 2026 block 9</t>
  </si>
  <si>
    <t>Computation: 57,165</t>
  </si>
  <si>
    <r>
      <rPr>
        <sz val="11"/>
        <color theme="1"/>
        <rFont val="Calibri"/>
        <charset val="134"/>
        <scheme val="minor"/>
      </rPr>
      <t xml:space="preserve"> net kls of Far east Tare receiving  - 57,165 = 1,893 / 59,058  x 100 =     </t>
    </r>
    <r>
      <rPr>
        <b/>
        <sz val="11"/>
        <color theme="1"/>
        <rFont val="Calibri"/>
        <charset val="134"/>
        <scheme val="minor"/>
      </rPr>
      <t>3.21%</t>
    </r>
  </si>
  <si>
    <r>
      <rPr>
        <sz val="11"/>
        <color theme="1"/>
        <rFont val="Calibri"/>
        <charset val="134"/>
        <scheme val="minor"/>
      </rPr>
      <t xml:space="preserve"> net kls of Far east Tare receiving  - 57,165 = +8,952 / 48,213  x 100 =     </t>
    </r>
    <r>
      <rPr>
        <b/>
        <sz val="11"/>
        <color theme="1"/>
        <rFont val="Calibri"/>
        <charset val="134"/>
        <scheme val="minor"/>
      </rPr>
      <t>18.57%</t>
    </r>
  </si>
  <si>
    <t>FEBRUARY 19, 2026</t>
  </si>
  <si>
    <t>*Opened new block : December 2025 block 8 and Novemeber 2025 block 9</t>
  </si>
  <si>
    <t>FEBRUARY 20, 2026</t>
  </si>
  <si>
    <t>FEBRUARY 21, 2026</t>
  </si>
  <si>
    <t>*Opened new block :  February 2026 feeding area</t>
  </si>
  <si>
    <t>FEBRUARY 23, 2026</t>
  </si>
  <si>
    <t>*February 2026 tag-at delivery in feeding area and November 2025 block 9 had a cut-off</t>
  </si>
  <si>
    <t>November 2025 block 9</t>
  </si>
  <si>
    <t>Computation: 43.907</t>
  </si>
  <si>
    <r>
      <rPr>
        <sz val="11"/>
        <color theme="1"/>
        <rFont val="Calibri"/>
        <charset val="134"/>
        <scheme val="minor"/>
      </rPr>
      <t xml:space="preserve"> net kls of Far east Tare receiving  - 43,907 = 18,184 / 62,091  x 100 =     </t>
    </r>
    <r>
      <rPr>
        <b/>
        <sz val="11"/>
        <color theme="1"/>
        <rFont val="Calibri"/>
        <charset val="134"/>
        <scheme val="minor"/>
      </rPr>
      <t>29.29%</t>
    </r>
  </si>
  <si>
    <t>Computation: 43,907</t>
  </si>
  <si>
    <r>
      <rPr>
        <sz val="11"/>
        <color theme="1"/>
        <rFont val="Calibri"/>
        <charset val="134"/>
        <scheme val="minor"/>
      </rPr>
      <t xml:space="preserve"> net kls of Far east Tare receiving  - 43,907 = 7,896 / 51,803  x 100 =     </t>
    </r>
    <r>
      <rPr>
        <b/>
        <sz val="11"/>
        <color theme="1"/>
        <rFont val="Calibri"/>
        <charset val="134"/>
        <scheme val="minor"/>
      </rPr>
      <t>15.24%</t>
    </r>
  </si>
  <si>
    <t>FEBRUARY 25, 2026</t>
  </si>
  <si>
    <t>*February 2026 tag-at delivery in feeding area and Februaryc 2026 block 5 had a cut-off</t>
  </si>
  <si>
    <r>
      <rPr>
        <sz val="11"/>
        <color theme="1"/>
        <rFont val="Calibri"/>
        <charset val="134"/>
        <scheme val="minor"/>
      </rPr>
      <t xml:space="preserve">*The difference percentage to Czarina,Titus and far-East : </t>
    </r>
    <r>
      <rPr>
        <b/>
        <sz val="11"/>
        <color theme="1"/>
        <rFont val="Calibri"/>
        <charset val="134"/>
        <scheme val="minor"/>
      </rPr>
      <t>1.91%</t>
    </r>
  </si>
  <si>
    <t>FEBRUARY 26, 2026</t>
  </si>
  <si>
    <t>MARCH 2025</t>
  </si>
  <si>
    <t>DECEMBERR 2025  BLOCK 9</t>
  </si>
  <si>
    <t>D-13A</t>
  </si>
  <si>
    <t>DECEMBERR 2025  BLOCK 6</t>
  </si>
  <si>
    <t>A-19B</t>
  </si>
  <si>
    <t>FEBRUARY 2026 TAG-AT FEEDING AREA 11</t>
  </si>
  <si>
    <t>OCTOBER 2025 TANK 3</t>
  </si>
  <si>
    <t>D-5B</t>
  </si>
  <si>
    <t>MARCH 2026 TAG-AT FEEDING AREA 1</t>
  </si>
  <si>
    <t>MARCH 2026 TAG-AT FEEDING AREA 2</t>
  </si>
  <si>
    <t>DECEMBERR 2025  BLOCK 1</t>
  </si>
  <si>
    <t>D-13B</t>
  </si>
  <si>
    <t>MARCH 2026 TAG-AT FEEDING AREA 3</t>
  </si>
  <si>
    <t>MARCH 2026 TAG-AT FEEDING AREA 4</t>
  </si>
  <si>
    <t>MARCH 2026 PAQUIBOT FEEDING AREA 5</t>
  </si>
  <si>
    <t>NOVEMBER 2025 BLOCK 16</t>
  </si>
  <si>
    <t>A-19A</t>
  </si>
  <si>
    <t>JANUARY 2026 BLOCK 16</t>
  </si>
  <si>
    <t>D-5A</t>
  </si>
  <si>
    <t>MARCH 2026 TAG-AT FEEDING AREA 6</t>
  </si>
  <si>
    <t>DECEMBERR 2025  BLOCK 15</t>
  </si>
  <si>
    <t>D-20B</t>
  </si>
  <si>
    <t xml:space="preserve">RE-FEED FROM RC TANK </t>
  </si>
  <si>
    <t>FEBRUARY 2026 RE-COOKED</t>
  </si>
  <si>
    <t>OCTOBER 2025  BLOCK 20</t>
  </si>
  <si>
    <t>D-13C</t>
  </si>
  <si>
    <t>MARCH 2026 TAG-AT FEEDING AREA 7</t>
  </si>
  <si>
    <t>DECEMBERR 2025  BLOCK 11</t>
  </si>
  <si>
    <t>A-18C</t>
  </si>
  <si>
    <t>OCTOBER 2025  BLOCK 8</t>
  </si>
  <si>
    <t>D-13D</t>
  </si>
  <si>
    <t>MARCH 2026 TAG-AT FEEDING AREA 8</t>
  </si>
  <si>
    <t>DECEMBERR 2025  BLOCK 16</t>
  </si>
  <si>
    <t>A-18B</t>
  </si>
  <si>
    <t>JANUARY 2026 BLOCK  2</t>
  </si>
  <si>
    <t xml:space="preserve">NOT FINISHED </t>
  </si>
  <si>
    <t>A-18A</t>
  </si>
  <si>
    <t>JANUARY 2026 BLOCK 11</t>
  </si>
  <si>
    <t>MARCH 2026 TAG-AT FEEDING AREA 9</t>
  </si>
  <si>
    <t>MARCH 2026 TAG-AT FEEDING AREA 10</t>
  </si>
  <si>
    <t>SUNDRIED</t>
  </si>
  <si>
    <t>Dec.2025 (BLK 9)</t>
  </si>
  <si>
    <t>Dec.2025 (BLK 6)</t>
  </si>
  <si>
    <t>Oct.2025(TNK 3)</t>
  </si>
  <si>
    <t>MAR.2026 Feeding area</t>
  </si>
  <si>
    <t>Dec.2025 (BLK 1)</t>
  </si>
  <si>
    <t>NOV.2025(blk 16)</t>
  </si>
  <si>
    <t>JAN.2026(blk 16)</t>
  </si>
  <si>
    <t>Dec.2025(BLK 15)</t>
  </si>
  <si>
    <t>RE-FEED FROM RC TANKS</t>
  </si>
  <si>
    <t>FEB.20216(RE-COOKED)</t>
  </si>
  <si>
    <t>OCT.2025(BLK 20)</t>
  </si>
  <si>
    <t>Dec,. 2025(BLK 11)</t>
  </si>
  <si>
    <t>MARCH 2026 FEEDING AREA</t>
  </si>
  <si>
    <t>Oct. 2025(BLK 8)</t>
  </si>
  <si>
    <t>Dec. 2025(BLK 16)</t>
  </si>
  <si>
    <t>JAN.2026(BLK 2)</t>
  </si>
  <si>
    <t>JAN.2026(BLK 11)</t>
  </si>
  <si>
    <t>FEBRUARY 28, 2026</t>
  </si>
  <si>
    <t>*December 2025 block 8 had acut-off</t>
  </si>
  <si>
    <t>Computation:  55,382 (February  feed) + 3,256 (March feeding) = 58,638</t>
  </si>
  <si>
    <r>
      <rPr>
        <sz val="11"/>
        <color theme="1"/>
        <rFont val="Calibri"/>
        <charset val="134"/>
        <scheme val="minor"/>
      </rPr>
      <t xml:space="preserve"> net kls of Far east Tare receiving  - 58,638 = 2,037 / 60,675  x 100 =     </t>
    </r>
    <r>
      <rPr>
        <b/>
        <sz val="11"/>
        <color theme="1"/>
        <rFont val="Calibri"/>
        <charset val="134"/>
        <scheme val="minor"/>
      </rPr>
      <t>3.36%</t>
    </r>
  </si>
  <si>
    <t>MARCH 2, 2026</t>
  </si>
  <si>
    <t>*Opened new block : December 2025 block 9 and December 2025 block 6</t>
  </si>
  <si>
    <t>*December 2025 block 7, January 2026 block 7 and February 2026 Tag-at delivery  had acut-off</t>
  </si>
  <si>
    <t>DECEMBER 2025 BLOCK 7</t>
  </si>
  <si>
    <t>Computation:  44,093 (February  feed) + 11,149 (March feeding) = 55,242</t>
  </si>
  <si>
    <r>
      <rPr>
        <sz val="11"/>
        <color theme="1"/>
        <rFont val="Calibri"/>
        <charset val="134"/>
        <scheme val="minor"/>
      </rPr>
      <t xml:space="preserve"> net kls of Far east Tare receiving  - 55,242 = 2,953 / 58,195  x 100 =     </t>
    </r>
    <r>
      <rPr>
        <b/>
        <sz val="11"/>
        <color theme="1"/>
        <rFont val="Calibri"/>
        <charset val="134"/>
        <scheme val="minor"/>
      </rPr>
      <t>5.07%</t>
    </r>
  </si>
  <si>
    <t>Computation:  453 (February  feed) + 28,669 (March feeding) = 29,122</t>
  </si>
  <si>
    <r>
      <rPr>
        <sz val="11"/>
        <color theme="1"/>
        <rFont val="Calibri"/>
        <charset val="134"/>
        <scheme val="minor"/>
      </rPr>
      <t xml:space="preserve"> net kls of Far east Tare receiving  - 29,122 = 597 / 29,719  x 100 =     </t>
    </r>
    <r>
      <rPr>
        <b/>
        <sz val="11"/>
        <color theme="1"/>
        <rFont val="Calibri"/>
        <charset val="134"/>
        <scheme val="minor"/>
      </rPr>
      <t>2.00%</t>
    </r>
  </si>
  <si>
    <t>MARCH 6, 2026</t>
  </si>
  <si>
    <t>*opened new block : October 2025 Tank 3</t>
  </si>
  <si>
    <t>*September 2025 Tank 3 had acut-off</t>
  </si>
  <si>
    <t>SEPTEMBER 2025 TANK 3</t>
  </si>
  <si>
    <t>Computation:  4,233 (january  feed) + 31,313(February Feed) + 23,105 (March feeding) = 58,651</t>
  </si>
  <si>
    <r>
      <rPr>
        <sz val="11"/>
        <color theme="1"/>
        <rFont val="Calibri"/>
        <charset val="134"/>
        <scheme val="minor"/>
      </rPr>
      <t xml:space="preserve"> net kls of Far east Tare receiving  - 58,651 = 1,599 / 60,250  x 100 =     </t>
    </r>
    <r>
      <rPr>
        <b/>
        <sz val="11"/>
        <color theme="1"/>
        <rFont val="Calibri"/>
        <charset val="134"/>
        <scheme val="minor"/>
      </rPr>
      <t>2.65%</t>
    </r>
  </si>
  <si>
    <t>MARCH 9, 2026</t>
  </si>
  <si>
    <t>*December 2025 block 9, March 2026 Feeding area 1 and 2 Tag-at delivery  had acut-off</t>
  </si>
  <si>
    <t>Computation:  72,677</t>
  </si>
  <si>
    <r>
      <rPr>
        <sz val="11"/>
        <color theme="1"/>
        <rFont val="Calibri"/>
        <charset val="134"/>
        <scheme val="minor"/>
      </rPr>
      <t xml:space="preserve"> net kls of Far east Tare receiving  - 72,677 = 5,167 / 77,842  x 100 =     </t>
    </r>
    <r>
      <rPr>
        <b/>
        <sz val="11"/>
        <color theme="1"/>
        <rFont val="Calibri"/>
        <charset val="134"/>
        <scheme val="minor"/>
      </rPr>
      <t>6.63%</t>
    </r>
  </si>
  <si>
    <t>MARCH 10, 2026</t>
  </si>
  <si>
    <t>*opened new block :March 2026 tag-at feeding area</t>
  </si>
  <si>
    <t>*October 2025 Tank 3 ang December 2025 block 1 had a cut-off</t>
  </si>
  <si>
    <t>Computation:  28,694</t>
  </si>
  <si>
    <r>
      <rPr>
        <sz val="11"/>
        <color theme="1"/>
        <rFont val="Calibri"/>
        <charset val="134"/>
        <scheme val="minor"/>
      </rPr>
      <t xml:space="preserve"> net kls of Far east Tare receiving  - 28,694 = 1,216 / 29,910  x 100 =     </t>
    </r>
    <r>
      <rPr>
        <b/>
        <sz val="11"/>
        <color theme="1"/>
        <rFont val="Calibri"/>
        <charset val="134"/>
        <scheme val="minor"/>
      </rPr>
      <t>4.06%</t>
    </r>
  </si>
  <si>
    <t>DECEMBER 2025 BLOCK 1</t>
  </si>
  <si>
    <t>Computation:  44,352</t>
  </si>
  <si>
    <r>
      <rPr>
        <sz val="11"/>
        <color theme="1"/>
        <rFont val="Calibri"/>
        <charset val="134"/>
        <scheme val="minor"/>
      </rPr>
      <t xml:space="preserve"> net kls of Far east Tare receiving  - 44,352 = 3,269 / 47,621  x 100 =     </t>
    </r>
    <r>
      <rPr>
        <b/>
        <sz val="11"/>
        <color theme="1"/>
        <rFont val="Calibri"/>
        <charset val="134"/>
        <scheme val="minor"/>
      </rPr>
      <t>6.86%</t>
    </r>
  </si>
  <si>
    <t>MARCH 11, 2026</t>
  </si>
  <si>
    <t>*November 2025 block 8 had a cut-off</t>
  </si>
  <si>
    <t>Computation: 3,186 (December  feed) + 5,651(january  feed)+ 10,112(February Feed) + 40,827 (March feeding) = 59,776</t>
  </si>
  <si>
    <r>
      <rPr>
        <sz val="11"/>
        <color theme="1"/>
        <rFont val="Calibri"/>
        <charset val="134"/>
        <scheme val="minor"/>
      </rPr>
      <t xml:space="preserve"> net kls of Far east Tare receiving  - 59,776 = 5,182 / 64,958  x 100 =     </t>
    </r>
    <r>
      <rPr>
        <b/>
        <sz val="11"/>
        <color theme="1"/>
        <rFont val="Calibri"/>
        <charset val="134"/>
        <scheme val="minor"/>
      </rPr>
      <t>7.98%</t>
    </r>
  </si>
  <si>
    <t>MARCH 12, 2026</t>
  </si>
  <si>
    <t>*Opened new block : November 2025 block  16, january 2026 block 16 and March 2026 paquibot feeding area</t>
  </si>
  <si>
    <t>*December 2025 block 6 and march 2026 Tag-at delivery  had acut-off</t>
  </si>
  <si>
    <t>DECEMBER 2025 BLOCK 6</t>
  </si>
  <si>
    <t>Computation: 70,736</t>
  </si>
  <si>
    <r>
      <rPr>
        <sz val="11"/>
        <color theme="1"/>
        <rFont val="Calibri"/>
        <charset val="134"/>
        <scheme val="minor"/>
      </rPr>
      <t xml:space="preserve"> net kls of Far east Tare receiving  - 70,736 = 4,629 / 75,365  x 100 =     </t>
    </r>
    <r>
      <rPr>
        <b/>
        <sz val="11"/>
        <color theme="1"/>
        <rFont val="Calibri"/>
        <charset val="134"/>
        <scheme val="minor"/>
      </rPr>
      <t>6.14%</t>
    </r>
  </si>
  <si>
    <t>MARCH 17, 2026</t>
  </si>
  <si>
    <t>*Opened new block : December 2025 block 15 and March 2026 feeding area (tag-at)</t>
  </si>
  <si>
    <t>*Janaury 2026 block 16 had a cut-off</t>
  </si>
  <si>
    <r>
      <rPr>
        <sz val="11"/>
        <color theme="1"/>
        <rFont val="Calibri"/>
        <charset val="134"/>
        <scheme val="minor"/>
      </rPr>
      <t xml:space="preserve">*The difference percentage from Cathy,Titus and Far-East : </t>
    </r>
    <r>
      <rPr>
        <b/>
        <sz val="11"/>
        <color theme="1"/>
        <rFont val="Calibri"/>
        <charset val="134"/>
        <scheme val="minor"/>
      </rPr>
      <t>1.87%</t>
    </r>
  </si>
  <si>
    <t>MARCH 19, 2026</t>
  </si>
  <si>
    <t>*February 2026 Re_cooked, Re-feed from Tank and December 2025 block 15 had a cut-off</t>
  </si>
  <si>
    <t>DECEMBER 2025 BLOCK 5 :      3.83%</t>
  </si>
  <si>
    <t>FEBRUARY  2026 RE-COOKED :      3.82%</t>
  </si>
  <si>
    <t xml:space="preserve"> RE-FEED FROM RC TANK :      .97%</t>
  </si>
  <si>
    <t>MARCH 20, 2026</t>
  </si>
  <si>
    <t>*Opened new block : December 2025 block 20 and March 2026 feeding area (tag-at)</t>
  </si>
  <si>
    <t>MARCH 23, 2026</t>
  </si>
  <si>
    <t>*Opened new block : December 2025 block 11</t>
  </si>
  <si>
    <t>*nOvember 2025 block 16 and march 2026 feeding area had a cut-off</t>
  </si>
  <si>
    <r>
      <rPr>
        <sz val="11"/>
        <color theme="1"/>
        <rFont val="Calibri"/>
        <charset val="134"/>
        <scheme val="minor"/>
      </rPr>
      <t xml:space="preserve">*The difference percentage from Cathy,Titus and Far-East : </t>
    </r>
    <r>
      <rPr>
        <b/>
        <sz val="11"/>
        <color theme="1"/>
        <rFont val="Calibri"/>
        <charset val="134"/>
        <scheme val="minor"/>
      </rPr>
      <t>6.79%</t>
    </r>
  </si>
  <si>
    <t>MARCH 24, 2026</t>
  </si>
  <si>
    <t>*Opened new block :  March 2026 feeding area (tag-at)</t>
  </si>
  <si>
    <t>MARCH 25, 2026</t>
  </si>
  <si>
    <t>*Opened new block : December 2025 block 16 and October 2025 block 8</t>
  </si>
  <si>
    <t>October 2025 block 20 and December 2025 block 11 had a cut-off</t>
  </si>
  <si>
    <t>DECEMBER 2025 BLOCK 11</t>
  </si>
  <si>
    <t>Computation: 52,436</t>
  </si>
  <si>
    <r>
      <rPr>
        <sz val="11"/>
        <color theme="1"/>
        <rFont val="Calibri"/>
        <charset val="134"/>
        <scheme val="minor"/>
      </rPr>
      <t xml:space="preserve"> net kls of Far east Tare receiving  - 52,436 = 3,169 / 55,605  x 100 =     </t>
    </r>
    <r>
      <rPr>
        <b/>
        <sz val="11"/>
        <color theme="1"/>
        <rFont val="Calibri"/>
        <charset val="134"/>
        <scheme val="minor"/>
      </rPr>
      <t>5.69%</t>
    </r>
  </si>
  <si>
    <t xml:space="preserve">OCTOBER 2025 BLOCK 20 </t>
  </si>
  <si>
    <t>Computation: 68,010</t>
  </si>
  <si>
    <r>
      <rPr>
        <sz val="11"/>
        <color theme="1"/>
        <rFont val="Calibri"/>
        <charset val="134"/>
        <scheme val="minor"/>
      </rPr>
      <t xml:space="preserve"> net kls of Far east Tare receiving  - 68,010 = 7,003 / 75,013  x 100 =     </t>
    </r>
    <r>
      <rPr>
        <b/>
        <sz val="11"/>
        <color theme="1"/>
        <rFont val="Calibri"/>
        <charset val="134"/>
        <scheme val="minor"/>
      </rPr>
      <t>9.33%</t>
    </r>
  </si>
  <si>
    <t>MARCH 27, 2026</t>
  </si>
  <si>
    <t>*Opened new block : Janaury 2026 block 2, Janaury 2026 block 16 and March 2026 feeding area (tag-at)</t>
  </si>
  <si>
    <t>*December 2025 block 16 and October 2025 block 8  had acut-off</t>
  </si>
  <si>
    <t>October 2025 BLOCK 8</t>
  </si>
  <si>
    <t>Computation: 65,283</t>
  </si>
  <si>
    <r>
      <rPr>
        <sz val="11"/>
        <color theme="1"/>
        <rFont val="Calibri"/>
        <charset val="134"/>
        <scheme val="minor"/>
      </rPr>
      <t xml:space="preserve"> net kls of Far east Tare receiving  - 65,283 = 7,642 / 72,925  x 100 =     </t>
    </r>
    <r>
      <rPr>
        <b/>
        <sz val="11"/>
        <color theme="1"/>
        <rFont val="Calibri"/>
        <charset val="134"/>
        <scheme val="minor"/>
      </rPr>
      <t>10.48%</t>
    </r>
  </si>
  <si>
    <t xml:space="preserve">DECEMBER 2025 BLOCK 16 </t>
  </si>
  <si>
    <t>Computation: 75,090</t>
  </si>
  <si>
    <r>
      <rPr>
        <sz val="11"/>
        <color theme="1"/>
        <rFont val="Calibri"/>
        <charset val="134"/>
        <scheme val="minor"/>
      </rPr>
      <t xml:space="preserve"> net kls of Far east Tare receiving  - 75,090 = 6,960 / 82,050  x 100 =     </t>
    </r>
    <r>
      <rPr>
        <b/>
        <sz val="11"/>
        <color theme="1"/>
        <rFont val="Calibri"/>
        <charset val="134"/>
        <scheme val="minor"/>
      </rPr>
      <t>8.48%</t>
    </r>
  </si>
  <si>
    <t>MARCH 28, 2026</t>
  </si>
  <si>
    <t>APRIL 2025</t>
  </si>
  <si>
    <t xml:space="preserve"> </t>
  </si>
  <si>
    <t>OCTOBER 2025 BLOCK 19</t>
  </si>
  <si>
    <t>C-20B</t>
  </si>
  <si>
    <t>FEBRUARY 2026 BLOCK 25</t>
  </si>
  <si>
    <t>17A NEAR PATHWAY</t>
  </si>
  <si>
    <t>FEBRUARY 2026 BLOCK 15</t>
  </si>
  <si>
    <t>17A MIDDLE SIDE</t>
  </si>
  <si>
    <t>FEBRUARY 2026 BLOCK 19</t>
  </si>
  <si>
    <t>17A NEAR WALL</t>
  </si>
  <si>
    <t>OCTOBER 2025 BLOCK 27</t>
  </si>
  <si>
    <t>C-20A</t>
  </si>
  <si>
    <t>MARCH 2026 BLOCK 18</t>
  </si>
  <si>
    <t>15B NEAR WALL</t>
  </si>
  <si>
    <t>APRIL 2025 TAG-AT FEEDING AREA</t>
  </si>
  <si>
    <t>MARCH 2026 BLOCK 11</t>
  </si>
  <si>
    <t>16B NEAR WALL</t>
  </si>
  <si>
    <t>MARCH 2026 BLOCK 2</t>
  </si>
  <si>
    <t>15A NEAR WALL</t>
  </si>
  <si>
    <t>JANUARY 2026 BLOCK  20</t>
  </si>
  <si>
    <t>D-12C</t>
  </si>
  <si>
    <t>FEBRUARY 2026 BLOCK 7</t>
  </si>
  <si>
    <t>16A NEAR WALL</t>
  </si>
  <si>
    <t>APRIL 2025 TAG-AT FEEDING AREA # 2</t>
  </si>
  <si>
    <t>OCTOBER 2025 BLOCK 9</t>
  </si>
  <si>
    <t>D-15D</t>
  </si>
  <si>
    <t>JANUARY 2026 BLOCK  12</t>
  </si>
  <si>
    <t>A-17C</t>
  </si>
  <si>
    <t>APRIL 2025 TAG-AT FEEDING AREA # 3</t>
  </si>
  <si>
    <t>APRIL 2025 TAG-AT FEEDING AREA # 4</t>
  </si>
  <si>
    <t>JANUARY 2026 BLOCK 5</t>
  </si>
  <si>
    <t>APRIL 2025 TAG-AT FEEDING AREA # 5</t>
  </si>
  <si>
    <t>APRIL 2025 TAG-AT FEEDING AREA # 6</t>
  </si>
  <si>
    <t>JANUARY 2026 BLOCK  6</t>
  </si>
  <si>
    <t>NOVEMBER 2024 BLOCK 10</t>
  </si>
  <si>
    <t>16A NEAR PATHWAY</t>
  </si>
  <si>
    <t>FEBRUARY 2026 BLOCK 2</t>
  </si>
  <si>
    <t>D-12B</t>
  </si>
  <si>
    <t>OCT.2025(BLK 19)</t>
  </si>
  <si>
    <t>FEB.2026(BLK 25)</t>
  </si>
  <si>
    <t>FEB.2026(BLK 15)</t>
  </si>
  <si>
    <t>FEB.2026(BLK 19)</t>
  </si>
  <si>
    <t>OCT.2025(BLK 27)</t>
  </si>
  <si>
    <t>MAR.2026(blk 18)</t>
  </si>
  <si>
    <t>APR.2026 FEEDING AREA</t>
  </si>
  <si>
    <t>MAR.2026(blk 11)</t>
  </si>
  <si>
    <t>MAR.2026(blk 2)</t>
  </si>
  <si>
    <t>Jan.2026(BLK 20)</t>
  </si>
  <si>
    <t>Feb.2026(BLK 7)</t>
  </si>
  <si>
    <t>APR.2026 FEEDING AREA # 2</t>
  </si>
  <si>
    <t>OCT.2025(BLK 9)</t>
  </si>
  <si>
    <t>Jan.2026(BLK 12)</t>
  </si>
  <si>
    <t>APR.2026 FEEDING AREA # 3</t>
  </si>
  <si>
    <t>APR.2026 FEEDING AREA # 4</t>
  </si>
  <si>
    <t>Jan.2026(BLK 5)</t>
  </si>
  <si>
    <t>APR.2026 FEEDING AREA # 5</t>
  </si>
  <si>
    <t>APR.2026 FEEDING AREA # 6</t>
  </si>
  <si>
    <t>Jan.2026(BLK 6)</t>
  </si>
  <si>
    <t>Nov.2024(BLK 10)</t>
  </si>
  <si>
    <t>FEB.2026(BLK 2)</t>
  </si>
  <si>
    <t>MARCH 30, 2026</t>
  </si>
  <si>
    <t>*Opened new block : February 2026 block 25 and October 2025 block 16</t>
  </si>
  <si>
    <t>MARCH 31, 2026</t>
  </si>
  <si>
    <t xml:space="preserve">*Opened new block : February 2026 block 15 </t>
  </si>
  <si>
    <t>*February 2026 block 25 had cut-off</t>
  </si>
  <si>
    <t>Computation: 11,304</t>
  </si>
  <si>
    <r>
      <rPr>
        <sz val="11"/>
        <color theme="1"/>
        <rFont val="Calibri"/>
        <charset val="134"/>
        <scheme val="minor"/>
      </rPr>
      <t xml:space="preserve"> net kls of Far east Tare receiving  -11,304 = 2,276 / 13,580  x 100 =     </t>
    </r>
    <r>
      <rPr>
        <b/>
        <sz val="11"/>
        <color theme="1"/>
        <rFont val="Calibri"/>
        <charset val="134"/>
        <scheme val="minor"/>
      </rPr>
      <t>16.76%</t>
    </r>
  </si>
  <si>
    <t>Computation:11,304</t>
  </si>
  <si>
    <r>
      <rPr>
        <sz val="11"/>
        <color theme="1"/>
        <rFont val="Calibri"/>
        <charset val="134"/>
        <scheme val="minor"/>
      </rPr>
      <t xml:space="preserve"> net kls of Far east Tare receiving  - 11,304 = 297 / 11,601  x 100 =     </t>
    </r>
    <r>
      <rPr>
        <b/>
        <sz val="11"/>
        <color theme="1"/>
        <rFont val="Calibri"/>
        <charset val="134"/>
        <scheme val="minor"/>
      </rPr>
      <t>2.56%</t>
    </r>
  </si>
  <si>
    <t>APRIL 6, 2026</t>
  </si>
  <si>
    <t>*February 2026 block 15 and February 2026 block 19 had cut-off</t>
  </si>
  <si>
    <t xml:space="preserve">*February 2026 block 15 </t>
  </si>
  <si>
    <t>Computation: 23,952</t>
  </si>
  <si>
    <r>
      <rPr>
        <sz val="11"/>
        <color theme="1"/>
        <rFont val="Calibri"/>
        <charset val="134"/>
        <scheme val="minor"/>
      </rPr>
      <t xml:space="preserve"> net kls of Far east Tare receiving  -23,952 = 4,726 / 28,678  x 100 =     </t>
    </r>
    <r>
      <rPr>
        <b/>
        <sz val="11"/>
        <color theme="1"/>
        <rFont val="Calibri"/>
        <charset val="134"/>
        <scheme val="minor"/>
      </rPr>
      <t>16.48%</t>
    </r>
  </si>
  <si>
    <t>Computation:23,952</t>
  </si>
  <si>
    <r>
      <rPr>
        <sz val="11"/>
        <color theme="1"/>
        <rFont val="Calibri"/>
        <charset val="134"/>
        <scheme val="minor"/>
      </rPr>
      <t xml:space="preserve"> net kls of Far east Tare receiving  - 23,952 = 150 / 24,102  x 100 =     </t>
    </r>
    <r>
      <rPr>
        <b/>
        <sz val="11"/>
        <color theme="1"/>
        <rFont val="Calibri"/>
        <charset val="134"/>
        <scheme val="minor"/>
      </rPr>
      <t>.62%</t>
    </r>
  </si>
  <si>
    <t xml:space="preserve">*February 2026 block 19 </t>
  </si>
  <si>
    <t>Computation: 12,307</t>
  </si>
  <si>
    <r>
      <rPr>
        <sz val="11"/>
        <color theme="1"/>
        <rFont val="Calibri"/>
        <charset val="134"/>
        <scheme val="minor"/>
      </rPr>
      <t xml:space="preserve"> net kls of Far east Tare receiving  -12,307 = 2,654 / 14,961  x 100 =     </t>
    </r>
    <r>
      <rPr>
        <b/>
        <sz val="11"/>
        <color theme="1"/>
        <rFont val="Calibri"/>
        <charset val="134"/>
        <scheme val="minor"/>
      </rPr>
      <t>17.74%</t>
    </r>
  </si>
  <si>
    <t>Computation:12,307</t>
  </si>
  <si>
    <r>
      <rPr>
        <sz val="11"/>
        <color theme="1"/>
        <rFont val="Calibri"/>
        <charset val="134"/>
        <scheme val="minor"/>
      </rPr>
      <t xml:space="preserve"> net kls of Far east Tare receiving  - 12,307 = 146 / 12,453  x 100 =     1</t>
    </r>
    <r>
      <rPr>
        <b/>
        <sz val="11"/>
        <color theme="1"/>
        <rFont val="Calibri"/>
        <charset val="134"/>
        <scheme val="minor"/>
      </rPr>
      <t>.17%</t>
    </r>
  </si>
  <si>
    <t>APRIL 7, 2026</t>
  </si>
  <si>
    <t>*Opened new block : October 2025 block 27 , April 2026 tag-at delivery in feeding area and March 2026 block 18 had open and done feeding</t>
  </si>
  <si>
    <t>* October 2025 block 19 and March 2026 block 18 had a cut-off</t>
  </si>
  <si>
    <t xml:space="preserve">*October 2025  block 19 </t>
  </si>
  <si>
    <t>Computation: 61,822</t>
  </si>
  <si>
    <r>
      <rPr>
        <sz val="11"/>
        <color theme="1"/>
        <rFont val="Calibri"/>
        <charset val="134"/>
        <scheme val="minor"/>
      </rPr>
      <t xml:space="preserve"> net kls of Far east Tare receiving  -61,822 = 3,878 / 65,700  x 100 =     </t>
    </r>
    <r>
      <rPr>
        <b/>
        <sz val="11"/>
        <color theme="1"/>
        <rFont val="Calibri"/>
        <charset val="134"/>
        <scheme val="minor"/>
      </rPr>
      <t>5.90%</t>
    </r>
  </si>
  <si>
    <t xml:space="preserve">*March 2026 block 18 </t>
  </si>
  <si>
    <t>Computation: 7,792</t>
  </si>
  <si>
    <r>
      <rPr>
        <sz val="11"/>
        <color theme="1"/>
        <rFont val="Calibri"/>
        <charset val="134"/>
        <scheme val="minor"/>
      </rPr>
      <t xml:space="preserve"> net kls of Far east Tare receiving  -7,792 = 3,352 / 11,144  x 100 =     </t>
    </r>
    <r>
      <rPr>
        <b/>
        <sz val="11"/>
        <color theme="1"/>
        <rFont val="Calibri"/>
        <charset val="134"/>
        <scheme val="minor"/>
      </rPr>
      <t>30.08%</t>
    </r>
  </si>
  <si>
    <t>Computation:7,792</t>
  </si>
  <si>
    <r>
      <rPr>
        <sz val="11"/>
        <color theme="1"/>
        <rFont val="Calibri"/>
        <charset val="134"/>
        <scheme val="minor"/>
      </rPr>
      <t xml:space="preserve"> net kls of Far east Tare receiving  - 7,792 = 1,197 / 8,989  x 100 =     13</t>
    </r>
    <r>
      <rPr>
        <b/>
        <sz val="11"/>
        <color theme="1"/>
        <rFont val="Calibri"/>
        <charset val="134"/>
        <scheme val="minor"/>
      </rPr>
      <t>.32%</t>
    </r>
  </si>
  <si>
    <t>APRIL 8, 2026</t>
  </si>
  <si>
    <t xml:space="preserve">*Opened new block : March 2026 block 11 </t>
  </si>
  <si>
    <t>*January 2026 block 2 had acut-off</t>
  </si>
  <si>
    <t>Computation:  32,227 (March  feed) + 27,622 (April feeding) = 59,849</t>
  </si>
  <si>
    <r>
      <rPr>
        <sz val="11"/>
        <color theme="1"/>
        <rFont val="Calibri"/>
        <charset val="134"/>
        <scheme val="minor"/>
      </rPr>
      <t xml:space="preserve"> net kls of Far east Tare receiving  - 59,849 = 4,231 / 64,080  x 100 =     </t>
    </r>
    <r>
      <rPr>
        <b/>
        <sz val="11"/>
        <color theme="1"/>
        <rFont val="Calibri"/>
        <charset val="134"/>
        <scheme val="minor"/>
      </rPr>
      <t>6.60%</t>
    </r>
  </si>
  <si>
    <t>APRIL 10, 2026</t>
  </si>
  <si>
    <t xml:space="preserve">*Opened new block : March 2026 block 2 </t>
  </si>
  <si>
    <t xml:space="preserve">*March 2026 block 11 had a cut-off </t>
  </si>
  <si>
    <t xml:space="preserve">*March 2026 block 11 </t>
  </si>
  <si>
    <t>Computation: 18,362</t>
  </si>
  <si>
    <r>
      <rPr>
        <sz val="11"/>
        <color theme="1"/>
        <rFont val="Calibri"/>
        <charset val="134"/>
        <scheme val="minor"/>
      </rPr>
      <t xml:space="preserve"> net kls of Far east Tare receiving  -18,362 = 5,213 / 23,575  x 100 =     </t>
    </r>
    <r>
      <rPr>
        <b/>
        <sz val="11"/>
        <color theme="1"/>
        <rFont val="Calibri"/>
        <charset val="134"/>
        <scheme val="minor"/>
      </rPr>
      <t>22.11%</t>
    </r>
  </si>
  <si>
    <t>Computation:  18,362</t>
  </si>
  <si>
    <r>
      <rPr>
        <sz val="11"/>
        <color theme="1"/>
        <rFont val="Calibri"/>
        <charset val="134"/>
        <scheme val="minor"/>
      </rPr>
      <t xml:space="preserve"> net kls of Far east Tare receiving  - 18,362 = 1,223 / 19,585  x 100 =     6.24</t>
    </r>
    <r>
      <rPr>
        <b/>
        <sz val="11"/>
        <color theme="1"/>
        <rFont val="Calibri"/>
        <charset val="134"/>
        <scheme val="minor"/>
      </rPr>
      <t>%</t>
    </r>
  </si>
  <si>
    <t>APRIL 13, 2026</t>
  </si>
  <si>
    <t>*January 2026 block 11 and April 2026 tag-at delivery in feeding area had acut-off</t>
  </si>
  <si>
    <t>Computation:  28,875 (March  feed) + 42,744 (April feeding) = 71,619</t>
  </si>
  <si>
    <r>
      <rPr>
        <sz val="11"/>
        <color theme="1"/>
        <rFont val="Calibri"/>
        <charset val="134"/>
        <scheme val="minor"/>
      </rPr>
      <t xml:space="preserve"> net kls of Far east Tare receiving  - 71,619 = 4,160 / 75,779  x 100 =     </t>
    </r>
    <r>
      <rPr>
        <b/>
        <sz val="11"/>
        <color theme="1"/>
        <rFont val="Calibri"/>
        <charset val="134"/>
        <scheme val="minor"/>
      </rPr>
      <t>5.49%</t>
    </r>
  </si>
  <si>
    <t>APRIL 14, 2026</t>
  </si>
  <si>
    <t>*Opened new block : February 2026 block 7,  January 2026 block 20 and April 2026 Tag-at delivery in feeding area</t>
  </si>
  <si>
    <t xml:space="preserve">*March 2026 block 2 had a cut-off </t>
  </si>
  <si>
    <t xml:space="preserve">*March 2026 block 2 </t>
  </si>
  <si>
    <t>Computation: 9,909</t>
  </si>
  <si>
    <r>
      <rPr>
        <sz val="11"/>
        <color theme="1"/>
        <rFont val="Calibri"/>
        <charset val="134"/>
        <scheme val="minor"/>
      </rPr>
      <t xml:space="preserve"> net kls of Far east Tare receiving  -9,909 = 2,755 / 12,664  x 100 =     </t>
    </r>
    <r>
      <rPr>
        <b/>
        <sz val="11"/>
        <color theme="1"/>
        <rFont val="Calibri"/>
        <charset val="134"/>
        <scheme val="minor"/>
      </rPr>
      <t>21.75%</t>
    </r>
  </si>
  <si>
    <t>Computation:  9,909</t>
  </si>
  <si>
    <r>
      <rPr>
        <sz val="11"/>
        <color theme="1"/>
        <rFont val="Calibri"/>
        <charset val="134"/>
        <scheme val="minor"/>
      </rPr>
      <t xml:space="preserve"> net kls of Far east Tare receiving  - 9,909 = 726 /10,635  x 100 =     </t>
    </r>
    <r>
      <rPr>
        <b/>
        <sz val="11"/>
        <color theme="1"/>
        <rFont val="Calibri"/>
        <charset val="134"/>
        <scheme val="minor"/>
      </rPr>
      <t>6.83%</t>
    </r>
  </si>
  <si>
    <t>APRIL 16, 2026</t>
  </si>
  <si>
    <t xml:space="preserve">*Opened new block : October 2025 block 9 and January 2026 block 12 </t>
  </si>
  <si>
    <t>APRIL 17, 2026</t>
  </si>
  <si>
    <t>*April 2026 tag-at delivery had cut-off</t>
  </si>
  <si>
    <t>APRIL 18, 2026</t>
  </si>
  <si>
    <t>*Opened new block :  April 2026 Tag-at delivery in feeding area</t>
  </si>
  <si>
    <t xml:space="preserve">*OCtober 2025  block 27 had a cut-off </t>
  </si>
  <si>
    <r>
      <rPr>
        <sz val="11"/>
        <color theme="1"/>
        <rFont val="Calibri"/>
        <charset val="134"/>
        <scheme val="minor"/>
      </rPr>
      <t xml:space="preserve">*The difference percentage from Czarina,Titus and Far-East :  </t>
    </r>
    <r>
      <rPr>
        <b/>
        <sz val="11"/>
        <color theme="1"/>
        <rFont val="Calibri"/>
        <charset val="134"/>
        <scheme val="minor"/>
      </rPr>
      <t>6.13%</t>
    </r>
  </si>
  <si>
    <r>
      <rPr>
        <b/>
        <sz val="11"/>
        <color theme="1"/>
        <rFont val="Calibri"/>
        <charset val="134"/>
        <scheme val="minor"/>
      </rPr>
      <t xml:space="preserve">Computation:  </t>
    </r>
    <r>
      <rPr>
        <sz val="11"/>
        <color theme="1"/>
        <rFont val="Calibri"/>
        <charset val="134"/>
        <scheme val="minor"/>
      </rPr>
      <t>74,417</t>
    </r>
  </si>
  <si>
    <t xml:space="preserve"> net kls of Far east Tare receiving  - 74,417 = 4,864 / 79,281  x 100 =     6.13%</t>
  </si>
  <si>
    <t>APRIL 22, 2026</t>
  </si>
  <si>
    <t>*Opened new block :  April 2026 Tag-at delivery in feeding area and janauary 2026 block 5</t>
  </si>
  <si>
    <t>*January 2026 block 12 had acut-off</t>
  </si>
  <si>
    <r>
      <rPr>
        <sz val="11"/>
        <color theme="1"/>
        <rFont val="Calibri"/>
        <charset val="134"/>
        <scheme val="minor"/>
      </rPr>
      <t xml:space="preserve">*The difference percentage from Cathy,Titus and Far-East :  </t>
    </r>
    <r>
      <rPr>
        <b/>
        <sz val="11"/>
        <color theme="1"/>
        <rFont val="Calibri"/>
        <charset val="134"/>
        <scheme val="minor"/>
      </rPr>
      <t>4.12%</t>
    </r>
  </si>
  <si>
    <t>APRIL 24, 2026</t>
  </si>
  <si>
    <t>APRIL 25, 2026</t>
  </si>
  <si>
    <t>APRIL 27, 2026</t>
  </si>
  <si>
    <t>*Opened new block :  November 2024 block 10 and janauary 2026 block 6</t>
  </si>
  <si>
    <t>*January 2026 block 20 and January 2026 block 5 had acut-off</t>
  </si>
  <si>
    <t>*JANUARY 2026 BLOCK 20</t>
  </si>
  <si>
    <t>Computation:  62,321</t>
  </si>
  <si>
    <r>
      <rPr>
        <sz val="11"/>
        <color theme="1"/>
        <rFont val="Calibri"/>
        <charset val="134"/>
        <scheme val="minor"/>
      </rPr>
      <t xml:space="preserve"> net kls of Far east Tare receiving  - 62,321 = 5,824 / 68,145  x 100 =     </t>
    </r>
    <r>
      <rPr>
        <b/>
        <sz val="11"/>
        <color theme="1"/>
        <rFont val="Calibri"/>
        <charset val="134"/>
        <scheme val="minor"/>
      </rPr>
      <t>8.55%</t>
    </r>
  </si>
  <si>
    <t>*JANUARY 2026 BLOCK 5</t>
  </si>
  <si>
    <t>Computation:  68,990</t>
  </si>
  <si>
    <r>
      <rPr>
        <sz val="11"/>
        <color theme="1"/>
        <rFont val="Calibri"/>
        <charset val="134"/>
        <scheme val="minor"/>
      </rPr>
      <t xml:space="preserve"> net kls of Far east Tare receiving  - 68,990 = 4,790 / 73,780  x 100 =     </t>
    </r>
    <r>
      <rPr>
        <b/>
        <sz val="11"/>
        <color theme="1"/>
        <rFont val="Calibri"/>
        <charset val="134"/>
        <scheme val="minor"/>
      </rPr>
      <t>6.49%</t>
    </r>
  </si>
  <si>
    <t>APRIL 29, 2026</t>
  </si>
  <si>
    <t xml:space="preserve">*Opened new block : February 2026 block 2 </t>
  </si>
  <si>
    <t>MAY 2025</t>
  </si>
  <si>
    <t>APRIL 2025 TAG-AT FEEDING AREA # 7</t>
  </si>
  <si>
    <t>NOVEMBER 2024 BLOCK 3</t>
  </si>
  <si>
    <t>17A MIDDLE SIDE AND 17 NEAR PATHWAY</t>
  </si>
  <si>
    <t>JANUARY 2026 BLOCK  21</t>
  </si>
  <si>
    <t>A-11C</t>
  </si>
  <si>
    <t>MAY 2026 TAG-AT FEEDING AREA 1</t>
  </si>
  <si>
    <t>NOVEMBER 2024 BLOCK 5</t>
  </si>
  <si>
    <t>16B NEAR PATHWAY</t>
  </si>
  <si>
    <t>MAY 2026 TAG-AT FEEDING AREA 2</t>
  </si>
  <si>
    <t>MARCH 2026 BLOCK 7</t>
  </si>
  <si>
    <t>15A MIDDLE SIDE</t>
  </si>
  <si>
    <t>JANUARY 2026 BLOCK  17</t>
  </si>
  <si>
    <t>A-11B</t>
  </si>
  <si>
    <t>MARCH 2026 BLOCK 12</t>
  </si>
  <si>
    <t>15A HALF MIDDLE SIDE</t>
  </si>
  <si>
    <t>JANUARY 2026 BLOCK  4</t>
  </si>
  <si>
    <t>16A HALF OF MIDDLE</t>
  </si>
  <si>
    <t>MAY 2026 TAG-AT FEEDING AREA 3</t>
  </si>
  <si>
    <t>APRIL 2026 BLOCK 5</t>
  </si>
  <si>
    <t>D-20D</t>
  </si>
  <si>
    <t>JANUARY 2026 BLOCK  8</t>
  </si>
  <si>
    <t>FEBRUARY 2026 BLOCK 23</t>
  </si>
  <si>
    <t>C-16B</t>
  </si>
  <si>
    <t>MAY 2026 TAG-AT FEEDING AREA 4</t>
  </si>
  <si>
    <t>FEBRUARY 2026 BLOCK 21</t>
  </si>
  <si>
    <t>C-16A</t>
  </si>
  <si>
    <t>MAY 2026 TAG-AT FEEDING AREA 5</t>
  </si>
  <si>
    <t>MARCH 2026 BLOCK 3</t>
  </si>
  <si>
    <t>C-10A</t>
  </si>
  <si>
    <t>MARCH BLOCK 19</t>
  </si>
  <si>
    <t>D-12A</t>
  </si>
  <si>
    <t>MAY 2026 TAG-AT FEEDING AREA 6</t>
  </si>
  <si>
    <t>MARCH 2026 BLOCK 6</t>
  </si>
  <si>
    <t>JANUARY 2026 BLOCK 10</t>
  </si>
  <si>
    <t>A-9C</t>
  </si>
  <si>
    <t>April2026 tag-at delivery</t>
  </si>
  <si>
    <t>Nov.2024(BLK 3)</t>
  </si>
  <si>
    <t>Jan.2026(BLK 21)</t>
  </si>
  <si>
    <t>May 2026 Tag-at feeding Area</t>
  </si>
  <si>
    <t>Nov.2024(BLK 5)</t>
  </si>
  <si>
    <t>Jan.2026(BLK 17)</t>
  </si>
  <si>
    <t>MAR.2026(blk 7)</t>
  </si>
  <si>
    <t>MAR.2026(blk 12)</t>
  </si>
  <si>
    <t>Apr.2026(BLK 5)</t>
  </si>
  <si>
    <t>Jan.2026(BLK 8)</t>
  </si>
  <si>
    <t>FEB 2026(BLK 23)</t>
  </si>
  <si>
    <t>FEB 2026(BLK 21)</t>
  </si>
  <si>
    <t>MAY 2026 FEEDING AREA TAG-AT #5</t>
  </si>
  <si>
    <t>MARCH 2026 (BLK 3)</t>
  </si>
  <si>
    <t>MAY 2026 FEEDING AREA #6</t>
  </si>
  <si>
    <t>MARCH (BLK 19)</t>
  </si>
  <si>
    <t>MARCH 2026(BLK 6)</t>
  </si>
  <si>
    <t>JANUARY 2026(BLOCK 10)</t>
  </si>
  <si>
    <t>APRIL 30, 2026</t>
  </si>
  <si>
    <t>*Opened new block: April 2026 Tag-at Delivery in feeding area</t>
  </si>
  <si>
    <t>MAY 4, 2026</t>
  </si>
  <si>
    <t>*Opened new block: November 2024 block 3</t>
  </si>
  <si>
    <t>*November 2024 block 10 had a cut-off</t>
  </si>
  <si>
    <t>Computation: 40,935</t>
  </si>
  <si>
    <r>
      <rPr>
        <sz val="11"/>
        <color theme="1"/>
        <rFont val="Calibri"/>
        <charset val="134"/>
        <scheme val="minor"/>
      </rPr>
      <t xml:space="preserve"> net kls of Far east Tare receiving  -40,935 = 22,376 / 63,311  x 100 =     </t>
    </r>
    <r>
      <rPr>
        <b/>
        <sz val="11"/>
        <color theme="1"/>
        <rFont val="Calibri"/>
        <charset val="134"/>
        <scheme val="minor"/>
      </rPr>
      <t>35.34%</t>
    </r>
  </si>
  <si>
    <r>
      <rPr>
        <sz val="11"/>
        <color theme="1"/>
        <rFont val="Calibri"/>
        <charset val="134"/>
        <scheme val="minor"/>
      </rPr>
      <t xml:space="preserve"> net kls of Far east Tare receiving  - 40,935 = 4,041 / 44,976  x 100 =     </t>
    </r>
    <r>
      <rPr>
        <b/>
        <sz val="11"/>
        <color theme="1"/>
        <rFont val="Calibri"/>
        <charset val="134"/>
        <scheme val="minor"/>
      </rPr>
      <t>8.98%</t>
    </r>
  </si>
  <si>
    <t>MAY 5, 2026</t>
  </si>
  <si>
    <t>*Opened new block: January  2026 block 21</t>
  </si>
  <si>
    <t>*January 2026 block 6 and April 2026 tag-at delivery in feeding had acut-off</t>
  </si>
  <si>
    <t xml:space="preserve">January 2026 block 6 </t>
  </si>
  <si>
    <t>Computation:  35,225 (April  feed) + 35,182 (May feeding) = 70,407</t>
  </si>
  <si>
    <r>
      <rPr>
        <sz val="11"/>
        <color theme="1"/>
        <rFont val="Calibri"/>
        <charset val="134"/>
        <scheme val="minor"/>
      </rPr>
      <t xml:space="preserve"> net kls of Far east Tare receiving  - 70,407 = 5,018 / 75,425  x 100 =     </t>
    </r>
    <r>
      <rPr>
        <b/>
        <sz val="11"/>
        <color theme="1"/>
        <rFont val="Calibri"/>
        <charset val="134"/>
        <scheme val="minor"/>
      </rPr>
      <t>6.65%</t>
    </r>
  </si>
  <si>
    <t>MAY 6, 2026</t>
  </si>
  <si>
    <t>*Opened new block: MAY 2026 Tag-at delivery in feeding area</t>
  </si>
  <si>
    <t>MAY 8, 2026</t>
  </si>
  <si>
    <t>*November 2024 block 3 and May 2026 Tag-at feeding area had a cut-off</t>
  </si>
  <si>
    <t>Computation: 48,913</t>
  </si>
  <si>
    <r>
      <rPr>
        <sz val="11"/>
        <color theme="1"/>
        <rFont val="Calibri"/>
        <charset val="134"/>
        <scheme val="minor"/>
      </rPr>
      <t xml:space="preserve"> net kls of Far east Tare receiving  -48,913 = 14,350 / 63,263  x 100 =     </t>
    </r>
    <r>
      <rPr>
        <b/>
        <sz val="11"/>
        <color theme="1"/>
        <rFont val="Calibri"/>
        <charset val="134"/>
        <scheme val="minor"/>
      </rPr>
      <t>22.68%</t>
    </r>
  </si>
  <si>
    <r>
      <rPr>
        <sz val="11"/>
        <color theme="1"/>
        <rFont val="Calibri"/>
        <charset val="134"/>
        <scheme val="minor"/>
      </rPr>
      <t xml:space="preserve"> net kls of Far east Tare receiving  - 48,913 = 997 / 49,910  x 100 =     </t>
    </r>
    <r>
      <rPr>
        <b/>
        <sz val="11"/>
        <color theme="1"/>
        <rFont val="Calibri"/>
        <charset val="134"/>
        <scheme val="minor"/>
      </rPr>
      <t>2.00%</t>
    </r>
  </si>
  <si>
    <t>MAY 9, 2026</t>
  </si>
  <si>
    <t>*Opened new block: April 2026 Tag-at Delivery in feeding area and November 2024 block 5</t>
  </si>
  <si>
    <t>MAY 10, 2026</t>
  </si>
  <si>
    <t>*Opened new block: January  2026 block 17 and March 2026 block 7</t>
  </si>
  <si>
    <t>*January 2026 block 21, February 2026 block 7 and March 2026 block 7  had acut-off</t>
  </si>
  <si>
    <t xml:space="preserve">January 2026 block 21 </t>
  </si>
  <si>
    <t>Computation:  66,903</t>
  </si>
  <si>
    <r>
      <rPr>
        <sz val="11"/>
        <color theme="1"/>
        <rFont val="Calibri"/>
        <charset val="134"/>
        <scheme val="minor"/>
      </rPr>
      <t xml:space="preserve"> net kls of Far east Tare receiving  - 66,903 = 5,397 / 72,300  x 100 =     </t>
    </r>
    <r>
      <rPr>
        <b/>
        <sz val="11"/>
        <color theme="1"/>
        <rFont val="Calibri"/>
        <charset val="134"/>
        <scheme val="minor"/>
      </rPr>
      <t>7.47%</t>
    </r>
  </si>
  <si>
    <t xml:space="preserve">February 2026 block 7 </t>
  </si>
  <si>
    <t>Computation:  11,570 (April  feed) + 3,692 (May feeding) = 15,262</t>
  </si>
  <si>
    <r>
      <rPr>
        <sz val="11"/>
        <color theme="1"/>
        <rFont val="Calibri"/>
        <charset val="134"/>
        <scheme val="minor"/>
      </rPr>
      <t xml:space="preserve"> net kls of Far east Tare receiving  - 15,262 = 2,566 / 17,828  x 100 =     </t>
    </r>
    <r>
      <rPr>
        <b/>
        <sz val="11"/>
        <color theme="1"/>
        <rFont val="Calibri"/>
        <charset val="134"/>
        <scheme val="minor"/>
      </rPr>
      <t>14.39%</t>
    </r>
  </si>
  <si>
    <r>
      <rPr>
        <sz val="11"/>
        <color theme="1"/>
        <rFont val="Calibri"/>
        <charset val="134"/>
        <scheme val="minor"/>
      </rPr>
      <t xml:space="preserve"> net kls of Far east Tare receiving  - 15,262 = -594 / 14,668  x 100 =     </t>
    </r>
    <r>
      <rPr>
        <b/>
        <sz val="11"/>
        <color theme="1"/>
        <rFont val="Calibri"/>
        <charset val="134"/>
        <scheme val="minor"/>
      </rPr>
      <t>-4.05%</t>
    </r>
  </si>
  <si>
    <t xml:space="preserve">March  2026 block 7 </t>
  </si>
  <si>
    <t>Computation:  7,494</t>
  </si>
  <si>
    <r>
      <rPr>
        <sz val="11"/>
        <color theme="1"/>
        <rFont val="Calibri"/>
        <charset val="134"/>
        <scheme val="minor"/>
      </rPr>
      <t xml:space="preserve"> net kls of Far east Tare receiving  - 7,494 = 1,794 / 9,288  x 100 =     </t>
    </r>
    <r>
      <rPr>
        <b/>
        <sz val="11"/>
        <color theme="1"/>
        <rFont val="Calibri"/>
        <charset val="134"/>
        <scheme val="minor"/>
      </rPr>
      <t>19.32%</t>
    </r>
  </si>
  <si>
    <r>
      <rPr>
        <sz val="11"/>
        <color theme="1"/>
        <rFont val="Calibri"/>
        <charset val="134"/>
        <scheme val="minor"/>
      </rPr>
      <t xml:space="preserve"> net kls of Far east Tare receiving  - 7,494 = 272 / 7,766  x 100 =     </t>
    </r>
    <r>
      <rPr>
        <b/>
        <sz val="11"/>
        <color theme="1"/>
        <rFont val="Calibri"/>
        <charset val="134"/>
        <scheme val="minor"/>
      </rPr>
      <t>3,50%</t>
    </r>
  </si>
  <si>
    <t>MAY 13, 2026</t>
  </si>
  <si>
    <t>*Opened new block: January  2026 block 4</t>
  </si>
  <si>
    <t>*March 2026 block 12 had a cut-off</t>
  </si>
  <si>
    <t xml:space="preserve">March  2026 block 12 </t>
  </si>
  <si>
    <t>Computation:  26,995</t>
  </si>
  <si>
    <r>
      <rPr>
        <sz val="11"/>
        <color theme="1"/>
        <rFont val="Calibri"/>
        <charset val="134"/>
        <scheme val="minor"/>
      </rPr>
      <t xml:space="preserve"> net kls of Far east Tare receiving  - 26,995 = 6,877 / 33,872  x 100 =     </t>
    </r>
    <r>
      <rPr>
        <b/>
        <sz val="11"/>
        <color theme="1"/>
        <rFont val="Calibri"/>
        <charset val="134"/>
        <scheme val="minor"/>
      </rPr>
      <t>20.30%</t>
    </r>
  </si>
  <si>
    <r>
      <rPr>
        <sz val="11"/>
        <color theme="1"/>
        <rFont val="Calibri"/>
        <charset val="134"/>
        <scheme val="minor"/>
      </rPr>
      <t xml:space="preserve"> net kls of Far east Tare receiving  - 26,995 = 537 / 27,532  x 100 =     </t>
    </r>
    <r>
      <rPr>
        <b/>
        <sz val="11"/>
        <color theme="1"/>
        <rFont val="Calibri"/>
        <charset val="134"/>
        <scheme val="minor"/>
      </rPr>
      <t>1.95%</t>
    </r>
  </si>
  <si>
    <t>MAY 14, 2026</t>
  </si>
  <si>
    <t>*May 2026 tag-at delivery if feeding area had a cut-off</t>
  </si>
  <si>
    <t>MAY 15, 2026</t>
  </si>
  <si>
    <t>*Opened new block: April 2026 Tag-at Delivery in feeding area and April 2026 block 5</t>
  </si>
  <si>
    <t>*January 2026 block 4 and October 2025 block 9 had acut-off</t>
  </si>
  <si>
    <t xml:space="preserve">January  2026 block 4 </t>
  </si>
  <si>
    <t>Computation:  27,206</t>
  </si>
  <si>
    <r>
      <rPr>
        <sz val="11"/>
        <color theme="1"/>
        <rFont val="Calibri"/>
        <charset val="134"/>
        <scheme val="minor"/>
      </rPr>
      <t xml:space="preserve"> net kls of Far east Tare receiving  - 27,206 = 4,831 / 35,530  x 100 =     </t>
    </r>
    <r>
      <rPr>
        <b/>
        <sz val="11"/>
        <color theme="1"/>
        <rFont val="Calibri"/>
        <charset val="134"/>
        <scheme val="minor"/>
      </rPr>
      <t>16.70%</t>
    </r>
  </si>
  <si>
    <r>
      <rPr>
        <sz val="11"/>
        <color theme="1"/>
        <rFont val="Calibri"/>
        <charset val="134"/>
        <scheme val="minor"/>
      </rPr>
      <t xml:space="preserve"> net kls of Far east Tare receiving  - 26,995 = 537 / 27,532  x 100 =     </t>
    </r>
    <r>
      <rPr>
        <b/>
        <sz val="11"/>
        <color theme="1"/>
        <rFont val="Calibri"/>
        <charset val="134"/>
        <scheme val="minor"/>
      </rPr>
      <t>8.80%</t>
    </r>
  </si>
  <si>
    <t xml:space="preserve">October  2025 block 9 </t>
  </si>
  <si>
    <t>Computation:  52,665 (April  feed) + 12,063 (May feeding) = 64,728</t>
  </si>
  <si>
    <r>
      <rPr>
        <sz val="11"/>
        <color theme="1"/>
        <rFont val="Calibri"/>
        <charset val="134"/>
        <scheme val="minor"/>
      </rPr>
      <t xml:space="preserve"> net kls of Far east Tare receiving  - 64,728 = 7,172 / 71,900  x 100 =     </t>
    </r>
    <r>
      <rPr>
        <b/>
        <sz val="11"/>
        <color theme="1"/>
        <rFont val="Calibri"/>
        <charset val="134"/>
        <scheme val="minor"/>
      </rPr>
      <t>9.98%</t>
    </r>
  </si>
  <si>
    <t>May 19,2026</t>
  </si>
  <si>
    <t xml:space="preserve">*Opened new block : February 2026 Block 23 </t>
  </si>
  <si>
    <t>*May 2026 tag-at delivery feeding area 3 had a cut off</t>
  </si>
  <si>
    <t>* April 2026 block 5 and Jan 2026 block 8 had a cut off</t>
  </si>
  <si>
    <t>APRIL 2026 Block 5</t>
  </si>
  <si>
    <t xml:space="preserve">Computation: 17,997  </t>
  </si>
  <si>
    <r>
      <rPr>
        <sz val="11"/>
        <color theme="1"/>
        <rFont val="Calibri"/>
        <charset val="134"/>
        <scheme val="minor"/>
      </rPr>
      <t>net kilos of Far East Tare receiving -17,997 =253/18,250 x 100 =</t>
    </r>
    <r>
      <rPr>
        <b/>
        <sz val="11"/>
        <color theme="1"/>
        <rFont val="Calibri"/>
        <charset val="134"/>
        <scheme val="minor"/>
      </rPr>
      <t>1.39 %</t>
    </r>
  </si>
  <si>
    <t>JAN 2026 BLOCK 8</t>
  </si>
  <si>
    <t>Computation:  21,094</t>
  </si>
  <si>
    <r>
      <rPr>
        <sz val="11"/>
        <color theme="1"/>
        <rFont val="Calibri"/>
        <charset val="134"/>
        <scheme val="minor"/>
      </rPr>
      <t xml:space="preserve"> net kls of Far east Tare receiving  - 21,094 = 3,617 / 24,711  x 100 = </t>
    </r>
    <r>
      <rPr>
        <b/>
        <sz val="11"/>
        <color theme="1"/>
        <rFont val="Calibri"/>
        <charset val="134"/>
        <scheme val="minor"/>
      </rPr>
      <t>14.64 %</t>
    </r>
  </si>
  <si>
    <r>
      <rPr>
        <sz val="11"/>
        <color theme="1"/>
        <rFont val="Calibri"/>
        <charset val="134"/>
        <scheme val="minor"/>
      </rPr>
      <t xml:space="preserve">net kls of Far East Tare receiving -21,094 = -1,017/20,077x100 = </t>
    </r>
    <r>
      <rPr>
        <b/>
        <sz val="11"/>
        <color theme="1"/>
        <rFont val="Calibri"/>
        <charset val="134"/>
        <scheme val="minor"/>
      </rPr>
      <t>-5.07 %</t>
    </r>
  </si>
  <si>
    <t>May 20,2026</t>
  </si>
  <si>
    <t>*February 2026 block 23 had acut-off</t>
  </si>
  <si>
    <r>
      <rPr>
        <sz val="11"/>
        <color theme="1"/>
        <rFont val="Calibri"/>
        <charset val="134"/>
        <scheme val="minor"/>
      </rPr>
      <t xml:space="preserve">*The difference percentage from Czarina,Titus and Far-East :       </t>
    </r>
    <r>
      <rPr>
        <b/>
        <sz val="11"/>
        <color theme="1"/>
        <rFont val="Calibri"/>
        <charset val="134"/>
        <scheme val="minor"/>
      </rPr>
      <t>.32%</t>
    </r>
  </si>
  <si>
    <t>May 22,2026</t>
  </si>
  <si>
    <t>*May 2026 Tag-at delivery feeding area 4 had a cut off</t>
  </si>
  <si>
    <t xml:space="preserve">Computation: 45,596  </t>
  </si>
  <si>
    <r>
      <rPr>
        <sz val="11"/>
        <color theme="1"/>
        <rFont val="Calibri"/>
        <charset val="134"/>
        <scheme val="minor"/>
      </rPr>
      <t xml:space="preserve">NET KILOS OF FAR EAST TARE RECEIVING - 45,596 = 1,009/46,605 x 100 = </t>
    </r>
    <r>
      <rPr>
        <b/>
        <sz val="11"/>
        <color theme="1"/>
        <rFont val="Calibri"/>
        <charset val="134"/>
        <scheme val="minor"/>
      </rPr>
      <t>2.17 %</t>
    </r>
  </si>
  <si>
    <t>May 23,2026</t>
  </si>
  <si>
    <r>
      <rPr>
        <sz val="11"/>
        <color theme="1"/>
        <rFont val="Calibri"/>
        <charset val="134"/>
        <scheme val="minor"/>
      </rPr>
      <t xml:space="preserve">*Opened new block : </t>
    </r>
    <r>
      <rPr>
        <b/>
        <sz val="11"/>
        <color theme="1"/>
        <rFont val="Calibri"/>
        <charset val="134"/>
        <scheme val="minor"/>
      </rPr>
      <t xml:space="preserve">May 2026 tag at delivery feeding area #5 </t>
    </r>
    <r>
      <rPr>
        <sz val="11"/>
        <color theme="1"/>
        <rFont val="Calibri"/>
        <charset val="134"/>
        <scheme val="minor"/>
      </rPr>
      <t>and</t>
    </r>
    <r>
      <rPr>
        <b/>
        <sz val="11"/>
        <color theme="1"/>
        <rFont val="Calibri"/>
        <charset val="134"/>
        <scheme val="minor"/>
      </rPr>
      <t xml:space="preserve"> March 2026 Block #3</t>
    </r>
  </si>
  <si>
    <t>May 25,2026</t>
  </si>
  <si>
    <t>*May 2026 Tag-at delivery feeding area 5 had a cut off</t>
  </si>
  <si>
    <t>May 26,2026</t>
  </si>
  <si>
    <r>
      <rPr>
        <sz val="11"/>
        <color theme="1"/>
        <rFont val="Calibri"/>
        <charset val="134"/>
        <scheme val="minor"/>
      </rPr>
      <t xml:space="preserve">*Opened new block : </t>
    </r>
    <r>
      <rPr>
        <b/>
        <sz val="11"/>
        <color theme="1"/>
        <rFont val="Calibri"/>
        <charset val="134"/>
        <scheme val="minor"/>
      </rPr>
      <t xml:space="preserve">MARCH 2026 BLOCK 19 </t>
    </r>
    <r>
      <rPr>
        <sz val="11"/>
        <color theme="1"/>
        <rFont val="Calibri"/>
        <charset val="134"/>
        <scheme val="minor"/>
      </rPr>
      <t xml:space="preserve">AND </t>
    </r>
    <r>
      <rPr>
        <b/>
        <sz val="11"/>
        <color theme="1"/>
        <rFont val="Calibri"/>
        <charset val="134"/>
        <scheme val="minor"/>
      </rPr>
      <t>MAY 2026 TAG-AT DELIVERY FEEDING AREA 6</t>
    </r>
  </si>
  <si>
    <t>Computation:53,890</t>
  </si>
  <si>
    <r>
      <rPr>
        <sz val="11"/>
        <color theme="1"/>
        <rFont val="Calibri"/>
        <charset val="134"/>
        <scheme val="minor"/>
      </rPr>
      <t xml:space="preserve">NET KILOS OF FAR EAST TARE RECEIVING -53,890 = 3,540/ 57,430 x 100 = </t>
    </r>
    <r>
      <rPr>
        <b/>
        <sz val="11"/>
        <color theme="1"/>
        <rFont val="Calibri"/>
        <charset val="134"/>
        <scheme val="minor"/>
      </rPr>
      <t>6.16 %</t>
    </r>
  </si>
  <si>
    <t xml:space="preserve">Computation: April feeding (1,289) + May feeding ( 57,679) = 58,968 </t>
  </si>
  <si>
    <r>
      <rPr>
        <sz val="11"/>
        <color theme="1"/>
        <rFont val="Calibri"/>
        <charset val="134"/>
        <scheme val="minor"/>
      </rPr>
      <t>NET KILOS OF FAR EAST TARE RECEIVING -58,968 = 5,819/64,787 x 100 =</t>
    </r>
    <r>
      <rPr>
        <b/>
        <sz val="11"/>
        <color theme="1"/>
        <rFont val="Calibri"/>
        <charset val="134"/>
        <scheme val="minor"/>
      </rPr>
      <t xml:space="preserve"> 8.98 %</t>
    </r>
  </si>
  <si>
    <t>May 27,2026</t>
  </si>
  <si>
    <t>*Opened new block : MARCH 2026 BLOCK 6 and NOVEMBER 2024 BLOCK 5</t>
  </si>
  <si>
    <t>*May 2026 Tag-at delivery feeding area 6 had a cut off</t>
  </si>
  <si>
    <t>MARCH 2026 BLOCK 19</t>
  </si>
  <si>
    <t>Computation: 45,200</t>
  </si>
  <si>
    <r>
      <rPr>
        <sz val="11"/>
        <color theme="1"/>
        <rFont val="Calibri"/>
        <charset val="134"/>
        <scheme val="minor"/>
      </rPr>
      <t>NET KILOS OF FAR EAST TARE RECEIVING -45,200 =3,025/48,225 x 100 =</t>
    </r>
    <r>
      <rPr>
        <b/>
        <sz val="11"/>
        <color theme="1"/>
        <rFont val="Calibri"/>
        <charset val="134"/>
        <scheme val="minor"/>
      </rPr>
      <t xml:space="preserve"> 6.27%</t>
    </r>
  </si>
  <si>
    <t>JANUARY 2026 BLOCK 17</t>
  </si>
  <si>
    <t>Computation: 50,709</t>
  </si>
  <si>
    <r>
      <rPr>
        <sz val="11"/>
        <color theme="1"/>
        <rFont val="Calibri"/>
        <charset val="134"/>
        <scheme val="minor"/>
      </rPr>
      <t>NET KILOS OF FAR EAST TARE RECEIVING - 50,709 =3,399/54,108 x 100 =</t>
    </r>
    <r>
      <rPr>
        <b/>
        <sz val="11"/>
        <color theme="1"/>
        <rFont val="Calibri"/>
        <charset val="134"/>
        <scheme val="minor"/>
      </rPr>
      <t xml:space="preserve"> 6.28 %</t>
    </r>
  </si>
  <si>
    <t>May 28,2026</t>
  </si>
  <si>
    <r>
      <rPr>
        <sz val="11"/>
        <color theme="1"/>
        <rFont val="Calibri"/>
        <charset val="134"/>
        <scheme val="minor"/>
      </rPr>
      <t>*Opened new block :</t>
    </r>
    <r>
      <rPr>
        <b/>
        <sz val="11"/>
        <color theme="1"/>
        <rFont val="Calibri"/>
        <charset val="134"/>
        <scheme val="minor"/>
      </rPr>
      <t xml:space="preserve"> JANUARY 2026 BLOCK 10</t>
    </r>
  </si>
  <si>
    <t>Computation: 46,843</t>
  </si>
  <si>
    <r>
      <rPr>
        <sz val="11"/>
        <color theme="1"/>
        <rFont val="Calibri"/>
        <charset val="134"/>
        <scheme val="minor"/>
      </rPr>
      <t xml:space="preserve">NET KILOS OF FAR EAST TARE RECEIVING - 46,843 =1,518/48,361 x 100 = </t>
    </r>
    <r>
      <rPr>
        <b/>
        <sz val="11"/>
        <color theme="1"/>
        <rFont val="Calibri"/>
        <charset val="134"/>
        <scheme val="minor"/>
      </rPr>
      <t>3.14 %</t>
    </r>
  </si>
  <si>
    <t xml:space="preserve">NOVEMBER 2024 BLOCK 5 </t>
  </si>
  <si>
    <t>Computation:  44,894</t>
  </si>
  <si>
    <r>
      <rPr>
        <sz val="11"/>
        <color theme="1"/>
        <rFont val="Calibri"/>
        <charset val="134"/>
        <scheme val="minor"/>
      </rPr>
      <t>NET KILOS OF FAR EAST TARE RECEIVING - 44,894 = 15,288/60,182 x 100 =</t>
    </r>
    <r>
      <rPr>
        <b/>
        <sz val="11"/>
        <color theme="1"/>
        <rFont val="Calibri"/>
        <charset val="134"/>
        <scheme val="minor"/>
      </rPr>
      <t xml:space="preserve"> 25.40 %</t>
    </r>
  </si>
  <si>
    <t xml:space="preserve">Computation: 44,894  </t>
  </si>
  <si>
    <r>
      <rPr>
        <sz val="11"/>
        <color theme="1"/>
        <rFont val="Calibri"/>
        <charset val="134"/>
        <scheme val="minor"/>
      </rPr>
      <t xml:space="preserve">NET KILOS OF FAR EAST TARE RECEIVING - 44,894 = 810 /45,704 x 100 = </t>
    </r>
    <r>
      <rPr>
        <b/>
        <sz val="11"/>
        <color theme="1"/>
        <rFont val="Calibri"/>
        <charset val="134"/>
        <scheme val="minor"/>
      </rPr>
      <t>1.78 %</t>
    </r>
  </si>
  <si>
    <t>JUNE 2025</t>
  </si>
  <si>
    <t xml:space="preserve">(4X8)  RS 5 </t>
  </si>
  <si>
    <t>RAW CHARCOAL DELIVERY OF 2025 AND 2026</t>
  </si>
  <si>
    <t xml:space="preserve">DONE </t>
  </si>
  <si>
    <t>MARCH 2026 BLOCK 16</t>
  </si>
  <si>
    <t>D-11A</t>
  </si>
  <si>
    <t>MAY 2026 BLOCK 11</t>
  </si>
  <si>
    <t>MAY 2026 BLOCK 10</t>
  </si>
  <si>
    <t>JUNE 2026 LLANTO FEEDING AREA 1</t>
  </si>
  <si>
    <t>JUNE 2026 TAG-AT FEEDING AREA 2</t>
  </si>
  <si>
    <t>MARCH 2026 BLOCK 5</t>
  </si>
  <si>
    <t>D-11B</t>
  </si>
  <si>
    <t>FEBRUARY 2026 BLOCK 28</t>
  </si>
  <si>
    <t>D-11C</t>
  </si>
  <si>
    <t>JUNE 2026 TAG-AT FEEDING AREA 3</t>
  </si>
  <si>
    <t>MARCH 2026 BLOCK 8</t>
  </si>
  <si>
    <t>C-6B</t>
  </si>
  <si>
    <t>FEBRUARY 2026 BLOCK 14</t>
  </si>
  <si>
    <t>D-11D</t>
  </si>
  <si>
    <t>JUNE 2026 TAG-AT FEEDING AREA 4</t>
  </si>
  <si>
    <t>MARCH 2026 BLOCK 9</t>
  </si>
  <si>
    <t>NOT FINISH</t>
  </si>
  <si>
    <t>C-6A</t>
  </si>
  <si>
    <t>JUNE 2026 LLANTO FEEDING AREA 5</t>
  </si>
  <si>
    <t>MARCH 2026 BLOCK 26</t>
  </si>
  <si>
    <t>A-5B</t>
  </si>
  <si>
    <t>JULY 2025 BLOCK 5</t>
  </si>
  <si>
    <t>C-11A</t>
  </si>
  <si>
    <t>JUNE 2026 TAG-AT FEEDING AREA 6</t>
  </si>
  <si>
    <t>MAY 2025 BLOCK 3</t>
  </si>
  <si>
    <t>C-3B</t>
  </si>
  <si>
    <t>NOVEMBER 2025 BLOCK 4</t>
  </si>
  <si>
    <t>D-7A</t>
  </si>
  <si>
    <t>MARCH 2026(BLK 16)</t>
  </si>
  <si>
    <t>June 01,2026</t>
  </si>
  <si>
    <t>*Opened new block : March 2026 block 16</t>
  </si>
  <si>
    <t>June 02,2026</t>
  </si>
  <si>
    <t>*Opened new block: May  2026 block 11</t>
  </si>
  <si>
    <t>*January 2026 block 10 had acut-off</t>
  </si>
  <si>
    <t xml:space="preserve">January 2026 block 10 </t>
  </si>
  <si>
    <t>Computation:  15,868 (May  feed) + 43,810 (June feeding) = 59,678</t>
  </si>
  <si>
    <r>
      <rPr>
        <sz val="11"/>
        <color theme="1"/>
        <rFont val="Calibri"/>
        <charset val="134"/>
        <scheme val="minor"/>
      </rPr>
      <t xml:space="preserve"> net kls of Far east Tare receiving  - 59,678 = 2,918 / 62,596  x 100 =     </t>
    </r>
    <r>
      <rPr>
        <b/>
        <sz val="11"/>
        <color theme="1"/>
        <rFont val="Calibri"/>
        <charset val="134"/>
        <scheme val="minor"/>
      </rPr>
      <t>4.66%</t>
    </r>
  </si>
  <si>
    <t>June 03,2026</t>
  </si>
  <si>
    <t>*March 2026 block 16 had cut-off</t>
  </si>
  <si>
    <t>Computation: 54,427</t>
  </si>
  <si>
    <r>
      <rPr>
        <sz val="11"/>
        <color theme="1"/>
        <rFont val="Calibri"/>
        <charset val="134"/>
        <scheme val="minor"/>
      </rPr>
      <t xml:space="preserve"> net kls of Far east Tare receiving     54,427  = 4,148 / 58,575  x 100 =     </t>
    </r>
    <r>
      <rPr>
        <b/>
        <sz val="11"/>
        <color theme="1"/>
        <rFont val="Calibri"/>
        <charset val="134"/>
        <scheme val="minor"/>
      </rPr>
      <t>7.08%</t>
    </r>
  </si>
  <si>
    <t>June 04,2026</t>
  </si>
  <si>
    <t>*Opened new block: May  2026 block 10 and Llanto delivery in feeding area</t>
  </si>
  <si>
    <t>*May 2026 block 11 had a cut-off</t>
  </si>
  <si>
    <r>
      <rPr>
        <sz val="11"/>
        <color theme="1"/>
        <rFont val="Calibri"/>
        <charset val="134"/>
        <scheme val="minor"/>
      </rPr>
      <t xml:space="preserve">*The difference percentage from Czarina,Titus and Far-East :   </t>
    </r>
    <r>
      <rPr>
        <b/>
        <sz val="11"/>
        <color theme="1"/>
        <rFont val="Calibri"/>
        <charset val="134"/>
        <scheme val="minor"/>
      </rPr>
      <t>3.28%</t>
    </r>
  </si>
  <si>
    <t>June 09,2026</t>
  </si>
  <si>
    <t xml:space="preserve">*Opened new block: June  2026 tag-at delivery in feeding area </t>
  </si>
  <si>
    <t>*JUne 2026 Llanto delivery in Feeding area had a cut-off</t>
  </si>
  <si>
    <t>June 10,2026</t>
  </si>
  <si>
    <t>*Opened new block : March 2026 block 5</t>
  </si>
  <si>
    <t>*May 2026 block 10 had a cut-off</t>
  </si>
  <si>
    <r>
      <rPr>
        <sz val="11"/>
        <color theme="1"/>
        <rFont val="Calibri"/>
        <charset val="134"/>
        <scheme val="minor"/>
      </rPr>
      <t>*The difference percentage from Czarina,Titus and Far-East :</t>
    </r>
    <r>
      <rPr>
        <b/>
        <sz val="11"/>
        <color theme="1"/>
        <rFont val="Calibri"/>
        <charset val="134"/>
        <scheme val="minor"/>
      </rPr>
      <t xml:space="preserve"> 3.17%</t>
    </r>
  </si>
  <si>
    <t>June 11,2026</t>
  </si>
  <si>
    <t>*March 2026 block 5 and June 2026 feeding area had cut-off</t>
  </si>
  <si>
    <t>Computation:  61,015</t>
  </si>
  <si>
    <r>
      <rPr>
        <sz val="11"/>
        <color theme="1"/>
        <rFont val="Calibri"/>
        <charset val="134"/>
        <scheme val="minor"/>
      </rPr>
      <t xml:space="preserve"> net kls of Far east Tare receiving     61,015  = 4,748 / 65,763  x 100 =     </t>
    </r>
    <r>
      <rPr>
        <b/>
        <sz val="11"/>
        <color theme="1"/>
        <rFont val="Calibri"/>
        <charset val="134"/>
        <scheme val="minor"/>
      </rPr>
      <t>7.22%</t>
    </r>
  </si>
  <si>
    <t>June 12,2026</t>
  </si>
  <si>
    <t>*Opened new block: FEBRUARY  2026 block 28 , June delivery of Tag-at in feeding area and March 2026 block 8</t>
  </si>
  <si>
    <t>*February 2026 block 28 had a cut-off</t>
  </si>
  <si>
    <t>*The difference percentage from Czarina,Titus and Far-East : 7.73%</t>
  </si>
  <si>
    <t>Computation:  48,656</t>
  </si>
  <si>
    <r>
      <rPr>
        <sz val="11"/>
        <color theme="1"/>
        <rFont val="Calibri"/>
        <charset val="134"/>
        <scheme val="minor"/>
      </rPr>
      <t xml:space="preserve"> net kls of Far east Tare receiving     48,656  = 4,074 / 52,730  x 100 =     </t>
    </r>
    <r>
      <rPr>
        <b/>
        <sz val="11"/>
        <color theme="1"/>
        <rFont val="Calibri"/>
        <charset val="134"/>
        <scheme val="minor"/>
      </rPr>
      <t>7.73%</t>
    </r>
  </si>
  <si>
    <t>June 15,2026</t>
  </si>
  <si>
    <t>*Opened new block : February 2026 block 14</t>
  </si>
  <si>
    <t>*June 2026 Tag-at delivery in Feeding area had a cut-off</t>
  </si>
  <si>
    <t>June 18,2026</t>
  </si>
  <si>
    <t>*March 2026 block 8 and June 2026 Tag-at delivery had cut-off</t>
  </si>
  <si>
    <r>
      <rPr>
        <b/>
        <sz val="11"/>
        <color theme="1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>The difference percentage from Czarina,Titus and Far-East :   1.21%</t>
    </r>
  </si>
  <si>
    <t>June 19,2026</t>
  </si>
  <si>
    <t>*Opened new block : March 2026 block 9 and June 2026 LLanto feeding area</t>
  </si>
  <si>
    <t>June 20,2026</t>
  </si>
  <si>
    <t>*Opened new block : March 2026 block 26 and July 2025 block 5</t>
  </si>
  <si>
    <t>*February 2026 block 14 had a cut-off</t>
  </si>
  <si>
    <t>*The difference percentage from Czarina,Titus and Far-East :   4.62%</t>
  </si>
  <si>
    <t>June 22,2026</t>
  </si>
  <si>
    <t>June 23,2026</t>
  </si>
  <si>
    <t>*Opened new block : June 2026 Tag-at feeding area</t>
  </si>
  <si>
    <t>June 24,2026</t>
  </si>
  <si>
    <t>*Opened new block : may 2025 block 3</t>
  </si>
  <si>
    <t xml:space="preserve">*July 2025 block 5 and June 2026 Tag--at delivery in feeding area had a cut-off </t>
  </si>
  <si>
    <t>*The difference percentage from Czarina,Titus and Far-East :   .83%</t>
  </si>
  <si>
    <t>June 26,2026</t>
  </si>
  <si>
    <t>*Opened new block : November 2025 block 4</t>
  </si>
  <si>
    <t>*May 2025 block 3 had a cut-off</t>
  </si>
  <si>
    <t>*The difference percentage from Czarina,Titus and Far-East :   .61%</t>
  </si>
  <si>
    <t>June 29,2026</t>
  </si>
  <si>
    <t>*November 2025 block 4 had a cut-off</t>
  </si>
  <si>
    <r>
      <rPr>
        <sz val="11"/>
        <color theme="1"/>
        <rFont val="Calibri"/>
        <charset val="134"/>
        <scheme val="minor"/>
      </rPr>
      <t>*The difference percentage from Czarina,Titus and Far-East :   5</t>
    </r>
    <r>
      <rPr>
        <b/>
        <sz val="11"/>
        <color theme="1"/>
        <rFont val="Calibri"/>
        <charset val="134"/>
        <scheme val="minor"/>
      </rPr>
      <t>.56%</t>
    </r>
  </si>
  <si>
    <t>Computation:  65,954</t>
  </si>
  <si>
    <t xml:space="preserve"> net kls of Far east Tare receiving     65,954  = 3,881 / 69,835  x 100 =     5.56%</t>
  </si>
  <si>
    <t>JULY 2025</t>
  </si>
  <si>
    <t>JULY 2025 BLOCK 9</t>
  </si>
  <si>
    <t>C-11B</t>
  </si>
  <si>
    <t>OCTOBER 2025 BLOCK 25</t>
  </si>
  <si>
    <t>D-7B</t>
  </si>
  <si>
    <t>FEBRUARY 2026 BLOCK 4</t>
  </si>
  <si>
    <t>A-7C</t>
  </si>
  <si>
    <t xml:space="preserve">JUNE 2026  TAG-AT  FEEDING AREA </t>
  </si>
  <si>
    <t>June 30,2026</t>
  </si>
  <si>
    <t>*Opened new block  July 2025 block 9, October 2025 block 25 and February 2026 block 4</t>
  </si>
  <si>
    <t>*March 2026 block 9 had a cut-off</t>
  </si>
  <si>
    <r>
      <rPr>
        <sz val="11"/>
        <color theme="1"/>
        <rFont val="Calibri"/>
        <charset val="134"/>
        <scheme val="minor"/>
      </rPr>
      <t>*The difference from Czarina, Titus and Far-east :</t>
    </r>
    <r>
      <rPr>
        <b/>
        <sz val="11"/>
        <color theme="1"/>
        <rFont val="Calibri"/>
        <charset val="134"/>
        <scheme val="minor"/>
      </rPr>
      <t xml:space="preserve"> 3.46%</t>
    </r>
  </si>
  <si>
    <t>Computation: 52,864 (June feeding) + 1,414 (July feeding) = 54,278</t>
  </si>
  <si>
    <r>
      <rPr>
        <sz val="11"/>
        <color theme="1"/>
        <rFont val="Calibri"/>
        <charset val="134"/>
        <scheme val="minor"/>
      </rPr>
      <t xml:space="preserve">net kilos  of FarEast - 54,278 = 1,945 / 56,223 x 100 = </t>
    </r>
    <r>
      <rPr>
        <b/>
        <sz val="11"/>
        <color theme="1"/>
        <rFont val="Calibri"/>
        <charset val="134"/>
        <scheme val="minor"/>
      </rPr>
      <t>3.46%</t>
    </r>
    <r>
      <rPr>
        <sz val="11"/>
        <color theme="1"/>
        <rFont val="Calibri"/>
        <charset val="134"/>
        <scheme val="minor"/>
      </rPr>
      <t xml:space="preserve"> </t>
    </r>
  </si>
  <si>
    <t>JuLY 1,2026</t>
  </si>
  <si>
    <t>*oPened new block:  June 2026 Tag-at delivery in feeding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</si>
</sst>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  <numFmt numFmtId="177" formatCode="dd\-mmm\-yy"/>
    <numFmt numFmtId="178" formatCode="_(* #,##0_);_(* \(#,##0\);_(* &quot;-&quot;??_);_(@_)"/>
    <numFmt numFmtId="179" formatCode="_(* #,##0.00_);_(* \(#,##0.00\);_(* &quot;-&quot;??_);_(@_)"/>
    <numFmt numFmtId="180" formatCode="dd\-mmm"/>
    <numFmt numFmtId="181" formatCode="_-* #,##0_-;\-* #,##0_-;_-* &quot;-&quot;??_-;_-@_-"/>
    <numFmt numFmtId="182" formatCode="_-* #,##0.0000_-;\-* #,##0.0000_-;_-* &quot;-&quot;??_-;_-@_-"/>
    <numFmt numFmtId="183" formatCode="_(* #,##0.00_);_(* \(#,##0.00\);_(* &quot;-&quot;??.00_);_(@_)"/>
  </numFmts>
  <fonts count="4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b/>
      <sz val="11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8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rgb="FFC00000"/>
      <name val="Calibri"/>
      <charset val="134"/>
      <scheme val="minor"/>
    </font>
    <font>
      <b/>
      <sz val="9"/>
      <color rgb="FF0070C0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4" borderId="2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5" borderId="24" applyNumberFormat="0" applyAlignment="0" applyProtection="0">
      <alignment vertical="center"/>
    </xf>
    <xf numFmtId="0" fontId="32" fillId="16" borderId="25" applyNumberFormat="0" applyAlignment="0" applyProtection="0">
      <alignment vertical="center"/>
    </xf>
    <xf numFmtId="0" fontId="33" fillId="16" borderId="24" applyNumberFormat="0" applyAlignment="0" applyProtection="0">
      <alignment vertical="center"/>
    </xf>
    <xf numFmtId="0" fontId="34" fillId="17" borderId="26" applyNumberFormat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5" fillId="0" borderId="0"/>
  </cellStyleXfs>
  <cellXfs count="235">
    <xf numFmtId="0" fontId="0" fillId="0" borderId="0" xfId="0">
      <alignment vertical="center"/>
    </xf>
    <xf numFmtId="176" fontId="1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2" xfId="0" applyFont="1" applyFill="1" applyBorder="1" applyAlignment="1"/>
    <xf numFmtId="0" fontId="2" fillId="0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/>
    <xf numFmtId="0" fontId="2" fillId="0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1" fillId="0" borderId="3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0" borderId="3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177" fontId="4" fillId="0" borderId="1" xfId="0" applyNumberFormat="1" applyFont="1" applyFill="1" applyBorder="1" applyAlignment="1">
      <alignment horizontal="center"/>
    </xf>
    <xf numFmtId="178" fontId="4" fillId="0" borderId="4" xfId="1" applyNumberFormat="1" applyFont="1" applyFill="1" applyBorder="1" applyAlignment="1"/>
    <xf numFmtId="178" fontId="4" fillId="0" borderId="1" xfId="1" applyNumberFormat="1" applyFont="1" applyFill="1" applyBorder="1" applyAlignment="1">
      <alignment horizontal="center"/>
    </xf>
    <xf numFmtId="178" fontId="4" fillId="0" borderId="2" xfId="1" applyNumberFormat="1" applyFont="1" applyFill="1" applyBorder="1" applyAlignment="1">
      <alignment horizontal="center"/>
    </xf>
    <xf numFmtId="178" fontId="4" fillId="0" borderId="2" xfId="1" applyNumberFormat="1" applyFont="1" applyFill="1" applyBorder="1" applyAlignment="1"/>
    <xf numFmtId="178" fontId="4" fillId="0" borderId="5" xfId="1" applyNumberFormat="1" applyFont="1" applyFill="1" applyBorder="1" applyAlignment="1"/>
    <xf numFmtId="0" fontId="0" fillId="0" borderId="2" xfId="0" applyFont="1" applyFill="1" applyBorder="1" applyAlignment="1"/>
    <xf numFmtId="43" fontId="0" fillId="0" borderId="5" xfId="1" applyFont="1" applyFill="1" applyBorder="1" applyAlignment="1"/>
    <xf numFmtId="179" fontId="0" fillId="0" borderId="2" xfId="0" applyNumberFormat="1" applyFill="1" applyBorder="1" applyAlignment="1"/>
    <xf numFmtId="0" fontId="0" fillId="0" borderId="0" xfId="0" applyFont="1" applyFill="1" applyBorder="1" applyAlignment="1"/>
    <xf numFmtId="180" fontId="5" fillId="0" borderId="2" xfId="49" applyNumberFormat="1" applyFont="1" applyFill="1" applyBorder="1" applyAlignment="1">
      <alignment horizontal="center"/>
    </xf>
    <xf numFmtId="181" fontId="0" fillId="0" borderId="5" xfId="1" applyNumberFormat="1" applyFont="1" applyBorder="1">
      <alignment vertical="center"/>
    </xf>
    <xf numFmtId="178" fontId="4" fillId="0" borderId="5" xfId="1" applyNumberFormat="1" applyFont="1" applyFill="1" applyBorder="1" applyAlignment="1">
      <alignment horizontal="center"/>
    </xf>
    <xf numFmtId="178" fontId="4" fillId="0" borderId="2" xfId="1" applyNumberFormat="1" applyFont="1" applyFill="1" applyBorder="1" applyAlignment="1">
      <alignment horizontal="center" vertical="center"/>
    </xf>
    <xf numFmtId="177" fontId="4" fillId="0" borderId="5" xfId="0" applyNumberFormat="1" applyFont="1" applyFill="1" applyBorder="1" applyAlignment="1">
      <alignment horizontal="center"/>
    </xf>
    <xf numFmtId="177" fontId="4" fillId="0" borderId="0" xfId="0" applyNumberFormat="1" applyFont="1" applyFill="1" applyBorder="1" applyAlignment="1">
      <alignment horizontal="center"/>
    </xf>
    <xf numFmtId="178" fontId="4" fillId="0" borderId="0" xfId="1" applyNumberFormat="1" applyFont="1" applyBorder="1" applyAlignment="1"/>
    <xf numFmtId="43" fontId="0" fillId="0" borderId="0" xfId="1" applyFont="1" applyBorder="1" applyAlignment="1"/>
    <xf numFmtId="179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1" fillId="0" borderId="6" xfId="0" applyFont="1" applyFill="1" applyBorder="1" applyAlignment="1"/>
    <xf numFmtId="178" fontId="6" fillId="0" borderId="7" xfId="1" applyNumberFormat="1" applyFont="1" applyBorder="1" applyAlignment="1"/>
    <xf numFmtId="178" fontId="6" fillId="3" borderId="7" xfId="1" applyNumberFormat="1" applyFont="1" applyFill="1" applyBorder="1" applyAlignment="1"/>
    <xf numFmtId="179" fontId="7" fillId="5" borderId="7" xfId="0" applyNumberFormat="1" applyFont="1" applyFill="1" applyBorder="1" applyAlignment="1"/>
    <xf numFmtId="179" fontId="7" fillId="5" borderId="8" xfId="0" applyNumberFormat="1" applyFont="1" applyFill="1" applyBorder="1" applyAlignment="1"/>
    <xf numFmtId="179" fontId="7" fillId="0" borderId="0" xfId="0" applyNumberFormat="1" applyFont="1" applyFill="1" applyBorder="1" applyAlignment="1"/>
    <xf numFmtId="179" fontId="7" fillId="0" borderId="0" xfId="0" applyNumberFormat="1" applyFont="1" applyFill="1" applyAlignment="1"/>
    <xf numFmtId="178" fontId="0" fillId="0" borderId="0" xfId="0" applyNumberFormat="1" applyFill="1" applyAlignment="1"/>
    <xf numFmtId="43" fontId="0" fillId="0" borderId="0" xfId="1" applyFont="1" applyFill="1" applyAlignment="1"/>
    <xf numFmtId="43" fontId="0" fillId="0" borderId="0" xfId="0" applyNumberFormat="1" applyFill="1" applyAlignment="1"/>
    <xf numFmtId="182" fontId="0" fillId="0" borderId="0" xfId="0" applyNumberFormat="1" applyFill="1" applyAlignment="1"/>
    <xf numFmtId="0" fontId="1" fillId="0" borderId="0" xfId="0" applyFont="1" applyFill="1" applyAlignment="1"/>
    <xf numFmtId="178" fontId="0" fillId="0" borderId="0" xfId="0" applyNumberFormat="1" applyFont="1" applyFill="1" applyAlignment="1"/>
    <xf numFmtId="183" fontId="0" fillId="0" borderId="0" xfId="0" applyNumberFormat="1" applyFill="1" applyAlignment="1"/>
    <xf numFmtId="179" fontId="0" fillId="0" borderId="0" xfId="0" applyNumberFormat="1" applyFont="1" applyFill="1" applyAlignment="1"/>
    <xf numFmtId="0" fontId="8" fillId="0" borderId="0" xfId="0" applyFont="1" applyFill="1" applyAlignment="1"/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43" fontId="4" fillId="0" borderId="0" xfId="1" applyFont="1" applyFill="1" applyAlignment="1">
      <alignment horizontal="left"/>
    </xf>
    <xf numFmtId="0" fontId="11" fillId="0" borderId="5" xfId="0" applyFont="1" applyFill="1" applyBorder="1" applyAlignment="1">
      <alignment horizontal="center"/>
    </xf>
    <xf numFmtId="41" fontId="9" fillId="0" borderId="2" xfId="1" applyNumberFormat="1" applyFont="1" applyBorder="1" applyAlignment="1">
      <alignment horizontal="center" vertical="center"/>
    </xf>
    <xf numFmtId="41" fontId="9" fillId="0" borderId="12" xfId="1" applyNumberFormat="1" applyFont="1" applyBorder="1" applyAlignment="1">
      <alignment horizontal="center" vertical="center"/>
    </xf>
    <xf numFmtId="178" fontId="12" fillId="0" borderId="12" xfId="1" applyNumberFormat="1" applyFont="1" applyFill="1" applyBorder="1" applyAlignment="1"/>
    <xf numFmtId="178" fontId="13" fillId="0" borderId="12" xfId="1" applyNumberFormat="1" applyFont="1" applyFill="1" applyBorder="1" applyAlignment="1">
      <alignment horizontal="center"/>
    </xf>
    <xf numFmtId="41" fontId="9" fillId="0" borderId="0" xfId="1" applyNumberFormat="1" applyFont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43" fontId="15" fillId="0" borderId="0" xfId="1" applyFont="1" applyFill="1" applyBorder="1" applyAlignment="1">
      <alignment horizontal="center"/>
    </xf>
    <xf numFmtId="41" fontId="9" fillId="0" borderId="3" xfId="1" applyNumberFormat="1" applyFont="1" applyBorder="1" applyAlignment="1">
      <alignment horizontal="center" vertical="center"/>
    </xf>
    <xf numFmtId="41" fontId="9" fillId="0" borderId="13" xfId="1" applyNumberFormat="1" applyFont="1" applyBorder="1" applyAlignment="1">
      <alignment horizontal="center" vertical="center"/>
    </xf>
    <xf numFmtId="178" fontId="12" fillId="0" borderId="13" xfId="1" applyNumberFormat="1" applyFont="1" applyFill="1" applyBorder="1" applyAlignment="1"/>
    <xf numFmtId="178" fontId="13" fillId="0" borderId="13" xfId="1" applyNumberFormat="1" applyFont="1" applyFill="1" applyBorder="1" applyAlignment="1">
      <alignment horizontal="center"/>
    </xf>
    <xf numFmtId="43" fontId="4" fillId="0" borderId="0" xfId="1" applyFont="1" applyFill="1" applyAlignment="1"/>
    <xf numFmtId="178" fontId="16" fillId="0" borderId="3" xfId="1" applyNumberFormat="1" applyFont="1" applyBorder="1" applyAlignment="1"/>
    <xf numFmtId="178" fontId="17" fillId="0" borderId="3" xfId="1" applyNumberFormat="1" applyFont="1" applyFill="1" applyBorder="1" applyAlignment="1"/>
    <xf numFmtId="0" fontId="4" fillId="0" borderId="13" xfId="0" applyFont="1" applyFill="1" applyBorder="1" applyAlignment="1"/>
    <xf numFmtId="0" fontId="4" fillId="0" borderId="0" xfId="0" applyFont="1" applyFill="1" applyAlignment="1"/>
    <xf numFmtId="0" fontId="1" fillId="0" borderId="11" xfId="0" applyFont="1" applyFill="1" applyBorder="1" applyAlignment="1"/>
    <xf numFmtId="10" fontId="16" fillId="0" borderId="11" xfId="1" applyNumberFormat="1" applyFont="1" applyBorder="1" applyAlignment="1">
      <alignment horizontal="center"/>
    </xf>
    <xf numFmtId="178" fontId="9" fillId="0" borderId="11" xfId="1" applyNumberFormat="1" applyFont="1" applyBorder="1" applyAlignment="1"/>
    <xf numFmtId="10" fontId="13" fillId="0" borderId="11" xfId="0" applyNumberFormat="1" applyFont="1" applyFill="1" applyBorder="1" applyAlignment="1">
      <alignment horizontal="center"/>
    </xf>
    <xf numFmtId="0" fontId="18" fillId="0" borderId="3" xfId="0" applyFont="1" applyFill="1" applyBorder="1" applyAlignment="1"/>
    <xf numFmtId="0" fontId="1" fillId="0" borderId="0" xfId="0" applyFont="1" applyFill="1" applyBorder="1" applyAlignment="1"/>
    <xf numFmtId="10" fontId="16" fillId="0" borderId="0" xfId="1" applyNumberFormat="1" applyFont="1" applyBorder="1" applyAlignment="1">
      <alignment horizontal="center"/>
    </xf>
    <xf numFmtId="178" fontId="9" fillId="0" borderId="0" xfId="1" applyNumberFormat="1" applyFont="1" applyBorder="1" applyAlignment="1"/>
    <xf numFmtId="10" fontId="13" fillId="0" borderId="0" xfId="0" applyNumberFormat="1" applyFont="1" applyFill="1" applyBorder="1" applyAlignment="1">
      <alignment horizontal="center"/>
    </xf>
    <xf numFmtId="0" fontId="18" fillId="0" borderId="0" xfId="0" applyFont="1" applyFill="1" applyBorder="1" applyAlignment="1"/>
    <xf numFmtId="0" fontId="0" fillId="0" borderId="14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178" fontId="12" fillId="0" borderId="12" xfId="1" applyNumberFormat="1" applyFont="1" applyFill="1" applyBorder="1" applyAlignment="1">
      <alignment horizontal="center"/>
    </xf>
    <xf numFmtId="178" fontId="9" fillId="0" borderId="2" xfId="1" applyNumberFormat="1" applyFont="1" applyFill="1" applyBorder="1" applyAlignment="1"/>
    <xf numFmtId="178" fontId="9" fillId="0" borderId="2" xfId="1" applyNumberFormat="1" applyFont="1" applyFill="1" applyBorder="1" applyAlignment="1">
      <alignment horizontal="center"/>
    </xf>
    <xf numFmtId="178" fontId="10" fillId="0" borderId="2" xfId="1" applyNumberFormat="1" applyFont="1" applyFill="1" applyBorder="1" applyAlignment="1"/>
    <xf numFmtId="178" fontId="9" fillId="0" borderId="12" xfId="1" applyNumberFormat="1" applyFont="1" applyFill="1" applyBorder="1" applyAlignment="1"/>
    <xf numFmtId="178" fontId="18" fillId="0" borderId="2" xfId="1" applyNumberFormat="1" applyFont="1" applyFill="1" applyBorder="1" applyAlignment="1">
      <alignment horizontal="center"/>
    </xf>
    <xf numFmtId="178" fontId="15" fillId="0" borderId="2" xfId="1" applyNumberFormat="1" applyFont="1" applyFill="1" applyBorder="1" applyAlignment="1">
      <alignment horizontal="center"/>
    </xf>
    <xf numFmtId="0" fontId="11" fillId="0" borderId="2" xfId="0" applyFont="1" applyFill="1" applyBorder="1" applyAlignment="1"/>
    <xf numFmtId="178" fontId="2" fillId="0" borderId="16" xfId="1" applyNumberFormat="1" applyFont="1" applyFill="1" applyBorder="1" applyAlignment="1"/>
    <xf numFmtId="178" fontId="9" fillId="0" borderId="16" xfId="1" applyNumberFormat="1" applyFont="1" applyFill="1" applyBorder="1" applyAlignment="1"/>
    <xf numFmtId="178" fontId="9" fillId="0" borderId="16" xfId="1" applyNumberFormat="1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178" fontId="16" fillId="5" borderId="3" xfId="1" applyNumberFormat="1" applyFont="1" applyFill="1" applyBorder="1" applyAlignment="1"/>
    <xf numFmtId="0" fontId="1" fillId="6" borderId="11" xfId="0" applyFont="1" applyFill="1" applyBorder="1" applyAlignment="1"/>
    <xf numFmtId="10" fontId="16" fillId="6" borderId="11" xfId="1" applyNumberFormat="1" applyFont="1" applyFill="1" applyBorder="1" applyAlignment="1">
      <alignment horizontal="center"/>
    </xf>
    <xf numFmtId="178" fontId="9" fillId="6" borderId="11" xfId="1" applyNumberFormat="1" applyFont="1" applyFill="1" applyBorder="1" applyAlignment="1"/>
    <xf numFmtId="10" fontId="13" fillId="6" borderId="11" xfId="0" applyNumberFormat="1" applyFont="1" applyFill="1" applyBorder="1" applyAlignment="1">
      <alignment horizontal="center"/>
    </xf>
    <xf numFmtId="0" fontId="18" fillId="6" borderId="11" xfId="0" applyFont="1" applyFill="1" applyBorder="1" applyAlignment="1"/>
    <xf numFmtId="0" fontId="1" fillId="7" borderId="0" xfId="0" applyFont="1" applyFill="1" applyBorder="1" applyAlignment="1"/>
    <xf numFmtId="10" fontId="9" fillId="0" borderId="0" xfId="1" applyNumberFormat="1" applyFont="1" applyBorder="1" applyAlignment="1">
      <alignment horizontal="center"/>
    </xf>
    <xf numFmtId="0" fontId="14" fillId="0" borderId="0" xfId="0" applyFont="1" applyFill="1" applyAlignment="1"/>
    <xf numFmtId="0" fontId="19" fillId="0" borderId="0" xfId="0" applyFont="1" applyFill="1" applyAlignment="1"/>
    <xf numFmtId="0" fontId="18" fillId="5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center" wrapText="1"/>
    </xf>
    <xf numFmtId="0" fontId="18" fillId="0" borderId="0" xfId="0" applyFont="1" applyFill="1" applyAlignment="1">
      <alignment horizontal="center"/>
    </xf>
    <xf numFmtId="0" fontId="0" fillId="0" borderId="3" xfId="0" applyFont="1" applyFill="1" applyBorder="1" applyAlignment="1">
      <alignment horizontal="center"/>
    </xf>
    <xf numFmtId="3" fontId="18" fillId="5" borderId="3" xfId="0" applyNumberFormat="1" applyFont="1" applyFill="1" applyBorder="1" applyAlignment="1">
      <alignment horizontal="center" wrapText="1"/>
    </xf>
    <xf numFmtId="3" fontId="18" fillId="0" borderId="3" xfId="0" applyNumberFormat="1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181" fontId="0" fillId="0" borderId="0" xfId="1" applyNumberFormat="1" applyFont="1" applyFill="1" applyAlignment="1"/>
    <xf numFmtId="181" fontId="0" fillId="0" borderId="2" xfId="1" applyNumberFormat="1" applyFont="1" applyFill="1" applyBorder="1" applyAlignment="1"/>
    <xf numFmtId="180" fontId="5" fillId="0" borderId="3" xfId="49" applyNumberFormat="1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3" xfId="0" applyFont="1" applyFill="1" applyBorder="1" applyAlignment="1"/>
    <xf numFmtId="178" fontId="14" fillId="0" borderId="3" xfId="1" applyNumberFormat="1" applyFont="1" applyFill="1" applyBorder="1" applyAlignment="1"/>
    <xf numFmtId="178" fontId="14" fillId="0" borderId="0" xfId="1" applyNumberFormat="1" applyFont="1" applyFill="1" applyAlignment="1"/>
    <xf numFmtId="178" fontId="1" fillId="0" borderId="0" xfId="0" applyNumberFormat="1" applyFont="1" applyFill="1" applyAlignment="1"/>
    <xf numFmtId="178" fontId="1" fillId="5" borderId="0" xfId="1" applyNumberFormat="1" applyFont="1" applyFill="1" applyBorder="1" applyAlignment="1"/>
    <xf numFmtId="178" fontId="1" fillId="0" borderId="0" xfId="1" applyNumberFormat="1" applyFont="1" applyFill="1" applyBorder="1" applyAlignment="1"/>
    <xf numFmtId="178" fontId="1" fillId="0" borderId="0" xfId="1" applyNumberFormat="1" applyFont="1" applyFill="1" applyAlignment="1"/>
    <xf numFmtId="0" fontId="20" fillId="8" borderId="0" xfId="0" applyFont="1" applyFill="1" applyAlignment="1">
      <alignment horizontal="center"/>
    </xf>
    <xf numFmtId="0" fontId="0" fillId="0" borderId="0" xfId="0" applyFont="1">
      <alignment vertical="center"/>
    </xf>
    <xf numFmtId="181" fontId="0" fillId="0" borderId="0" xfId="1" applyNumberFormat="1">
      <alignment vertical="center"/>
    </xf>
    <xf numFmtId="178" fontId="4" fillId="0" borderId="12" xfId="1" applyNumberFormat="1" applyFont="1" applyFill="1" applyBorder="1" applyAlignment="1"/>
    <xf numFmtId="3" fontId="18" fillId="5" borderId="3" xfId="0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20" fillId="0" borderId="0" xfId="0" applyFont="1">
      <alignment vertical="center"/>
    </xf>
    <xf numFmtId="181" fontId="1" fillId="0" borderId="0" xfId="1" applyNumberFormat="1" applyFont="1">
      <alignment vertical="center"/>
    </xf>
    <xf numFmtId="181" fontId="1" fillId="0" borderId="0" xfId="1" applyNumberFormat="1" applyFont="1" applyFill="1">
      <alignment vertical="center"/>
    </xf>
    <xf numFmtId="0" fontId="0" fillId="0" borderId="0" xfId="0" applyFont="1" applyFill="1">
      <alignment vertical="center"/>
    </xf>
    <xf numFmtId="181" fontId="0" fillId="0" borderId="0" xfId="1" applyNumberFormat="1" applyFont="1" applyFill="1">
      <alignment vertical="center"/>
    </xf>
    <xf numFmtId="181" fontId="0" fillId="0" borderId="0" xfId="1" applyNumberFormat="1" applyFill="1" applyAlignment="1">
      <alignment horizontal="left" vertical="center"/>
    </xf>
    <xf numFmtId="181" fontId="0" fillId="0" borderId="0" xfId="1" applyNumberFormat="1" applyFill="1">
      <alignment vertical="center"/>
    </xf>
    <xf numFmtId="0" fontId="21" fillId="0" borderId="0" xfId="0" applyFont="1" applyFill="1">
      <alignment vertical="center"/>
    </xf>
    <xf numFmtId="0" fontId="22" fillId="0" borderId="0" xfId="0" applyFont="1" applyFill="1">
      <alignment vertical="center"/>
    </xf>
    <xf numFmtId="181" fontId="0" fillId="0" borderId="0" xfId="1" applyNumberFormat="1" applyFont="1">
      <alignment vertical="center"/>
    </xf>
    <xf numFmtId="181" fontId="0" fillId="0" borderId="0" xfId="1" applyNumberFormat="1" applyAlignment="1">
      <alignment horizontal="left" vertical="center"/>
    </xf>
    <xf numFmtId="0" fontId="1" fillId="0" borderId="0" xfId="0" applyFont="1">
      <alignment vertical="center"/>
    </xf>
    <xf numFmtId="0" fontId="20" fillId="0" borderId="0" xfId="0" applyFont="1" applyFill="1">
      <alignment vertical="center"/>
    </xf>
    <xf numFmtId="3" fontId="1" fillId="0" borderId="0" xfId="0" applyNumberFormat="1" applyFont="1" applyFill="1">
      <alignment vertical="center"/>
    </xf>
    <xf numFmtId="3" fontId="1" fillId="0" borderId="0" xfId="0" applyNumberFormat="1" applyFont="1">
      <alignment vertical="center"/>
    </xf>
    <xf numFmtId="3" fontId="0" fillId="0" borderId="0" xfId="0" applyNumberFormat="1">
      <alignment vertical="center"/>
    </xf>
    <xf numFmtId="178" fontId="4" fillId="0" borderId="17" xfId="1" applyNumberFormat="1" applyFont="1" applyFill="1" applyBorder="1" applyAlignment="1">
      <alignment horizontal="center"/>
    </xf>
    <xf numFmtId="178" fontId="4" fillId="0" borderId="5" xfId="1" applyNumberFormat="1" applyFont="1" applyBorder="1" applyAlignment="1"/>
    <xf numFmtId="178" fontId="4" fillId="0" borderId="2" xfId="1" applyNumberFormat="1" applyFont="1" applyBorder="1" applyAlignment="1"/>
    <xf numFmtId="43" fontId="0" fillId="0" borderId="5" xfId="1" applyFont="1" applyBorder="1" applyAlignment="1"/>
    <xf numFmtId="178" fontId="4" fillId="0" borderId="12" xfId="1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/>
    </xf>
    <xf numFmtId="41" fontId="12" fillId="0" borderId="12" xfId="1" applyNumberFormat="1" applyFont="1" applyBorder="1" applyAlignment="1">
      <alignment horizontal="center" vertical="center"/>
    </xf>
    <xf numFmtId="41" fontId="9" fillId="0" borderId="12" xfId="1" applyNumberFormat="1" applyFont="1" applyFill="1" applyBorder="1" applyAlignment="1">
      <alignment horizontal="center" vertical="center"/>
    </xf>
    <xf numFmtId="41" fontId="9" fillId="0" borderId="0" xfId="1" applyNumberFormat="1" applyFont="1" applyFill="1" applyAlignment="1">
      <alignment horizontal="center" vertical="center"/>
    </xf>
    <xf numFmtId="178" fontId="14" fillId="5" borderId="3" xfId="1" applyNumberFormat="1" applyFont="1" applyFill="1" applyBorder="1" applyAlignment="1"/>
    <xf numFmtId="0" fontId="1" fillId="10" borderId="0" xfId="0" applyFont="1" applyFill="1">
      <alignment vertical="center"/>
    </xf>
    <xf numFmtId="0" fontId="1" fillId="11" borderId="0" xfId="0" applyFont="1" applyFill="1">
      <alignment vertical="center"/>
    </xf>
    <xf numFmtId="0" fontId="0" fillId="8" borderId="0" xfId="0" applyFill="1">
      <alignment vertical="center"/>
    </xf>
    <xf numFmtId="178" fontId="4" fillId="0" borderId="2" xfId="1" applyNumberFormat="1" applyFont="1" applyFill="1" applyBorder="1" applyAlignment="1">
      <alignment vertical="center"/>
    </xf>
    <xf numFmtId="178" fontId="4" fillId="0" borderId="12" xfId="1" applyNumberFormat="1" applyFont="1" applyBorder="1" applyAlignment="1"/>
    <xf numFmtId="0" fontId="1" fillId="12" borderId="0" xfId="0" applyFont="1" applyFill="1" applyAlignment="1">
      <alignment horizontal="left"/>
    </xf>
    <xf numFmtId="0" fontId="20" fillId="1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178" fontId="4" fillId="0" borderId="18" xfId="1" applyNumberFormat="1" applyFont="1" applyBorder="1" applyAlignment="1">
      <alignment horizontal="center" vertical="center" wrapText="1"/>
    </xf>
    <xf numFmtId="178" fontId="4" fillId="0" borderId="18" xfId="1" applyNumberFormat="1" applyFont="1" applyFill="1" applyBorder="1" applyAlignment="1">
      <alignment horizontal="center" vertical="center" wrapText="1"/>
    </xf>
    <xf numFmtId="178" fontId="4" fillId="0" borderId="18" xfId="1" applyNumberFormat="1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43" fontId="0" fillId="0" borderId="0" xfId="1" applyFill="1" applyAlignment="1"/>
    <xf numFmtId="183" fontId="0" fillId="0" borderId="0" xfId="0" applyNumberFormat="1" applyFill="1" applyAlignment="1">
      <alignment vertical="center"/>
    </xf>
    <xf numFmtId="177" fontId="14" fillId="12" borderId="5" xfId="0" applyNumberFormat="1" applyFont="1" applyFill="1" applyBorder="1" applyAlignment="1">
      <alignment horizontal="center"/>
    </xf>
    <xf numFmtId="178" fontId="14" fillId="12" borderId="5" xfId="1" applyNumberFormat="1" applyFont="1" applyFill="1" applyBorder="1" applyAlignment="1"/>
    <xf numFmtId="0" fontId="11" fillId="0" borderId="1" xfId="0" applyFont="1" applyFill="1" applyBorder="1" applyAlignment="1">
      <alignment horizontal="center"/>
    </xf>
    <xf numFmtId="41" fontId="9" fillId="0" borderId="10" xfId="1" applyNumberFormat="1" applyFont="1" applyBorder="1" applyAlignment="1">
      <alignment horizontal="center" vertical="center"/>
    </xf>
    <xf numFmtId="178" fontId="12" fillId="0" borderId="10" xfId="1" applyNumberFormat="1" applyFont="1" applyFill="1" applyBorder="1" applyAlignment="1"/>
    <xf numFmtId="178" fontId="13" fillId="0" borderId="10" xfId="1" applyNumberFormat="1" applyFont="1" applyFill="1" applyBorder="1" applyAlignment="1">
      <alignment horizontal="center"/>
    </xf>
    <xf numFmtId="178" fontId="12" fillId="0" borderId="10" xfId="1" applyNumberFormat="1" applyFont="1" applyFill="1" applyBorder="1" applyAlignment="1">
      <alignment horizontal="center"/>
    </xf>
    <xf numFmtId="41" fontId="9" fillId="0" borderId="4" xfId="1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178" fontId="12" fillId="0" borderId="0" xfId="1" applyNumberFormat="1" applyFont="1" applyFill="1" applyBorder="1" applyAlignment="1">
      <alignment horizontal="center"/>
    </xf>
    <xf numFmtId="178" fontId="12" fillId="0" borderId="0" xfId="1" applyNumberFormat="1" applyFont="1" applyFill="1" applyBorder="1" applyAlignment="1"/>
    <xf numFmtId="178" fontId="13" fillId="0" borderId="0" xfId="1" applyNumberFormat="1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41" fontId="9" fillId="0" borderId="20" xfId="1" applyNumberFormat="1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/>
    </xf>
    <xf numFmtId="41" fontId="9" fillId="12" borderId="13" xfId="1" applyNumberFormat="1" applyFont="1" applyFill="1" applyBorder="1" applyAlignment="1">
      <alignment horizontal="center" vertical="center"/>
    </xf>
    <xf numFmtId="178" fontId="12" fillId="12" borderId="13" xfId="1" applyNumberFormat="1" applyFont="1" applyFill="1" applyBorder="1" applyAlignment="1"/>
    <xf numFmtId="178" fontId="13" fillId="12" borderId="13" xfId="1" applyNumberFormat="1" applyFont="1" applyFill="1" applyBorder="1" applyAlignment="1">
      <alignment horizontal="center"/>
    </xf>
    <xf numFmtId="177" fontId="14" fillId="13" borderId="11" xfId="0" applyNumberFormat="1" applyFont="1" applyFill="1" applyBorder="1" applyAlignment="1">
      <alignment horizontal="center"/>
    </xf>
    <xf numFmtId="41" fontId="9" fillId="13" borderId="13" xfId="1" applyNumberFormat="1" applyFont="1" applyFill="1" applyBorder="1" applyAlignment="1">
      <alignment horizontal="center" vertical="center"/>
    </xf>
    <xf numFmtId="41" fontId="13" fillId="13" borderId="13" xfId="1" applyNumberFormat="1" applyFont="1" applyFill="1" applyBorder="1" applyAlignment="1">
      <alignment horizontal="center" vertical="center"/>
    </xf>
    <xf numFmtId="178" fontId="12" fillId="13" borderId="13" xfId="1" applyNumberFormat="1" applyFont="1" applyFill="1" applyBorder="1" applyAlignment="1"/>
    <xf numFmtId="178" fontId="13" fillId="13" borderId="13" xfId="1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8" fillId="12" borderId="1" xfId="0" applyFont="1" applyFill="1" applyBorder="1" applyAlignment="1">
      <alignment horizontal="center" wrapText="1"/>
    </xf>
    <xf numFmtId="0" fontId="18" fillId="12" borderId="3" xfId="0" applyFont="1" applyFill="1" applyBorder="1" applyAlignment="1">
      <alignment horizontal="center" wrapText="1"/>
    </xf>
    <xf numFmtId="178" fontId="14" fillId="12" borderId="0" xfId="1" applyNumberFormat="1" applyFont="1" applyFill="1" applyAlignment="1"/>
    <xf numFmtId="0" fontId="1" fillId="12" borderId="0" xfId="0" applyFont="1" applyFill="1" applyAlignment="1">
      <alignment vertical="center"/>
    </xf>
    <xf numFmtId="178" fontId="14" fillId="0" borderId="11" xfId="1" applyNumberFormat="1" applyFont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78" fontId="12" fillId="0" borderId="13" xfId="1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76" fontId="1" fillId="0" borderId="0" xfId="0" applyNumberFormat="1" applyFont="1" applyFill="1" applyAlignment="1" quotePrefix="1"/>
    <xf numFmtId="0" fontId="1" fillId="12" borderId="0" xfId="0" applyFont="1" applyFill="1" applyAlignment="1" quotePrefix="1">
      <alignment vertical="center"/>
    </xf>
    <xf numFmtId="0" fontId="1" fillId="0" borderId="0" xfId="0" applyFont="1" applyFill="1" applyAlignment="1" quotePrefix="1">
      <alignment horizontal="left"/>
    </xf>
    <xf numFmtId="0" fontId="1" fillId="12" borderId="0" xfId="0" applyFont="1" applyFill="1" applyAlignment="1" quotePrefix="1">
      <alignment horizontal="left"/>
    </xf>
    <xf numFmtId="0" fontId="20" fillId="12" borderId="0" xfId="0" applyFont="1" applyFill="1" applyAlignment="1" quotePrefix="1">
      <alignment horizontal="left"/>
    </xf>
    <xf numFmtId="0" fontId="1" fillId="10" borderId="0" xfId="0" applyFont="1" applyFill="1" quotePrefix="1">
      <alignment vertical="center"/>
    </xf>
    <xf numFmtId="0" fontId="20" fillId="0" borderId="0" xfId="0" applyFont="1" quotePrefix="1">
      <alignment vertical="center"/>
    </xf>
    <xf numFmtId="0" fontId="1" fillId="11" borderId="0" xfId="0" applyFont="1" applyFill="1" quotePrefix="1">
      <alignment vertical="center"/>
    </xf>
    <xf numFmtId="0" fontId="20" fillId="9" borderId="0" xfId="0" applyFont="1" applyFill="1" applyAlignment="1" quotePrefix="1">
      <alignment horizontal="center"/>
    </xf>
    <xf numFmtId="0" fontId="20" fillId="8" borderId="0" xfId="0" applyFont="1" applyFill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23"/>
  <sheetViews>
    <sheetView topLeftCell="A76" workbookViewId="0">
      <selection activeCell="B72" sqref="B72"/>
    </sheetView>
  </sheetViews>
  <sheetFormatPr defaultColWidth="9.14285714285714" defaultRowHeight="15"/>
  <cols>
    <col min="1" max="1" width="12.1428571428571" customWidth="1"/>
    <col min="2" max="2" width="29" customWidth="1"/>
    <col min="3" max="3" width="13.7142857142857" customWidth="1"/>
    <col min="4" max="4" width="11.8571428571429" customWidth="1"/>
    <col min="5" max="5" width="13.1428571428571" customWidth="1"/>
    <col min="6" max="6" width="12" customWidth="1"/>
    <col min="7" max="7" width="18.5714285714286" customWidth="1"/>
    <col min="8" max="8" width="12.4285714285714" customWidth="1"/>
    <col min="9" max="9" width="11.8571428571429" customWidth="1"/>
    <col min="10" max="10" width="23.7142857142857" customWidth="1"/>
    <col min="13" max="13" width="13" customWidth="1"/>
    <col min="14" max="14" width="12" customWidth="1"/>
    <col min="21" max="21" width="11.1428571428571" customWidth="1"/>
    <col min="22" max="22" width="11.8571428571429" customWidth="1"/>
    <col min="23" max="23" width="12.5714285714286" customWidth="1"/>
    <col min="47" max="47" width="9.14285714285714" customWidth="1"/>
    <col min="48" max="50" width="9.14285714285714" hidden="1" customWidth="1"/>
  </cols>
  <sheetData>
    <row r="1" s="5" customFormat="1" spans="1:48">
      <c r="A1" s="235" t="s">
        <v>0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5" customFormat="1" spans="1:48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="5" customFormat="1" spans="1:48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</row>
    <row r="4" s="5" customFormat="1" spans="1:48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34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</row>
    <row r="5" s="5" customFormat="1" spans="1:48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</row>
    <row r="6" s="5" customFormat="1" spans="1:48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155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</row>
    <row r="7" s="5" customFormat="1" spans="1:48">
      <c r="A7" s="44">
        <v>46024</v>
      </c>
      <c r="B7" s="41">
        <v>20721</v>
      </c>
      <c r="C7" s="34">
        <v>3885</v>
      </c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710</v>
      </c>
      <c r="AA7" s="35">
        <v>26</v>
      </c>
      <c r="AB7" s="33">
        <f t="shared" ref="AB7:AB17" si="0">Z7*AA7</f>
        <v>18460</v>
      </c>
      <c r="AC7" s="155">
        <v>3373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</row>
    <row r="8" s="5" customFormat="1" spans="1:48">
      <c r="A8" s="44">
        <v>46025</v>
      </c>
      <c r="B8" s="41">
        <v>39063</v>
      </c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>
        <v>1085</v>
      </c>
      <c r="AA8" s="35">
        <v>26</v>
      </c>
      <c r="AB8" s="33">
        <f t="shared" si="0"/>
        <v>28210</v>
      </c>
      <c r="AC8" s="43">
        <v>2459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</row>
    <row r="9" s="5" customFormat="1" spans="1:48">
      <c r="A9" s="44">
        <v>46027</v>
      </c>
      <c r="B9" s="41">
        <v>38991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v>1080</v>
      </c>
      <c r="AA9" s="35">
        <v>26</v>
      </c>
      <c r="AB9" s="33">
        <f t="shared" si="0"/>
        <v>28080</v>
      </c>
      <c r="AC9" s="155">
        <v>3327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</row>
    <row r="10" s="5" customFormat="1" spans="1:48">
      <c r="A10" s="44">
        <v>46028</v>
      </c>
      <c r="B10" s="41">
        <v>39768</v>
      </c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>
        <v>1080</v>
      </c>
      <c r="AA10" s="35">
        <v>26</v>
      </c>
      <c r="AB10" s="33">
        <f t="shared" si="0"/>
        <v>28080</v>
      </c>
      <c r="AC10" s="155">
        <v>4047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</row>
    <row r="11" s="5" customFormat="1" spans="1:48">
      <c r="A11" s="44">
        <v>46029</v>
      </c>
      <c r="B11" s="41">
        <v>37786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v>975</v>
      </c>
      <c r="AA11" s="35">
        <v>26</v>
      </c>
      <c r="AB11" s="33">
        <f t="shared" si="0"/>
        <v>25350</v>
      </c>
      <c r="AC11" s="43">
        <v>4858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</row>
    <row r="12" s="5" customFormat="1" spans="1:48">
      <c r="A12" s="44">
        <v>46030</v>
      </c>
      <c r="B12" s="41">
        <v>37647</v>
      </c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>
        <v>1080</v>
      </c>
      <c r="AA12" s="35">
        <v>26</v>
      </c>
      <c r="AB12" s="33">
        <f t="shared" si="0"/>
        <v>28080</v>
      </c>
      <c r="AC12" s="155">
        <v>5027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</row>
    <row r="13" s="5" customFormat="1" spans="1:48">
      <c r="A13" s="44">
        <v>46031</v>
      </c>
      <c r="B13" s="41">
        <v>37213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>
        <v>1085</v>
      </c>
      <c r="AA13" s="35">
        <v>26</v>
      </c>
      <c r="AB13" s="33">
        <f t="shared" si="0"/>
        <v>28210</v>
      </c>
      <c r="AC13" s="43">
        <v>3993</v>
      </c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</row>
    <row r="14" s="5" customFormat="1" spans="1:48">
      <c r="A14" s="44">
        <v>46032</v>
      </c>
      <c r="B14" s="41">
        <v>28858</v>
      </c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>
        <v>1120</v>
      </c>
      <c r="AA14" s="35">
        <v>26</v>
      </c>
      <c r="AB14" s="33">
        <f t="shared" si="0"/>
        <v>29120</v>
      </c>
      <c r="AC14" s="43">
        <v>4149</v>
      </c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</row>
    <row r="15" s="5" customFormat="1" spans="1:48">
      <c r="A15" s="44">
        <v>46034</v>
      </c>
      <c r="B15" s="41">
        <v>37206</v>
      </c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>
        <v>1098</v>
      </c>
      <c r="AA15" s="35">
        <v>26</v>
      </c>
      <c r="AB15" s="33">
        <f t="shared" si="0"/>
        <v>28548</v>
      </c>
      <c r="AC15" s="189">
        <v>4275</v>
      </c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</row>
    <row r="16" s="5" customFormat="1" spans="1:48">
      <c r="A16" s="44">
        <v>46035</v>
      </c>
      <c r="B16" s="41">
        <v>36213</v>
      </c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>
        <v>1050</v>
      </c>
      <c r="AA16" s="35">
        <v>26</v>
      </c>
      <c r="AB16" s="33">
        <f t="shared" si="0"/>
        <v>27300</v>
      </c>
      <c r="AC16" s="189">
        <v>4437</v>
      </c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</row>
    <row r="17" s="5" customFormat="1" spans="1:48">
      <c r="A17" s="44">
        <v>46036</v>
      </c>
      <c r="B17" s="41">
        <v>27120</v>
      </c>
      <c r="C17" s="34"/>
      <c r="D17" s="34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>
        <v>940</v>
      </c>
      <c r="AA17" s="35">
        <v>26</v>
      </c>
      <c r="AB17" s="33">
        <f t="shared" si="0"/>
        <v>24440</v>
      </c>
      <c r="AC17" s="189">
        <v>4532</v>
      </c>
      <c r="AD17" s="36"/>
      <c r="AE17" s="37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</row>
    <row r="18" s="5" customFormat="1" spans="1:48">
      <c r="A18" s="44">
        <v>46037</v>
      </c>
      <c r="B18" s="41">
        <v>28331</v>
      </c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>
        <v>985</v>
      </c>
      <c r="AA18" s="35">
        <v>26</v>
      </c>
      <c r="AB18" s="42">
        <f>AA18*Z18</f>
        <v>25610</v>
      </c>
      <c r="AC18" s="189">
        <v>4390</v>
      </c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</row>
    <row r="19" s="5" customFormat="1" spans="1:48">
      <c r="A19" s="44">
        <v>46038</v>
      </c>
      <c r="B19" s="41">
        <v>35462</v>
      </c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1145</v>
      </c>
      <c r="AA19" s="35">
        <v>26</v>
      </c>
      <c r="AB19" s="42">
        <f t="shared" ref="AB19:AB23" si="1">Z19*AA19</f>
        <v>29770</v>
      </c>
      <c r="AC19" s="180">
        <v>3950</v>
      </c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</row>
    <row r="20" s="5" customFormat="1" spans="1:48">
      <c r="A20" s="44">
        <v>46039</v>
      </c>
      <c r="B20" s="41">
        <v>26111</v>
      </c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1075</v>
      </c>
      <c r="AA20" s="35">
        <v>26</v>
      </c>
      <c r="AB20" s="42">
        <f t="shared" si="1"/>
        <v>27950</v>
      </c>
      <c r="AC20" s="180">
        <v>3518</v>
      </c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</row>
    <row r="21" s="5" customFormat="1" spans="1:48">
      <c r="A21" s="44">
        <v>46041</v>
      </c>
      <c r="B21" s="41">
        <v>42195</v>
      </c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970</v>
      </c>
      <c r="AA21" s="35">
        <v>26</v>
      </c>
      <c r="AB21" s="42">
        <f t="shared" si="1"/>
        <v>25220</v>
      </c>
      <c r="AC21" s="180">
        <v>4571</v>
      </c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</row>
    <row r="22" s="5" customFormat="1" spans="1:48">
      <c r="A22" s="44">
        <v>46042</v>
      </c>
      <c r="B22" s="41">
        <v>34990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>
        <v>1050</v>
      </c>
      <c r="AA22" s="35">
        <v>26</v>
      </c>
      <c r="AB22" s="42">
        <f t="shared" si="1"/>
        <v>27300</v>
      </c>
      <c r="AC22" s="180">
        <v>4278</v>
      </c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</row>
    <row r="23" s="5" customFormat="1" spans="1:48">
      <c r="A23" s="44">
        <v>46043</v>
      </c>
      <c r="B23" s="41">
        <v>33626</v>
      </c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>
        <v>885</v>
      </c>
      <c r="AA23" s="35">
        <v>26</v>
      </c>
      <c r="AB23" s="42">
        <f t="shared" si="1"/>
        <v>23010</v>
      </c>
      <c r="AC23" s="180">
        <v>3770</v>
      </c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</row>
    <row r="24" s="5" customFormat="1" spans="1:48">
      <c r="A24" s="44">
        <v>46044</v>
      </c>
      <c r="B24" s="41">
        <v>29565</v>
      </c>
      <c r="C24" s="34"/>
      <c r="D24" s="34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>
        <v>1040</v>
      </c>
      <c r="AA24" s="35">
        <v>26</v>
      </c>
      <c r="AB24" s="33">
        <f t="shared" ref="AB24:AB33" si="2">AA24*Z24</f>
        <v>27040</v>
      </c>
      <c r="AC24" s="155">
        <v>4041</v>
      </c>
      <c r="AD24" s="36"/>
      <c r="AE24" s="37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</row>
    <row r="25" s="5" customFormat="1" spans="1:48">
      <c r="A25" s="44">
        <v>46045</v>
      </c>
      <c r="B25" s="41">
        <v>25390</v>
      </c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1122</v>
      </c>
      <c r="AA25" s="35">
        <v>26</v>
      </c>
      <c r="AB25" s="33">
        <f t="shared" si="2"/>
        <v>29172</v>
      </c>
      <c r="AC25" s="43">
        <v>4727</v>
      </c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</row>
    <row r="26" s="5" customFormat="1" spans="1:48">
      <c r="A26" s="44">
        <v>46046</v>
      </c>
      <c r="B26" s="41">
        <v>31387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>
        <v>1080</v>
      </c>
      <c r="AA26" s="35">
        <v>26</v>
      </c>
      <c r="AB26" s="33">
        <f t="shared" si="2"/>
        <v>28080</v>
      </c>
      <c r="AC26" s="43">
        <v>5777</v>
      </c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</row>
    <row r="27" s="5" customFormat="1" spans="1:48">
      <c r="A27" s="44">
        <v>46048</v>
      </c>
      <c r="B27" s="41">
        <v>44951</v>
      </c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>
        <v>1095</v>
      </c>
      <c r="AA27" s="35">
        <v>26</v>
      </c>
      <c r="AB27" s="33">
        <f t="shared" si="2"/>
        <v>28470</v>
      </c>
      <c r="AC27" s="43">
        <v>3200</v>
      </c>
      <c r="AD27" s="36"/>
      <c r="AE27" s="37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</row>
    <row r="28" s="5" customFormat="1" spans="1:48">
      <c r="A28" s="44">
        <v>46049</v>
      </c>
      <c r="B28" s="41">
        <v>37331</v>
      </c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>
        <v>975</v>
      </c>
      <c r="AA28" s="35">
        <v>26</v>
      </c>
      <c r="AB28" s="33">
        <f t="shared" si="2"/>
        <v>25350</v>
      </c>
      <c r="AC28" s="43">
        <v>5542</v>
      </c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</row>
    <row r="29" s="5" customFormat="1" spans="1:48">
      <c r="A29" s="44">
        <v>46050</v>
      </c>
      <c r="B29" s="41">
        <v>23200</v>
      </c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>
        <v>1065</v>
      </c>
      <c r="AA29" s="35">
        <v>26</v>
      </c>
      <c r="AB29" s="33">
        <f t="shared" si="2"/>
        <v>27690</v>
      </c>
      <c r="AC29" s="43">
        <v>5032</v>
      </c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</row>
    <row r="30" s="5" customFormat="1" spans="1:48">
      <c r="A30" s="44">
        <v>46051</v>
      </c>
      <c r="B30" s="41">
        <v>27916</v>
      </c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>
        <v>1060</v>
      </c>
      <c r="AA30" s="35">
        <v>26</v>
      </c>
      <c r="AB30" s="33">
        <f t="shared" si="2"/>
        <v>27560</v>
      </c>
      <c r="AC30" s="43">
        <v>4560</v>
      </c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</row>
    <row r="31" s="5" customFormat="1" spans="1:48">
      <c r="A31" s="44">
        <v>46052</v>
      </c>
      <c r="B31" s="41">
        <v>28287</v>
      </c>
      <c r="C31" s="34"/>
      <c r="D31" s="34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>
        <v>982</v>
      </c>
      <c r="AA31" s="35">
        <v>26</v>
      </c>
      <c r="AB31" s="33">
        <f t="shared" si="2"/>
        <v>25532</v>
      </c>
      <c r="AC31" s="43">
        <v>3771</v>
      </c>
      <c r="AD31" s="36"/>
      <c r="AE31" s="37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</row>
    <row r="32" s="5" customFormat="1" spans="1:48">
      <c r="A32" s="44">
        <v>46053</v>
      </c>
      <c r="B32" s="177">
        <v>0</v>
      </c>
      <c r="C32" s="231" t="s">
        <v>54</v>
      </c>
      <c r="D32" s="231"/>
      <c r="E32" s="231"/>
      <c r="F32" s="231"/>
      <c r="G32" s="231"/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190">
        <v>118</v>
      </c>
      <c r="AA32" s="177">
        <v>26</v>
      </c>
      <c r="AB32" s="178">
        <f t="shared" si="2"/>
        <v>3068</v>
      </c>
      <c r="AC32" s="190">
        <v>1561</v>
      </c>
      <c r="AD32" s="36"/>
      <c r="AE32" s="179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</row>
    <row r="33" s="50" customFormat="1" ht="15.75" spans="1:50">
      <c r="A33" s="45">
        <v>46055</v>
      </c>
      <c r="B33" s="46">
        <v>0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>
        <v>492</v>
      </c>
      <c r="AA33" s="46">
        <v>26</v>
      </c>
      <c r="AB33" s="46">
        <f t="shared" si="2"/>
        <v>12792</v>
      </c>
      <c r="AC33" s="46">
        <v>2381</v>
      </c>
      <c r="AD33" s="39"/>
      <c r="AE33" s="47"/>
      <c r="AF33" s="4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49"/>
    </row>
    <row r="34" s="5" customFormat="1" ht="15.75" spans="1:50">
      <c r="A34" s="51" t="s">
        <v>55</v>
      </c>
      <c r="B34" s="52">
        <f>SUM(B6:B31)</f>
        <v>829328</v>
      </c>
      <c r="C34" s="52">
        <f t="shared" ref="B34:N34" si="3">SUM(C6:C31)</f>
        <v>3885</v>
      </c>
      <c r="D34" s="52">
        <f>SUM(D6:D33)</f>
        <v>0</v>
      </c>
      <c r="E34" s="52">
        <f t="shared" si="3"/>
        <v>0</v>
      </c>
      <c r="F34" s="52">
        <f t="shared" si="3"/>
        <v>0</v>
      </c>
      <c r="G34" s="52">
        <f t="shared" si="3"/>
        <v>0</v>
      </c>
      <c r="H34" s="52">
        <f t="shared" si="3"/>
        <v>0</v>
      </c>
      <c r="I34" s="52">
        <f t="shared" si="3"/>
        <v>0</v>
      </c>
      <c r="J34" s="52">
        <f t="shared" si="3"/>
        <v>0</v>
      </c>
      <c r="K34" s="52">
        <f t="shared" si="3"/>
        <v>0</v>
      </c>
      <c r="L34" s="52">
        <f t="shared" si="3"/>
        <v>0</v>
      </c>
      <c r="M34" s="52">
        <f t="shared" si="3"/>
        <v>0</v>
      </c>
      <c r="N34" s="52">
        <f t="shared" si="3"/>
        <v>0</v>
      </c>
      <c r="O34" s="52">
        <f>SUM(O6:O33)</f>
        <v>0</v>
      </c>
      <c r="P34" s="52">
        <f>SUM(P6:P31)</f>
        <v>0</v>
      </c>
      <c r="Q34" s="52">
        <f>SUM(Q6:Q33)</f>
        <v>0</v>
      </c>
      <c r="R34" s="52">
        <f>SUM(R6:R33)</f>
        <v>0</v>
      </c>
      <c r="S34" s="52">
        <f>SUM(S6:S33)</f>
        <v>0</v>
      </c>
      <c r="T34" s="52">
        <f>SUM(T6:T31)</f>
        <v>0</v>
      </c>
      <c r="U34" s="52">
        <f>SUM(U6:U31)</f>
        <v>0</v>
      </c>
      <c r="V34" s="52">
        <f>SUM(V6:V31)</f>
        <v>0</v>
      </c>
      <c r="W34" s="52">
        <f>SUM(W6:W31)</f>
        <v>0</v>
      </c>
      <c r="X34" s="52">
        <f>SUM(X7:X31)</f>
        <v>0</v>
      </c>
      <c r="Y34" s="52">
        <f>SUM(Y6:Y31)</f>
        <v>0</v>
      </c>
      <c r="Z34" s="52">
        <f>SUM(Z6:Z33)</f>
        <v>26442</v>
      </c>
      <c r="AA34" s="52">
        <f>SUM(AA6:AA33)</f>
        <v>702</v>
      </c>
      <c r="AB34" s="53">
        <f>SUM(AB6:AB33)</f>
        <v>687492</v>
      </c>
      <c r="AC34" s="53">
        <f>SUM(AC6:AC33)</f>
        <v>109546</v>
      </c>
      <c r="AD34" s="54">
        <v>82.51</v>
      </c>
      <c r="AE34" s="54">
        <f>100-AD34</f>
        <v>17.49</v>
      </c>
      <c r="AF34" s="54">
        <v>13.15</v>
      </c>
      <c r="AG34" s="55">
        <f>AE34-AF34</f>
        <v>4.33999999999999</v>
      </c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7"/>
      <c r="AU34" s="57"/>
      <c r="AV34" s="58">
        <f>SUM(B34:E34)</f>
        <v>833213</v>
      </c>
      <c r="AW34" s="59">
        <f>AB34/AV34*100</f>
        <v>82.5109545818416</v>
      </c>
      <c r="AX34" s="59">
        <f>AC34/AV34*100</f>
        <v>13.1474184872296</v>
      </c>
    </row>
    <row r="35" s="5" customFormat="1" spans="1:5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="5" customFormat="1" spans="1:50">
      <c r="A36" s="4"/>
      <c r="B36" s="58"/>
      <c r="C36" s="58"/>
      <c r="D36" s="5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8"/>
      <c r="S36" s="4"/>
      <c r="T36" s="4"/>
      <c r="U36" s="4"/>
      <c r="V36" s="4"/>
      <c r="W36" s="4"/>
      <c r="X36" s="58"/>
      <c r="Y36" s="60"/>
      <c r="Z36" s="61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="5" customFormat="1" spans="1:50">
      <c r="A37" s="62" t="s">
        <v>56</v>
      </c>
      <c r="B37" s="3"/>
      <c r="C37" s="3"/>
      <c r="D37" s="6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58"/>
      <c r="S37" s="4"/>
      <c r="T37" s="4"/>
      <c r="U37" s="4"/>
      <c r="V37" s="4"/>
      <c r="W37" s="4"/>
      <c r="X37" s="58"/>
      <c r="Y37" s="4"/>
      <c r="Z37" s="58"/>
      <c r="AB37" s="4"/>
      <c r="AC37" s="64"/>
      <c r="AD37" s="64"/>
      <c r="AE37" s="64"/>
      <c r="AF37" s="6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="5" customFormat="1" spans="1:50">
      <c r="A38" s="62" t="s">
        <v>57</v>
      </c>
      <c r="B38" s="3"/>
      <c r="C38" s="3"/>
      <c r="D38" s="3"/>
      <c r="E38" s="65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58</v>
      </c>
      <c r="W38" s="4"/>
      <c r="X38" s="58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="5" customFormat="1" spans="1:50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58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="5" customFormat="1" spans="1:50">
      <c r="A40" s="62" t="s">
        <v>59</v>
      </c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="5" customFormat="1" spans="1:50">
      <c r="A41" s="3"/>
      <c r="B41" s="4" t="s">
        <v>60</v>
      </c>
      <c r="C41" s="4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s="5" customFormat="1" spans="1:50">
      <c r="A42" s="3"/>
      <c r="B42" s="66"/>
      <c r="C42" s="66"/>
      <c r="D42" s="3"/>
      <c r="E42" s="3"/>
      <c r="F42" s="3"/>
      <c r="G42" s="3"/>
      <c r="H42" s="4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="5" customFormat="1" spans="1:50">
      <c r="A43" s="3"/>
      <c r="B43" s="67"/>
      <c r="C43" s="67" t="s">
        <v>61</v>
      </c>
      <c r="D43" s="68"/>
      <c r="E43" s="68"/>
      <c r="F43" s="68"/>
      <c r="G43" s="68"/>
      <c r="H43" s="69"/>
      <c r="I43" s="70" t="s">
        <v>62</v>
      </c>
      <c r="J43" s="70" t="s">
        <v>63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="5" customFormat="1" spans="1:50">
      <c r="A44" s="3"/>
      <c r="B44" s="71"/>
      <c r="C44" s="71" t="s">
        <v>64</v>
      </c>
      <c r="D44" s="71" t="s">
        <v>65</v>
      </c>
      <c r="E44" s="72" t="s">
        <v>66</v>
      </c>
      <c r="F44" s="73" t="s">
        <v>67</v>
      </c>
      <c r="G44" s="74" t="s">
        <v>68</v>
      </c>
      <c r="H44" s="71" t="s">
        <v>69</v>
      </c>
      <c r="I44" s="74" t="s">
        <v>70</v>
      </c>
      <c r="J44" s="75" t="s">
        <v>71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="5" customFormat="1" spans="1:50">
      <c r="A45" s="76">
        <v>44.91</v>
      </c>
      <c r="B45" s="110" t="s">
        <v>72</v>
      </c>
      <c r="C45" s="79">
        <v>12080</v>
      </c>
      <c r="D45" s="79">
        <v>12080</v>
      </c>
      <c r="E45" s="79">
        <v>12080</v>
      </c>
      <c r="F45" s="80"/>
      <c r="G45" s="81" t="s">
        <v>73</v>
      </c>
      <c r="H45" s="111">
        <f>B124</f>
        <v>6708</v>
      </c>
      <c r="I45" s="82" t="s">
        <v>73</v>
      </c>
      <c r="J45" s="83" t="s">
        <v>74</v>
      </c>
      <c r="K45" s="84"/>
      <c r="L45" s="84"/>
      <c r="M45" s="85">
        <f t="shared" ref="M45:M72" si="4">+C45*A45</f>
        <v>542512.8</v>
      </c>
      <c r="N45" s="85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</row>
    <row r="46" s="5" customFormat="1" spans="1:50">
      <c r="A46" s="76">
        <v>44.9</v>
      </c>
      <c r="B46" s="110" t="s">
        <v>75</v>
      </c>
      <c r="C46" s="79">
        <v>55932</v>
      </c>
      <c r="D46" s="79">
        <v>55932</v>
      </c>
      <c r="E46" s="79">
        <v>55932</v>
      </c>
      <c r="F46" s="80"/>
      <c r="G46" s="81" t="s">
        <v>73</v>
      </c>
      <c r="H46" s="111">
        <f>C124</f>
        <v>53586</v>
      </c>
      <c r="I46" s="82" t="s">
        <v>73</v>
      </c>
      <c r="J46" s="83" t="s">
        <v>76</v>
      </c>
      <c r="K46" s="84"/>
      <c r="L46" s="84"/>
      <c r="M46" s="85">
        <f t="shared" si="4"/>
        <v>2511346.8</v>
      </c>
      <c r="N46" s="85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</row>
    <row r="47" s="5" customFormat="1" spans="1:50">
      <c r="A47" s="76">
        <v>44.9</v>
      </c>
      <c r="B47" s="110" t="s">
        <v>77</v>
      </c>
      <c r="C47" s="79">
        <v>63810</v>
      </c>
      <c r="D47" s="79">
        <v>63810</v>
      </c>
      <c r="E47" s="79">
        <v>63810</v>
      </c>
      <c r="F47" s="80"/>
      <c r="G47" s="81" t="s">
        <v>73</v>
      </c>
      <c r="H47" s="111">
        <f>D124</f>
        <v>62092</v>
      </c>
      <c r="I47" s="82" t="s">
        <v>73</v>
      </c>
      <c r="J47" s="83" t="s">
        <v>78</v>
      </c>
      <c r="K47" s="84"/>
      <c r="L47" s="84"/>
      <c r="M47" s="85">
        <f t="shared" si="4"/>
        <v>2865069</v>
      </c>
      <c r="N47" s="85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</row>
    <row r="48" s="5" customFormat="1" spans="1:50">
      <c r="A48" s="76">
        <v>44.9</v>
      </c>
      <c r="B48" s="110" t="s">
        <v>79</v>
      </c>
      <c r="C48" s="79">
        <v>56944</v>
      </c>
      <c r="D48" s="79">
        <v>56944</v>
      </c>
      <c r="E48" s="79">
        <f>E124</f>
        <v>5651</v>
      </c>
      <c r="F48" s="80"/>
      <c r="G48" s="81" t="s">
        <v>80</v>
      </c>
      <c r="H48" s="111">
        <f>E48</f>
        <v>5651</v>
      </c>
      <c r="I48" s="82">
        <f>E125</f>
        <v>51293</v>
      </c>
      <c r="J48" s="83" t="s">
        <v>81</v>
      </c>
      <c r="K48" s="84"/>
      <c r="L48" s="84"/>
      <c r="M48" s="85">
        <f t="shared" si="4"/>
        <v>2556785.6</v>
      </c>
      <c r="N48" s="85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</row>
    <row r="49" s="5" customFormat="1" spans="1:46">
      <c r="A49" s="76">
        <v>46.44</v>
      </c>
      <c r="B49" s="110" t="s">
        <v>82</v>
      </c>
      <c r="C49" s="79">
        <v>34405</v>
      </c>
      <c r="D49" s="79">
        <v>34405</v>
      </c>
      <c r="E49" s="79">
        <v>34405</v>
      </c>
      <c r="F49" s="80"/>
      <c r="G49" s="81" t="s">
        <v>73</v>
      </c>
      <c r="H49" s="111">
        <f>F124</f>
        <v>33117</v>
      </c>
      <c r="I49" s="82" t="s">
        <v>73</v>
      </c>
      <c r="J49" s="83" t="s">
        <v>83</v>
      </c>
      <c r="K49" s="84"/>
      <c r="L49" s="84"/>
      <c r="M49" s="85">
        <f t="shared" si="4"/>
        <v>1597768.2</v>
      </c>
      <c r="N49" s="85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</row>
    <row r="50" s="5" customFormat="1" spans="1:46">
      <c r="A50" s="76">
        <v>46.44</v>
      </c>
      <c r="B50" s="110" t="s">
        <v>84</v>
      </c>
      <c r="C50" s="79">
        <f>49092+25365</f>
        <v>74457</v>
      </c>
      <c r="D50" s="79">
        <f>49092+25365</f>
        <v>74457</v>
      </c>
      <c r="E50" s="79">
        <f>49092+25365</f>
        <v>74457</v>
      </c>
      <c r="F50" s="80"/>
      <c r="G50" s="81" t="s">
        <v>73</v>
      </c>
      <c r="H50" s="111">
        <f>G124</f>
        <v>71186</v>
      </c>
      <c r="I50" s="82" t="s">
        <v>73</v>
      </c>
      <c r="J50" s="83" t="s">
        <v>85</v>
      </c>
      <c r="K50" s="84"/>
      <c r="L50" s="84"/>
      <c r="M50" s="85">
        <f t="shared" si="4"/>
        <v>3457783.08</v>
      </c>
      <c r="N50" s="85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</row>
    <row r="51" s="5" customFormat="1" spans="1:46">
      <c r="A51" s="76">
        <v>44.91</v>
      </c>
      <c r="B51" s="110" t="s">
        <v>86</v>
      </c>
      <c r="C51" s="79">
        <v>31365</v>
      </c>
      <c r="D51" s="79">
        <v>31365</v>
      </c>
      <c r="E51" s="79">
        <v>31365</v>
      </c>
      <c r="F51" s="80"/>
      <c r="G51" s="81" t="s">
        <v>73</v>
      </c>
      <c r="H51" s="111">
        <f>H124</f>
        <v>26655</v>
      </c>
      <c r="I51" s="82" t="s">
        <v>73</v>
      </c>
      <c r="J51" s="83" t="s">
        <v>87</v>
      </c>
      <c r="K51" s="84"/>
      <c r="L51" s="84"/>
      <c r="M51" s="85">
        <f t="shared" si="4"/>
        <v>1408602.15</v>
      </c>
      <c r="N51" s="85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</row>
    <row r="52" s="5" customFormat="1" spans="1:46">
      <c r="A52" s="76">
        <v>44.84</v>
      </c>
      <c r="B52" s="110" t="s">
        <v>88</v>
      </c>
      <c r="C52" s="79">
        <v>28346</v>
      </c>
      <c r="D52" s="79">
        <v>28346</v>
      </c>
      <c r="E52" s="79">
        <v>28346</v>
      </c>
      <c r="F52" s="80"/>
      <c r="G52" s="81" t="s">
        <v>73</v>
      </c>
      <c r="H52" s="111">
        <f>I124</f>
        <v>27929</v>
      </c>
      <c r="I52" s="82" t="s">
        <v>73</v>
      </c>
      <c r="J52" s="83" t="s">
        <v>89</v>
      </c>
      <c r="K52" s="84"/>
      <c r="L52" s="84"/>
      <c r="M52" s="85">
        <f t="shared" si="4"/>
        <v>1271034.64</v>
      </c>
      <c r="N52" s="85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</row>
    <row r="53" s="5" customFormat="1" spans="1:46">
      <c r="A53" s="76">
        <v>46.44</v>
      </c>
      <c r="B53" s="110" t="s">
        <v>90</v>
      </c>
      <c r="C53" s="79">
        <v>5000</v>
      </c>
      <c r="D53" s="79">
        <v>5000</v>
      </c>
      <c r="E53" s="79">
        <v>5000</v>
      </c>
      <c r="F53" s="80"/>
      <c r="G53" s="81" t="s">
        <v>73</v>
      </c>
      <c r="H53" s="111">
        <f>J124</f>
        <v>5000</v>
      </c>
      <c r="I53" s="82" t="s">
        <v>73</v>
      </c>
      <c r="J53" s="83" t="s">
        <v>91</v>
      </c>
      <c r="K53" s="84"/>
      <c r="L53" s="84"/>
      <c r="M53" s="85">
        <f t="shared" si="4"/>
        <v>232200</v>
      </c>
      <c r="N53" s="85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</row>
    <row r="54" s="5" customFormat="1" spans="1:46">
      <c r="A54" s="76">
        <v>46.44</v>
      </c>
      <c r="B54" s="110" t="s">
        <v>92</v>
      </c>
      <c r="C54" s="79">
        <v>16175</v>
      </c>
      <c r="D54" s="79">
        <v>16175</v>
      </c>
      <c r="E54" s="79">
        <v>16175</v>
      </c>
      <c r="F54" s="80"/>
      <c r="G54" s="81" t="s">
        <v>73</v>
      </c>
      <c r="H54" s="111">
        <v>16175</v>
      </c>
      <c r="I54" s="82" t="s">
        <v>73</v>
      </c>
      <c r="J54" s="83" t="s">
        <v>91</v>
      </c>
      <c r="K54" s="84"/>
      <c r="L54" s="84"/>
      <c r="M54" s="85">
        <f t="shared" si="4"/>
        <v>751167</v>
      </c>
      <c r="N54" s="85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</row>
    <row r="55" s="5" customFormat="1" spans="1:46">
      <c r="A55" s="76">
        <v>46.44</v>
      </c>
      <c r="B55" s="110" t="s">
        <v>93</v>
      </c>
      <c r="C55" s="79">
        <v>10310</v>
      </c>
      <c r="D55" s="79">
        <v>10310</v>
      </c>
      <c r="E55" s="79">
        <v>10310</v>
      </c>
      <c r="F55" s="80"/>
      <c r="G55" s="81" t="s">
        <v>73</v>
      </c>
      <c r="H55" s="111">
        <f>L124</f>
        <v>10310</v>
      </c>
      <c r="I55" s="82" t="s">
        <v>73</v>
      </c>
      <c r="J55" s="83" t="s">
        <v>91</v>
      </c>
      <c r="K55" s="84"/>
      <c r="L55" s="84"/>
      <c r="M55" s="85">
        <f t="shared" si="4"/>
        <v>478796.4</v>
      </c>
      <c r="N55" s="85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</row>
    <row r="56" s="5" customFormat="1" spans="1:46">
      <c r="A56" s="76">
        <v>44.34</v>
      </c>
      <c r="B56" s="110" t="s">
        <v>94</v>
      </c>
      <c r="C56" s="79">
        <v>51815</v>
      </c>
      <c r="D56" s="79">
        <v>51815</v>
      </c>
      <c r="E56" s="79">
        <v>51815</v>
      </c>
      <c r="F56" s="80"/>
      <c r="G56" s="81" t="s">
        <v>73</v>
      </c>
      <c r="H56" s="111">
        <f>M124</f>
        <v>48894</v>
      </c>
      <c r="I56" s="82" t="s">
        <v>73</v>
      </c>
      <c r="J56" s="83" t="s">
        <v>95</v>
      </c>
      <c r="K56" s="84"/>
      <c r="L56" s="84"/>
      <c r="M56" s="85">
        <f t="shared" si="4"/>
        <v>2297477.1</v>
      </c>
      <c r="N56" s="85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</row>
    <row r="57" s="5" customFormat="1" spans="1:46">
      <c r="A57" s="76">
        <v>44.84</v>
      </c>
      <c r="B57" s="110" t="s">
        <v>96</v>
      </c>
      <c r="C57" s="79">
        <v>49235</v>
      </c>
      <c r="D57" s="79">
        <v>49235</v>
      </c>
      <c r="E57" s="79">
        <v>49235</v>
      </c>
      <c r="F57" s="80"/>
      <c r="G57" s="81" t="s">
        <v>73</v>
      </c>
      <c r="H57" s="111">
        <f>N124</f>
        <v>48535</v>
      </c>
      <c r="I57" s="82" t="s">
        <v>73</v>
      </c>
      <c r="J57" s="83" t="s">
        <v>97</v>
      </c>
      <c r="K57" s="84"/>
      <c r="L57" s="84"/>
      <c r="M57" s="85">
        <f t="shared" si="4"/>
        <v>2207697.4</v>
      </c>
      <c r="N57" s="85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</row>
    <row r="58" s="5" customFormat="1" spans="1:46">
      <c r="A58" s="76"/>
      <c r="B58" s="110" t="s">
        <v>98</v>
      </c>
      <c r="C58" s="79">
        <v>16770</v>
      </c>
      <c r="D58" s="79">
        <v>16770</v>
      </c>
      <c r="E58" s="79">
        <v>16770</v>
      </c>
      <c r="F58" s="80"/>
      <c r="G58" s="81" t="s">
        <v>73</v>
      </c>
      <c r="H58" s="111">
        <f>O124</f>
        <v>16770</v>
      </c>
      <c r="I58" s="82" t="s">
        <v>73</v>
      </c>
      <c r="J58" s="83" t="s">
        <v>91</v>
      </c>
      <c r="K58" s="84"/>
      <c r="L58" s="84"/>
      <c r="M58" s="85">
        <f t="shared" si="4"/>
        <v>0</v>
      </c>
      <c r="N58" s="85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</row>
    <row r="59" s="5" customFormat="1" spans="1:46">
      <c r="A59" s="76"/>
      <c r="B59" s="110" t="s">
        <v>99</v>
      </c>
      <c r="C59" s="79">
        <v>18520</v>
      </c>
      <c r="D59" s="79">
        <v>18520</v>
      </c>
      <c r="E59" s="79">
        <v>18520</v>
      </c>
      <c r="F59" s="80"/>
      <c r="G59" s="81" t="s">
        <v>73</v>
      </c>
      <c r="H59" s="111">
        <f>P124</f>
        <v>18520</v>
      </c>
      <c r="I59" s="82" t="s">
        <v>73</v>
      </c>
      <c r="J59" s="83" t="s">
        <v>91</v>
      </c>
      <c r="K59" s="84"/>
      <c r="L59" s="84"/>
      <c r="M59" s="85">
        <f t="shared" si="4"/>
        <v>0</v>
      </c>
      <c r="N59" s="85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</row>
    <row r="60" s="5" customFormat="1" spans="1:46">
      <c r="A60" s="76"/>
      <c r="B60" s="110" t="s">
        <v>100</v>
      </c>
      <c r="C60" s="79">
        <v>17550</v>
      </c>
      <c r="D60" s="79">
        <v>17550</v>
      </c>
      <c r="E60" s="79">
        <v>17550</v>
      </c>
      <c r="F60" s="80"/>
      <c r="G60" s="81" t="s">
        <v>73</v>
      </c>
      <c r="H60" s="111">
        <f>Q124</f>
        <v>17550</v>
      </c>
      <c r="I60" s="82" t="s">
        <v>73</v>
      </c>
      <c r="J60" s="83" t="s">
        <v>91</v>
      </c>
      <c r="K60" s="84"/>
      <c r="L60" s="84"/>
      <c r="M60" s="85">
        <f t="shared" si="4"/>
        <v>0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</row>
    <row r="61" s="5" customFormat="1" spans="1:46">
      <c r="A61" s="76">
        <v>44.91</v>
      </c>
      <c r="B61" s="110" t="s">
        <v>101</v>
      </c>
      <c r="C61" s="79">
        <v>58910</v>
      </c>
      <c r="D61" s="79">
        <v>58910</v>
      </c>
      <c r="E61" s="79">
        <v>58910</v>
      </c>
      <c r="F61" s="80"/>
      <c r="G61" s="81" t="s">
        <v>73</v>
      </c>
      <c r="H61" s="111">
        <f>R124</f>
        <v>57444</v>
      </c>
      <c r="I61" s="82" t="s">
        <v>73</v>
      </c>
      <c r="J61" s="83" t="s">
        <v>102</v>
      </c>
      <c r="K61" s="84"/>
      <c r="L61" s="84"/>
      <c r="M61" s="85">
        <f t="shared" si="4"/>
        <v>2645648.1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</row>
    <row r="62" s="5" customFormat="1" spans="1:46">
      <c r="A62" s="76"/>
      <c r="B62" s="110" t="s">
        <v>103</v>
      </c>
      <c r="C62" s="79">
        <v>21095</v>
      </c>
      <c r="D62" s="79">
        <v>21095</v>
      </c>
      <c r="E62" s="79">
        <v>21095</v>
      </c>
      <c r="F62" s="80"/>
      <c r="G62" s="81" t="s">
        <v>73</v>
      </c>
      <c r="H62" s="111">
        <f>S124</f>
        <v>21095</v>
      </c>
      <c r="I62" s="82" t="s">
        <v>73</v>
      </c>
      <c r="J62" s="83" t="s">
        <v>91</v>
      </c>
      <c r="K62" s="84"/>
      <c r="L62" s="84"/>
      <c r="M62" s="85">
        <f t="shared" si="4"/>
        <v>0</v>
      </c>
      <c r="N62" s="85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</row>
    <row r="63" s="5" customFormat="1" spans="1:46">
      <c r="A63" s="76"/>
      <c r="B63" s="110" t="s">
        <v>104</v>
      </c>
      <c r="C63" s="79">
        <v>16365</v>
      </c>
      <c r="D63" s="79">
        <v>16365</v>
      </c>
      <c r="E63" s="79">
        <v>16365</v>
      </c>
      <c r="F63" s="80"/>
      <c r="G63" s="81" t="s">
        <v>73</v>
      </c>
      <c r="H63" s="111">
        <f>T124</f>
        <v>16365</v>
      </c>
      <c r="I63" s="82" t="s">
        <v>73</v>
      </c>
      <c r="J63" s="83" t="s">
        <v>91</v>
      </c>
      <c r="K63" s="84"/>
      <c r="L63" s="84"/>
      <c r="M63" s="85">
        <f t="shared" si="4"/>
        <v>0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</row>
    <row r="64" s="5" customFormat="1" spans="1:46">
      <c r="A64" s="76"/>
      <c r="B64" s="110" t="s">
        <v>105</v>
      </c>
      <c r="C64" s="79">
        <v>16700</v>
      </c>
      <c r="D64" s="79">
        <v>16700</v>
      </c>
      <c r="E64" s="79">
        <v>16700</v>
      </c>
      <c r="F64" s="80"/>
      <c r="G64" s="81" t="s">
        <v>73</v>
      </c>
      <c r="H64" s="111">
        <f>U124</f>
        <v>16700</v>
      </c>
      <c r="I64" s="82" t="s">
        <v>73</v>
      </c>
      <c r="J64" s="83" t="s">
        <v>91</v>
      </c>
      <c r="K64" s="84"/>
      <c r="L64" s="84"/>
      <c r="M64" s="85">
        <f t="shared" si="4"/>
        <v>0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</row>
    <row r="65" s="5" customFormat="1" spans="1:46">
      <c r="A65" s="76">
        <v>46.44</v>
      </c>
      <c r="B65" s="110" t="s">
        <v>106</v>
      </c>
      <c r="C65" s="79">
        <v>30405</v>
      </c>
      <c r="D65" s="79">
        <v>30405</v>
      </c>
      <c r="E65" s="79">
        <v>30405</v>
      </c>
      <c r="F65" s="80"/>
      <c r="G65" s="81" t="s">
        <v>73</v>
      </c>
      <c r="H65" s="111">
        <f>V124</f>
        <v>29882</v>
      </c>
      <c r="I65" s="82" t="s">
        <v>73</v>
      </c>
      <c r="J65" s="83" t="s">
        <v>107</v>
      </c>
      <c r="K65" s="84"/>
      <c r="L65" s="84"/>
      <c r="M65" s="85">
        <f t="shared" si="4"/>
        <v>1412008.2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</row>
    <row r="66" s="5" customFormat="1" spans="1:46">
      <c r="A66" s="76">
        <v>44.9</v>
      </c>
      <c r="B66" s="110" t="s">
        <v>108</v>
      </c>
      <c r="C66" s="79">
        <v>75245</v>
      </c>
      <c r="D66" s="79">
        <v>75245</v>
      </c>
      <c r="E66" s="79">
        <v>75245</v>
      </c>
      <c r="F66" s="80"/>
      <c r="G66" s="81" t="s">
        <v>73</v>
      </c>
      <c r="H66" s="111">
        <f>W124</f>
        <v>73524</v>
      </c>
      <c r="I66" s="82" t="s">
        <v>73</v>
      </c>
      <c r="J66" s="83" t="s">
        <v>109</v>
      </c>
      <c r="K66" s="84"/>
      <c r="L66" s="84"/>
      <c r="M66" s="85">
        <f t="shared" si="4"/>
        <v>3378500.5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</row>
    <row r="67" s="5" customFormat="1" spans="1:46">
      <c r="A67" s="76"/>
      <c r="B67" s="110" t="s">
        <v>110</v>
      </c>
      <c r="C67" s="79">
        <v>17230</v>
      </c>
      <c r="D67" s="79">
        <v>17230</v>
      </c>
      <c r="E67" s="79">
        <v>17230</v>
      </c>
      <c r="F67" s="80"/>
      <c r="G67" s="81" t="s">
        <v>73</v>
      </c>
      <c r="H67" s="111">
        <f>X124</f>
        <v>17230</v>
      </c>
      <c r="I67" s="82" t="s">
        <v>73</v>
      </c>
      <c r="J67" s="83" t="s">
        <v>91</v>
      </c>
      <c r="K67" s="84"/>
      <c r="L67" s="84"/>
      <c r="M67" s="85">
        <f t="shared" si="4"/>
        <v>0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</row>
    <row r="68" s="5" customFormat="1" spans="1:46">
      <c r="A68" s="76">
        <v>44.91</v>
      </c>
      <c r="B68" s="110" t="s">
        <v>111</v>
      </c>
      <c r="C68" s="79">
        <v>83750</v>
      </c>
      <c r="D68" s="79">
        <v>83750</v>
      </c>
      <c r="E68" s="79">
        <v>83750</v>
      </c>
      <c r="F68" s="80"/>
      <c r="G68" s="81" t="s">
        <v>73</v>
      </c>
      <c r="H68" s="111">
        <f>Y124</f>
        <v>81307</v>
      </c>
      <c r="I68" s="82" t="s">
        <v>73</v>
      </c>
      <c r="J68" s="83" t="s">
        <v>112</v>
      </c>
      <c r="K68" s="84"/>
      <c r="L68" s="84"/>
      <c r="M68" s="85">
        <f t="shared" si="4"/>
        <v>3761212.5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</row>
    <row r="69" s="5" customFormat="1" spans="1:46">
      <c r="A69" s="76"/>
      <c r="B69" s="110" t="s">
        <v>113</v>
      </c>
      <c r="C69" s="79">
        <v>17020</v>
      </c>
      <c r="D69" s="79">
        <v>17020</v>
      </c>
      <c r="E69" s="79">
        <v>17020</v>
      </c>
      <c r="F69" s="80"/>
      <c r="G69" s="81" t="s">
        <v>73</v>
      </c>
      <c r="H69" s="111">
        <f>Z124</f>
        <v>17020</v>
      </c>
      <c r="I69" s="82" t="s">
        <v>73</v>
      </c>
      <c r="J69" s="83" t="s">
        <v>91</v>
      </c>
      <c r="K69" s="84"/>
      <c r="L69" s="84"/>
      <c r="M69" s="85">
        <f t="shared" si="4"/>
        <v>0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</row>
    <row r="70" s="5" customFormat="1" spans="1:46">
      <c r="A70" s="76"/>
      <c r="B70" s="110" t="s">
        <v>114</v>
      </c>
      <c r="C70" s="79">
        <v>17450</v>
      </c>
      <c r="D70" s="79">
        <v>17450</v>
      </c>
      <c r="E70" s="79">
        <v>17450</v>
      </c>
      <c r="F70" s="80"/>
      <c r="G70" s="81" t="s">
        <v>73</v>
      </c>
      <c r="H70" s="79">
        <v>17450</v>
      </c>
      <c r="I70" s="82" t="s">
        <v>73</v>
      </c>
      <c r="J70" s="83" t="s">
        <v>91</v>
      </c>
      <c r="K70" s="84"/>
      <c r="L70" s="84"/>
      <c r="M70" s="85">
        <f t="shared" si="4"/>
        <v>0</v>
      </c>
      <c r="N70" s="85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</row>
    <row r="71" s="5" customFormat="1" spans="1:46">
      <c r="A71" s="76">
        <v>44.91</v>
      </c>
      <c r="B71" s="110" t="s">
        <v>115</v>
      </c>
      <c r="C71" s="79">
        <v>60250</v>
      </c>
      <c r="D71" s="79">
        <v>60250</v>
      </c>
      <c r="E71" s="79">
        <f>AB124</f>
        <v>4233</v>
      </c>
      <c r="F71" s="80"/>
      <c r="G71" s="81" t="s">
        <v>80</v>
      </c>
      <c r="H71" s="79">
        <f>E71</f>
        <v>4233</v>
      </c>
      <c r="I71" s="82">
        <f>AB125</f>
        <v>56017</v>
      </c>
      <c r="J71" s="83" t="s">
        <v>116</v>
      </c>
      <c r="K71" s="84"/>
      <c r="L71" s="84"/>
      <c r="M71" s="85"/>
      <c r="N71" s="85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</row>
    <row r="72" s="5" customFormat="1" spans="1:46">
      <c r="A72" s="90"/>
      <c r="B72" s="232" t="s">
        <v>117</v>
      </c>
      <c r="C72" s="233">
        <v>16887</v>
      </c>
      <c r="D72" s="233">
        <v>16887</v>
      </c>
      <c r="E72" s="88">
        <f>AC124</f>
        <v>8400</v>
      </c>
      <c r="F72" s="88"/>
      <c r="G72" s="89" t="s">
        <v>80</v>
      </c>
      <c r="H72" s="88">
        <f>E72</f>
        <v>8400</v>
      </c>
      <c r="I72" s="233">
        <f>AC125</f>
        <v>8487</v>
      </c>
      <c r="J72" s="217" t="s">
        <v>91</v>
      </c>
      <c r="K72" s="94"/>
      <c r="L72" s="4"/>
      <c r="M72" s="85">
        <f>+C72*A72</f>
        <v>0</v>
      </c>
      <c r="N72" s="8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s="5" customFormat="1" spans="1:46">
      <c r="A73" s="90"/>
      <c r="B73" s="22" t="s">
        <v>55</v>
      </c>
      <c r="C73" s="91">
        <f>SUM(C45:C72)</f>
        <v>974021</v>
      </c>
      <c r="D73" s="91">
        <f>SUM(D45:D72)</f>
        <v>974021</v>
      </c>
      <c r="E73" s="91">
        <f>SUM(E45:E72)</f>
        <v>858224</v>
      </c>
      <c r="F73" s="91"/>
      <c r="G73" s="92"/>
      <c r="H73" s="91">
        <f>SUM(H45:H72)</f>
        <v>829328</v>
      </c>
      <c r="I73" s="91"/>
      <c r="J73" s="94"/>
      <c r="K73" s="94"/>
      <c r="L73" s="4"/>
      <c r="M73" s="85">
        <f>+C73*A73</f>
        <v>0</v>
      </c>
      <c r="N73" s="8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="5" customFormat="1" spans="1:46">
      <c r="A74" s="90"/>
      <c r="B74" s="95" t="s">
        <v>118</v>
      </c>
      <c r="C74" s="96"/>
      <c r="D74" s="96"/>
      <c r="E74" s="96"/>
      <c r="F74" s="96"/>
      <c r="G74" s="97"/>
      <c r="H74" s="98"/>
      <c r="I74" s="99"/>
      <c r="J74" s="94"/>
      <c r="K74" s="94"/>
      <c r="L74" s="4"/>
      <c r="M74" s="85"/>
      <c r="N74" s="8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="5" customFormat="1" spans="1:46">
      <c r="A75" s="90"/>
      <c r="B75" s="100"/>
      <c r="C75" s="101"/>
      <c r="D75" s="101"/>
      <c r="E75" s="101"/>
      <c r="F75" s="101"/>
      <c r="G75" s="102"/>
      <c r="H75" s="103"/>
      <c r="I75" s="104"/>
      <c r="J75" s="94"/>
      <c r="K75" s="94"/>
      <c r="L75" s="4"/>
      <c r="M75" s="85"/>
      <c r="N75" s="8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="5" customFormat="1" spans="1:46">
      <c r="A76" s="90"/>
      <c r="B76" s="66" t="s">
        <v>119</v>
      </c>
      <c r="C76" s="66"/>
      <c r="D76" s="3"/>
      <c r="E76" s="3"/>
      <c r="F76" s="3"/>
      <c r="G76" s="3"/>
      <c r="H76" s="4"/>
      <c r="I76" s="104"/>
      <c r="J76" s="94"/>
      <c r="K76" s="94"/>
      <c r="L76" s="4"/>
      <c r="M76" s="85"/>
      <c r="N76" s="8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="5" customFormat="1" spans="1:46">
      <c r="A77" s="90"/>
      <c r="B77" s="105"/>
      <c r="C77" s="105" t="s">
        <v>61</v>
      </c>
      <c r="D77" s="106"/>
      <c r="E77" s="106"/>
      <c r="F77" s="106"/>
      <c r="G77" s="107"/>
      <c r="H77" s="75" t="s">
        <v>62</v>
      </c>
      <c r="I77" s="104"/>
      <c r="J77" s="94"/>
      <c r="K77" s="94"/>
      <c r="L77" s="4"/>
      <c r="M77" s="85"/>
      <c r="N77" s="8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="5" customFormat="1" spans="1:46">
      <c r="A78" s="90"/>
      <c r="B78" s="108"/>
      <c r="C78" s="71" t="s">
        <v>64</v>
      </c>
      <c r="D78" s="71" t="s">
        <v>65</v>
      </c>
      <c r="E78" s="109" t="s">
        <v>66</v>
      </c>
      <c r="F78" s="74" t="s">
        <v>68</v>
      </c>
      <c r="G78" s="71" t="s">
        <v>69</v>
      </c>
      <c r="H78" s="74" t="s">
        <v>70</v>
      </c>
      <c r="I78" s="104"/>
      <c r="J78" s="94"/>
      <c r="K78" s="94"/>
      <c r="L78" s="4"/>
      <c r="M78" s="85"/>
      <c r="N78" s="8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="5" customFormat="1" spans="1:46">
      <c r="A79" s="90"/>
      <c r="B79" s="110"/>
      <c r="C79" s="111"/>
      <c r="D79" s="111"/>
      <c r="E79" s="112"/>
      <c r="F79" s="113"/>
      <c r="G79" s="112"/>
      <c r="H79" s="114"/>
      <c r="I79" s="104"/>
      <c r="J79" s="94"/>
      <c r="K79" s="94"/>
      <c r="L79" s="4"/>
      <c r="M79" s="85"/>
      <c r="N79" s="8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="5" customFormat="1" spans="1:46">
      <c r="A80" s="90"/>
      <c r="B80" s="19"/>
      <c r="C80" s="115"/>
      <c r="D80" s="112"/>
      <c r="E80" s="112"/>
      <c r="F80" s="116"/>
      <c r="G80" s="112"/>
      <c r="H80" s="117"/>
      <c r="I80" s="104"/>
      <c r="J80" s="94"/>
      <c r="K80" s="94"/>
      <c r="L80" s="4"/>
      <c r="M80" s="85"/>
      <c r="N80" s="8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="5" customFormat="1" spans="1:52">
      <c r="A81" s="90"/>
      <c r="B81" s="19"/>
      <c r="C81" s="115"/>
      <c r="D81" s="112"/>
      <c r="E81" s="112"/>
      <c r="F81" s="113"/>
      <c r="G81" s="112"/>
      <c r="H81" s="113"/>
      <c r="I81" s="104"/>
      <c r="J81" s="94"/>
      <c r="K81" s="94"/>
      <c r="L81" s="4"/>
      <c r="M81" s="85"/>
      <c r="N81" s="8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="5" customFormat="1" spans="1:52">
      <c r="A82" s="90"/>
      <c r="B82" s="118"/>
      <c r="C82" s="115"/>
      <c r="D82" s="112"/>
      <c r="E82" s="112"/>
      <c r="F82" s="113"/>
      <c r="G82" s="112"/>
      <c r="H82" s="113"/>
      <c r="I82" s="104"/>
      <c r="J82" s="94"/>
      <c r="K82" s="94"/>
      <c r="L82" s="4"/>
      <c r="M82" s="85"/>
      <c r="N82" s="8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="5" customFormat="1" spans="1:52">
      <c r="A83" s="90"/>
      <c r="B83" s="118"/>
      <c r="C83" s="115"/>
      <c r="D83" s="112"/>
      <c r="E83" s="112"/>
      <c r="F83" s="113"/>
      <c r="G83" s="112"/>
      <c r="H83" s="113"/>
      <c r="I83" s="104"/>
      <c r="J83" s="94"/>
      <c r="K83" s="94"/>
      <c r="L83" s="4"/>
      <c r="M83" s="85"/>
      <c r="N83" s="8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="5" customFormat="1" spans="1:52">
      <c r="A84" s="90"/>
      <c r="B84" s="118"/>
      <c r="C84" s="115"/>
      <c r="D84" s="112"/>
      <c r="E84" s="112"/>
      <c r="F84" s="113"/>
      <c r="G84" s="112"/>
      <c r="H84" s="113"/>
      <c r="I84" s="104"/>
      <c r="J84" s="94"/>
      <c r="K84" s="94"/>
      <c r="L84" s="4"/>
      <c r="M84" s="85"/>
      <c r="N84" s="8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="5" customFormat="1" spans="1:52">
      <c r="A85" s="65"/>
      <c r="B85" s="118"/>
      <c r="C85" s="115"/>
      <c r="D85" s="112"/>
      <c r="E85" s="112"/>
      <c r="F85" s="113"/>
      <c r="G85" s="112"/>
      <c r="H85" s="113"/>
      <c r="I85" s="94"/>
      <c r="J85" s="94"/>
      <c r="K85" s="4"/>
      <c r="L85" s="8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="5" customFormat="1" ht="15.75" spans="1:52">
      <c r="A86" s="65"/>
      <c r="B86" s="19"/>
      <c r="C86" s="119"/>
      <c r="D86" s="119"/>
      <c r="E86" s="120"/>
      <c r="F86" s="121"/>
      <c r="G86" s="120"/>
      <c r="H86" s="122"/>
      <c r="I86" s="94"/>
      <c r="J86" s="94"/>
      <c r="K86" s="4"/>
      <c r="L86" s="8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="5" customFormat="1" ht="15.75" spans="1:52">
      <c r="A87" s="65"/>
      <c r="B87" s="22" t="s">
        <v>55</v>
      </c>
      <c r="C87" s="91"/>
      <c r="D87" s="91"/>
      <c r="E87" s="123"/>
      <c r="F87" s="92"/>
      <c r="G87" s="123"/>
      <c r="H87" s="91">
        <v>0</v>
      </c>
      <c r="I87" s="94"/>
      <c r="J87" s="94"/>
      <c r="K87" s="4"/>
      <c r="L87" s="8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="5" customFormat="1" spans="1:52">
      <c r="A88" s="65"/>
      <c r="B88" s="95" t="s">
        <v>118</v>
      </c>
      <c r="C88" s="96"/>
      <c r="D88" s="96"/>
      <c r="E88" s="96"/>
      <c r="F88" s="97"/>
      <c r="G88" s="98"/>
      <c r="H88" s="99"/>
      <c r="I88" s="94"/>
      <c r="J88" s="94"/>
      <c r="K88" s="4"/>
      <c r="L88" s="8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="5" customFormat="1" spans="1:52">
      <c r="A89" s="65"/>
      <c r="B89" s="100"/>
      <c r="C89" s="101"/>
      <c r="D89" s="101"/>
      <c r="E89" s="101"/>
      <c r="F89" s="102"/>
      <c r="G89" s="103"/>
      <c r="H89" s="104"/>
      <c r="I89" s="94"/>
      <c r="J89" s="94"/>
      <c r="K89" s="4"/>
      <c r="L89" s="8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="5" customFormat="1" spans="1:52">
      <c r="A90" s="65"/>
      <c r="B90" s="124" t="s">
        <v>120</v>
      </c>
      <c r="C90" s="125"/>
      <c r="D90" s="125"/>
      <c r="E90" s="125"/>
      <c r="F90" s="126"/>
      <c r="G90" s="127"/>
      <c r="H90" s="128"/>
      <c r="I90" s="94"/>
      <c r="J90" s="94"/>
      <c r="K90" s="4"/>
      <c r="L90" s="8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="5" customFormat="1" spans="1:52">
      <c r="A91" s="65"/>
      <c r="B91" s="129" t="s">
        <v>121</v>
      </c>
      <c r="C91" s="101"/>
      <c r="D91" s="101"/>
      <c r="E91" s="101"/>
      <c r="F91" s="102"/>
      <c r="G91" s="103"/>
      <c r="H91" s="104"/>
      <c r="I91" s="94"/>
      <c r="J91" s="94"/>
      <c r="K91" s="4"/>
      <c r="L91" s="8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="5" customFormat="1" spans="1:52">
      <c r="A92" s="65"/>
      <c r="B92" s="129" t="s">
        <v>122</v>
      </c>
      <c r="C92" s="101"/>
      <c r="D92" s="101"/>
      <c r="E92" s="130"/>
      <c r="F92" s="102"/>
      <c r="G92" s="103"/>
      <c r="H92" s="104"/>
      <c r="I92" s="94"/>
      <c r="J92" s="94"/>
      <c r="K92" s="4"/>
      <c r="L92" s="8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="5" customFormat="1" spans="1:52">
      <c r="A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="5" customFormat="1" spans="1:52">
      <c r="A94" s="62" t="s">
        <v>123</v>
      </c>
      <c r="B94" s="131" t="s">
        <v>124</v>
      </c>
      <c r="C94" s="131"/>
      <c r="D94" s="132"/>
      <c r="E94" s="132"/>
      <c r="F94" s="132"/>
      <c r="G94" s="132"/>
      <c r="H94" s="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="5" customFormat="1" ht="18" customHeight="1" spans="1:52">
      <c r="A95" s="69" t="s">
        <v>1</v>
      </c>
      <c r="B95" s="234" t="s">
        <v>125</v>
      </c>
      <c r="C95" s="133" t="s">
        <v>126</v>
      </c>
      <c r="D95" s="234" t="s">
        <v>127</v>
      </c>
      <c r="E95" s="134" t="s">
        <v>128</v>
      </c>
      <c r="F95" s="133" t="s">
        <v>129</v>
      </c>
      <c r="G95" s="133" t="s">
        <v>130</v>
      </c>
      <c r="H95" s="133" t="s">
        <v>131</v>
      </c>
      <c r="I95" s="133" t="s">
        <v>132</v>
      </c>
      <c r="J95" s="133" t="s">
        <v>133</v>
      </c>
      <c r="K95" s="133" t="s">
        <v>133</v>
      </c>
      <c r="L95" s="133" t="s">
        <v>133</v>
      </c>
      <c r="M95" s="133" t="s">
        <v>134</v>
      </c>
      <c r="N95" s="234" t="s">
        <v>135</v>
      </c>
      <c r="O95" s="133" t="s">
        <v>136</v>
      </c>
      <c r="P95" s="133" t="s">
        <v>136</v>
      </c>
      <c r="Q95" s="133" t="s">
        <v>136</v>
      </c>
      <c r="R95" s="133" t="s">
        <v>137</v>
      </c>
      <c r="S95" s="133" t="s">
        <v>136</v>
      </c>
      <c r="T95" s="133" t="s">
        <v>136</v>
      </c>
      <c r="U95" s="133" t="s">
        <v>136</v>
      </c>
      <c r="V95" s="234" t="s">
        <v>138</v>
      </c>
      <c r="W95" s="133" t="s">
        <v>139</v>
      </c>
      <c r="X95" s="133" t="s">
        <v>136</v>
      </c>
      <c r="Y95" s="133" t="s">
        <v>140</v>
      </c>
      <c r="Z95" s="133" t="s">
        <v>136</v>
      </c>
      <c r="AA95" s="133" t="s">
        <v>141</v>
      </c>
      <c r="AB95" s="134" t="s">
        <v>142</v>
      </c>
      <c r="AC95" s="134" t="s">
        <v>141</v>
      </c>
      <c r="AD95" s="135"/>
      <c r="AE95" s="136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="5" customFormat="1" ht="18.95" customHeight="1" spans="1:52">
      <c r="A96" s="137"/>
      <c r="B96" s="138">
        <f>C45</f>
        <v>12080</v>
      </c>
      <c r="C96" s="138">
        <f>C46</f>
        <v>55932</v>
      </c>
      <c r="D96" s="138">
        <f>C47</f>
        <v>63810</v>
      </c>
      <c r="E96" s="139">
        <f>C48</f>
        <v>56944</v>
      </c>
      <c r="F96" s="138">
        <f>C49</f>
        <v>34405</v>
      </c>
      <c r="G96" s="138">
        <f>C50</f>
        <v>74457</v>
      </c>
      <c r="H96" s="138">
        <f>C51</f>
        <v>31365</v>
      </c>
      <c r="I96" s="138">
        <f>C52</f>
        <v>28346</v>
      </c>
      <c r="J96" s="138">
        <f>C53</f>
        <v>5000</v>
      </c>
      <c r="K96" s="138">
        <f>C54</f>
        <v>16175</v>
      </c>
      <c r="L96" s="138">
        <f>C55</f>
        <v>10310</v>
      </c>
      <c r="M96" s="138">
        <f>C56</f>
        <v>51815</v>
      </c>
      <c r="N96" s="138">
        <f>C57</f>
        <v>49235</v>
      </c>
      <c r="O96" s="138">
        <f>C58</f>
        <v>16770</v>
      </c>
      <c r="P96" s="138">
        <f>C59</f>
        <v>18520</v>
      </c>
      <c r="Q96" s="138">
        <f>C60</f>
        <v>17550</v>
      </c>
      <c r="R96" s="138">
        <f>C61</f>
        <v>58910</v>
      </c>
      <c r="S96" s="138">
        <f>C62</f>
        <v>21095</v>
      </c>
      <c r="T96" s="138">
        <f>C63</f>
        <v>16365</v>
      </c>
      <c r="U96" s="138">
        <f>C64</f>
        <v>16700</v>
      </c>
      <c r="V96" s="138">
        <f>C65</f>
        <v>30405</v>
      </c>
      <c r="W96" s="138">
        <f>C66</f>
        <v>75245</v>
      </c>
      <c r="X96" s="138">
        <f>C67</f>
        <v>17230</v>
      </c>
      <c r="Y96" s="138">
        <f>C68</f>
        <v>83750</v>
      </c>
      <c r="Z96" s="138">
        <f>C69</f>
        <v>17020</v>
      </c>
      <c r="AA96" s="138">
        <v>17450</v>
      </c>
      <c r="AB96" s="139">
        <f>C71</f>
        <v>60250</v>
      </c>
      <c r="AC96" s="139">
        <f>C72</f>
        <v>16887</v>
      </c>
      <c r="AD96" s="140"/>
      <c r="AE96" s="141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="5" customFormat="1" spans="1:52">
      <c r="A97" s="40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1">
        <f t="shared" ref="AE97:AE123" si="5">SUM(B97:AD97)</f>
        <v>0</v>
      </c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="5" customFormat="1" spans="1:52">
      <c r="A98" s="40">
        <v>46024</v>
      </c>
      <c r="B98" s="142">
        <v>3376</v>
      </c>
      <c r="C98" s="142">
        <v>0</v>
      </c>
      <c r="D98" s="142">
        <v>0</v>
      </c>
      <c r="E98" s="142">
        <v>0</v>
      </c>
      <c r="F98" s="142">
        <v>0</v>
      </c>
      <c r="G98" s="142">
        <v>0</v>
      </c>
      <c r="H98" s="142">
        <v>8011</v>
      </c>
      <c r="I98" s="142">
        <v>4334</v>
      </c>
      <c r="J98" s="142">
        <v>5000</v>
      </c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1">
        <f t="shared" si="5"/>
        <v>20721</v>
      </c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="5" customFormat="1" spans="1:52">
      <c r="A99" s="40">
        <v>46025</v>
      </c>
      <c r="B99" s="142">
        <v>3332</v>
      </c>
      <c r="C99" s="142">
        <v>0</v>
      </c>
      <c r="D99" s="142">
        <v>0</v>
      </c>
      <c r="E99" s="142">
        <v>0</v>
      </c>
      <c r="F99" s="142">
        <v>0</v>
      </c>
      <c r="G99" s="142">
        <v>0</v>
      </c>
      <c r="H99" s="142">
        <v>12061</v>
      </c>
      <c r="I99" s="142">
        <v>7495</v>
      </c>
      <c r="J99" s="142"/>
      <c r="K99" s="142">
        <v>16175</v>
      </c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1">
        <f t="shared" si="5"/>
        <v>39063</v>
      </c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="5" customFormat="1" spans="1:52">
      <c r="A100" s="40">
        <v>46027</v>
      </c>
      <c r="B100" s="142"/>
      <c r="C100" s="142">
        <v>0</v>
      </c>
      <c r="D100" s="142">
        <v>0</v>
      </c>
      <c r="E100" s="142">
        <v>0</v>
      </c>
      <c r="F100" s="142">
        <v>0</v>
      </c>
      <c r="G100" s="142">
        <v>0</v>
      </c>
      <c r="H100" s="142">
        <v>6583</v>
      </c>
      <c r="I100" s="142">
        <v>16100</v>
      </c>
      <c r="J100" s="142"/>
      <c r="K100" s="142"/>
      <c r="L100" s="142">
        <v>10310</v>
      </c>
      <c r="M100" s="142">
        <v>5998</v>
      </c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1">
        <f t="shared" si="5"/>
        <v>38991</v>
      </c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="5" customFormat="1" spans="1:52">
      <c r="A101" s="40">
        <v>46028</v>
      </c>
      <c r="B101" s="142"/>
      <c r="C101" s="142">
        <v>0</v>
      </c>
      <c r="D101" s="142">
        <v>0</v>
      </c>
      <c r="E101" s="142">
        <v>0</v>
      </c>
      <c r="F101" s="142"/>
      <c r="G101" s="142">
        <v>0</v>
      </c>
      <c r="H101" s="142"/>
      <c r="I101" s="142"/>
      <c r="J101" s="142"/>
      <c r="K101" s="142"/>
      <c r="L101" s="142"/>
      <c r="M101" s="142">
        <v>14286</v>
      </c>
      <c r="N101" s="142">
        <v>15482</v>
      </c>
      <c r="O101" s="142">
        <v>10000</v>
      </c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1">
        <f t="shared" si="5"/>
        <v>39768</v>
      </c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="5" customFormat="1" spans="1:52">
      <c r="A102" s="40">
        <v>46029</v>
      </c>
      <c r="B102" s="142"/>
      <c r="C102" s="142">
        <v>0</v>
      </c>
      <c r="D102" s="142">
        <v>0</v>
      </c>
      <c r="E102" s="142">
        <v>0</v>
      </c>
      <c r="F102" s="142"/>
      <c r="G102" s="142">
        <v>0</v>
      </c>
      <c r="H102" s="142"/>
      <c r="I102" s="142"/>
      <c r="J102" s="142"/>
      <c r="K102" s="142"/>
      <c r="L102" s="142"/>
      <c r="M102" s="142">
        <v>11416</v>
      </c>
      <c r="N102" s="142">
        <v>11080</v>
      </c>
      <c r="O102" s="142">
        <v>6770</v>
      </c>
      <c r="P102" s="142">
        <v>8520</v>
      </c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1">
        <f t="shared" si="5"/>
        <v>37786</v>
      </c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="5" customFormat="1" spans="1:52">
      <c r="A103" s="40">
        <v>46030</v>
      </c>
      <c r="B103" s="142"/>
      <c r="C103" s="142">
        <v>0</v>
      </c>
      <c r="D103" s="142">
        <v>0</v>
      </c>
      <c r="E103" s="142">
        <v>0</v>
      </c>
      <c r="F103" s="142"/>
      <c r="G103" s="142">
        <v>0</v>
      </c>
      <c r="H103" s="142"/>
      <c r="I103" s="142"/>
      <c r="J103" s="142"/>
      <c r="K103" s="142"/>
      <c r="L103" s="142"/>
      <c r="M103" s="142">
        <v>14390</v>
      </c>
      <c r="N103" s="142">
        <v>13257</v>
      </c>
      <c r="O103" s="142"/>
      <c r="P103" s="142">
        <v>10000</v>
      </c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1">
        <f t="shared" si="5"/>
        <v>37647</v>
      </c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="5" customFormat="1" spans="1:52">
      <c r="A104" s="40">
        <v>46031</v>
      </c>
      <c r="B104" s="142"/>
      <c r="C104" s="142">
        <v>0</v>
      </c>
      <c r="D104" s="142">
        <v>0</v>
      </c>
      <c r="E104" s="142">
        <v>0</v>
      </c>
      <c r="F104" s="142">
        <v>11518</v>
      </c>
      <c r="G104" s="142">
        <v>0</v>
      </c>
      <c r="H104" s="142"/>
      <c r="I104" s="142"/>
      <c r="J104" s="142"/>
      <c r="K104" s="142"/>
      <c r="L104" s="142"/>
      <c r="M104" s="142">
        <v>2804</v>
      </c>
      <c r="N104" s="142">
        <v>8716</v>
      </c>
      <c r="O104" s="142"/>
      <c r="P104" s="142"/>
      <c r="Q104" s="142">
        <v>10000</v>
      </c>
      <c r="R104" s="142">
        <v>4175</v>
      </c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1">
        <f t="shared" si="5"/>
        <v>37213</v>
      </c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="5" customFormat="1" spans="1:52">
      <c r="A105" s="40">
        <v>46032</v>
      </c>
      <c r="B105" s="142"/>
      <c r="C105" s="142">
        <v>0</v>
      </c>
      <c r="D105" s="142">
        <v>0</v>
      </c>
      <c r="E105" s="142">
        <v>0</v>
      </c>
      <c r="F105" s="142">
        <v>11243</v>
      </c>
      <c r="G105" s="142">
        <v>0</v>
      </c>
      <c r="H105" s="142"/>
      <c r="I105" s="142"/>
      <c r="J105" s="142"/>
      <c r="K105" s="142"/>
      <c r="L105" s="142"/>
      <c r="M105" s="142"/>
      <c r="N105" s="142"/>
      <c r="O105" s="142"/>
      <c r="P105" s="142"/>
      <c r="Q105" s="142">
        <v>7550</v>
      </c>
      <c r="R105" s="142">
        <v>10065</v>
      </c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1">
        <f t="shared" si="5"/>
        <v>28858</v>
      </c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="5" customFormat="1" spans="1:52">
      <c r="A106" s="40">
        <v>46034</v>
      </c>
      <c r="B106" s="142"/>
      <c r="C106" s="142">
        <v>0</v>
      </c>
      <c r="D106" s="142">
        <v>2711</v>
      </c>
      <c r="E106" s="142">
        <v>0</v>
      </c>
      <c r="F106" s="142">
        <v>10356</v>
      </c>
      <c r="G106" s="142">
        <v>0</v>
      </c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>
        <v>13139</v>
      </c>
      <c r="S106" s="142">
        <v>11000</v>
      </c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1">
        <f t="shared" si="5"/>
        <v>37206</v>
      </c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="5" customFormat="1" spans="1:52">
      <c r="A107" s="40">
        <v>46035</v>
      </c>
      <c r="B107" s="142"/>
      <c r="C107" s="142"/>
      <c r="D107" s="142">
        <v>15051</v>
      </c>
      <c r="E107" s="142">
        <v>0</v>
      </c>
      <c r="F107" s="142"/>
      <c r="G107" s="142">
        <v>0</v>
      </c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>
        <v>11067</v>
      </c>
      <c r="S107" s="142">
        <v>10095</v>
      </c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1">
        <f t="shared" si="5"/>
        <v>36213</v>
      </c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="5" customFormat="1" spans="1:52">
      <c r="A108" s="40">
        <v>46036</v>
      </c>
      <c r="B108" s="142"/>
      <c r="C108" s="142"/>
      <c r="D108" s="142">
        <v>9979</v>
      </c>
      <c r="E108" s="142">
        <v>0</v>
      </c>
      <c r="F108" s="142"/>
      <c r="G108" s="142">
        <v>0</v>
      </c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>
        <v>9776</v>
      </c>
      <c r="S108" s="142"/>
      <c r="T108" s="142">
        <v>7365</v>
      </c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1">
        <f t="shared" si="5"/>
        <v>27120</v>
      </c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="5" customFormat="1" spans="1:52">
      <c r="A109" s="40">
        <v>46037</v>
      </c>
      <c r="B109" s="142"/>
      <c r="C109" s="142"/>
      <c r="D109" s="142">
        <v>10109</v>
      </c>
      <c r="E109" s="142">
        <v>0</v>
      </c>
      <c r="F109" s="142"/>
      <c r="G109" s="142">
        <v>0</v>
      </c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>
        <v>9222</v>
      </c>
      <c r="S109" s="142"/>
      <c r="T109" s="142">
        <v>9000</v>
      </c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1">
        <f t="shared" si="5"/>
        <v>28331</v>
      </c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="5" customFormat="1" spans="1:52">
      <c r="A110" s="40">
        <v>46038</v>
      </c>
      <c r="B110" s="142"/>
      <c r="C110" s="142"/>
      <c r="D110" s="142">
        <v>14161</v>
      </c>
      <c r="E110" s="142">
        <v>0</v>
      </c>
      <c r="F110" s="142"/>
      <c r="G110" s="142">
        <v>0</v>
      </c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>
        <v>6000</v>
      </c>
      <c r="V110" s="142">
        <v>15301</v>
      </c>
      <c r="W110" s="142"/>
      <c r="X110" s="142"/>
      <c r="Y110" s="142"/>
      <c r="Z110" s="142"/>
      <c r="AA110" s="142"/>
      <c r="AB110" s="142"/>
      <c r="AC110" s="142"/>
      <c r="AD110" s="142"/>
      <c r="AE110" s="141">
        <f t="shared" si="5"/>
        <v>35462</v>
      </c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="5" customFormat="1" spans="1:52">
      <c r="A111" s="40">
        <v>46039</v>
      </c>
      <c r="B111" s="142"/>
      <c r="C111" s="142"/>
      <c r="D111" s="142">
        <v>10081</v>
      </c>
      <c r="E111" s="142">
        <v>0</v>
      </c>
      <c r="F111" s="142"/>
      <c r="G111" s="142">
        <v>0</v>
      </c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>
        <v>6000</v>
      </c>
      <c r="V111" s="142">
        <v>10030</v>
      </c>
      <c r="W111" s="142"/>
      <c r="X111" s="142"/>
      <c r="Y111" s="142"/>
      <c r="Z111" s="142"/>
      <c r="AA111" s="142"/>
      <c r="AB111" s="142"/>
      <c r="AC111" s="142"/>
      <c r="AD111" s="142"/>
      <c r="AE111" s="141">
        <f t="shared" si="5"/>
        <v>26111</v>
      </c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="5" customFormat="1" spans="1:52">
      <c r="A112" s="40">
        <v>46041</v>
      </c>
      <c r="B112" s="142"/>
      <c r="C112" s="142">
        <v>19886</v>
      </c>
      <c r="D112" s="142"/>
      <c r="E112" s="142">
        <v>0</v>
      </c>
      <c r="F112" s="142"/>
      <c r="G112" s="142">
        <v>0</v>
      </c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>
        <v>4700</v>
      </c>
      <c r="V112" s="142">
        <v>4551</v>
      </c>
      <c r="W112" s="142">
        <v>13058</v>
      </c>
      <c r="X112" s="142"/>
      <c r="Y112" s="142"/>
      <c r="Z112" s="142"/>
      <c r="AA112" s="142"/>
      <c r="AB112" s="142"/>
      <c r="AC112" s="142"/>
      <c r="AD112" s="142"/>
      <c r="AE112" s="141">
        <f t="shared" si="5"/>
        <v>42195</v>
      </c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="5" customFormat="1" spans="1:52">
      <c r="A113" s="40">
        <v>46042</v>
      </c>
      <c r="B113" s="142"/>
      <c r="C113" s="142">
        <v>11847</v>
      </c>
      <c r="D113" s="142"/>
      <c r="E113" s="142">
        <v>0</v>
      </c>
      <c r="F113" s="142"/>
      <c r="G113" s="142">
        <v>0</v>
      </c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>
        <v>23143</v>
      </c>
      <c r="X113" s="142"/>
      <c r="Y113" s="142"/>
      <c r="Z113" s="142"/>
      <c r="AA113" s="142"/>
      <c r="AB113" s="142"/>
      <c r="AC113" s="142"/>
      <c r="AD113" s="142"/>
      <c r="AE113" s="141">
        <f t="shared" si="5"/>
        <v>34990</v>
      </c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="5" customFormat="1" spans="1:52">
      <c r="A114" s="40">
        <v>46043</v>
      </c>
      <c r="B114" s="142"/>
      <c r="C114" s="142">
        <v>11318</v>
      </c>
      <c r="D114" s="142"/>
      <c r="E114" s="142">
        <v>0</v>
      </c>
      <c r="F114" s="142"/>
      <c r="G114" s="142">
        <v>0</v>
      </c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>
        <v>22308</v>
      </c>
      <c r="X114" s="142"/>
      <c r="Y114" s="142"/>
      <c r="Z114" s="142"/>
      <c r="AA114" s="142"/>
      <c r="AB114" s="142"/>
      <c r="AC114" s="142"/>
      <c r="AD114" s="142"/>
      <c r="AE114" s="141">
        <f t="shared" si="5"/>
        <v>33626</v>
      </c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="5" customFormat="1" spans="1:52">
      <c r="A115" s="40">
        <v>46044</v>
      </c>
      <c r="B115" s="142"/>
      <c r="C115" s="142">
        <v>10535</v>
      </c>
      <c r="D115" s="142"/>
      <c r="E115" s="142">
        <v>0</v>
      </c>
      <c r="F115" s="142"/>
      <c r="G115" s="142">
        <v>2785</v>
      </c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>
        <v>15015</v>
      </c>
      <c r="X115" s="142">
        <v>1230</v>
      </c>
      <c r="Y115" s="142"/>
      <c r="Z115" s="142"/>
      <c r="AA115" s="142"/>
      <c r="AB115" s="142"/>
      <c r="AC115" s="142"/>
      <c r="AD115" s="142"/>
      <c r="AE115" s="141">
        <f t="shared" si="5"/>
        <v>29565</v>
      </c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="5" customFormat="1" spans="1:52">
      <c r="A116" s="40">
        <v>46045</v>
      </c>
      <c r="B116" s="142"/>
      <c r="C116" s="142"/>
      <c r="D116" s="142"/>
      <c r="E116" s="142">
        <v>0</v>
      </c>
      <c r="F116" s="142"/>
      <c r="G116" s="142">
        <v>9281</v>
      </c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>
        <v>6000</v>
      </c>
      <c r="Y116" s="142">
        <v>10109</v>
      </c>
      <c r="Z116" s="142"/>
      <c r="AA116" s="142"/>
      <c r="AB116" s="142"/>
      <c r="AC116" s="142"/>
      <c r="AD116" s="142"/>
      <c r="AE116" s="141">
        <f t="shared" si="5"/>
        <v>25390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="5" customFormat="1" spans="1:52">
      <c r="A117" s="40">
        <v>46046</v>
      </c>
      <c r="B117" s="142"/>
      <c r="C117" s="142"/>
      <c r="D117" s="142"/>
      <c r="E117" s="142">
        <v>0</v>
      </c>
      <c r="F117" s="142"/>
      <c r="G117" s="142">
        <v>13553</v>
      </c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>
        <v>5000</v>
      </c>
      <c r="Y117" s="142">
        <v>12834</v>
      </c>
      <c r="Z117" s="142"/>
      <c r="AA117" s="142"/>
      <c r="AB117" s="142"/>
      <c r="AC117" s="142"/>
      <c r="AD117" s="142"/>
      <c r="AE117" s="141">
        <f t="shared" si="5"/>
        <v>31387</v>
      </c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="5" customFormat="1" spans="1:52">
      <c r="A118" s="40">
        <v>46048</v>
      </c>
      <c r="B118" s="142"/>
      <c r="C118" s="142"/>
      <c r="D118" s="142"/>
      <c r="E118" s="142">
        <v>0</v>
      </c>
      <c r="F118" s="142"/>
      <c r="G118" s="142">
        <v>15967</v>
      </c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>
        <v>5000</v>
      </c>
      <c r="Y118" s="142">
        <v>13964</v>
      </c>
      <c r="Z118" s="142">
        <v>10020</v>
      </c>
      <c r="AA118" s="142"/>
      <c r="AB118" s="142"/>
      <c r="AC118" s="142"/>
      <c r="AD118" s="142"/>
      <c r="AE118" s="141">
        <f t="shared" si="5"/>
        <v>44951</v>
      </c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="5" customFormat="1" spans="1:52">
      <c r="A119" s="40">
        <v>46049</v>
      </c>
      <c r="B119" s="142"/>
      <c r="C119" s="142"/>
      <c r="D119" s="142"/>
      <c r="E119" s="142">
        <v>0</v>
      </c>
      <c r="F119" s="142"/>
      <c r="G119" s="142">
        <v>14763</v>
      </c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>
        <v>15568</v>
      </c>
      <c r="Z119" s="142">
        <v>7000</v>
      </c>
      <c r="AA119" s="142"/>
      <c r="AB119" s="142"/>
      <c r="AC119" s="142"/>
      <c r="AD119" s="142"/>
      <c r="AE119" s="141">
        <f t="shared" si="5"/>
        <v>37331</v>
      </c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="5" customFormat="1" spans="1:52">
      <c r="A120" s="40">
        <v>46050</v>
      </c>
      <c r="B120" s="142"/>
      <c r="C120" s="142"/>
      <c r="D120" s="142"/>
      <c r="E120" s="142">
        <v>0</v>
      </c>
      <c r="F120" s="142"/>
      <c r="G120" s="142">
        <v>9911</v>
      </c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>
        <v>7839</v>
      </c>
      <c r="Z120" s="142"/>
      <c r="AA120" s="142">
        <v>5450</v>
      </c>
      <c r="AB120" s="142"/>
      <c r="AC120" s="142"/>
      <c r="AD120" s="142"/>
      <c r="AE120" s="141">
        <f t="shared" si="5"/>
        <v>23200</v>
      </c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="5" customFormat="1" spans="1:52">
      <c r="A121" s="40">
        <v>46051</v>
      </c>
      <c r="B121" s="142"/>
      <c r="C121" s="142"/>
      <c r="D121" s="142"/>
      <c r="E121" s="142">
        <v>0</v>
      </c>
      <c r="F121" s="142"/>
      <c r="G121" s="142">
        <v>4926</v>
      </c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>
        <v>10990</v>
      </c>
      <c r="Z121" s="142"/>
      <c r="AA121" s="142">
        <v>12000</v>
      </c>
      <c r="AB121" s="142"/>
      <c r="AC121" s="142"/>
      <c r="AD121" s="142"/>
      <c r="AE121" s="141">
        <f t="shared" si="5"/>
        <v>27916</v>
      </c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="5" customFormat="1" spans="1:52">
      <c r="A122" s="40">
        <v>46052</v>
      </c>
      <c r="B122" s="142"/>
      <c r="C122" s="142"/>
      <c r="D122" s="142"/>
      <c r="E122" s="142">
        <v>5651</v>
      </c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>
        <v>10003</v>
      </c>
      <c r="Z122" s="142"/>
      <c r="AA122" s="142"/>
      <c r="AB122" s="142">
        <v>4233</v>
      </c>
      <c r="AC122" s="142">
        <v>8400</v>
      </c>
      <c r="AD122" s="142"/>
      <c r="AE122" s="141">
        <f t="shared" si="5"/>
        <v>28287</v>
      </c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="5" customFormat="1" spans="1:52">
      <c r="A123" s="143">
        <v>46053</v>
      </c>
      <c r="B123" s="144"/>
      <c r="C123" s="144"/>
      <c r="D123" s="144"/>
      <c r="E123" s="144">
        <v>0</v>
      </c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>
        <v>0</v>
      </c>
      <c r="AC123" s="144">
        <v>0</v>
      </c>
      <c r="AD123" s="144"/>
      <c r="AE123" s="141">
        <f t="shared" si="5"/>
        <v>0</v>
      </c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="5" customFormat="1" spans="1:52">
      <c r="A124" s="145"/>
      <c r="B124" s="146">
        <f t="shared" ref="B124:J124" si="6">SUM(B97:B123)</f>
        <v>6708</v>
      </c>
      <c r="C124" s="146">
        <f t="shared" si="6"/>
        <v>53586</v>
      </c>
      <c r="D124" s="146">
        <f t="shared" si="6"/>
        <v>62092</v>
      </c>
      <c r="E124" s="146">
        <f t="shared" si="6"/>
        <v>5651</v>
      </c>
      <c r="F124" s="146">
        <f t="shared" si="6"/>
        <v>33117</v>
      </c>
      <c r="G124" s="146">
        <f t="shared" si="6"/>
        <v>71186</v>
      </c>
      <c r="H124" s="146">
        <f t="shared" si="6"/>
        <v>26655</v>
      </c>
      <c r="I124" s="146">
        <f t="shared" si="6"/>
        <v>27929</v>
      </c>
      <c r="J124" s="146">
        <f t="shared" si="6"/>
        <v>5000</v>
      </c>
      <c r="K124" s="146">
        <f t="shared" ref="K124:AC124" si="7">SUM(K97:K123)</f>
        <v>16175</v>
      </c>
      <c r="L124" s="146">
        <f t="shared" si="7"/>
        <v>10310</v>
      </c>
      <c r="M124" s="146">
        <f t="shared" si="7"/>
        <v>48894</v>
      </c>
      <c r="N124" s="146">
        <f t="shared" si="7"/>
        <v>48535</v>
      </c>
      <c r="O124" s="146">
        <f t="shared" si="7"/>
        <v>16770</v>
      </c>
      <c r="P124" s="146">
        <f t="shared" si="7"/>
        <v>18520</v>
      </c>
      <c r="Q124" s="146">
        <f t="shared" si="7"/>
        <v>17550</v>
      </c>
      <c r="R124" s="146">
        <f t="shared" si="7"/>
        <v>57444</v>
      </c>
      <c r="S124" s="146">
        <f t="shared" si="7"/>
        <v>21095</v>
      </c>
      <c r="T124" s="146">
        <f t="shared" si="7"/>
        <v>16365</v>
      </c>
      <c r="U124" s="146">
        <f t="shared" si="7"/>
        <v>16700</v>
      </c>
      <c r="V124" s="146">
        <f t="shared" si="7"/>
        <v>29882</v>
      </c>
      <c r="W124" s="146">
        <f t="shared" si="7"/>
        <v>73524</v>
      </c>
      <c r="X124" s="146">
        <f t="shared" si="7"/>
        <v>17230</v>
      </c>
      <c r="Y124" s="146">
        <f t="shared" si="7"/>
        <v>81307</v>
      </c>
      <c r="Z124" s="146">
        <f t="shared" si="7"/>
        <v>17020</v>
      </c>
      <c r="AA124" s="146">
        <f t="shared" si="7"/>
        <v>17450</v>
      </c>
      <c r="AB124" s="146">
        <f t="shared" si="7"/>
        <v>4233</v>
      </c>
      <c r="AC124" s="146">
        <f t="shared" si="7"/>
        <v>8400</v>
      </c>
      <c r="AD124" s="147"/>
      <c r="AE124" s="148">
        <f>SUM(B124:AC124)</f>
        <v>829328</v>
      </c>
      <c r="AF124" s="58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="5" customFormat="1" spans="1:52">
      <c r="A125" s="39"/>
      <c r="B125" s="149">
        <f t="shared" ref="B125:J125" si="8">+B96-B124</f>
        <v>5372</v>
      </c>
      <c r="C125" s="149">
        <f t="shared" si="8"/>
        <v>2346</v>
      </c>
      <c r="D125" s="149">
        <f t="shared" si="8"/>
        <v>1718</v>
      </c>
      <c r="E125" s="150">
        <f t="shared" si="8"/>
        <v>51293</v>
      </c>
      <c r="F125" s="149">
        <f t="shared" si="8"/>
        <v>1288</v>
      </c>
      <c r="G125" s="149">
        <f t="shared" si="8"/>
        <v>3271</v>
      </c>
      <c r="H125" s="149">
        <f t="shared" si="8"/>
        <v>4710</v>
      </c>
      <c r="I125" s="149">
        <f t="shared" si="8"/>
        <v>417</v>
      </c>
      <c r="J125" s="149">
        <f t="shared" si="8"/>
        <v>0</v>
      </c>
      <c r="K125" s="149">
        <f t="shared" ref="K125:AC125" si="9">+K96-K124</f>
        <v>0</v>
      </c>
      <c r="L125" s="149">
        <f t="shared" si="9"/>
        <v>0</v>
      </c>
      <c r="M125" s="149">
        <f t="shared" si="9"/>
        <v>2921</v>
      </c>
      <c r="N125" s="149">
        <f t="shared" si="9"/>
        <v>700</v>
      </c>
      <c r="O125" s="149">
        <f t="shared" si="9"/>
        <v>0</v>
      </c>
      <c r="P125" s="149">
        <f t="shared" si="9"/>
        <v>0</v>
      </c>
      <c r="Q125" s="149">
        <f t="shared" si="9"/>
        <v>0</v>
      </c>
      <c r="R125" s="149">
        <f t="shared" si="9"/>
        <v>1466</v>
      </c>
      <c r="S125" s="149">
        <f t="shared" si="9"/>
        <v>0</v>
      </c>
      <c r="T125" s="149">
        <f t="shared" si="9"/>
        <v>0</v>
      </c>
      <c r="U125" s="149">
        <f t="shared" si="9"/>
        <v>0</v>
      </c>
      <c r="V125" s="149">
        <f t="shared" si="9"/>
        <v>523</v>
      </c>
      <c r="W125" s="149">
        <f t="shared" si="9"/>
        <v>1721</v>
      </c>
      <c r="X125" s="149">
        <f t="shared" si="9"/>
        <v>0</v>
      </c>
      <c r="Y125" s="149">
        <f t="shared" si="9"/>
        <v>2443</v>
      </c>
      <c r="Z125" s="149">
        <f t="shared" si="9"/>
        <v>0</v>
      </c>
      <c r="AA125" s="149">
        <f t="shared" si="9"/>
        <v>0</v>
      </c>
      <c r="AB125" s="150">
        <f t="shared" si="9"/>
        <v>56017</v>
      </c>
      <c r="AC125" s="150">
        <f t="shared" si="9"/>
        <v>8487</v>
      </c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="5" customFormat="1" spans="1:52">
      <c r="B126" s="200"/>
      <c r="C126" s="200"/>
      <c r="V126" s="201">
        <f t="shared" ref="V126:Y126" si="10">V125/V96*100</f>
        <v>1.72011182371321</v>
      </c>
      <c r="W126" s="201">
        <f t="shared" si="10"/>
        <v>2.28719516246927</v>
      </c>
      <c r="Y126" s="201">
        <f t="shared" si="10"/>
        <v>2.91701492537313</v>
      </c>
    </row>
    <row r="127" s="5" customFormat="1" spans="1:52">
      <c r="A127" s="2" t="s">
        <v>143</v>
      </c>
    </row>
    <row r="128" s="5" customFormat="1"/>
    <row r="129" s="5" customFormat="1" spans="1:16">
      <c r="A129" s="236" t="s">
        <v>144</v>
      </c>
    </row>
    <row r="130" s="5" customFormat="1" spans="1:16">
      <c r="A130" s="5" t="s">
        <v>145</v>
      </c>
      <c r="K130"/>
      <c r="L130"/>
      <c r="M130"/>
      <c r="N130"/>
      <c r="O130"/>
      <c r="P130"/>
    </row>
    <row r="131" s="5" customFormat="1" spans="1:16">
      <c r="K131"/>
      <c r="L131"/>
      <c r="M131"/>
      <c r="N131"/>
      <c r="O131"/>
      <c r="P131"/>
    </row>
    <row r="132" spans="1:16">
      <c r="A132" s="236" t="s">
        <v>146</v>
      </c>
    </row>
    <row r="133" spans="1:16">
      <c r="A133" t="s">
        <v>147</v>
      </c>
    </row>
    <row r="134" spans="1:16">
      <c r="A134" t="s">
        <v>148</v>
      </c>
    </row>
    <row r="135" customFormat="1" spans="1:16">
      <c r="A135" t="s">
        <v>149</v>
      </c>
    </row>
    <row r="136" customFormat="1" spans="1:16">
      <c r="A136" s="160" t="s">
        <v>150</v>
      </c>
    </row>
    <row r="137" customFormat="1" spans="1:16">
      <c r="A137" t="s">
        <v>151</v>
      </c>
    </row>
    <row r="138" customFormat="1" spans="1:16">
      <c r="A138" s="161">
        <v>74569</v>
      </c>
      <c r="B138" s="153" t="s">
        <v>152</v>
      </c>
    </row>
    <row r="140" spans="1:16">
      <c r="A140" s="236" t="s">
        <v>153</v>
      </c>
    </row>
    <row r="141" spans="1:16">
      <c r="A141" t="s">
        <v>154</v>
      </c>
    </row>
    <row r="142" spans="1:16">
      <c r="A142" t="s">
        <v>155</v>
      </c>
    </row>
    <row r="143" spans="1:16">
      <c r="A143" t="s">
        <v>156</v>
      </c>
    </row>
    <row r="144" spans="1:16">
      <c r="A144" s="160" t="s">
        <v>157</v>
      </c>
    </row>
    <row r="145" customFormat="1" spans="1:2">
      <c r="A145" t="s">
        <v>158</v>
      </c>
    </row>
    <row r="146" customFormat="1" spans="1:2">
      <c r="A146" s="161">
        <v>74260</v>
      </c>
      <c r="B146" s="153" t="s">
        <v>159</v>
      </c>
    </row>
    <row r="147" customFormat="1" spans="1:2">
      <c r="A147" s="160" t="s">
        <v>160</v>
      </c>
    </row>
    <row r="148" customFormat="1" spans="1:2">
      <c r="A148" t="s">
        <v>161</v>
      </c>
    </row>
    <row r="149" customFormat="1" spans="1:2">
      <c r="A149" s="161">
        <v>51780</v>
      </c>
      <c r="B149" s="153" t="s">
        <v>162</v>
      </c>
    </row>
    <row r="151" spans="1:2">
      <c r="A151" s="236" t="s">
        <v>163</v>
      </c>
    </row>
    <row r="152" spans="1:2">
      <c r="A152" t="s">
        <v>164</v>
      </c>
    </row>
    <row r="154" spans="1:2">
      <c r="A154" s="236" t="s">
        <v>165</v>
      </c>
    </row>
    <row r="155" spans="1:2">
      <c r="A155" t="s">
        <v>166</v>
      </c>
    </row>
    <row r="156" spans="1:2">
      <c r="A156" t="s">
        <v>167</v>
      </c>
    </row>
    <row r="158" spans="1:2">
      <c r="A158" s="236" t="s">
        <v>168</v>
      </c>
    </row>
    <row r="159" spans="1:2">
      <c r="A159" t="s">
        <v>167</v>
      </c>
    </row>
    <row r="161" customFormat="1" spans="1:2">
      <c r="A161" s="236" t="s">
        <v>169</v>
      </c>
    </row>
    <row r="162" customFormat="1" spans="1:2">
      <c r="A162" t="s">
        <v>170</v>
      </c>
    </row>
    <row r="163" customFormat="1" spans="1:2">
      <c r="A163" t="s">
        <v>171</v>
      </c>
    </row>
    <row r="164" customFormat="1" spans="1:2">
      <c r="A164" t="s">
        <v>149</v>
      </c>
    </row>
    <row r="165" customFormat="1" spans="1:2">
      <c r="A165" s="160" t="s">
        <v>172</v>
      </c>
    </row>
    <row r="166" customFormat="1" spans="1:2">
      <c r="A166" t="s">
        <v>173</v>
      </c>
    </row>
    <row r="167" customFormat="1" spans="1:2">
      <c r="A167" s="161">
        <v>51815</v>
      </c>
      <c r="B167" s="153" t="s">
        <v>174</v>
      </c>
    </row>
    <row r="168" customFormat="1" spans="1:2">
      <c r="A168" s="160" t="s">
        <v>175</v>
      </c>
    </row>
    <row r="169" customFormat="1" spans="1:2">
      <c r="A169" t="s">
        <v>176</v>
      </c>
    </row>
    <row r="170" customFormat="1" spans="1:2">
      <c r="A170" s="161">
        <v>49235</v>
      </c>
      <c r="B170" s="153" t="s">
        <v>177</v>
      </c>
    </row>
    <row r="172" spans="1:2">
      <c r="A172" s="236" t="s">
        <v>178</v>
      </c>
    </row>
    <row r="173" spans="1:2">
      <c r="A173" t="s">
        <v>179</v>
      </c>
    </row>
    <row r="174" spans="1:2">
      <c r="A174" t="s">
        <v>180</v>
      </c>
    </row>
    <row r="175" spans="1:2">
      <c r="A175" s="153" t="s">
        <v>181</v>
      </c>
    </row>
    <row r="177" spans="1:2">
      <c r="A177" s="236" t="s">
        <v>182</v>
      </c>
    </row>
    <row r="178" spans="1:2">
      <c r="A178" t="s">
        <v>183</v>
      </c>
    </row>
    <row r="179" spans="1:2">
      <c r="A179" t="s">
        <v>149</v>
      </c>
    </row>
    <row r="180" customFormat="1" spans="1:2">
      <c r="A180" s="160" t="s">
        <v>184</v>
      </c>
    </row>
    <row r="181" customFormat="1" spans="1:2">
      <c r="A181" t="s">
        <v>185</v>
      </c>
    </row>
    <row r="182" customFormat="1" spans="1:2">
      <c r="A182" s="161">
        <v>58910</v>
      </c>
      <c r="B182" s="153" t="s">
        <v>186</v>
      </c>
    </row>
    <row r="184" spans="1:2">
      <c r="A184" s="236" t="s">
        <v>187</v>
      </c>
    </row>
    <row r="185" spans="1:2">
      <c r="A185" t="s">
        <v>188</v>
      </c>
    </row>
    <row r="187" spans="1:2">
      <c r="A187" s="236" t="s">
        <v>189</v>
      </c>
    </row>
    <row r="188" spans="1:2">
      <c r="A188" t="s">
        <v>190</v>
      </c>
    </row>
    <row r="189" spans="1:2">
      <c r="A189" t="s">
        <v>149</v>
      </c>
    </row>
    <row r="190" spans="1:2">
      <c r="A190" s="160" t="s">
        <v>191</v>
      </c>
    </row>
    <row r="191" customFormat="1" spans="1:2">
      <c r="A191" t="s">
        <v>192</v>
      </c>
    </row>
    <row r="192" customFormat="1" spans="1:2">
      <c r="A192" s="161">
        <v>66474</v>
      </c>
      <c r="B192" s="153" t="s">
        <v>193</v>
      </c>
    </row>
    <row r="194" spans="1:2">
      <c r="A194" s="236" t="s">
        <v>194</v>
      </c>
    </row>
    <row r="195" spans="1:2">
      <c r="A195" t="s">
        <v>195</v>
      </c>
    </row>
    <row r="196" spans="1:2">
      <c r="A196" t="s">
        <v>196</v>
      </c>
    </row>
    <row r="197" spans="1:2">
      <c r="A197" s="153" t="s">
        <v>197</v>
      </c>
    </row>
    <row r="199" spans="1:2">
      <c r="A199" s="236" t="s">
        <v>198</v>
      </c>
    </row>
    <row r="200" spans="1:2">
      <c r="A200" t="s">
        <v>179</v>
      </c>
    </row>
    <row r="201" spans="1:2">
      <c r="A201" t="s">
        <v>199</v>
      </c>
    </row>
    <row r="202" spans="1:2">
      <c r="A202" t="s">
        <v>149</v>
      </c>
    </row>
    <row r="203" customFormat="1" spans="1:2">
      <c r="A203" s="160" t="s">
        <v>200</v>
      </c>
    </row>
    <row r="204" customFormat="1" spans="1:2">
      <c r="A204" t="s">
        <v>201</v>
      </c>
    </row>
    <row r="205" customFormat="1" spans="1:2">
      <c r="A205" s="161">
        <v>62888</v>
      </c>
      <c r="B205" s="153" t="s">
        <v>202</v>
      </c>
    </row>
    <row r="207" spans="1:2">
      <c r="A207" s="236" t="s">
        <v>203</v>
      </c>
    </row>
    <row r="208" spans="1:2">
      <c r="A208" t="s">
        <v>204</v>
      </c>
    </row>
    <row r="210" spans="1:2">
      <c r="A210" s="236" t="s">
        <v>205</v>
      </c>
    </row>
    <row r="211" spans="1:2">
      <c r="A211" t="s">
        <v>204</v>
      </c>
    </row>
    <row r="213" spans="1:2">
      <c r="A213" s="236" t="s">
        <v>206</v>
      </c>
    </row>
    <row r="214" spans="1:2">
      <c r="A214" t="s">
        <v>207</v>
      </c>
    </row>
    <row r="215" spans="1:2">
      <c r="A215" s="153" t="s">
        <v>208</v>
      </c>
    </row>
    <row r="216" customFormat="1" spans="1:2">
      <c r="A216" s="160" t="s">
        <v>209</v>
      </c>
    </row>
    <row r="217" customFormat="1" spans="1:2">
      <c r="A217" t="s">
        <v>210</v>
      </c>
    </row>
    <row r="218" customFormat="1" spans="1:2">
      <c r="A218" s="161">
        <v>74689</v>
      </c>
      <c r="B218" s="153" t="s">
        <v>211</v>
      </c>
    </row>
    <row r="220" spans="1:2">
      <c r="A220" s="236" t="s">
        <v>212</v>
      </c>
    </row>
    <row r="221" spans="1:2">
      <c r="A221" t="s">
        <v>213</v>
      </c>
    </row>
    <row r="222" spans="1:2">
      <c r="A222" t="s">
        <v>214</v>
      </c>
    </row>
    <row r="223" spans="1:2">
      <c r="A223" s="153" t="s">
        <v>215</v>
      </c>
    </row>
  </sheetData>
  <mergeCells count="2">
    <mergeCell ref="C32:Y32"/>
    <mergeCell ref="AD95:AD9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21"/>
  <sheetViews>
    <sheetView zoomScale="90" zoomScaleNormal="90" topLeftCell="F7" workbookViewId="0">
      <selection activeCell="AA28" sqref="AA28"/>
    </sheetView>
  </sheetViews>
  <sheetFormatPr defaultColWidth="9.14285714285714" defaultRowHeight="15"/>
  <cols>
    <col min="1" max="1" width="14.4380952380952" customWidth="1"/>
    <col min="2" max="2" width="39.9904761904762" customWidth="1"/>
    <col min="3" max="3" width="13.3333333333333" customWidth="1"/>
    <col min="4" max="4" width="11" customWidth="1"/>
    <col min="5" max="5" width="12.8571428571429" customWidth="1"/>
    <col min="6" max="6" width="12.1428571428571" customWidth="1"/>
    <col min="9" max="9" width="12.6952380952381" customWidth="1"/>
    <col min="10" max="10" width="14.2857142857143" customWidth="1"/>
    <col min="11" max="11" width="13.1428571428571" customWidth="1"/>
    <col min="12" max="12" width="12.5714285714286" customWidth="1"/>
    <col min="13" max="13" width="15.1428571428571" customWidth="1"/>
    <col min="14" max="14" width="12.2190476190476" customWidth="1"/>
    <col min="16" max="16" width="12.4285714285714" customWidth="1"/>
    <col min="20" max="20" width="11.1047619047619" customWidth="1"/>
    <col min="21" max="21" width="12.0571428571429" customWidth="1"/>
    <col min="22" max="22" width="13.9619047619048" customWidth="1"/>
    <col min="23" max="23" width="13.3238095238095" customWidth="1"/>
    <col min="48" max="50" width="9.14285714285714" hidden="1" customWidth="1"/>
  </cols>
  <sheetData>
    <row r="1" s="5" customFormat="1" spans="1:48">
      <c r="A1" s="235" t="s">
        <v>216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5" customFormat="1" spans="1:48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="5" customFormat="1" spans="1:48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</row>
    <row r="4" s="5" customFormat="1" spans="1:48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34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</row>
    <row r="5" s="5" customFormat="1" spans="1:48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</row>
    <row r="6" s="5" customFormat="1" spans="1:48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155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</row>
    <row r="7" s="5" customFormat="1" spans="1:48">
      <c r="A7" s="44">
        <v>46055</v>
      </c>
      <c r="B7" s="41">
        <v>20499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68</v>
      </c>
      <c r="AA7" s="35">
        <v>26</v>
      </c>
      <c r="AB7" s="33">
        <f t="shared" ref="AB7:AB11" si="0">AA7*Z7</f>
        <v>1768</v>
      </c>
      <c r="AC7" s="155"/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</row>
    <row r="8" s="5" customFormat="1" spans="1:48">
      <c r="A8" s="44"/>
      <c r="B8" s="41"/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>
        <v>7</v>
      </c>
      <c r="W8" s="34"/>
      <c r="X8" s="34"/>
      <c r="Y8" s="34"/>
      <c r="Z8" s="34"/>
      <c r="AA8" s="35">
        <v>550</v>
      </c>
      <c r="AB8" s="33">
        <f t="shared" ref="AB8:AB12" si="1">AA8*V8</f>
        <v>3850</v>
      </c>
      <c r="AC8" s="43">
        <v>2381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</row>
    <row r="9" s="5" customFormat="1" spans="1:48">
      <c r="A9" s="44">
        <v>46056</v>
      </c>
      <c r="B9" s="41">
        <v>35007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v>360</v>
      </c>
      <c r="AA9" s="35">
        <v>26</v>
      </c>
      <c r="AB9" s="33">
        <f t="shared" si="0"/>
        <v>9360</v>
      </c>
      <c r="AC9" s="155"/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</row>
    <row r="10" s="5" customFormat="1" spans="1:48">
      <c r="A10" s="44"/>
      <c r="B10" s="41"/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>
        <v>31</v>
      </c>
      <c r="W10" s="34"/>
      <c r="X10" s="34"/>
      <c r="Y10" s="34"/>
      <c r="Z10" s="34"/>
      <c r="AA10" s="35">
        <v>550</v>
      </c>
      <c r="AB10" s="33">
        <f t="shared" si="1"/>
        <v>17050</v>
      </c>
      <c r="AC10" s="155">
        <v>2965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</row>
    <row r="11" s="5" customFormat="1" spans="1:48">
      <c r="A11" s="44">
        <v>46057</v>
      </c>
      <c r="B11" s="41">
        <v>29516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v>304</v>
      </c>
      <c r="AA11" s="35">
        <v>26</v>
      </c>
      <c r="AB11" s="33">
        <f t="shared" si="0"/>
        <v>7904</v>
      </c>
      <c r="AC11" s="43"/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</row>
    <row r="12" s="5" customFormat="1" spans="1:48">
      <c r="A12" s="44"/>
      <c r="B12" s="41"/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>
        <v>27</v>
      </c>
      <c r="W12" s="34"/>
      <c r="X12" s="34"/>
      <c r="Y12" s="34"/>
      <c r="Z12" s="34"/>
      <c r="AA12" s="35">
        <v>550</v>
      </c>
      <c r="AB12" s="33">
        <f t="shared" si="1"/>
        <v>14850</v>
      </c>
      <c r="AC12" s="155">
        <v>4110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</row>
    <row r="13" s="5" customFormat="1" spans="1:48">
      <c r="A13" s="44">
        <v>46058</v>
      </c>
      <c r="B13" s="41">
        <v>29637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>
        <v>290</v>
      </c>
      <c r="AA13" s="35">
        <v>26</v>
      </c>
      <c r="AB13" s="33">
        <f>AA13*Z13</f>
        <v>7540</v>
      </c>
      <c r="AC13" s="43"/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</row>
    <row r="14" s="5" customFormat="1" spans="1:48">
      <c r="A14" s="44"/>
      <c r="B14" s="41"/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>
        <v>24</v>
      </c>
      <c r="W14" s="34"/>
      <c r="X14" s="34"/>
      <c r="Y14" s="34"/>
      <c r="Z14" s="34"/>
      <c r="AA14" s="35">
        <v>550</v>
      </c>
      <c r="AB14" s="33">
        <f>AA14*V14</f>
        <v>13200</v>
      </c>
      <c r="AC14" s="43">
        <v>3902</v>
      </c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</row>
    <row r="15" s="5" customFormat="1" spans="1:48">
      <c r="A15" s="44">
        <v>46059</v>
      </c>
      <c r="B15" s="41">
        <v>22226</v>
      </c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>
        <v>10</v>
      </c>
      <c r="W15" s="34"/>
      <c r="X15" s="34"/>
      <c r="Y15" s="34"/>
      <c r="Z15" s="34"/>
      <c r="AA15" s="35">
        <v>550</v>
      </c>
      <c r="AB15" s="33">
        <f>AA15*V15</f>
        <v>5500</v>
      </c>
      <c r="AC15" s="189"/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</row>
    <row r="16" s="5" customFormat="1" spans="1:48">
      <c r="A16" s="44"/>
      <c r="B16" s="41"/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>
        <v>3</v>
      </c>
      <c r="T16" s="34"/>
      <c r="U16" s="34"/>
      <c r="V16" s="34"/>
      <c r="W16" s="34"/>
      <c r="X16" s="34"/>
      <c r="Y16" s="34"/>
      <c r="Z16" s="34"/>
      <c r="AA16" s="35">
        <v>550</v>
      </c>
      <c r="AB16" s="33">
        <f t="shared" ref="AB16:AB20" si="2">AA16*S16</f>
        <v>1650</v>
      </c>
      <c r="AC16" s="43"/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</row>
    <row r="17" s="5" customFormat="1" spans="1:48">
      <c r="A17" s="44"/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>
        <v>330</v>
      </c>
      <c r="AA17" s="177">
        <v>26</v>
      </c>
      <c r="AB17" s="178">
        <f t="shared" ref="AB17:AB21" si="3">AA17*Z17</f>
        <v>8580</v>
      </c>
      <c r="AC17" s="190"/>
      <c r="AD17" s="36"/>
      <c r="AE17" s="179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</row>
    <row r="18" s="5" customFormat="1" spans="1:48">
      <c r="A18" s="44">
        <v>46060</v>
      </c>
      <c r="B18" s="41">
        <v>35915</v>
      </c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>
        <v>12</v>
      </c>
      <c r="T18" s="34"/>
      <c r="U18" s="34"/>
      <c r="V18" s="34"/>
      <c r="W18" s="34"/>
      <c r="X18" s="34"/>
      <c r="Y18" s="34"/>
      <c r="Z18" s="34"/>
      <c r="AA18" s="35">
        <v>550</v>
      </c>
      <c r="AB18" s="33">
        <f t="shared" si="2"/>
        <v>6600</v>
      </c>
      <c r="AC18" s="43">
        <v>4395</v>
      </c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</row>
    <row r="19" s="5" customFormat="1" spans="1:48">
      <c r="A19" s="44"/>
      <c r="B19" s="41"/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723</v>
      </c>
      <c r="AA19" s="35">
        <v>26</v>
      </c>
      <c r="AB19" s="33">
        <f t="shared" si="3"/>
        <v>18798</v>
      </c>
      <c r="AC19" s="155"/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</row>
    <row r="20" s="5" customFormat="1" spans="1:48">
      <c r="A20" s="44">
        <v>46062</v>
      </c>
      <c r="B20" s="41">
        <v>30324</v>
      </c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>
        <v>16</v>
      </c>
      <c r="T20" s="34"/>
      <c r="U20" s="34"/>
      <c r="V20" s="34"/>
      <c r="W20" s="34"/>
      <c r="X20" s="34"/>
      <c r="Y20" s="34"/>
      <c r="Z20" s="34"/>
      <c r="AA20" s="35">
        <v>550</v>
      </c>
      <c r="AB20" s="33">
        <f t="shared" si="2"/>
        <v>8800</v>
      </c>
      <c r="AC20" s="43"/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</row>
    <row r="21" s="5" customFormat="1" spans="1:48">
      <c r="A21" s="44"/>
      <c r="B21" s="41"/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697</v>
      </c>
      <c r="AA21" s="35">
        <v>26</v>
      </c>
      <c r="AB21" s="33">
        <f t="shared" si="3"/>
        <v>18122</v>
      </c>
      <c r="AC21" s="43">
        <v>5667</v>
      </c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</row>
    <row r="22" s="5" customFormat="1" spans="1:48">
      <c r="A22" s="44">
        <v>46063</v>
      </c>
      <c r="B22" s="41">
        <v>27439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>
        <v>16</v>
      </c>
      <c r="T22" s="34"/>
      <c r="U22" s="34"/>
      <c r="V22" s="34"/>
      <c r="W22" s="34"/>
      <c r="X22" s="34"/>
      <c r="Y22" s="34"/>
      <c r="Z22" s="34"/>
      <c r="AA22" s="35">
        <v>550</v>
      </c>
      <c r="AB22" s="33">
        <f t="shared" ref="AB22:AB26" si="4">AA22*S22</f>
        <v>8800</v>
      </c>
      <c r="AC22" s="189"/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</row>
    <row r="23" s="5" customFormat="1" spans="1:48">
      <c r="A23" s="44"/>
      <c r="B23" s="41"/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>
        <v>675</v>
      </c>
      <c r="AA23" s="35">
        <v>26</v>
      </c>
      <c r="AB23" s="33">
        <f t="shared" ref="AB23:AB27" si="5">AA23*Z23</f>
        <v>17550</v>
      </c>
      <c r="AC23" s="43">
        <v>4017</v>
      </c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</row>
    <row r="24" s="5" customFormat="1" spans="1:48">
      <c r="A24" s="44">
        <v>46064</v>
      </c>
      <c r="B24" s="177">
        <v>39256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>
        <v>13</v>
      </c>
      <c r="T24" s="178"/>
      <c r="U24" s="178"/>
      <c r="V24" s="178"/>
      <c r="W24" s="178"/>
      <c r="X24" s="178"/>
      <c r="Y24" s="178"/>
      <c r="Z24" s="178"/>
      <c r="AA24" s="35">
        <v>550</v>
      </c>
      <c r="AB24" s="33">
        <f t="shared" si="4"/>
        <v>7150</v>
      </c>
      <c r="AC24" s="190"/>
      <c r="AD24" s="36"/>
      <c r="AE24" s="179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</row>
    <row r="25" s="5" customFormat="1" spans="1:48">
      <c r="A25" s="44"/>
      <c r="B25" s="41"/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743</v>
      </c>
      <c r="AA25" s="35">
        <v>26</v>
      </c>
      <c r="AB25" s="33">
        <f t="shared" si="5"/>
        <v>19318</v>
      </c>
      <c r="AC25" s="43">
        <v>5529</v>
      </c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</row>
    <row r="26" s="5" customFormat="1" spans="1:48">
      <c r="A26" s="44">
        <v>46065</v>
      </c>
      <c r="B26" s="41">
        <v>39127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>
        <v>15</v>
      </c>
      <c r="T26" s="34"/>
      <c r="U26" s="34"/>
      <c r="V26" s="34"/>
      <c r="W26" s="34"/>
      <c r="X26" s="34"/>
      <c r="Y26" s="34"/>
      <c r="Z26" s="34"/>
      <c r="AA26" s="35">
        <v>550</v>
      </c>
      <c r="AB26" s="33">
        <f t="shared" si="4"/>
        <v>8250</v>
      </c>
      <c r="AC26" s="189"/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</row>
    <row r="27" s="5" customFormat="1" spans="1:48">
      <c r="A27" s="44"/>
      <c r="B27" s="41"/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>
        <v>698</v>
      </c>
      <c r="AA27" s="35">
        <v>26</v>
      </c>
      <c r="AB27" s="33">
        <f t="shared" si="5"/>
        <v>18148</v>
      </c>
      <c r="AC27" s="43">
        <v>5056</v>
      </c>
      <c r="AD27" s="36"/>
      <c r="AE27" s="37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</row>
    <row r="28" s="5" customFormat="1" spans="1:48">
      <c r="A28" s="44">
        <v>46066</v>
      </c>
      <c r="B28" s="41">
        <v>25931</v>
      </c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>
        <v>16</v>
      </c>
      <c r="T28" s="34"/>
      <c r="U28" s="34"/>
      <c r="V28" s="34"/>
      <c r="W28" s="34"/>
      <c r="X28" s="34"/>
      <c r="Y28" s="34"/>
      <c r="Z28" s="34"/>
      <c r="AA28" s="35">
        <v>550</v>
      </c>
      <c r="AB28" s="33">
        <f t="shared" ref="AB28:AB32" si="6">AA28*S28</f>
        <v>8800</v>
      </c>
      <c r="AC28" s="43"/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</row>
    <row r="29" s="5" customFormat="1" spans="1:48">
      <c r="A29" s="44"/>
      <c r="B29" s="41"/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>
        <v>678</v>
      </c>
      <c r="AA29" s="35">
        <v>26</v>
      </c>
      <c r="AB29" s="33">
        <f t="shared" ref="AB29:AB33" si="7">AA29*Z29</f>
        <v>17628</v>
      </c>
      <c r="AC29" s="189">
        <v>4283</v>
      </c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</row>
    <row r="30" s="5" customFormat="1" spans="1:48">
      <c r="A30" s="44">
        <v>46067</v>
      </c>
      <c r="B30" s="41">
        <v>27550</v>
      </c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>
        <v>16</v>
      </c>
      <c r="T30" s="34"/>
      <c r="U30" s="34"/>
      <c r="V30" s="34"/>
      <c r="W30" s="34"/>
      <c r="X30" s="34"/>
      <c r="Y30" s="34"/>
      <c r="Z30" s="34"/>
      <c r="AA30" s="35">
        <v>550</v>
      </c>
      <c r="AB30" s="33">
        <f t="shared" si="6"/>
        <v>8800</v>
      </c>
      <c r="AC30" s="43"/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</row>
    <row r="31" s="5" customFormat="1" spans="1:48">
      <c r="A31" s="44"/>
      <c r="B31" s="177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>
        <v>690</v>
      </c>
      <c r="AA31" s="35">
        <v>26</v>
      </c>
      <c r="AB31" s="33">
        <f t="shared" si="7"/>
        <v>17940</v>
      </c>
      <c r="AC31" s="190">
        <v>3834</v>
      </c>
      <c r="AD31" s="36"/>
      <c r="AE31" s="179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</row>
    <row r="32" s="5" customFormat="1" spans="1:48">
      <c r="A32" s="44">
        <v>46070</v>
      </c>
      <c r="B32" s="41">
        <v>42012</v>
      </c>
      <c r="C32" s="34"/>
      <c r="D32" s="34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>
        <v>16</v>
      </c>
      <c r="T32" s="34"/>
      <c r="U32" s="34"/>
      <c r="V32" s="34"/>
      <c r="W32" s="34"/>
      <c r="X32" s="34"/>
      <c r="Y32" s="34"/>
      <c r="Z32" s="34"/>
      <c r="AA32" s="35">
        <v>550</v>
      </c>
      <c r="AB32" s="33">
        <f t="shared" si="6"/>
        <v>8800</v>
      </c>
      <c r="AC32" s="43"/>
      <c r="AD32" s="36"/>
      <c r="AE32" s="37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</row>
    <row r="33" s="5" customFormat="1" spans="1:48">
      <c r="A33" s="44"/>
      <c r="B33" s="41"/>
      <c r="C33" s="34"/>
      <c r="D33" s="34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>
        <v>726</v>
      </c>
      <c r="AA33" s="35">
        <v>26</v>
      </c>
      <c r="AB33" s="33">
        <f t="shared" si="7"/>
        <v>18876</v>
      </c>
      <c r="AC33" s="189">
        <v>3964</v>
      </c>
      <c r="AD33" s="36"/>
      <c r="AE33" s="37"/>
      <c r="AF33" s="38"/>
      <c r="AG33" s="36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"/>
      <c r="AU33" s="3"/>
      <c r="AV33" s="4"/>
    </row>
    <row r="34" s="5" customFormat="1" spans="1:48">
      <c r="A34" s="44">
        <v>46071</v>
      </c>
      <c r="B34" s="41">
        <v>36165</v>
      </c>
      <c r="C34" s="34"/>
      <c r="D34" s="34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>
        <v>17</v>
      </c>
      <c r="T34" s="34"/>
      <c r="U34" s="34"/>
      <c r="V34" s="34"/>
      <c r="W34" s="34"/>
      <c r="X34" s="34"/>
      <c r="Y34" s="34"/>
      <c r="Z34" s="34"/>
      <c r="AA34" s="35">
        <v>550</v>
      </c>
      <c r="AB34" s="33">
        <f t="shared" ref="AB34:AB38" si="8">AA34*S34</f>
        <v>9350</v>
      </c>
      <c r="AC34" s="43"/>
      <c r="AD34" s="36"/>
      <c r="AE34" s="37"/>
      <c r="AF34" s="38"/>
      <c r="AG34" s="36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"/>
      <c r="AU34" s="3"/>
      <c r="AV34" s="4"/>
    </row>
    <row r="35" s="5" customFormat="1" spans="1:48">
      <c r="A35" s="44"/>
      <c r="B35" s="41"/>
      <c r="C35" s="34"/>
      <c r="D35" s="34"/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>
        <v>701</v>
      </c>
      <c r="AA35" s="35">
        <v>26</v>
      </c>
      <c r="AB35" s="33">
        <f t="shared" ref="AB35:AB39" si="9">AA35*Z35</f>
        <v>18226</v>
      </c>
      <c r="AC35" s="43">
        <v>4567</v>
      </c>
      <c r="AD35" s="36"/>
      <c r="AE35" s="37"/>
      <c r="AF35" s="38"/>
      <c r="AG35" s="36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"/>
      <c r="AU35" s="3"/>
      <c r="AV35" s="4"/>
    </row>
    <row r="36" s="5" customFormat="1" spans="1:48">
      <c r="A36" s="44">
        <v>46072</v>
      </c>
      <c r="B36" s="41">
        <v>33013</v>
      </c>
      <c r="C36" s="34"/>
      <c r="D36" s="34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>
        <v>16</v>
      </c>
      <c r="T36" s="34"/>
      <c r="U36" s="34"/>
      <c r="V36" s="34"/>
      <c r="W36" s="34"/>
      <c r="X36" s="34"/>
      <c r="Y36" s="34"/>
      <c r="Z36" s="34"/>
      <c r="AA36" s="35">
        <v>550</v>
      </c>
      <c r="AB36" s="33">
        <f t="shared" si="8"/>
        <v>8800</v>
      </c>
      <c r="AC36" s="189"/>
      <c r="AD36" s="36"/>
      <c r="AE36" s="37"/>
      <c r="AF36" s="38"/>
      <c r="AG36" s="36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"/>
      <c r="AU36" s="3"/>
      <c r="AV36" s="4"/>
    </row>
    <row r="37" s="5" customFormat="1" spans="1:48">
      <c r="A37" s="44"/>
      <c r="B37" s="41"/>
      <c r="C37" s="34"/>
      <c r="D37" s="34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>
        <v>700</v>
      </c>
      <c r="AA37" s="35">
        <v>26</v>
      </c>
      <c r="AB37" s="33">
        <f t="shared" si="9"/>
        <v>18200</v>
      </c>
      <c r="AC37" s="43">
        <v>4095</v>
      </c>
      <c r="AD37" s="36"/>
      <c r="AE37" s="37"/>
      <c r="AF37" s="38"/>
      <c r="AG37" s="36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"/>
      <c r="AU37" s="3"/>
      <c r="AV37" s="4"/>
    </row>
    <row r="38" s="5" customFormat="1" spans="1:48">
      <c r="A38" s="44">
        <v>46073</v>
      </c>
      <c r="B38" s="41">
        <v>31869</v>
      </c>
      <c r="C38" s="34"/>
      <c r="D38" s="34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>
        <v>16</v>
      </c>
      <c r="T38" s="34"/>
      <c r="U38" s="34"/>
      <c r="V38" s="34"/>
      <c r="W38" s="34"/>
      <c r="X38" s="34"/>
      <c r="Y38" s="34"/>
      <c r="Z38" s="34"/>
      <c r="AA38" s="35">
        <v>550</v>
      </c>
      <c r="AB38" s="33">
        <f t="shared" si="8"/>
        <v>8800</v>
      </c>
      <c r="AC38" s="43"/>
      <c r="AD38" s="36"/>
      <c r="AE38" s="37"/>
      <c r="AF38" s="38"/>
      <c r="AG38" s="36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"/>
      <c r="AU38" s="3"/>
      <c r="AV38" s="4"/>
    </row>
    <row r="39" s="5" customFormat="1" spans="1:48">
      <c r="A39" s="44"/>
      <c r="B39" s="41"/>
      <c r="C39" s="34"/>
      <c r="D39" s="34"/>
      <c r="E39" s="33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>
        <v>677</v>
      </c>
      <c r="AA39" s="35">
        <v>26</v>
      </c>
      <c r="AB39" s="33">
        <f t="shared" si="9"/>
        <v>17602</v>
      </c>
      <c r="AC39" s="189">
        <v>4227</v>
      </c>
      <c r="AD39" s="36"/>
      <c r="AE39" s="37"/>
      <c r="AF39" s="38"/>
      <c r="AG39" s="36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"/>
      <c r="AU39" s="3"/>
      <c r="AV39" s="4"/>
    </row>
    <row r="40" s="5" customFormat="1" spans="1:48">
      <c r="A40" s="44">
        <v>46074</v>
      </c>
      <c r="B40" s="41">
        <v>28970</v>
      </c>
      <c r="C40" s="34"/>
      <c r="D40" s="34"/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>
        <v>16</v>
      </c>
      <c r="T40" s="34"/>
      <c r="U40" s="34"/>
      <c r="V40" s="34"/>
      <c r="W40" s="34"/>
      <c r="X40" s="34"/>
      <c r="Y40" s="34"/>
      <c r="Z40" s="34"/>
      <c r="AA40" s="35">
        <v>550</v>
      </c>
      <c r="AB40" s="33">
        <f>AA40*S40</f>
        <v>8800</v>
      </c>
      <c r="AC40" s="43"/>
      <c r="AD40" s="36"/>
      <c r="AE40" s="37"/>
      <c r="AF40" s="38"/>
      <c r="AG40" s="36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"/>
      <c r="AU40" s="3"/>
      <c r="AV40" s="4"/>
    </row>
    <row r="41" s="5" customFormat="1" spans="1:48">
      <c r="A41" s="44"/>
      <c r="B41" s="177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>
        <v>610</v>
      </c>
      <c r="AA41" s="35">
        <v>26</v>
      </c>
      <c r="AB41" s="33">
        <f t="shared" ref="AB41:AB46" si="10">AA41*Z41</f>
        <v>15860</v>
      </c>
      <c r="AC41" s="190">
        <v>4752</v>
      </c>
      <c r="AD41" s="36"/>
      <c r="AE41" s="179"/>
      <c r="AF41" s="38"/>
      <c r="AG41" s="36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"/>
      <c r="AU41" s="3"/>
      <c r="AV41" s="4"/>
    </row>
    <row r="42" s="5" customFormat="1" spans="1:48">
      <c r="A42" s="44">
        <v>46076</v>
      </c>
      <c r="B42" s="177">
        <v>43697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>
        <v>1037</v>
      </c>
      <c r="AA42" s="177">
        <v>26</v>
      </c>
      <c r="AB42" s="33">
        <f t="shared" si="10"/>
        <v>26962</v>
      </c>
      <c r="AC42" s="190">
        <v>4930</v>
      </c>
      <c r="AD42" s="36"/>
      <c r="AE42" s="179"/>
      <c r="AF42" s="38"/>
      <c r="AG42" s="36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"/>
      <c r="AU42" s="3"/>
      <c r="AV42" s="4"/>
    </row>
    <row r="43" s="5" customFormat="1" spans="1:48">
      <c r="A43" s="44">
        <v>46077</v>
      </c>
      <c r="B43" s="177">
        <v>42471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>
        <v>1095</v>
      </c>
      <c r="AA43" s="177">
        <v>26</v>
      </c>
      <c r="AB43" s="33">
        <f t="shared" si="10"/>
        <v>28470</v>
      </c>
      <c r="AC43" s="190">
        <v>4003</v>
      </c>
      <c r="AD43" s="36"/>
      <c r="AE43" s="179"/>
      <c r="AF43" s="38"/>
      <c r="AG43" s="36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"/>
      <c r="AU43" s="3"/>
      <c r="AV43" s="4"/>
    </row>
    <row r="44" s="5" customFormat="1" spans="1:48">
      <c r="A44" s="44">
        <v>46078</v>
      </c>
      <c r="B44" s="177">
        <v>30580</v>
      </c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>
        <v>1020</v>
      </c>
      <c r="AA44" s="177">
        <v>26</v>
      </c>
      <c r="AB44" s="33">
        <f t="shared" si="10"/>
        <v>26520</v>
      </c>
      <c r="AC44" s="190">
        <v>4652</v>
      </c>
      <c r="AD44" s="36"/>
      <c r="AE44" s="179"/>
      <c r="AF44" s="38"/>
      <c r="AG44" s="36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"/>
      <c r="AU44" s="3"/>
      <c r="AV44" s="4"/>
    </row>
    <row r="45" s="5" customFormat="1" spans="1:48">
      <c r="A45" s="44">
        <v>46079</v>
      </c>
      <c r="B45" s="177">
        <v>32551</v>
      </c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>
        <v>1080</v>
      </c>
      <c r="AA45" s="177">
        <v>26</v>
      </c>
      <c r="AB45" s="33">
        <f t="shared" si="10"/>
        <v>28080</v>
      </c>
      <c r="AC45" s="190">
        <v>3812</v>
      </c>
      <c r="AD45" s="36"/>
      <c r="AE45" s="179"/>
      <c r="AF45" s="38"/>
      <c r="AG45" s="36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"/>
      <c r="AU45" s="3"/>
      <c r="AV45" s="4"/>
    </row>
    <row r="46" s="5" customFormat="1" spans="1:48">
      <c r="A46" s="44">
        <v>46080</v>
      </c>
      <c r="B46" s="177">
        <v>0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>
        <v>37</v>
      </c>
      <c r="AA46" s="177">
        <v>26</v>
      </c>
      <c r="AB46" s="33">
        <f t="shared" si="10"/>
        <v>962</v>
      </c>
      <c r="AC46" s="190">
        <v>0</v>
      </c>
      <c r="AD46" s="36"/>
      <c r="AE46" s="179"/>
      <c r="AF46" s="38"/>
      <c r="AG46" s="36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"/>
      <c r="AU46" s="3"/>
      <c r="AV46" s="4"/>
    </row>
    <row r="47" s="5" customFormat="1" spans="1:48">
      <c r="A47" s="202" t="s">
        <v>217</v>
      </c>
      <c r="B47" s="203">
        <v>-29704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7"/>
      <c r="AB47" s="178"/>
      <c r="AC47" s="190"/>
      <c r="AD47" s="36"/>
      <c r="AE47" s="179"/>
      <c r="AF47" s="38"/>
      <c r="AG47" s="36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"/>
      <c r="AU47" s="3"/>
      <c r="AV47" s="4"/>
    </row>
    <row r="48" s="50" customFormat="1" ht="15.75" spans="1:48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39"/>
      <c r="AE48" s="47"/>
      <c r="AF48" s="48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49"/>
    </row>
    <row r="49" s="5" customFormat="1" ht="15.75" spans="1:50">
      <c r="A49" s="51" t="s">
        <v>55</v>
      </c>
      <c r="B49" s="52">
        <f>SUM(B6:B47)</f>
        <v>654051</v>
      </c>
      <c r="C49" s="52">
        <f t="shared" ref="B49:N49" si="11">SUM(C6:C40)</f>
        <v>0</v>
      </c>
      <c r="D49" s="52">
        <f>SUM(D6:D48)</f>
        <v>0</v>
      </c>
      <c r="E49" s="52">
        <f t="shared" si="11"/>
        <v>0</v>
      </c>
      <c r="F49" s="52">
        <f t="shared" si="11"/>
        <v>0</v>
      </c>
      <c r="G49" s="52">
        <f t="shared" si="11"/>
        <v>0</v>
      </c>
      <c r="H49" s="52">
        <f t="shared" si="11"/>
        <v>0</v>
      </c>
      <c r="I49" s="52">
        <f t="shared" si="11"/>
        <v>0</v>
      </c>
      <c r="J49" s="52">
        <f t="shared" si="11"/>
        <v>0</v>
      </c>
      <c r="K49" s="52">
        <f t="shared" si="11"/>
        <v>0</v>
      </c>
      <c r="L49" s="52">
        <f t="shared" si="11"/>
        <v>0</v>
      </c>
      <c r="M49" s="52">
        <f t="shared" si="11"/>
        <v>0</v>
      </c>
      <c r="N49" s="52">
        <f t="shared" si="11"/>
        <v>0</v>
      </c>
      <c r="O49" s="52">
        <f>SUM(O6:O48)</f>
        <v>0</v>
      </c>
      <c r="P49" s="52">
        <f>SUM(P6:P40)</f>
        <v>0</v>
      </c>
      <c r="Q49" s="52">
        <f>SUM(Q6:Q48)</f>
        <v>0</v>
      </c>
      <c r="R49" s="52">
        <f>SUM(R6:R48)</f>
        <v>0</v>
      </c>
      <c r="S49" s="52">
        <f>SUM(S6:S48)</f>
        <v>188</v>
      </c>
      <c r="T49" s="52">
        <f>SUM(T6:T40)</f>
        <v>0</v>
      </c>
      <c r="U49" s="52">
        <f>SUM(U6:U40)</f>
        <v>0</v>
      </c>
      <c r="V49" s="52">
        <f>SUM(V6:V40)</f>
        <v>99</v>
      </c>
      <c r="W49" s="52">
        <f>SUM(W6:W40)</f>
        <v>0</v>
      </c>
      <c r="X49" s="52">
        <f>SUM(X7:X40)</f>
        <v>0</v>
      </c>
      <c r="Y49" s="52">
        <f>SUM(Y6:Y40)</f>
        <v>0</v>
      </c>
      <c r="Z49" s="52">
        <f>SUM(Z6:Z48)</f>
        <v>13939</v>
      </c>
      <c r="AA49" s="52">
        <f>SUM(AA6:AA48)</f>
        <v>10472</v>
      </c>
      <c r="AB49" s="53">
        <f>SUM(AB6:AB48)</f>
        <v>520264</v>
      </c>
      <c r="AC49" s="53">
        <f>SUM(AC6:AC48)</f>
        <v>85141</v>
      </c>
      <c r="AD49" s="54">
        <v>76.09</v>
      </c>
      <c r="AE49" s="54">
        <f>100-AD49</f>
        <v>23.91</v>
      </c>
      <c r="AF49" s="54">
        <v>12.45</v>
      </c>
      <c r="AG49" s="55">
        <f>AE49-AF49</f>
        <v>11.46</v>
      </c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7"/>
      <c r="AU49" s="57"/>
      <c r="AV49" s="58">
        <f>SUM(B49:E49)</f>
        <v>654051</v>
      </c>
      <c r="AW49" s="59">
        <f>AB49/AV49*100</f>
        <v>79.5448672962812</v>
      </c>
      <c r="AX49" s="59">
        <f>AC49/AV49*100</f>
        <v>13.0174864039654</v>
      </c>
    </row>
    <row r="50" s="5" customFormat="1" spans="1: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="5" customFormat="1" spans="1:50">
      <c r="A51" s="4"/>
      <c r="B51" s="58"/>
      <c r="C51" s="58"/>
      <c r="D51" s="5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58"/>
      <c r="S51" s="4"/>
      <c r="T51" s="4"/>
      <c r="U51" s="4"/>
      <c r="V51" s="4"/>
      <c r="W51" s="4"/>
      <c r="X51" s="58"/>
      <c r="Y51" s="60"/>
      <c r="Z51" s="61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="5" customFormat="1" spans="1:50">
      <c r="A52" s="62" t="s">
        <v>56</v>
      </c>
      <c r="B52" s="3"/>
      <c r="C52" s="3"/>
      <c r="D52" s="6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58"/>
      <c r="S52" s="4"/>
      <c r="T52" s="4"/>
      <c r="U52" s="4"/>
      <c r="V52" s="4"/>
      <c r="W52" s="4"/>
      <c r="X52" s="58"/>
      <c r="Y52" s="4"/>
      <c r="Z52" s="58"/>
      <c r="AB52" s="4"/>
      <c r="AC52" s="64"/>
      <c r="AD52" s="64"/>
      <c r="AE52" s="64"/>
      <c r="AF52" s="6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="5" customFormat="1" spans="1:50">
      <c r="A53" s="62" t="s">
        <v>57</v>
      </c>
      <c r="B53" s="3"/>
      <c r="C53" s="3"/>
      <c r="D53" s="3"/>
      <c r="E53" s="65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 t="s">
        <v>58</v>
      </c>
      <c r="W53" s="4"/>
      <c r="X53" s="58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="5" customFormat="1" spans="1:50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58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="5" customFormat="1" spans="1:50">
      <c r="A55" s="62" t="s">
        <v>59</v>
      </c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="5" customFormat="1" spans="1:50">
      <c r="A56" s="3"/>
      <c r="B56" s="4" t="s">
        <v>60</v>
      </c>
      <c r="C56" s="4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="5" customFormat="1" spans="1:50">
      <c r="A57" s="3"/>
      <c r="B57" s="66"/>
      <c r="C57" s="66"/>
      <c r="D57" s="3"/>
      <c r="E57" s="3"/>
      <c r="F57" s="3"/>
      <c r="G57" s="3"/>
      <c r="H57" s="4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="5" customFormat="1" spans="1:50">
      <c r="A58" s="3"/>
      <c r="B58" s="67"/>
      <c r="C58" s="67" t="s">
        <v>61</v>
      </c>
      <c r="D58" s="68"/>
      <c r="E58" s="68"/>
      <c r="F58" s="68"/>
      <c r="G58" s="68"/>
      <c r="H58" s="69"/>
      <c r="I58" s="70" t="s">
        <v>62</v>
      </c>
      <c r="J58" s="70" t="s">
        <v>63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="5" customFormat="1" spans="1:50">
      <c r="A59" s="3"/>
      <c r="B59" s="71"/>
      <c r="C59" s="71" t="s">
        <v>64</v>
      </c>
      <c r="D59" s="71" t="s">
        <v>65</v>
      </c>
      <c r="E59" s="72" t="s">
        <v>66</v>
      </c>
      <c r="F59" s="73" t="s">
        <v>67</v>
      </c>
      <c r="G59" s="74" t="s">
        <v>68</v>
      </c>
      <c r="H59" s="71" t="s">
        <v>69</v>
      </c>
      <c r="I59" s="74" t="s">
        <v>70</v>
      </c>
      <c r="J59" s="75" t="s">
        <v>71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="5" customFormat="1" spans="1:50">
      <c r="A60" s="76">
        <v>44.9</v>
      </c>
      <c r="B60" s="204" t="s">
        <v>79</v>
      </c>
      <c r="C60" s="205">
        <f>51293+4828</f>
        <v>56121</v>
      </c>
      <c r="D60" s="205">
        <f>51293+4828</f>
        <v>56121</v>
      </c>
      <c r="E60" s="205">
        <f>B136</f>
        <v>10112</v>
      </c>
      <c r="F60" s="206"/>
      <c r="G60" s="207" t="s">
        <v>80</v>
      </c>
      <c r="H60" s="208">
        <f>E60</f>
        <v>10112</v>
      </c>
      <c r="I60" s="209">
        <f>B137</f>
        <v>46009</v>
      </c>
      <c r="J60" s="210" t="s">
        <v>81</v>
      </c>
      <c r="K60" s="84"/>
      <c r="L60" s="84"/>
      <c r="M60" s="85">
        <f t="shared" ref="M60:M68" si="12">+C60*A60</f>
        <v>2519832.9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</row>
    <row r="61" s="5" customFormat="1" spans="1:50">
      <c r="A61" s="76">
        <v>44.91</v>
      </c>
      <c r="B61" s="110" t="s">
        <v>115</v>
      </c>
      <c r="C61" s="79">
        <v>56017</v>
      </c>
      <c r="D61" s="79">
        <v>56017</v>
      </c>
      <c r="E61" s="79">
        <f>C136</f>
        <v>31313</v>
      </c>
      <c r="F61" s="80"/>
      <c r="G61" s="81" t="s">
        <v>80</v>
      </c>
      <c r="H61" s="79">
        <f>E61</f>
        <v>31313</v>
      </c>
      <c r="I61" s="82">
        <f>C137</f>
        <v>24704</v>
      </c>
      <c r="J61" s="83" t="s">
        <v>116</v>
      </c>
      <c r="K61" s="84"/>
      <c r="L61" s="84"/>
      <c r="M61" s="85">
        <f t="shared" si="12"/>
        <v>2515723.47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</row>
    <row r="62" s="5" customFormat="1" spans="1:50">
      <c r="A62" s="90"/>
      <c r="B62" s="77" t="s">
        <v>117</v>
      </c>
      <c r="C62" s="211">
        <v>8487</v>
      </c>
      <c r="D62" s="211">
        <v>8487</v>
      </c>
      <c r="E62" s="211">
        <v>8487</v>
      </c>
      <c r="F62" s="212"/>
      <c r="G62" s="213" t="s">
        <v>73</v>
      </c>
      <c r="H62" s="212">
        <f>D136</f>
        <v>8487</v>
      </c>
      <c r="I62" s="211" t="s">
        <v>73</v>
      </c>
      <c r="J62" s="214" t="s">
        <v>91</v>
      </c>
      <c r="K62" s="94"/>
      <c r="L62" s="4"/>
      <c r="M62" s="85">
        <f t="shared" si="12"/>
        <v>0</v>
      </c>
      <c r="N62" s="8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="5" customFormat="1" spans="1:50">
      <c r="A63" s="76">
        <v>46.44</v>
      </c>
      <c r="B63" s="110" t="s">
        <v>218</v>
      </c>
      <c r="C63" s="79">
        <v>63170</v>
      </c>
      <c r="D63" s="79">
        <v>63170</v>
      </c>
      <c r="E63" s="79">
        <v>63170</v>
      </c>
      <c r="F63" s="80"/>
      <c r="G63" s="81" t="s">
        <v>73</v>
      </c>
      <c r="H63" s="111">
        <f>E136</f>
        <v>61937</v>
      </c>
      <c r="I63" s="82" t="s">
        <v>73</v>
      </c>
      <c r="J63" s="83" t="s">
        <v>219</v>
      </c>
      <c r="K63" s="84"/>
      <c r="L63" s="84"/>
      <c r="M63" s="85">
        <f t="shared" si="12"/>
        <v>2933614.8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</row>
    <row r="64" s="5" customFormat="1" spans="1:50">
      <c r="A64" s="76">
        <v>46.44</v>
      </c>
      <c r="B64" s="110" t="s">
        <v>220</v>
      </c>
      <c r="C64" s="79">
        <v>58195</v>
      </c>
      <c r="D64" s="79">
        <v>58195</v>
      </c>
      <c r="E64" s="79">
        <f>F136</f>
        <v>44093</v>
      </c>
      <c r="F64" s="80"/>
      <c r="G64" s="81" t="s">
        <v>80</v>
      </c>
      <c r="H64" s="111">
        <f>E64</f>
        <v>44093</v>
      </c>
      <c r="I64" s="82">
        <f>F137</f>
        <v>14102</v>
      </c>
      <c r="J64" s="83" t="s">
        <v>221</v>
      </c>
      <c r="K64" s="84"/>
      <c r="L64" s="84"/>
      <c r="M64" s="85">
        <f t="shared" si="12"/>
        <v>2702575.8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</row>
    <row r="65" s="5" customFormat="1" spans="1:46">
      <c r="A65" s="76"/>
      <c r="B65" s="77" t="s">
        <v>222</v>
      </c>
      <c r="C65" s="79">
        <v>16480</v>
      </c>
      <c r="D65" s="79">
        <v>16480</v>
      </c>
      <c r="E65" s="79">
        <v>16480</v>
      </c>
      <c r="F65" s="80"/>
      <c r="G65" s="81" t="s">
        <v>73</v>
      </c>
      <c r="H65" s="111">
        <f>G136</f>
        <v>16480</v>
      </c>
      <c r="I65" s="82" t="s">
        <v>73</v>
      </c>
      <c r="J65" s="83" t="s">
        <v>91</v>
      </c>
      <c r="K65" s="84"/>
      <c r="L65" s="84"/>
      <c r="M65" s="85">
        <f t="shared" si="12"/>
        <v>0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</row>
    <row r="66" s="5" customFormat="1" spans="1:46">
      <c r="A66" s="76">
        <v>44.91</v>
      </c>
      <c r="B66" s="110" t="s">
        <v>223</v>
      </c>
      <c r="C66" s="79">
        <v>4944</v>
      </c>
      <c r="D66" s="79">
        <v>4944</v>
      </c>
      <c r="E66" s="79">
        <v>4944</v>
      </c>
      <c r="F66" s="80">
        <v>3818</v>
      </c>
      <c r="G66" s="81" t="s">
        <v>73</v>
      </c>
      <c r="H66" s="111">
        <f>H136</f>
        <v>3899</v>
      </c>
      <c r="I66" s="82" t="s">
        <v>73</v>
      </c>
      <c r="J66" s="83" t="s">
        <v>224</v>
      </c>
      <c r="K66" s="84"/>
      <c r="L66" s="84"/>
      <c r="M66" s="85">
        <f t="shared" si="12"/>
        <v>222035.04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</row>
    <row r="67" s="5" customFormat="1" spans="1:46">
      <c r="A67" s="76">
        <v>47.52</v>
      </c>
      <c r="B67" s="110" t="s">
        <v>225</v>
      </c>
      <c r="C67" s="79">
        <v>29719</v>
      </c>
      <c r="D67" s="79">
        <v>29719</v>
      </c>
      <c r="E67" s="79">
        <f>I136</f>
        <v>453</v>
      </c>
      <c r="F67" s="80">
        <v>556</v>
      </c>
      <c r="G67" s="81" t="s">
        <v>80</v>
      </c>
      <c r="H67" s="111">
        <f>E67</f>
        <v>453</v>
      </c>
      <c r="I67" s="82">
        <f>I137</f>
        <v>29266</v>
      </c>
      <c r="J67" s="83" t="s">
        <v>226</v>
      </c>
      <c r="K67" s="84"/>
      <c r="L67" s="84"/>
      <c r="M67" s="85">
        <f t="shared" ref="M67:M86" si="13">+C67*A67</f>
        <v>1412246.88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</row>
    <row r="68" s="5" customFormat="1" spans="1:46">
      <c r="A68" s="76">
        <v>47.52</v>
      </c>
      <c r="B68" s="110" t="s">
        <v>227</v>
      </c>
      <c r="C68" s="79">
        <v>35530</v>
      </c>
      <c r="D68" s="79">
        <v>35530</v>
      </c>
      <c r="E68" s="79">
        <f>J136</f>
        <v>2390</v>
      </c>
      <c r="F68" s="80">
        <v>2531</v>
      </c>
      <c r="G68" s="81" t="s">
        <v>80</v>
      </c>
      <c r="H68" s="111">
        <f>E68</f>
        <v>2390</v>
      </c>
      <c r="I68" s="82">
        <f>J137</f>
        <v>33140</v>
      </c>
      <c r="J68" s="83" t="s">
        <v>228</v>
      </c>
      <c r="K68" s="84"/>
      <c r="L68" s="84"/>
      <c r="M68" s="85">
        <f t="shared" si="13"/>
        <v>1688385.6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</row>
    <row r="69" s="5" customFormat="1" spans="1:46">
      <c r="A69" s="76">
        <v>46.44</v>
      </c>
      <c r="B69" s="110" t="s">
        <v>229</v>
      </c>
      <c r="C69" s="79">
        <v>57765</v>
      </c>
      <c r="D69" s="79">
        <v>57765</v>
      </c>
      <c r="E69" s="79">
        <v>57765</v>
      </c>
      <c r="F69" s="80"/>
      <c r="G69" s="81" t="s">
        <v>73</v>
      </c>
      <c r="H69" s="111">
        <f>K136</f>
        <v>56805</v>
      </c>
      <c r="I69" s="82" t="s">
        <v>73</v>
      </c>
      <c r="J69" s="83" t="s">
        <v>230</v>
      </c>
      <c r="K69" s="84"/>
      <c r="L69" s="84"/>
      <c r="M69" s="85">
        <f t="shared" si="13"/>
        <v>2682606.6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</row>
    <row r="70" s="5" customFormat="1" spans="1:46">
      <c r="A70" s="76">
        <v>46.44</v>
      </c>
      <c r="B70" s="110" t="s">
        <v>231</v>
      </c>
      <c r="C70" s="79">
        <v>45044</v>
      </c>
      <c r="D70" s="79">
        <v>45044</v>
      </c>
      <c r="E70" s="79">
        <v>45044</v>
      </c>
      <c r="F70" s="80">
        <v>35875</v>
      </c>
      <c r="G70" s="81" t="s">
        <v>73</v>
      </c>
      <c r="H70" s="111">
        <f>L136</f>
        <v>35719</v>
      </c>
      <c r="I70" s="82" t="s">
        <v>73</v>
      </c>
      <c r="J70" s="83" t="s">
        <v>232</v>
      </c>
      <c r="K70" s="84"/>
      <c r="L70" s="84"/>
      <c r="M70" s="85">
        <f t="shared" si="13"/>
        <v>2091843.36</v>
      </c>
      <c r="N70" s="85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</row>
    <row r="71" s="5" customFormat="1" spans="1:46">
      <c r="A71" s="76"/>
      <c r="B71" s="77" t="s">
        <v>233</v>
      </c>
      <c r="C71" s="79">
        <v>17480</v>
      </c>
      <c r="D71" s="79">
        <v>17480</v>
      </c>
      <c r="E71" s="79">
        <v>17480</v>
      </c>
      <c r="F71" s="80"/>
      <c r="G71" s="81" t="s">
        <v>73</v>
      </c>
      <c r="H71" s="111">
        <f>M136</f>
        <v>17480</v>
      </c>
      <c r="I71" s="82" t="s">
        <v>73</v>
      </c>
      <c r="J71" s="83" t="s">
        <v>91</v>
      </c>
      <c r="K71" s="84"/>
      <c r="L71" s="84"/>
      <c r="M71" s="85">
        <f t="shared" si="13"/>
        <v>0</v>
      </c>
      <c r="N71" s="85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</row>
    <row r="72" s="5" customFormat="1" spans="1:46">
      <c r="A72" s="76">
        <v>46.44</v>
      </c>
      <c r="B72" s="110" t="s">
        <v>234</v>
      </c>
      <c r="C72" s="79">
        <v>62165</v>
      </c>
      <c r="D72" s="79">
        <v>62165</v>
      </c>
      <c r="E72" s="79">
        <v>62165</v>
      </c>
      <c r="F72" s="80"/>
      <c r="G72" s="81" t="s">
        <v>73</v>
      </c>
      <c r="H72" s="111">
        <f>N136</f>
        <v>59951</v>
      </c>
      <c r="I72" s="82" t="s">
        <v>73</v>
      </c>
      <c r="J72" s="83" t="s">
        <v>235</v>
      </c>
      <c r="K72" s="84"/>
      <c r="L72" s="84"/>
      <c r="M72" s="85">
        <f t="shared" si="13"/>
        <v>2886942.6</v>
      </c>
      <c r="N72" s="85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</row>
    <row r="73" s="5" customFormat="1" spans="1:46">
      <c r="A73" s="76"/>
      <c r="B73" s="77" t="s">
        <v>236</v>
      </c>
      <c r="C73" s="79">
        <v>17955</v>
      </c>
      <c r="D73" s="79">
        <v>17955</v>
      </c>
      <c r="E73" s="79">
        <v>17955</v>
      </c>
      <c r="F73" s="80"/>
      <c r="G73" s="81" t="s">
        <v>73</v>
      </c>
      <c r="H73" s="111">
        <v>17955</v>
      </c>
      <c r="I73" s="82" t="s">
        <v>73</v>
      </c>
      <c r="J73" s="83" t="s">
        <v>91</v>
      </c>
      <c r="K73" s="84"/>
      <c r="L73" s="84"/>
      <c r="M73" s="85">
        <f t="shared" si="13"/>
        <v>0</v>
      </c>
      <c r="N73" s="85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</row>
    <row r="74" s="5" customFormat="1" spans="1:46">
      <c r="A74" s="76"/>
      <c r="B74" s="110" t="s">
        <v>237</v>
      </c>
      <c r="C74" s="79">
        <v>59058</v>
      </c>
      <c r="D74" s="79">
        <v>59058</v>
      </c>
      <c r="E74" s="79">
        <v>59058</v>
      </c>
      <c r="F74" s="80">
        <v>48213</v>
      </c>
      <c r="G74" s="81" t="s">
        <v>73</v>
      </c>
      <c r="H74" s="111">
        <f>P136</f>
        <v>57165</v>
      </c>
      <c r="I74" s="82" t="s">
        <v>73</v>
      </c>
      <c r="J74" s="83" t="s">
        <v>238</v>
      </c>
      <c r="K74" s="84"/>
      <c r="L74" s="84"/>
      <c r="M74" s="85">
        <f t="shared" si="13"/>
        <v>0</v>
      </c>
      <c r="N74" s="85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</row>
    <row r="75" s="5" customFormat="1" spans="1:46">
      <c r="A75" s="76"/>
      <c r="B75" s="77" t="s">
        <v>239</v>
      </c>
      <c r="C75" s="79">
        <v>17540</v>
      </c>
      <c r="D75" s="79">
        <v>17540</v>
      </c>
      <c r="E75" s="79">
        <v>17540</v>
      </c>
      <c r="F75" s="80"/>
      <c r="G75" s="81" t="s">
        <v>73</v>
      </c>
      <c r="H75" s="111">
        <f>Q136</f>
        <v>17540</v>
      </c>
      <c r="I75" s="82" t="s">
        <v>73</v>
      </c>
      <c r="J75" s="83" t="s">
        <v>91</v>
      </c>
      <c r="K75" s="84"/>
      <c r="L75" s="84"/>
      <c r="M75" s="85">
        <f t="shared" si="13"/>
        <v>0</v>
      </c>
      <c r="N75" s="85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</row>
    <row r="76" s="5" customFormat="1" spans="1:46">
      <c r="A76" s="76"/>
      <c r="B76" s="77" t="s">
        <v>240</v>
      </c>
      <c r="C76" s="79">
        <v>16380</v>
      </c>
      <c r="D76" s="79">
        <v>16380</v>
      </c>
      <c r="E76" s="79">
        <v>16380</v>
      </c>
      <c r="F76" s="80"/>
      <c r="G76" s="81" t="s">
        <v>73</v>
      </c>
      <c r="H76" s="111">
        <v>16380</v>
      </c>
      <c r="I76" s="82" t="s">
        <v>73</v>
      </c>
      <c r="J76" s="83" t="s">
        <v>91</v>
      </c>
      <c r="K76" s="84"/>
      <c r="L76" s="84"/>
      <c r="M76" s="85">
        <f t="shared" si="13"/>
        <v>0</v>
      </c>
      <c r="N76" s="85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</row>
    <row r="77" s="5" customFormat="1" spans="1:46">
      <c r="A77" s="76"/>
      <c r="B77" s="77" t="s">
        <v>241</v>
      </c>
      <c r="C77" s="79">
        <v>17265</v>
      </c>
      <c r="D77" s="79">
        <v>17265</v>
      </c>
      <c r="E77" s="79">
        <v>17265</v>
      </c>
      <c r="F77" s="80"/>
      <c r="G77" s="81" t="s">
        <v>73</v>
      </c>
      <c r="H77" s="111">
        <v>17265</v>
      </c>
      <c r="I77" s="82" t="s">
        <v>73</v>
      </c>
      <c r="J77" s="83" t="s">
        <v>91</v>
      </c>
      <c r="K77" s="84"/>
      <c r="L77" s="84"/>
      <c r="M77" s="85">
        <f t="shared" si="13"/>
        <v>0</v>
      </c>
      <c r="N77" s="85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</row>
    <row r="78" s="5" customFormat="1" spans="1:46">
      <c r="A78" s="76"/>
      <c r="B78" s="77" t="s">
        <v>242</v>
      </c>
      <c r="C78" s="79">
        <v>19870</v>
      </c>
      <c r="D78" s="79">
        <v>19870</v>
      </c>
      <c r="E78" s="79">
        <v>19870</v>
      </c>
      <c r="F78" s="80"/>
      <c r="G78" s="81" t="s">
        <v>73</v>
      </c>
      <c r="H78" s="79">
        <f>T136</f>
        <v>19870</v>
      </c>
      <c r="I78" s="82" t="s">
        <v>73</v>
      </c>
      <c r="J78" s="83" t="s">
        <v>91</v>
      </c>
      <c r="K78" s="84"/>
      <c r="L78" s="84"/>
      <c r="M78" s="85">
        <f t="shared" si="13"/>
        <v>0</v>
      </c>
      <c r="N78" s="85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</row>
    <row r="79" s="5" customFormat="1" spans="1:46">
      <c r="A79" s="76"/>
      <c r="B79" s="110" t="s">
        <v>243</v>
      </c>
      <c r="C79" s="79">
        <v>42883</v>
      </c>
      <c r="D79" s="79">
        <v>42883</v>
      </c>
      <c r="E79" s="79">
        <v>42883</v>
      </c>
      <c r="F79" s="80"/>
      <c r="G79" s="81" t="s">
        <v>73</v>
      </c>
      <c r="H79" s="79">
        <f>U136</f>
        <v>42062</v>
      </c>
      <c r="I79" s="82" t="s">
        <v>73</v>
      </c>
      <c r="J79" s="83" t="s">
        <v>244</v>
      </c>
      <c r="K79" s="84"/>
      <c r="L79" s="84"/>
      <c r="M79" s="85">
        <f t="shared" si="13"/>
        <v>0</v>
      </c>
      <c r="N79" s="85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</row>
    <row r="80" s="5" customFormat="1" spans="1:46">
      <c r="A80" s="76">
        <v>46.44</v>
      </c>
      <c r="B80" s="110" t="s">
        <v>245</v>
      </c>
      <c r="C80" s="79">
        <v>60675</v>
      </c>
      <c r="D80" s="79">
        <v>60675</v>
      </c>
      <c r="E80" s="79">
        <f>V136</f>
        <v>55382</v>
      </c>
      <c r="F80" s="80"/>
      <c r="G80" s="81" t="s">
        <v>80</v>
      </c>
      <c r="H80" s="79">
        <f>E80</f>
        <v>55382</v>
      </c>
      <c r="I80" s="82">
        <f>V137</f>
        <v>5293</v>
      </c>
      <c r="J80" s="83" t="s">
        <v>246</v>
      </c>
      <c r="K80" s="84"/>
      <c r="L80" s="84"/>
      <c r="M80" s="85">
        <f t="shared" si="13"/>
        <v>2817747</v>
      </c>
      <c r="N80" s="85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</row>
    <row r="81" s="5" customFormat="1" spans="1:46">
      <c r="A81" s="76">
        <v>44.9</v>
      </c>
      <c r="B81" s="110" t="s">
        <v>247</v>
      </c>
      <c r="C81" s="79">
        <v>62091</v>
      </c>
      <c r="D81" s="79">
        <v>62091</v>
      </c>
      <c r="E81" s="79">
        <v>62091</v>
      </c>
      <c r="F81" s="80">
        <v>51803</v>
      </c>
      <c r="G81" s="81" t="s">
        <v>73</v>
      </c>
      <c r="H81" s="79">
        <f>W136</f>
        <v>43907</v>
      </c>
      <c r="I81" s="82" t="s">
        <v>73</v>
      </c>
      <c r="J81" s="83" t="s">
        <v>248</v>
      </c>
      <c r="K81" s="84"/>
      <c r="L81" s="84"/>
      <c r="M81" s="85">
        <f t="shared" si="13"/>
        <v>2787885.9</v>
      </c>
      <c r="N81" s="85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</row>
    <row r="82" s="5" customFormat="1" spans="1:46">
      <c r="A82" s="76"/>
      <c r="B82" s="77" t="s">
        <v>249</v>
      </c>
      <c r="C82" s="79">
        <v>18825</v>
      </c>
      <c r="D82" s="79">
        <v>18825</v>
      </c>
      <c r="E82" s="79">
        <v>18825</v>
      </c>
      <c r="F82" s="80"/>
      <c r="G82" s="81" t="s">
        <v>73</v>
      </c>
      <c r="H82" s="79">
        <f>X136</f>
        <v>18825</v>
      </c>
      <c r="I82" s="82" t="s">
        <v>73</v>
      </c>
      <c r="J82" s="83" t="s">
        <v>91</v>
      </c>
      <c r="K82" s="84"/>
      <c r="L82" s="84"/>
      <c r="M82" s="85">
        <f t="shared" si="13"/>
        <v>0</v>
      </c>
      <c r="N82" s="85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</row>
    <row r="83" s="5" customFormat="1" spans="1:46">
      <c r="A83" s="76"/>
      <c r="B83" s="77" t="s">
        <v>250</v>
      </c>
      <c r="C83" s="79">
        <v>18880</v>
      </c>
      <c r="D83" s="79">
        <v>18880</v>
      </c>
      <c r="E83" s="79">
        <v>18880</v>
      </c>
      <c r="F83" s="80"/>
      <c r="G83" s="81" t="s">
        <v>73</v>
      </c>
      <c r="H83" s="79">
        <f>Y136</f>
        <v>18880</v>
      </c>
      <c r="I83" s="82" t="s">
        <v>73</v>
      </c>
      <c r="J83" s="83" t="s">
        <v>91</v>
      </c>
      <c r="K83" s="84"/>
      <c r="L83" s="84"/>
      <c r="M83" s="85">
        <f t="shared" si="13"/>
        <v>0</v>
      </c>
      <c r="N83" s="85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</row>
    <row r="84" s="5" customFormat="1" spans="1:46">
      <c r="A84" s="76"/>
      <c r="B84" s="215" t="s">
        <v>251</v>
      </c>
      <c r="C84" s="87">
        <v>19405</v>
      </c>
      <c r="D84" s="87">
        <v>19405</v>
      </c>
      <c r="E84" s="87">
        <f>Z136</f>
        <v>9405</v>
      </c>
      <c r="F84" s="88"/>
      <c r="G84" s="89" t="s">
        <v>80</v>
      </c>
      <c r="H84" s="87">
        <f>E84</f>
        <v>9405</v>
      </c>
      <c r="I84" s="216">
        <f>Z137</f>
        <v>10000</v>
      </c>
      <c r="J84" s="217" t="s">
        <v>91</v>
      </c>
      <c r="K84" s="84"/>
      <c r="L84" s="84"/>
      <c r="M84" s="85">
        <f t="shared" si="13"/>
        <v>0</v>
      </c>
      <c r="N84" s="85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</row>
    <row r="85" s="5" customFormat="1" spans="1:46">
      <c r="A85" s="90"/>
      <c r="B85" s="22" t="s">
        <v>55</v>
      </c>
      <c r="C85" s="91">
        <f>SUM(C60:C84)</f>
        <v>881944</v>
      </c>
      <c r="D85" s="91">
        <f>SUM(D60:D84)</f>
        <v>881944</v>
      </c>
      <c r="E85" s="91">
        <f>SUM(E60:E84)</f>
        <v>719430</v>
      </c>
      <c r="F85" s="91"/>
      <c r="G85" s="92"/>
      <c r="H85" s="91">
        <f>SUM(H60:H84)</f>
        <v>683755</v>
      </c>
      <c r="I85" s="91"/>
      <c r="J85" s="93"/>
      <c r="K85" s="94"/>
      <c r="L85" s="4"/>
      <c r="M85" s="85">
        <f t="shared" si="13"/>
        <v>0</v>
      </c>
      <c r="N85" s="8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="5" customFormat="1" spans="1:46">
      <c r="A86" s="76"/>
      <c r="B86" s="202" t="s">
        <v>217</v>
      </c>
      <c r="C86" s="218"/>
      <c r="D86" s="218"/>
      <c r="E86" s="218">
        <v>29704</v>
      </c>
      <c r="F86" s="219"/>
      <c r="G86" s="220"/>
      <c r="H86" s="218">
        <v>29704</v>
      </c>
      <c r="I86" s="82"/>
      <c r="J86" s="83"/>
      <c r="K86" s="84"/>
      <c r="L86" s="84"/>
      <c r="M86" s="85">
        <f t="shared" si="13"/>
        <v>0</v>
      </c>
      <c r="N86" s="85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</row>
    <row r="87" s="5" customFormat="1" spans="1:46">
      <c r="A87" s="76"/>
      <c r="B87" s="221" t="s">
        <v>252</v>
      </c>
      <c r="C87" s="222"/>
      <c r="D87" s="222"/>
      <c r="E87" s="223">
        <f>E85-E86</f>
        <v>689726</v>
      </c>
      <c r="F87" s="224"/>
      <c r="G87" s="225"/>
      <c r="H87" s="223">
        <f>H85-H86</f>
        <v>654051</v>
      </c>
      <c r="I87" s="82"/>
      <c r="J87" s="226"/>
      <c r="K87" s="84"/>
      <c r="L87" s="84"/>
      <c r="M87" s="85"/>
      <c r="N87" s="85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</row>
    <row r="88" s="5" customFormat="1" spans="1:46">
      <c r="A88" s="90"/>
      <c r="B88" s="95" t="s">
        <v>118</v>
      </c>
      <c r="C88" s="96"/>
      <c r="D88" s="96"/>
      <c r="E88" s="96"/>
      <c r="F88" s="96"/>
      <c r="G88" s="97"/>
      <c r="H88" s="98"/>
      <c r="I88" s="99"/>
      <c r="J88" s="94"/>
      <c r="K88" s="94"/>
      <c r="L88" s="4"/>
      <c r="M88" s="85"/>
      <c r="N88" s="8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="5" customFormat="1" spans="1:46">
      <c r="A89" s="90"/>
      <c r="B89" s="100"/>
      <c r="C89" s="101"/>
      <c r="D89" s="101"/>
      <c r="E89" s="101"/>
      <c r="F89" s="101"/>
      <c r="G89" s="102"/>
      <c r="H89" s="103"/>
      <c r="I89" s="104"/>
      <c r="J89" s="94"/>
      <c r="K89" s="94"/>
      <c r="L89" s="4"/>
      <c r="M89" s="85"/>
      <c r="N89" s="8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="5" customFormat="1" spans="1:46">
      <c r="A90" s="90"/>
      <c r="B90" s="66" t="s">
        <v>119</v>
      </c>
      <c r="C90" s="66"/>
      <c r="D90" s="3"/>
      <c r="E90" s="3"/>
      <c r="F90" s="3"/>
      <c r="G90" s="3"/>
      <c r="H90" s="4"/>
      <c r="I90" s="104"/>
      <c r="J90" s="94"/>
      <c r="K90" s="94"/>
      <c r="L90" s="4"/>
      <c r="M90" s="85"/>
      <c r="N90" s="8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="5" customFormat="1" spans="1:46">
      <c r="A91" s="90"/>
      <c r="B91" s="105"/>
      <c r="C91" s="105" t="s">
        <v>61</v>
      </c>
      <c r="D91" s="106"/>
      <c r="E91" s="106"/>
      <c r="F91" s="106"/>
      <c r="G91" s="107"/>
      <c r="H91" s="75" t="s">
        <v>62</v>
      </c>
      <c r="I91" s="104"/>
      <c r="J91" s="94"/>
      <c r="K91" s="94"/>
      <c r="L91" s="4"/>
      <c r="M91" s="85"/>
      <c r="N91" s="8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="5" customFormat="1" spans="1:46">
      <c r="A92" s="90"/>
      <c r="B92" s="108"/>
      <c r="C92" s="71" t="s">
        <v>64</v>
      </c>
      <c r="D92" s="71" t="s">
        <v>65</v>
      </c>
      <c r="E92" s="109" t="s">
        <v>66</v>
      </c>
      <c r="F92" s="74" t="s">
        <v>68</v>
      </c>
      <c r="G92" s="71" t="s">
        <v>69</v>
      </c>
      <c r="H92" s="74" t="s">
        <v>70</v>
      </c>
      <c r="I92" s="104"/>
      <c r="J92" s="94"/>
      <c r="K92" s="94"/>
      <c r="L92" s="4"/>
      <c r="M92" s="85"/>
      <c r="N92" s="8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="5" customFormat="1" spans="1:46">
      <c r="A93" s="90"/>
      <c r="B93" s="110"/>
      <c r="C93" s="111"/>
      <c r="D93" s="111"/>
      <c r="E93" s="112"/>
      <c r="F93" s="113"/>
      <c r="G93" s="112"/>
      <c r="H93" s="114"/>
      <c r="I93" s="104"/>
      <c r="J93" s="94"/>
      <c r="K93" s="94"/>
      <c r="L93" s="4"/>
      <c r="M93" s="85"/>
      <c r="N93" s="8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="5" customFormat="1" spans="1:46">
      <c r="A94" s="90"/>
      <c r="B94" s="19"/>
      <c r="C94" s="115"/>
      <c r="D94" s="112"/>
      <c r="E94" s="112"/>
      <c r="F94" s="116"/>
      <c r="G94" s="112"/>
      <c r="H94" s="117"/>
      <c r="I94" s="104"/>
      <c r="J94" s="94"/>
      <c r="K94" s="94"/>
      <c r="L94" s="4"/>
      <c r="M94" s="85"/>
      <c r="N94" s="8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="5" customFormat="1" spans="1:46">
      <c r="A95" s="90"/>
      <c r="B95" s="19"/>
      <c r="C95" s="115"/>
      <c r="D95" s="112"/>
      <c r="E95" s="112"/>
      <c r="F95" s="113"/>
      <c r="G95" s="112"/>
      <c r="H95" s="113"/>
      <c r="I95" s="104"/>
      <c r="J95" s="94"/>
      <c r="K95" s="94"/>
      <c r="L95" s="4"/>
      <c r="M95" s="85"/>
      <c r="N95" s="8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="5" customFormat="1" spans="1:46">
      <c r="A96" s="90"/>
      <c r="B96" s="118"/>
      <c r="C96" s="115"/>
      <c r="D96" s="112"/>
      <c r="E96" s="112"/>
      <c r="F96" s="113"/>
      <c r="G96" s="112"/>
      <c r="H96" s="113"/>
      <c r="I96" s="104"/>
      <c r="J96" s="94"/>
      <c r="K96" s="94"/>
      <c r="L96" s="4"/>
      <c r="M96" s="85"/>
      <c r="N96" s="8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="5" customFormat="1" spans="1:49">
      <c r="A97" s="90"/>
      <c r="B97" s="118"/>
      <c r="C97" s="115"/>
      <c r="D97" s="112"/>
      <c r="E97" s="112"/>
      <c r="F97" s="113"/>
      <c r="G97" s="112"/>
      <c r="H97" s="113"/>
      <c r="I97" s="104"/>
      <c r="J97" s="94"/>
      <c r="K97" s="94"/>
      <c r="L97" s="4"/>
      <c r="M97" s="85"/>
      <c r="N97" s="8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="5" customFormat="1" spans="1:49">
      <c r="A98" s="90"/>
      <c r="B98" s="118"/>
      <c r="C98" s="115"/>
      <c r="D98" s="112"/>
      <c r="E98" s="112"/>
      <c r="F98" s="113"/>
      <c r="G98" s="112"/>
      <c r="H98" s="113"/>
      <c r="I98" s="104"/>
      <c r="J98" s="94"/>
      <c r="K98" s="94"/>
      <c r="L98" s="4"/>
      <c r="M98" s="85"/>
      <c r="N98" s="8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="5" customFormat="1" spans="1:49">
      <c r="A99" s="65"/>
      <c r="B99" s="118"/>
      <c r="C99" s="115"/>
      <c r="D99" s="112"/>
      <c r="E99" s="112"/>
      <c r="F99" s="113"/>
      <c r="G99" s="112"/>
      <c r="H99" s="113"/>
      <c r="I99" s="94"/>
      <c r="J99" s="94"/>
      <c r="K99" s="4"/>
      <c r="L99" s="8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="5" customFormat="1" ht="15.75" spans="1:49">
      <c r="A100" s="65"/>
      <c r="B100" s="19"/>
      <c r="C100" s="119"/>
      <c r="D100" s="119"/>
      <c r="E100" s="120"/>
      <c r="F100" s="121"/>
      <c r="G100" s="120"/>
      <c r="H100" s="122"/>
      <c r="I100" s="94"/>
      <c r="J100" s="94"/>
      <c r="K100" s="4"/>
      <c r="L100" s="8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="5" customFormat="1" ht="15.75" spans="1:49">
      <c r="A101" s="65"/>
      <c r="B101" s="22" t="s">
        <v>55</v>
      </c>
      <c r="C101" s="91"/>
      <c r="D101" s="91"/>
      <c r="E101" s="123"/>
      <c r="F101" s="92"/>
      <c r="G101" s="123"/>
      <c r="H101" s="91">
        <v>0</v>
      </c>
      <c r="I101" s="94"/>
      <c r="J101" s="94"/>
      <c r="K101" s="4"/>
      <c r="L101" s="8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="5" customFormat="1" spans="1:49">
      <c r="A102" s="65"/>
      <c r="B102" s="95" t="s">
        <v>118</v>
      </c>
      <c r="C102" s="96"/>
      <c r="D102" s="96"/>
      <c r="E102" s="96"/>
      <c r="F102" s="97"/>
      <c r="G102" s="98"/>
      <c r="H102" s="99"/>
      <c r="I102" s="94"/>
      <c r="J102" s="94"/>
      <c r="K102" s="4"/>
      <c r="L102" s="8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="5" customFormat="1" spans="1:49">
      <c r="A103" s="65"/>
      <c r="B103" s="100"/>
      <c r="C103" s="101"/>
      <c r="D103" s="101"/>
      <c r="E103" s="101"/>
      <c r="F103" s="102"/>
      <c r="G103" s="103"/>
      <c r="H103" s="104"/>
      <c r="I103" s="94"/>
      <c r="J103" s="94"/>
      <c r="K103" s="4"/>
      <c r="L103" s="8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="5" customFormat="1" spans="1:49">
      <c r="A104" s="65"/>
      <c r="B104" s="124" t="s">
        <v>120</v>
      </c>
      <c r="C104" s="125"/>
      <c r="D104" s="125"/>
      <c r="E104" s="125"/>
      <c r="F104" s="126"/>
      <c r="G104" s="127"/>
      <c r="H104" s="128"/>
      <c r="I104" s="94"/>
      <c r="J104" s="94"/>
      <c r="K104" s="4"/>
      <c r="L104" s="8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="5" customFormat="1" spans="1:49">
      <c r="A105" s="65"/>
      <c r="B105" s="129" t="s">
        <v>121</v>
      </c>
      <c r="C105" s="101"/>
      <c r="D105" s="101"/>
      <c r="E105" s="101"/>
      <c r="F105" s="102"/>
      <c r="G105" s="103"/>
      <c r="H105" s="104"/>
      <c r="I105" s="94"/>
      <c r="J105" s="94"/>
      <c r="K105" s="4"/>
      <c r="L105" s="8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="5" customFormat="1" spans="1:49">
      <c r="A106" s="65"/>
      <c r="B106" s="129" t="s">
        <v>122</v>
      </c>
      <c r="C106" s="101"/>
      <c r="D106" s="101"/>
      <c r="E106" s="130"/>
      <c r="F106" s="102"/>
      <c r="G106" s="103"/>
      <c r="H106" s="104"/>
      <c r="I106" s="94"/>
      <c r="J106" s="94"/>
      <c r="K106" s="4"/>
      <c r="L106" s="8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="5" customFormat="1" spans="1:49">
      <c r="A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="5" customFormat="1" spans="1:49">
      <c r="A108" s="62" t="s">
        <v>123</v>
      </c>
      <c r="B108" s="131" t="s">
        <v>124</v>
      </c>
      <c r="C108" s="131"/>
      <c r="D108" s="132"/>
      <c r="E108" s="132"/>
      <c r="F108" s="132"/>
      <c r="G108" s="132"/>
      <c r="H108" s="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="5" customFormat="1" ht="18" customHeight="1" spans="1:49">
      <c r="A109" s="69" t="s">
        <v>1</v>
      </c>
      <c r="B109" s="134" t="s">
        <v>128</v>
      </c>
      <c r="C109" s="134" t="s">
        <v>142</v>
      </c>
      <c r="D109" s="133" t="s">
        <v>141</v>
      </c>
      <c r="E109" s="133" t="s">
        <v>253</v>
      </c>
      <c r="F109" s="134" t="s">
        <v>254</v>
      </c>
      <c r="G109" s="133" t="s">
        <v>255</v>
      </c>
      <c r="H109" s="133" t="s">
        <v>256</v>
      </c>
      <c r="I109" s="134" t="s">
        <v>257</v>
      </c>
      <c r="J109" s="134" t="s">
        <v>258</v>
      </c>
      <c r="K109" s="133" t="s">
        <v>259</v>
      </c>
      <c r="L109" s="133" t="s">
        <v>260</v>
      </c>
      <c r="M109" s="133" t="s">
        <v>255</v>
      </c>
      <c r="N109" s="133" t="s">
        <v>261</v>
      </c>
      <c r="O109" s="133" t="s">
        <v>255</v>
      </c>
      <c r="P109" s="133" t="s">
        <v>262</v>
      </c>
      <c r="Q109" s="133" t="s">
        <v>255</v>
      </c>
      <c r="R109" s="133" t="s">
        <v>255</v>
      </c>
      <c r="S109" s="133" t="s">
        <v>255</v>
      </c>
      <c r="T109" s="133" t="s">
        <v>255</v>
      </c>
      <c r="U109" s="133" t="s">
        <v>263</v>
      </c>
      <c r="V109" s="134" t="s">
        <v>264</v>
      </c>
      <c r="W109" s="133" t="s">
        <v>265</v>
      </c>
      <c r="X109" s="133" t="s">
        <v>255</v>
      </c>
      <c r="Y109" s="133" t="s">
        <v>255</v>
      </c>
      <c r="Z109" s="134" t="s">
        <v>255</v>
      </c>
      <c r="AA109" s="227" t="s">
        <v>266</v>
      </c>
      <c r="AB109" s="136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="5" customFormat="1" ht="18.95" customHeight="1" spans="1:49">
      <c r="A110" s="137"/>
      <c r="B110" s="139">
        <f>C60</f>
        <v>56121</v>
      </c>
      <c r="C110" s="139">
        <f>C61</f>
        <v>56017</v>
      </c>
      <c r="D110" s="138">
        <f>C62</f>
        <v>8487</v>
      </c>
      <c r="E110" s="138">
        <f>C63</f>
        <v>63170</v>
      </c>
      <c r="F110" s="139">
        <f>C64</f>
        <v>58195</v>
      </c>
      <c r="G110" s="138">
        <f>C65</f>
        <v>16480</v>
      </c>
      <c r="H110" s="138">
        <f>C66</f>
        <v>4944</v>
      </c>
      <c r="I110" s="139">
        <f>C67</f>
        <v>29719</v>
      </c>
      <c r="J110" s="139">
        <f>C68</f>
        <v>35530</v>
      </c>
      <c r="K110" s="138">
        <f>C69</f>
        <v>57765</v>
      </c>
      <c r="L110" s="138">
        <f>C70</f>
        <v>45044</v>
      </c>
      <c r="M110" s="138">
        <f>C71</f>
        <v>17480</v>
      </c>
      <c r="N110" s="138">
        <f>C72</f>
        <v>62165</v>
      </c>
      <c r="O110" s="138">
        <f>C73</f>
        <v>17955</v>
      </c>
      <c r="P110" s="138">
        <f>C74</f>
        <v>59058</v>
      </c>
      <c r="Q110" s="138">
        <f>C75</f>
        <v>17540</v>
      </c>
      <c r="R110" s="138">
        <f>C76</f>
        <v>16380</v>
      </c>
      <c r="S110" s="138">
        <f>C77</f>
        <v>17265</v>
      </c>
      <c r="T110" s="138">
        <f>C78</f>
        <v>19870</v>
      </c>
      <c r="U110" s="138">
        <f>C79</f>
        <v>42883</v>
      </c>
      <c r="V110" s="139">
        <f>C80</f>
        <v>60675</v>
      </c>
      <c r="W110" s="138">
        <f>C81</f>
        <v>62091</v>
      </c>
      <c r="X110" s="138">
        <f>C82</f>
        <v>18825</v>
      </c>
      <c r="Y110" s="138">
        <f>C83</f>
        <v>18880</v>
      </c>
      <c r="Z110" s="139">
        <f>C84</f>
        <v>19405</v>
      </c>
      <c r="AA110" s="228"/>
      <c r="AB110" s="141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="5" customFormat="1" spans="1:49">
      <c r="A111" s="40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1">
        <f t="shared" ref="AB111:AB136" si="14">SUM(B111:AA111)</f>
        <v>0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="5" customFormat="1" spans="1:49">
      <c r="A112" s="40">
        <v>46055</v>
      </c>
      <c r="B112" s="142">
        <v>0</v>
      </c>
      <c r="C112" s="142">
        <v>5580</v>
      </c>
      <c r="D112" s="142">
        <v>8487</v>
      </c>
      <c r="E112" s="142">
        <v>4917</v>
      </c>
      <c r="F112" s="142">
        <v>1515</v>
      </c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1">
        <f t="shared" si="14"/>
        <v>20499</v>
      </c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="5" customFormat="1" spans="1:49">
      <c r="A113" s="40">
        <v>46056</v>
      </c>
      <c r="B113" s="142">
        <v>0</v>
      </c>
      <c r="C113" s="142">
        <v>3430</v>
      </c>
      <c r="D113" s="142"/>
      <c r="E113" s="142">
        <v>22181</v>
      </c>
      <c r="F113" s="142">
        <v>2916</v>
      </c>
      <c r="G113" s="142">
        <v>6480</v>
      </c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1">
        <f t="shared" si="14"/>
        <v>35007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="5" customFormat="1" spans="1:49">
      <c r="A114" s="40">
        <v>46057</v>
      </c>
      <c r="B114" s="142">
        <v>0</v>
      </c>
      <c r="C114" s="142">
        <v>0</v>
      </c>
      <c r="D114" s="142"/>
      <c r="E114" s="142">
        <v>18621</v>
      </c>
      <c r="F114" s="142">
        <v>2953</v>
      </c>
      <c r="G114" s="142">
        <v>1200</v>
      </c>
      <c r="H114" s="142">
        <v>3899</v>
      </c>
      <c r="I114" s="142">
        <v>453</v>
      </c>
      <c r="J114" s="142">
        <v>2390</v>
      </c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1">
        <f t="shared" si="14"/>
        <v>29516</v>
      </c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="5" customFormat="1" spans="1:49">
      <c r="A115" s="40">
        <v>46058</v>
      </c>
      <c r="B115" s="142">
        <v>0</v>
      </c>
      <c r="C115" s="142">
        <v>0</v>
      </c>
      <c r="D115" s="142"/>
      <c r="E115" s="142">
        <v>16218</v>
      </c>
      <c r="F115" s="142">
        <v>2456</v>
      </c>
      <c r="G115" s="142">
        <v>800</v>
      </c>
      <c r="H115" s="142"/>
      <c r="I115" s="142">
        <v>0</v>
      </c>
      <c r="J115" s="142">
        <v>0</v>
      </c>
      <c r="K115" s="142">
        <v>10163</v>
      </c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1">
        <f t="shared" si="14"/>
        <v>29637</v>
      </c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="5" customFormat="1" spans="1:49">
      <c r="A116" s="40">
        <v>46059</v>
      </c>
      <c r="B116" s="142">
        <v>0</v>
      </c>
      <c r="C116" s="142">
        <v>0</v>
      </c>
      <c r="D116" s="142"/>
      <c r="E116" s="142"/>
      <c r="F116" s="142">
        <v>2490</v>
      </c>
      <c r="G116" s="142">
        <v>5000</v>
      </c>
      <c r="H116" s="142"/>
      <c r="I116" s="142">
        <v>0</v>
      </c>
      <c r="J116" s="142">
        <v>0</v>
      </c>
      <c r="K116" s="142">
        <v>14736</v>
      </c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1">
        <f t="shared" si="14"/>
        <v>22226</v>
      </c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="5" customFormat="1" spans="1:49">
      <c r="A117" s="40">
        <v>46060</v>
      </c>
      <c r="B117" s="142">
        <v>0</v>
      </c>
      <c r="C117" s="142">
        <v>0</v>
      </c>
      <c r="D117" s="142"/>
      <c r="E117" s="142"/>
      <c r="F117" s="142">
        <v>2875</v>
      </c>
      <c r="G117" s="142">
        <v>3000</v>
      </c>
      <c r="H117" s="142"/>
      <c r="I117" s="142">
        <v>0</v>
      </c>
      <c r="J117" s="142">
        <v>0</v>
      </c>
      <c r="K117" s="142">
        <v>12825</v>
      </c>
      <c r="L117" s="142">
        <v>10215</v>
      </c>
      <c r="M117" s="142">
        <v>7000</v>
      </c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1">
        <f t="shared" si="14"/>
        <v>35915</v>
      </c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="5" customFormat="1" spans="1:49">
      <c r="A118" s="40">
        <v>46062</v>
      </c>
      <c r="B118" s="142">
        <v>0</v>
      </c>
      <c r="C118" s="142">
        <v>0</v>
      </c>
      <c r="D118" s="142"/>
      <c r="E118" s="142"/>
      <c r="F118" s="142">
        <v>1480</v>
      </c>
      <c r="G118" s="142"/>
      <c r="H118" s="142"/>
      <c r="I118" s="142">
        <v>0</v>
      </c>
      <c r="J118" s="142">
        <v>0</v>
      </c>
      <c r="K118" s="142">
        <v>13953</v>
      </c>
      <c r="L118" s="142">
        <v>10891</v>
      </c>
      <c r="M118" s="142">
        <v>4000</v>
      </c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1">
        <f t="shared" si="14"/>
        <v>30324</v>
      </c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="5" customFormat="1" spans="1:49">
      <c r="A119" s="40">
        <v>46063</v>
      </c>
      <c r="B119" s="142">
        <v>0</v>
      </c>
      <c r="C119" s="142">
        <v>0</v>
      </c>
      <c r="D119" s="142"/>
      <c r="E119" s="142"/>
      <c r="F119" s="142">
        <v>1314</v>
      </c>
      <c r="G119" s="142"/>
      <c r="H119" s="142"/>
      <c r="I119" s="142">
        <v>0</v>
      </c>
      <c r="J119" s="142">
        <v>0</v>
      </c>
      <c r="K119" s="142">
        <v>5128</v>
      </c>
      <c r="L119" s="142">
        <v>9789</v>
      </c>
      <c r="M119" s="142">
        <v>6480</v>
      </c>
      <c r="N119" s="142">
        <v>4728</v>
      </c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1">
        <f t="shared" si="14"/>
        <v>27439</v>
      </c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="5" customFormat="1" spans="1:49">
      <c r="A120" s="40">
        <v>46064</v>
      </c>
      <c r="B120" s="142">
        <v>0</v>
      </c>
      <c r="C120" s="142">
        <v>0</v>
      </c>
      <c r="D120" s="142"/>
      <c r="E120" s="142"/>
      <c r="F120" s="142">
        <v>1425</v>
      </c>
      <c r="G120" s="142"/>
      <c r="H120" s="142"/>
      <c r="I120" s="142">
        <v>0</v>
      </c>
      <c r="J120" s="142">
        <v>0</v>
      </c>
      <c r="K120" s="142"/>
      <c r="L120" s="142">
        <v>4824</v>
      </c>
      <c r="M120" s="142"/>
      <c r="N120" s="142">
        <v>10144</v>
      </c>
      <c r="O120" s="142">
        <v>17955</v>
      </c>
      <c r="P120" s="142">
        <v>4908</v>
      </c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1">
        <f t="shared" si="14"/>
        <v>39256</v>
      </c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="5" customFormat="1" spans="1:49">
      <c r="A121" s="40">
        <v>46065</v>
      </c>
      <c r="B121" s="142">
        <v>0</v>
      </c>
      <c r="C121" s="142">
        <v>0</v>
      </c>
      <c r="D121" s="142"/>
      <c r="E121" s="142"/>
      <c r="F121" s="142">
        <v>1189</v>
      </c>
      <c r="G121" s="142"/>
      <c r="H121" s="142"/>
      <c r="I121" s="142">
        <v>0</v>
      </c>
      <c r="J121" s="142">
        <v>0</v>
      </c>
      <c r="K121" s="142"/>
      <c r="L121" s="142"/>
      <c r="M121" s="142"/>
      <c r="N121" s="142">
        <v>9823</v>
      </c>
      <c r="O121" s="142"/>
      <c r="P121" s="142">
        <v>10575</v>
      </c>
      <c r="Q121" s="142">
        <v>17540</v>
      </c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1">
        <f t="shared" si="14"/>
        <v>39127</v>
      </c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="5" customFormat="1" spans="1:49">
      <c r="A122" s="40">
        <v>46066</v>
      </c>
      <c r="B122" s="142">
        <v>0</v>
      </c>
      <c r="C122" s="142">
        <v>0</v>
      </c>
      <c r="D122" s="142"/>
      <c r="E122" s="142"/>
      <c r="F122" s="142">
        <v>1310</v>
      </c>
      <c r="G122" s="142"/>
      <c r="H122" s="142"/>
      <c r="I122" s="142">
        <v>0</v>
      </c>
      <c r="J122" s="142">
        <v>0</v>
      </c>
      <c r="K122" s="142"/>
      <c r="L122" s="142"/>
      <c r="M122" s="142"/>
      <c r="N122" s="142">
        <v>9572</v>
      </c>
      <c r="O122" s="142"/>
      <c r="P122" s="142">
        <v>10049</v>
      </c>
      <c r="Q122" s="142"/>
      <c r="R122" s="142">
        <v>5000</v>
      </c>
      <c r="S122" s="142"/>
      <c r="T122" s="142"/>
      <c r="U122" s="142"/>
      <c r="V122" s="142"/>
      <c r="W122" s="142"/>
      <c r="X122" s="142"/>
      <c r="Y122" s="142"/>
      <c r="Z122" s="142"/>
      <c r="AA122" s="142"/>
      <c r="AB122" s="141">
        <f t="shared" si="14"/>
        <v>25931</v>
      </c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="5" customFormat="1" spans="1:49">
      <c r="A123" s="40">
        <v>46067</v>
      </c>
      <c r="B123" s="142">
        <v>0</v>
      </c>
      <c r="C123" s="142">
        <v>0</v>
      </c>
      <c r="D123" s="142"/>
      <c r="E123" s="142"/>
      <c r="F123" s="142">
        <v>1173</v>
      </c>
      <c r="G123" s="142"/>
      <c r="H123" s="142"/>
      <c r="I123" s="142">
        <v>0</v>
      </c>
      <c r="J123" s="142">
        <v>0</v>
      </c>
      <c r="K123" s="142"/>
      <c r="L123" s="142"/>
      <c r="M123" s="142"/>
      <c r="N123" s="142">
        <v>8812</v>
      </c>
      <c r="O123" s="142"/>
      <c r="P123" s="142">
        <v>10565</v>
      </c>
      <c r="Q123" s="142"/>
      <c r="R123" s="142">
        <v>7000</v>
      </c>
      <c r="S123" s="142"/>
      <c r="T123" s="142"/>
      <c r="U123" s="142"/>
      <c r="V123" s="142"/>
      <c r="W123" s="142"/>
      <c r="X123" s="142"/>
      <c r="Y123" s="142"/>
      <c r="Z123" s="142"/>
      <c r="AA123" s="142"/>
      <c r="AB123" s="141">
        <f t="shared" si="14"/>
        <v>27550</v>
      </c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="5" customFormat="1" spans="1:49">
      <c r="A124" s="40">
        <v>46070</v>
      </c>
      <c r="B124" s="142">
        <v>0</v>
      </c>
      <c r="C124" s="142">
        <v>0</v>
      </c>
      <c r="D124" s="142"/>
      <c r="E124" s="142"/>
      <c r="F124" s="142">
        <v>1243</v>
      </c>
      <c r="G124" s="142"/>
      <c r="H124" s="142"/>
      <c r="I124" s="142">
        <v>0</v>
      </c>
      <c r="J124" s="142">
        <v>0</v>
      </c>
      <c r="K124" s="142"/>
      <c r="L124" s="142"/>
      <c r="M124" s="142"/>
      <c r="N124" s="142">
        <v>8705</v>
      </c>
      <c r="O124" s="142"/>
      <c r="P124" s="142">
        <v>10419</v>
      </c>
      <c r="Q124" s="142"/>
      <c r="R124" s="142">
        <v>4380</v>
      </c>
      <c r="S124" s="142">
        <v>17265</v>
      </c>
      <c r="T124" s="142"/>
      <c r="U124" s="142"/>
      <c r="V124" s="142"/>
      <c r="W124" s="142"/>
      <c r="X124" s="142"/>
      <c r="Y124" s="142"/>
      <c r="Z124" s="142"/>
      <c r="AA124" s="142"/>
      <c r="AB124" s="141">
        <f t="shared" si="14"/>
        <v>42012</v>
      </c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="5" customFormat="1" spans="1:49">
      <c r="A125" s="40">
        <v>46071</v>
      </c>
      <c r="B125" s="142">
        <v>0</v>
      </c>
      <c r="C125" s="142">
        <v>0</v>
      </c>
      <c r="D125" s="142"/>
      <c r="E125" s="142"/>
      <c r="F125" s="142">
        <v>2355</v>
      </c>
      <c r="G125" s="142"/>
      <c r="H125" s="142"/>
      <c r="I125" s="142">
        <v>0</v>
      </c>
      <c r="J125" s="142">
        <v>0</v>
      </c>
      <c r="K125" s="142"/>
      <c r="L125" s="142"/>
      <c r="M125" s="142"/>
      <c r="N125" s="142">
        <v>8167</v>
      </c>
      <c r="O125" s="142"/>
      <c r="P125" s="142">
        <v>10649</v>
      </c>
      <c r="Q125" s="142"/>
      <c r="R125" s="142"/>
      <c r="S125" s="142"/>
      <c r="T125" s="142">
        <v>9870</v>
      </c>
      <c r="U125" s="142">
        <v>5124</v>
      </c>
      <c r="V125" s="142"/>
      <c r="W125" s="142"/>
      <c r="X125" s="142"/>
      <c r="Y125" s="142"/>
      <c r="Z125" s="142"/>
      <c r="AA125" s="142"/>
      <c r="AB125" s="141">
        <f t="shared" si="14"/>
        <v>36165</v>
      </c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="5" customFormat="1" spans="1:49">
      <c r="A126" s="40">
        <v>46072</v>
      </c>
      <c r="B126" s="142">
        <v>0</v>
      </c>
      <c r="C126" s="142">
        <v>0</v>
      </c>
      <c r="D126" s="142"/>
      <c r="E126" s="142"/>
      <c r="F126" s="142">
        <v>2251</v>
      </c>
      <c r="G126" s="142"/>
      <c r="H126" s="142"/>
      <c r="I126" s="142">
        <v>0</v>
      </c>
      <c r="J126" s="142">
        <v>0</v>
      </c>
      <c r="K126" s="142"/>
      <c r="L126" s="142"/>
      <c r="M126" s="142"/>
      <c r="N126" s="142"/>
      <c r="O126" s="142"/>
      <c r="P126" s="142"/>
      <c r="Q126" s="142"/>
      <c r="R126" s="142"/>
      <c r="S126" s="142"/>
      <c r="T126" s="142">
        <v>5000</v>
      </c>
      <c r="U126" s="142">
        <v>5005</v>
      </c>
      <c r="V126" s="142">
        <v>10551</v>
      </c>
      <c r="W126" s="142">
        <v>10206</v>
      </c>
      <c r="X126" s="142"/>
      <c r="Y126" s="142"/>
      <c r="Z126" s="142"/>
      <c r="AA126" s="142"/>
      <c r="AB126" s="141">
        <f t="shared" si="14"/>
        <v>33013</v>
      </c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="5" customFormat="1" spans="1:49">
      <c r="A127" s="40">
        <v>46073</v>
      </c>
      <c r="B127" s="142">
        <v>0</v>
      </c>
      <c r="C127" s="142">
        <v>0</v>
      </c>
      <c r="D127" s="142"/>
      <c r="E127" s="142"/>
      <c r="F127" s="142">
        <v>1122</v>
      </c>
      <c r="G127" s="142"/>
      <c r="H127" s="142"/>
      <c r="I127" s="142">
        <v>0</v>
      </c>
      <c r="J127" s="142">
        <v>0</v>
      </c>
      <c r="K127" s="142"/>
      <c r="L127" s="142"/>
      <c r="M127" s="142"/>
      <c r="N127" s="142"/>
      <c r="O127" s="142"/>
      <c r="P127" s="142"/>
      <c r="Q127" s="142"/>
      <c r="R127" s="142"/>
      <c r="S127" s="142"/>
      <c r="T127" s="142">
        <v>5000</v>
      </c>
      <c r="U127" s="142">
        <v>2150</v>
      </c>
      <c r="V127" s="142">
        <v>12935</v>
      </c>
      <c r="W127" s="142">
        <v>10662</v>
      </c>
      <c r="X127" s="142"/>
      <c r="Y127" s="142"/>
      <c r="Z127" s="142"/>
      <c r="AA127" s="142"/>
      <c r="AB127" s="141">
        <f t="shared" si="14"/>
        <v>31869</v>
      </c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="5" customFormat="1" spans="1:49">
      <c r="A128" s="40">
        <v>46074</v>
      </c>
      <c r="B128" s="142">
        <v>0</v>
      </c>
      <c r="C128" s="142">
        <v>0</v>
      </c>
      <c r="D128" s="142"/>
      <c r="E128" s="142"/>
      <c r="F128" s="142">
        <v>1212</v>
      </c>
      <c r="G128" s="142"/>
      <c r="H128" s="142"/>
      <c r="I128" s="142">
        <v>0</v>
      </c>
      <c r="J128" s="142">
        <v>0</v>
      </c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>
        <v>2167</v>
      </c>
      <c r="V128" s="142">
        <v>6625</v>
      </c>
      <c r="W128" s="142">
        <v>10141</v>
      </c>
      <c r="X128" s="142">
        <v>8825</v>
      </c>
      <c r="Y128" s="142"/>
      <c r="Z128" s="142"/>
      <c r="AA128" s="142"/>
      <c r="AB128" s="141">
        <f t="shared" si="14"/>
        <v>28970</v>
      </c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="5" customFormat="1" spans="1:49">
      <c r="A129" s="40">
        <v>46076</v>
      </c>
      <c r="B129" s="142">
        <v>1405</v>
      </c>
      <c r="C129" s="142">
        <v>11833</v>
      </c>
      <c r="D129" s="142"/>
      <c r="E129" s="142"/>
      <c r="F129" s="142">
        <v>0</v>
      </c>
      <c r="G129" s="142"/>
      <c r="H129" s="142"/>
      <c r="I129" s="142">
        <v>0</v>
      </c>
      <c r="J129" s="142">
        <v>0</v>
      </c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>
        <v>4506</v>
      </c>
      <c r="V129" s="142">
        <v>3055</v>
      </c>
      <c r="W129" s="142">
        <v>12898</v>
      </c>
      <c r="X129" s="142">
        <v>10000</v>
      </c>
      <c r="Y129" s="142"/>
      <c r="Z129" s="142"/>
      <c r="AA129" s="142"/>
      <c r="AB129" s="141">
        <f t="shared" si="14"/>
        <v>43697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="5" customFormat="1" spans="1:49">
      <c r="A130" s="40">
        <v>46077</v>
      </c>
      <c r="B130" s="142">
        <v>2975</v>
      </c>
      <c r="C130" s="142">
        <v>2391</v>
      </c>
      <c r="D130" s="142"/>
      <c r="E130" s="142"/>
      <c r="F130" s="142">
        <v>3663</v>
      </c>
      <c r="G130" s="142"/>
      <c r="H130" s="142"/>
      <c r="I130" s="142">
        <v>0</v>
      </c>
      <c r="J130" s="142">
        <v>0</v>
      </c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>
        <v>21517</v>
      </c>
      <c r="V130" s="142">
        <v>1925</v>
      </c>
      <c r="W130" s="142"/>
      <c r="X130" s="142"/>
      <c r="Y130" s="142">
        <v>10000</v>
      </c>
      <c r="Z130" s="142"/>
      <c r="AA130" s="142"/>
      <c r="AB130" s="141">
        <f t="shared" si="14"/>
        <v>42471</v>
      </c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="5" customFormat="1" spans="1:49">
      <c r="A131" s="40">
        <v>46078</v>
      </c>
      <c r="B131" s="142">
        <v>3045</v>
      </c>
      <c r="C131" s="142">
        <v>2682</v>
      </c>
      <c r="D131" s="142"/>
      <c r="E131" s="142"/>
      <c r="F131" s="142">
        <v>4545</v>
      </c>
      <c r="G131" s="142"/>
      <c r="H131" s="142"/>
      <c r="I131" s="142">
        <v>0</v>
      </c>
      <c r="J131" s="142">
        <v>0</v>
      </c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>
        <v>1593</v>
      </c>
      <c r="V131" s="142">
        <v>9835</v>
      </c>
      <c r="W131" s="142"/>
      <c r="X131" s="142"/>
      <c r="Y131" s="142">
        <v>8880</v>
      </c>
      <c r="Z131" s="142"/>
      <c r="AA131" s="142"/>
      <c r="AB131" s="141">
        <f t="shared" si="14"/>
        <v>30580</v>
      </c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="5" customFormat="1" spans="1:49">
      <c r="A132" s="40">
        <v>46079</v>
      </c>
      <c r="B132" s="142">
        <v>2687</v>
      </c>
      <c r="C132" s="142">
        <v>5397</v>
      </c>
      <c r="D132" s="142"/>
      <c r="E132" s="142"/>
      <c r="F132" s="142">
        <v>4606</v>
      </c>
      <c r="G132" s="142"/>
      <c r="H132" s="142"/>
      <c r="I132" s="142">
        <v>0</v>
      </c>
      <c r="J132" s="142">
        <v>0</v>
      </c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>
        <v>10456</v>
      </c>
      <c r="W132" s="142"/>
      <c r="X132" s="142"/>
      <c r="Y132" s="142"/>
      <c r="Z132" s="142">
        <v>9405</v>
      </c>
      <c r="AA132" s="142"/>
      <c r="AB132" s="141">
        <f t="shared" si="14"/>
        <v>32551</v>
      </c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="5" customFormat="1" spans="1:49">
      <c r="A133" s="40">
        <v>46080</v>
      </c>
      <c r="B133" s="142">
        <v>0</v>
      </c>
      <c r="C133" s="142">
        <v>0</v>
      </c>
      <c r="D133" s="142"/>
      <c r="E133" s="142"/>
      <c r="F133" s="142">
        <v>0</v>
      </c>
      <c r="G133" s="142"/>
      <c r="H133" s="142"/>
      <c r="I133" s="142">
        <v>0</v>
      </c>
      <c r="J133" s="142">
        <v>0</v>
      </c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>
        <v>0</v>
      </c>
      <c r="W133" s="142"/>
      <c r="X133" s="142"/>
      <c r="Y133" s="142"/>
      <c r="Z133" s="142"/>
      <c r="AA133" s="142"/>
      <c r="AB133" s="141">
        <f t="shared" si="14"/>
        <v>0</v>
      </c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="5" customFormat="1" spans="1:49">
      <c r="A134" s="40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1">
        <f t="shared" si="14"/>
        <v>0</v>
      </c>
      <c r="AC134" s="202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="5" customFormat="1" spans="1:49">
      <c r="A135" s="143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1">
        <f t="shared" si="14"/>
        <v>0</v>
      </c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="5" customFormat="1" spans="1:49">
      <c r="A136" s="145"/>
      <c r="B136" s="146">
        <f>SUM(B111:B135)</f>
        <v>10112</v>
      </c>
      <c r="C136" s="146">
        <f t="shared" ref="B136:Z136" si="15">SUM(C111:C135)</f>
        <v>31313</v>
      </c>
      <c r="D136" s="146">
        <f t="shared" si="15"/>
        <v>8487</v>
      </c>
      <c r="E136" s="146">
        <f t="shared" si="15"/>
        <v>61937</v>
      </c>
      <c r="F136" s="146">
        <f t="shared" si="15"/>
        <v>44093</v>
      </c>
      <c r="G136" s="146">
        <f t="shared" si="15"/>
        <v>16480</v>
      </c>
      <c r="H136" s="146">
        <f t="shared" si="15"/>
        <v>3899</v>
      </c>
      <c r="I136" s="146">
        <f t="shared" si="15"/>
        <v>453</v>
      </c>
      <c r="J136" s="146">
        <f t="shared" si="15"/>
        <v>2390</v>
      </c>
      <c r="K136" s="146">
        <f t="shared" si="15"/>
        <v>56805</v>
      </c>
      <c r="L136" s="146">
        <f t="shared" si="15"/>
        <v>35719</v>
      </c>
      <c r="M136" s="146">
        <f t="shared" si="15"/>
        <v>17480</v>
      </c>
      <c r="N136" s="146">
        <f t="shared" si="15"/>
        <v>59951</v>
      </c>
      <c r="O136" s="146">
        <f t="shared" si="15"/>
        <v>17955</v>
      </c>
      <c r="P136" s="146">
        <f t="shared" si="15"/>
        <v>57165</v>
      </c>
      <c r="Q136" s="146">
        <f t="shared" si="15"/>
        <v>17540</v>
      </c>
      <c r="R136" s="146">
        <f t="shared" si="15"/>
        <v>16380</v>
      </c>
      <c r="S136" s="146">
        <f t="shared" si="15"/>
        <v>17265</v>
      </c>
      <c r="T136" s="146">
        <f t="shared" si="15"/>
        <v>19870</v>
      </c>
      <c r="U136" s="146">
        <f t="shared" si="15"/>
        <v>42062</v>
      </c>
      <c r="V136" s="146">
        <f t="shared" si="15"/>
        <v>55382</v>
      </c>
      <c r="W136" s="146">
        <f t="shared" si="15"/>
        <v>43907</v>
      </c>
      <c r="X136" s="146">
        <f t="shared" si="15"/>
        <v>18825</v>
      </c>
      <c r="Y136" s="146">
        <f t="shared" si="15"/>
        <v>18880</v>
      </c>
      <c r="Z136" s="146">
        <f t="shared" si="15"/>
        <v>9405</v>
      </c>
      <c r="AA136" s="229">
        <v>-29704</v>
      </c>
      <c r="AB136" s="148">
        <f t="shared" si="14"/>
        <v>654051</v>
      </c>
      <c r="AC136" s="58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="5" customFormat="1" spans="1:49">
      <c r="A137" s="39"/>
      <c r="B137" s="150">
        <f>+B110-B136</f>
        <v>46009</v>
      </c>
      <c r="C137" s="150">
        <f t="shared" ref="B137:Z137" si="16">+C110-C136</f>
        <v>24704</v>
      </c>
      <c r="D137" s="149">
        <f t="shared" si="16"/>
        <v>0</v>
      </c>
      <c r="E137" s="149">
        <f t="shared" si="16"/>
        <v>1233</v>
      </c>
      <c r="F137" s="150">
        <f t="shared" si="16"/>
        <v>14102</v>
      </c>
      <c r="G137" s="149">
        <f t="shared" si="16"/>
        <v>0</v>
      </c>
      <c r="H137" s="149">
        <f t="shared" si="16"/>
        <v>1045</v>
      </c>
      <c r="I137" s="150">
        <f t="shared" si="16"/>
        <v>29266</v>
      </c>
      <c r="J137" s="150">
        <f t="shared" si="16"/>
        <v>33140</v>
      </c>
      <c r="K137" s="149">
        <f t="shared" si="16"/>
        <v>960</v>
      </c>
      <c r="L137" s="149">
        <f t="shared" si="16"/>
        <v>9325</v>
      </c>
      <c r="M137" s="149">
        <f t="shared" si="16"/>
        <v>0</v>
      </c>
      <c r="N137" s="149">
        <f t="shared" si="16"/>
        <v>2214</v>
      </c>
      <c r="O137" s="149">
        <f t="shared" si="16"/>
        <v>0</v>
      </c>
      <c r="P137" s="149">
        <f t="shared" si="16"/>
        <v>1893</v>
      </c>
      <c r="Q137" s="149">
        <f t="shared" si="16"/>
        <v>0</v>
      </c>
      <c r="R137" s="149">
        <f t="shared" si="16"/>
        <v>0</v>
      </c>
      <c r="S137" s="149">
        <f t="shared" si="16"/>
        <v>0</v>
      </c>
      <c r="T137" s="149">
        <f t="shared" si="16"/>
        <v>0</v>
      </c>
      <c r="U137" s="149">
        <f t="shared" si="16"/>
        <v>821</v>
      </c>
      <c r="V137" s="150">
        <f t="shared" si="16"/>
        <v>5293</v>
      </c>
      <c r="W137" s="149">
        <f t="shared" si="16"/>
        <v>18184</v>
      </c>
      <c r="X137" s="149">
        <f t="shared" si="16"/>
        <v>0</v>
      </c>
      <c r="Y137" s="149">
        <f t="shared" si="16"/>
        <v>0</v>
      </c>
      <c r="Z137" s="150">
        <f t="shared" si="16"/>
        <v>10000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="5" customFormat="1" spans="1:49">
      <c r="B138" s="200"/>
      <c r="C138" s="201"/>
    </row>
    <row r="139" s="5" customFormat="1" spans="1:49">
      <c r="A139" s="2" t="s">
        <v>143</v>
      </c>
    </row>
    <row r="140" s="5" customFormat="1"/>
    <row r="141" s="5" customFormat="1" spans="1:49">
      <c r="A141" s="236" t="s">
        <v>267</v>
      </c>
    </row>
    <row r="142" spans="1:49">
      <c r="A142" t="s">
        <v>268</v>
      </c>
    </row>
    <row r="143" spans="1:49">
      <c r="A143" t="s">
        <v>269</v>
      </c>
    </row>
    <row r="145" spans="1:2">
      <c r="A145" s="236" t="s">
        <v>270</v>
      </c>
    </row>
    <row r="146" spans="1:2">
      <c r="A146" t="s">
        <v>271</v>
      </c>
    </row>
    <row r="148" spans="1:2">
      <c r="A148" s="236" t="s">
        <v>272</v>
      </c>
    </row>
    <row r="149" spans="1:2">
      <c r="A149" t="s">
        <v>273</v>
      </c>
    </row>
    <row r="150" spans="1:2">
      <c r="A150" t="s">
        <v>274</v>
      </c>
    </row>
    <row r="151" spans="1:2">
      <c r="A151" t="s">
        <v>275</v>
      </c>
    </row>
    <row r="152" spans="1:2">
      <c r="A152" s="171" t="s">
        <v>276</v>
      </c>
      <c r="B152" s="170"/>
    </row>
    <row r="153" customFormat="1" spans="1:2">
      <c r="A153" t="s">
        <v>277</v>
      </c>
    </row>
    <row r="154" customFormat="1" spans="1:2">
      <c r="A154" s="161">
        <v>4944</v>
      </c>
      <c r="B154" s="153" t="s">
        <v>278</v>
      </c>
    </row>
    <row r="155" spans="1:2">
      <c r="A155" s="171" t="s">
        <v>279</v>
      </c>
    </row>
    <row r="156" customFormat="1" spans="1:2">
      <c r="A156" t="s">
        <v>277</v>
      </c>
    </row>
    <row r="157" customFormat="1" spans="1:2">
      <c r="A157" s="161">
        <v>3818</v>
      </c>
      <c r="B157" s="153" t="s">
        <v>280</v>
      </c>
    </row>
    <row r="159" spans="1:2">
      <c r="A159" s="236" t="s">
        <v>281</v>
      </c>
    </row>
    <row r="160" spans="1:2">
      <c r="A160" t="s">
        <v>282</v>
      </c>
    </row>
    <row r="161" spans="1:1">
      <c r="A161" t="s">
        <v>283</v>
      </c>
    </row>
    <row r="162" spans="1:1">
      <c r="A162" s="153" t="s">
        <v>284</v>
      </c>
    </row>
    <row r="164" spans="1:1">
      <c r="A164" s="236" t="s">
        <v>285</v>
      </c>
    </row>
    <row r="165" spans="1:1">
      <c r="A165" t="s">
        <v>271</v>
      </c>
    </row>
    <row r="166" spans="1:1">
      <c r="A166" t="s">
        <v>286</v>
      </c>
    </row>
    <row r="168" spans="1:1">
      <c r="A168" s="236" t="s">
        <v>287</v>
      </c>
    </row>
    <row r="169" spans="1:1">
      <c r="A169" t="s">
        <v>288</v>
      </c>
    </row>
    <row r="170" spans="1:1">
      <c r="A170" t="s">
        <v>289</v>
      </c>
    </row>
    <row r="171" spans="1:1">
      <c r="A171" t="s">
        <v>290</v>
      </c>
    </row>
    <row r="173" spans="1:1">
      <c r="A173" s="236" t="s">
        <v>291</v>
      </c>
    </row>
    <row r="174" spans="1:1">
      <c r="A174" t="s">
        <v>292</v>
      </c>
    </row>
    <row r="175" spans="1:1">
      <c r="A175" t="s">
        <v>293</v>
      </c>
    </row>
    <row r="176" spans="1:1">
      <c r="A176" s="153" t="s">
        <v>294</v>
      </c>
    </row>
    <row r="178" spans="1:2">
      <c r="A178" s="236" t="s">
        <v>295</v>
      </c>
    </row>
    <row r="179" spans="1:2">
      <c r="A179" t="s">
        <v>296</v>
      </c>
    </row>
    <row r="181" spans="1:2">
      <c r="A181" s="236" t="s">
        <v>297</v>
      </c>
    </row>
    <row r="182" spans="1:2">
      <c r="A182" t="s">
        <v>298</v>
      </c>
    </row>
    <row r="183" spans="1:2">
      <c r="A183" t="s">
        <v>299</v>
      </c>
    </row>
    <row r="184" spans="1:2">
      <c r="A184" t="s">
        <v>275</v>
      </c>
    </row>
    <row r="185" customFormat="1" spans="1:2">
      <c r="A185" s="160" t="s">
        <v>300</v>
      </c>
    </row>
    <row r="186" customFormat="1" spans="1:2">
      <c r="A186" t="s">
        <v>301</v>
      </c>
    </row>
    <row r="187" customFormat="1" spans="1:2">
      <c r="A187" s="161">
        <v>62165</v>
      </c>
      <c r="B187" s="153" t="s">
        <v>302</v>
      </c>
    </row>
    <row r="188" customFormat="1" spans="1:2">
      <c r="A188" s="160" t="s">
        <v>303</v>
      </c>
    </row>
    <row r="189" customFormat="1" spans="1:2">
      <c r="A189" s="171" t="s">
        <v>276</v>
      </c>
      <c r="B189" s="170"/>
    </row>
    <row r="190" customFormat="1" spans="1:2">
      <c r="A190" t="s">
        <v>304</v>
      </c>
    </row>
    <row r="191" customFormat="1" spans="1:2">
      <c r="A191" s="161">
        <v>59058</v>
      </c>
      <c r="B191" s="153" t="s">
        <v>305</v>
      </c>
    </row>
    <row r="192" customFormat="1" spans="1:2">
      <c r="A192" s="171" t="s">
        <v>279</v>
      </c>
    </row>
    <row r="193" customFormat="1" spans="1:2">
      <c r="A193" t="s">
        <v>304</v>
      </c>
    </row>
    <row r="194" customFormat="1" spans="1:2">
      <c r="A194" s="161">
        <v>48213</v>
      </c>
      <c r="B194" s="153" t="s">
        <v>306</v>
      </c>
    </row>
    <row r="196" spans="1:2">
      <c r="A196" s="236" t="s">
        <v>307</v>
      </c>
    </row>
    <row r="197" spans="1:2">
      <c r="A197" t="s">
        <v>308</v>
      </c>
    </row>
    <row r="199" spans="1:2">
      <c r="A199" s="236" t="s">
        <v>309</v>
      </c>
    </row>
    <row r="200" spans="1:2">
      <c r="A200" t="s">
        <v>286</v>
      </c>
    </row>
    <row r="202" spans="1:2">
      <c r="A202" s="236" t="s">
        <v>310</v>
      </c>
    </row>
    <row r="203" spans="1:2">
      <c r="A203" t="s">
        <v>311</v>
      </c>
    </row>
    <row r="205" spans="1:2">
      <c r="A205" s="236" t="s">
        <v>312</v>
      </c>
    </row>
    <row r="206" spans="1:2">
      <c r="A206" t="s">
        <v>313</v>
      </c>
    </row>
    <row r="207" spans="1:2">
      <c r="A207" t="s">
        <v>275</v>
      </c>
    </row>
    <row r="208" customFormat="1" spans="1:2">
      <c r="A208" s="160" t="s">
        <v>314</v>
      </c>
    </row>
    <row r="209" customFormat="1" spans="1:2">
      <c r="A209" s="171" t="s">
        <v>276</v>
      </c>
      <c r="B209" s="170"/>
    </row>
    <row r="210" customFormat="1" spans="1:2">
      <c r="A210" t="s">
        <v>315</v>
      </c>
    </row>
    <row r="211" customFormat="1" spans="1:2">
      <c r="A211" s="161">
        <v>62091</v>
      </c>
      <c r="B211" s="153" t="s">
        <v>316</v>
      </c>
    </row>
    <row r="212" customFormat="1" spans="1:2">
      <c r="A212" s="171" t="s">
        <v>279</v>
      </c>
    </row>
    <row r="213" customFormat="1" spans="1:2">
      <c r="A213" t="s">
        <v>317</v>
      </c>
    </row>
    <row r="214" customFormat="1" spans="1:2">
      <c r="A214" s="161">
        <v>51803</v>
      </c>
      <c r="B214" s="153" t="s">
        <v>318</v>
      </c>
    </row>
    <row r="216" spans="1:2">
      <c r="A216" s="236" t="s">
        <v>319</v>
      </c>
    </row>
    <row r="217" spans="1:2">
      <c r="A217" t="s">
        <v>320</v>
      </c>
    </row>
    <row r="218" spans="1:2">
      <c r="A218" s="153" t="s">
        <v>321</v>
      </c>
    </row>
    <row r="220" spans="1:2">
      <c r="A220" s="236" t="s">
        <v>322</v>
      </c>
    </row>
    <row r="221" spans="1:2">
      <c r="A221" t="s">
        <v>311</v>
      </c>
    </row>
  </sheetData>
  <mergeCells count="1">
    <mergeCell ref="AA109:AA110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48"/>
  <sheetViews>
    <sheetView zoomScale="90" zoomScaleNormal="90" topLeftCell="I1" workbookViewId="0">
      <selection activeCell="Z14" sqref="Z14"/>
    </sheetView>
  </sheetViews>
  <sheetFormatPr defaultColWidth="9.14285714285714" defaultRowHeight="15"/>
  <cols>
    <col min="1" max="1" width="10.5714285714286"/>
    <col min="2" max="2" width="29.1428571428571" customWidth="1"/>
    <col min="3" max="3" width="12.5714285714286" customWidth="1"/>
    <col min="4" max="4" width="12.4285714285714" customWidth="1"/>
    <col min="5" max="6" width="11.7142857142857" customWidth="1"/>
    <col min="7" max="7" width="12.8571428571429" customWidth="1"/>
    <col min="8" max="8" width="9.28571428571429"/>
    <col min="9" max="9" width="12.5714285714286" customWidth="1"/>
    <col min="10" max="10" width="13" customWidth="1"/>
    <col min="12" max="12" width="11.5714285714286" customWidth="1"/>
    <col min="13" max="13" width="13"/>
    <col min="19" max="19" width="13.2857142857143" customWidth="1"/>
    <col min="20" max="20" width="13.4285714285714" customWidth="1"/>
    <col min="31" max="31" width="12.2857142857143" customWidth="1"/>
    <col min="37" max="37" width="10.8571428571429" customWidth="1"/>
    <col min="38" max="38" width="12.1428571428571" customWidth="1"/>
    <col min="48" max="48" width="10.8571428571429" hidden="1" customWidth="1"/>
    <col min="49" max="50" width="9.14285714285714" hidden="1" customWidth="1"/>
  </cols>
  <sheetData>
    <row r="1" s="5" customFormat="1" spans="1:48">
      <c r="A1" s="235" t="s">
        <v>323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5" customFormat="1" spans="1:48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="5" customFormat="1" spans="1:48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</row>
    <row r="4" s="5" customFormat="1" spans="1:48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34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</row>
    <row r="5" s="5" customFormat="1" spans="1:48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</row>
    <row r="6" s="5" customFormat="1" spans="1:48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155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</row>
    <row r="7" s="5" customFormat="1" spans="1:48">
      <c r="A7" s="44">
        <v>46081</v>
      </c>
      <c r="B7" s="41">
        <v>24783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825</v>
      </c>
      <c r="AA7" s="35">
        <v>26</v>
      </c>
      <c r="AB7" s="33">
        <f t="shared" ref="AB7:AB36" si="0">AA7*Z7</f>
        <v>21450</v>
      </c>
      <c r="AC7" s="155">
        <v>2683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</row>
    <row r="8" s="5" customFormat="1" spans="1:48">
      <c r="A8" s="44">
        <v>46083</v>
      </c>
      <c r="B8" s="41">
        <v>31125</v>
      </c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>
        <v>1080</v>
      </c>
      <c r="AA8" s="35">
        <v>26</v>
      </c>
      <c r="AB8" s="33">
        <f t="shared" si="0"/>
        <v>28080</v>
      </c>
      <c r="AC8" s="43">
        <v>4947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</row>
    <row r="9" s="5" customFormat="1" spans="1:48">
      <c r="A9" s="44">
        <v>46084</v>
      </c>
      <c r="B9" s="41">
        <v>36845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v>1070</v>
      </c>
      <c r="AA9" s="35">
        <v>26</v>
      </c>
      <c r="AB9" s="33">
        <f t="shared" si="0"/>
        <v>27820</v>
      </c>
      <c r="AC9" s="155">
        <v>3456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</row>
    <row r="10" s="5" customFormat="1" spans="1:48">
      <c r="A10" s="44">
        <v>46085</v>
      </c>
      <c r="B10" s="41">
        <v>34021</v>
      </c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>
        <v>1172</v>
      </c>
      <c r="AA10" s="35">
        <v>26</v>
      </c>
      <c r="AB10" s="33">
        <f t="shared" si="0"/>
        <v>30472</v>
      </c>
      <c r="AC10" s="155">
        <v>4975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</row>
    <row r="11" s="5" customFormat="1" spans="1:48">
      <c r="A11" s="44">
        <v>46086</v>
      </c>
      <c r="B11" s="41">
        <v>36262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v>1125</v>
      </c>
      <c r="AA11" s="35">
        <v>26</v>
      </c>
      <c r="AB11" s="33">
        <f t="shared" si="0"/>
        <v>29250</v>
      </c>
      <c r="AC11" s="43">
        <v>4973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</row>
    <row r="12" s="5" customFormat="1" spans="1:48">
      <c r="A12" s="44">
        <v>46087</v>
      </c>
      <c r="B12" s="41">
        <v>33558</v>
      </c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>
        <v>965</v>
      </c>
      <c r="AA12" s="35">
        <v>26</v>
      </c>
      <c r="AB12" s="33">
        <f t="shared" si="0"/>
        <v>25090</v>
      </c>
      <c r="AC12" s="33">
        <v>4505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</row>
    <row r="13" s="5" customFormat="1" spans="1:48">
      <c r="A13" s="44">
        <v>46088</v>
      </c>
      <c r="B13" s="41">
        <v>39234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>
        <v>1184</v>
      </c>
      <c r="AA13" s="35">
        <v>26</v>
      </c>
      <c r="AB13" s="33">
        <f t="shared" si="0"/>
        <v>30784</v>
      </c>
      <c r="AC13" s="43">
        <v>3741</v>
      </c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</row>
    <row r="14" s="5" customFormat="1" spans="1:48">
      <c r="A14" s="44">
        <v>46090</v>
      </c>
      <c r="B14" s="41">
        <v>77704</v>
      </c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>
        <f>1050+1070</f>
        <v>2120</v>
      </c>
      <c r="AA14" s="35">
        <v>26</v>
      </c>
      <c r="AB14" s="33">
        <f t="shared" si="0"/>
        <v>55120</v>
      </c>
      <c r="AC14" s="43">
        <v>7296</v>
      </c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</row>
    <row r="15" s="5" customFormat="1" spans="1:48">
      <c r="A15" s="44">
        <v>46091</v>
      </c>
      <c r="B15" s="41">
        <v>57257</v>
      </c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>
        <f>815+1090</f>
        <v>1905</v>
      </c>
      <c r="AA15" s="35">
        <v>26</v>
      </c>
      <c r="AB15" s="33">
        <f t="shared" si="0"/>
        <v>49530</v>
      </c>
      <c r="AC15" s="189">
        <v>5733</v>
      </c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</row>
    <row r="16" s="5" customFormat="1" spans="1:48">
      <c r="A16" s="44">
        <v>46092</v>
      </c>
      <c r="B16" s="41">
        <v>50627</v>
      </c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>
        <f>1065+1071</f>
        <v>2136</v>
      </c>
      <c r="AA16" s="35">
        <v>26</v>
      </c>
      <c r="AB16" s="33">
        <f t="shared" si="0"/>
        <v>55536</v>
      </c>
      <c r="AC16" s="43">
        <v>6895</v>
      </c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</row>
    <row r="17" s="5" customFormat="1" spans="1:48">
      <c r="A17" s="44">
        <v>46093</v>
      </c>
      <c r="B17" s="177">
        <v>38209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>
        <v>1050</v>
      </c>
      <c r="AA17" s="177">
        <v>26</v>
      </c>
      <c r="AB17" s="33">
        <f t="shared" si="0"/>
        <v>27300</v>
      </c>
      <c r="AC17" s="190">
        <v>3605</v>
      </c>
      <c r="AD17" s="36"/>
      <c r="AE17" s="179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</row>
    <row r="18" s="5" customFormat="1" spans="1:48">
      <c r="A18" s="44">
        <v>46094</v>
      </c>
      <c r="B18" s="41">
        <v>39092</v>
      </c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>
        <v>1095</v>
      </c>
      <c r="AA18" s="35">
        <v>26</v>
      </c>
      <c r="AB18" s="33">
        <f t="shared" si="0"/>
        <v>28470</v>
      </c>
      <c r="AC18" s="43">
        <v>3566</v>
      </c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</row>
    <row r="19" s="5" customFormat="1" spans="1:48">
      <c r="A19" s="44">
        <v>46095</v>
      </c>
      <c r="B19" s="41">
        <v>22540</v>
      </c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1140</v>
      </c>
      <c r="AA19" s="35">
        <v>26</v>
      </c>
      <c r="AB19" s="33">
        <f t="shared" si="0"/>
        <v>29640</v>
      </c>
      <c r="AC19" s="155">
        <v>3497</v>
      </c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</row>
    <row r="20" s="5" customFormat="1" spans="1:48">
      <c r="A20" s="44">
        <v>46098</v>
      </c>
      <c r="B20" s="41">
        <v>47547</v>
      </c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1115</v>
      </c>
      <c r="AA20" s="35">
        <v>26</v>
      </c>
      <c r="AB20" s="33">
        <f t="shared" si="0"/>
        <v>28990</v>
      </c>
      <c r="AC20" s="43">
        <v>4978</v>
      </c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</row>
    <row r="21" s="5" customFormat="1" spans="1:48">
      <c r="A21" s="44">
        <v>46099</v>
      </c>
      <c r="B21" s="41">
        <v>31045</v>
      </c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1100</v>
      </c>
      <c r="AA21" s="35">
        <v>26</v>
      </c>
      <c r="AB21" s="33">
        <f t="shared" si="0"/>
        <v>28600</v>
      </c>
      <c r="AC21" s="43">
        <v>3991</v>
      </c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</row>
    <row r="22" s="5" customFormat="1" spans="1:48">
      <c r="A22" s="44">
        <v>46100</v>
      </c>
      <c r="B22" s="41">
        <v>45091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>
        <v>1110</v>
      </c>
      <c r="AA22" s="35">
        <v>26</v>
      </c>
      <c r="AB22" s="33">
        <f t="shared" si="0"/>
        <v>28860</v>
      </c>
      <c r="AC22" s="189">
        <v>5124</v>
      </c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</row>
    <row r="23" s="5" customFormat="1" spans="1:48">
      <c r="A23" s="44">
        <v>46101</v>
      </c>
      <c r="B23" s="41">
        <v>13145</v>
      </c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>
        <v>1120</v>
      </c>
      <c r="AA23" s="35">
        <v>26</v>
      </c>
      <c r="AB23" s="33">
        <f t="shared" si="0"/>
        <v>29120</v>
      </c>
      <c r="AC23" s="43">
        <v>4632</v>
      </c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</row>
    <row r="24" s="5" customFormat="1" spans="1:48">
      <c r="A24" s="44">
        <v>46104</v>
      </c>
      <c r="B24" s="177">
        <v>94112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>
        <v>1050</v>
      </c>
      <c r="AA24" s="35">
        <v>26</v>
      </c>
      <c r="AB24" s="42">
        <f t="shared" si="0"/>
        <v>27300</v>
      </c>
      <c r="AC24" s="195">
        <v>5770</v>
      </c>
      <c r="AD24" s="36"/>
      <c r="AE24" s="179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</row>
    <row r="25" s="5" customFormat="1" spans="1:48">
      <c r="A25" s="44"/>
      <c r="B25" s="41"/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1028</v>
      </c>
      <c r="AA25" s="35">
        <v>26</v>
      </c>
      <c r="AB25" s="42">
        <f t="shared" si="0"/>
        <v>26728</v>
      </c>
      <c r="AC25" s="196"/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</row>
    <row r="26" s="5" customFormat="1" spans="1:48">
      <c r="A26" s="44">
        <v>46105</v>
      </c>
      <c r="B26" s="41">
        <v>47233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>
        <v>1095</v>
      </c>
      <c r="AA26" s="35">
        <v>26</v>
      </c>
      <c r="AB26" s="42">
        <f t="shared" si="0"/>
        <v>28470</v>
      </c>
      <c r="AC26" s="197">
        <v>4970</v>
      </c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</row>
    <row r="27" s="5" customFormat="1" spans="1:48">
      <c r="A27" s="44"/>
      <c r="B27" s="177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>
        <v>1125</v>
      </c>
      <c r="AA27" s="35">
        <v>26</v>
      </c>
      <c r="AB27" s="42">
        <f t="shared" si="0"/>
        <v>29250</v>
      </c>
      <c r="AC27" s="197"/>
      <c r="AD27" s="36"/>
      <c r="AE27" s="179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</row>
    <row r="28" s="5" customFormat="1" spans="1:48">
      <c r="A28" s="44">
        <v>46106</v>
      </c>
      <c r="B28" s="41">
        <v>62847</v>
      </c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>
        <v>1140</v>
      </c>
      <c r="AA28" s="35">
        <v>26</v>
      </c>
      <c r="AB28" s="42">
        <f t="shared" si="0"/>
        <v>29640</v>
      </c>
      <c r="AC28" s="197">
        <v>7690</v>
      </c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</row>
    <row r="29" s="5" customFormat="1" spans="1:48">
      <c r="A29" s="44"/>
      <c r="B29" s="41"/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178">
        <v>1105</v>
      </c>
      <c r="AA29" s="35">
        <v>26</v>
      </c>
      <c r="AB29" s="42">
        <f t="shared" si="0"/>
        <v>28730</v>
      </c>
      <c r="AC29" s="197"/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</row>
    <row r="30" s="5" customFormat="1" spans="1:48">
      <c r="A30" s="44">
        <v>46107</v>
      </c>
      <c r="B30" s="41">
        <v>75213</v>
      </c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>
        <v>996</v>
      </c>
      <c r="AA30" s="35">
        <v>26</v>
      </c>
      <c r="AB30" s="42">
        <f t="shared" si="0"/>
        <v>25896</v>
      </c>
      <c r="AC30" s="197">
        <v>5464</v>
      </c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</row>
    <row r="31" s="5" customFormat="1" spans="1:48">
      <c r="A31" s="44"/>
      <c r="B31" s="41"/>
      <c r="C31" s="34"/>
      <c r="D31" s="34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178">
        <v>1110</v>
      </c>
      <c r="AA31" s="35">
        <v>26</v>
      </c>
      <c r="AB31" s="42">
        <f t="shared" si="0"/>
        <v>28860</v>
      </c>
      <c r="AC31" s="197"/>
      <c r="AD31" s="36"/>
      <c r="AE31" s="37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</row>
    <row r="32" s="5" customFormat="1" spans="1:48">
      <c r="A32" s="44">
        <v>46108</v>
      </c>
      <c r="B32" s="41">
        <v>57762</v>
      </c>
      <c r="C32" s="34"/>
      <c r="D32" s="34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>
        <v>1130</v>
      </c>
      <c r="AA32" s="35">
        <v>26</v>
      </c>
      <c r="AB32" s="42">
        <f t="shared" si="0"/>
        <v>29380</v>
      </c>
      <c r="AC32" s="43">
        <v>6372</v>
      </c>
      <c r="AD32" s="36"/>
      <c r="AE32" s="37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</row>
    <row r="33" s="5" customFormat="1" spans="1:50">
      <c r="A33" s="44"/>
      <c r="B33" s="41"/>
      <c r="C33" s="34"/>
      <c r="D33" s="34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178">
        <v>995</v>
      </c>
      <c r="AA33" s="35">
        <v>26</v>
      </c>
      <c r="AB33" s="42">
        <f t="shared" si="0"/>
        <v>25870</v>
      </c>
      <c r="AC33" s="43"/>
      <c r="AD33" s="36"/>
      <c r="AE33" s="37"/>
      <c r="AF33" s="38"/>
      <c r="AG33" s="36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"/>
      <c r="AU33" s="3"/>
      <c r="AV33" s="4"/>
    </row>
    <row r="34" s="5" customFormat="1" spans="1:50">
      <c r="A34" s="44">
        <v>46109</v>
      </c>
      <c r="B34" s="41">
        <v>52544</v>
      </c>
      <c r="C34" s="34"/>
      <c r="D34" s="34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>
        <v>1100</v>
      </c>
      <c r="AA34" s="35">
        <v>26</v>
      </c>
      <c r="AB34" s="42">
        <f t="shared" si="0"/>
        <v>28600</v>
      </c>
      <c r="AC34" s="43">
        <v>6742</v>
      </c>
      <c r="AD34" s="36"/>
      <c r="AE34" s="37"/>
      <c r="AF34" s="38"/>
      <c r="AG34" s="36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"/>
      <c r="AU34" s="3"/>
      <c r="AV34" s="4"/>
    </row>
    <row r="35" s="5" customFormat="1" spans="1:50">
      <c r="A35" s="44"/>
      <c r="B35" s="41"/>
      <c r="C35" s="34"/>
      <c r="D35" s="34"/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178">
        <v>1022</v>
      </c>
      <c r="AA35" s="35">
        <v>26</v>
      </c>
      <c r="AB35" s="42">
        <f t="shared" si="0"/>
        <v>26572</v>
      </c>
      <c r="AC35" s="43"/>
      <c r="AD35" s="36"/>
      <c r="AE35" s="37"/>
      <c r="AF35" s="38"/>
      <c r="AG35" s="36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"/>
      <c r="AU35" s="3"/>
      <c r="AV35" s="4"/>
    </row>
    <row r="36" s="5" customFormat="1" spans="1:50">
      <c r="A36" s="44">
        <v>46111</v>
      </c>
      <c r="B36" s="41">
        <v>0</v>
      </c>
      <c r="C36" s="34"/>
      <c r="D36" s="34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>
        <v>226</v>
      </c>
      <c r="AA36" s="35">
        <v>26</v>
      </c>
      <c r="AB36" s="42">
        <f t="shared" si="0"/>
        <v>5876</v>
      </c>
      <c r="AC36" s="43">
        <v>0</v>
      </c>
      <c r="AD36" s="36"/>
      <c r="AE36" s="37"/>
      <c r="AF36" s="38"/>
      <c r="AG36" s="36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"/>
      <c r="AU36" s="3"/>
      <c r="AV36" s="4"/>
    </row>
    <row r="37" s="5" customFormat="1" spans="1:50">
      <c r="A37" s="44"/>
      <c r="B37" s="41"/>
      <c r="C37" s="34"/>
      <c r="D37" s="34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5"/>
      <c r="AB37" s="33"/>
      <c r="AC37" s="43"/>
      <c r="AD37" s="36"/>
      <c r="AE37" s="37"/>
      <c r="AF37" s="38"/>
      <c r="AG37" s="36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"/>
      <c r="AU37" s="3"/>
      <c r="AV37" s="4"/>
    </row>
    <row r="38" s="5" customFormat="1" spans="1:50">
      <c r="A38" s="44"/>
      <c r="B38" s="41"/>
      <c r="C38" s="34"/>
      <c r="D38" s="34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5"/>
      <c r="AB38" s="33"/>
      <c r="AC38" s="43"/>
      <c r="AD38" s="36"/>
      <c r="AE38" s="37"/>
      <c r="AF38" s="38"/>
      <c r="AG38" s="36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"/>
      <c r="AU38" s="3"/>
      <c r="AV38" s="4"/>
    </row>
    <row r="39" s="5" customFormat="1" spans="1:50">
      <c r="A39" s="44"/>
      <c r="B39" s="41"/>
      <c r="C39" s="34"/>
      <c r="D39" s="34"/>
      <c r="E39" s="33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5"/>
      <c r="AB39" s="33"/>
      <c r="AC39" s="43"/>
      <c r="AD39" s="36"/>
      <c r="AE39" s="37"/>
      <c r="AF39" s="38"/>
      <c r="AG39" s="36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"/>
      <c r="AU39" s="3"/>
      <c r="AV39" s="4"/>
    </row>
    <row r="40" s="5" customFormat="1" spans="1:50">
      <c r="A40" s="44"/>
      <c r="B40" s="41"/>
      <c r="C40" s="34"/>
      <c r="D40" s="34"/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5"/>
      <c r="AB40" s="33"/>
      <c r="AC40" s="43"/>
      <c r="AD40" s="36"/>
      <c r="AE40" s="37"/>
      <c r="AF40" s="38"/>
      <c r="AG40" s="36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"/>
      <c r="AU40" s="3"/>
      <c r="AV40" s="4"/>
    </row>
    <row r="41" s="50" customFormat="1" ht="15.75" spans="1:50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39"/>
      <c r="AE41" s="47"/>
      <c r="AF41" s="48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49"/>
    </row>
    <row r="42" s="5" customFormat="1" ht="15.75" spans="1:50">
      <c r="A42" s="51" t="s">
        <v>55</v>
      </c>
      <c r="B42" s="52">
        <f>SUM(B6:B40)</f>
        <v>1047796</v>
      </c>
      <c r="C42" s="52">
        <f t="shared" ref="C42:N42" si="1">SUM(C6:C40)</f>
        <v>0</v>
      </c>
      <c r="D42" s="52">
        <f>SUM(D6:D41)</f>
        <v>0</v>
      </c>
      <c r="E42" s="52">
        <f t="shared" si="1"/>
        <v>0</v>
      </c>
      <c r="F42" s="52">
        <f t="shared" si="1"/>
        <v>0</v>
      </c>
      <c r="G42" s="52">
        <f t="shared" si="1"/>
        <v>0</v>
      </c>
      <c r="H42" s="52">
        <f t="shared" si="1"/>
        <v>0</v>
      </c>
      <c r="I42" s="52">
        <f t="shared" si="1"/>
        <v>0</v>
      </c>
      <c r="J42" s="52">
        <f t="shared" si="1"/>
        <v>0</v>
      </c>
      <c r="K42" s="52">
        <f t="shared" si="1"/>
        <v>0</v>
      </c>
      <c r="L42" s="52">
        <f t="shared" si="1"/>
        <v>0</v>
      </c>
      <c r="M42" s="52">
        <f t="shared" si="1"/>
        <v>0</v>
      </c>
      <c r="N42" s="52">
        <f t="shared" si="1"/>
        <v>0</v>
      </c>
      <c r="O42" s="52">
        <f>SUM(O6:O41)</f>
        <v>0</v>
      </c>
      <c r="P42" s="52">
        <f>SUM(P6:P40)</f>
        <v>0</v>
      </c>
      <c r="Q42" s="52">
        <f>SUM(Q6:Q41)</f>
        <v>0</v>
      </c>
      <c r="R42" s="52">
        <f>SUM(R6:R41)</f>
        <v>0</v>
      </c>
      <c r="S42" s="52">
        <f>SUM(S6:S41)</f>
        <v>0</v>
      </c>
      <c r="T42" s="52">
        <f>SUM(T6:T40)</f>
        <v>0</v>
      </c>
      <c r="U42" s="52">
        <f>SUM(U6:U40)</f>
        <v>0</v>
      </c>
      <c r="V42" s="52">
        <f>SUM(V6:V40)</f>
        <v>0</v>
      </c>
      <c r="W42" s="52">
        <f>SUM(W6:W40)</f>
        <v>0</v>
      </c>
      <c r="X42" s="52">
        <f>SUM(X7:X40)</f>
        <v>0</v>
      </c>
      <c r="Y42" s="52">
        <f>SUM(Y6:Y40)</f>
        <v>0</v>
      </c>
      <c r="Z42" s="52">
        <f>SUM(Z6:Z41)</f>
        <v>34434</v>
      </c>
      <c r="AA42" s="52">
        <f>SUM(AA6:AA41)</f>
        <v>780</v>
      </c>
      <c r="AB42" s="53">
        <f>SUM(AB6:AB41)</f>
        <v>895284</v>
      </c>
      <c r="AC42" s="53">
        <f>SUM(AC6:AC41)</f>
        <v>115605</v>
      </c>
      <c r="AD42" s="54">
        <v>85.47</v>
      </c>
      <c r="AE42" s="54">
        <f>100-AD42</f>
        <v>14.53</v>
      </c>
      <c r="AF42" s="54">
        <v>11.03</v>
      </c>
      <c r="AG42" s="55">
        <f>AE42-AF42</f>
        <v>3.5</v>
      </c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7"/>
      <c r="AU42" s="57"/>
      <c r="AV42" s="58">
        <f>SUM(B42:E42)</f>
        <v>1047796</v>
      </c>
      <c r="AW42" s="59">
        <f>AB42/AV42*100</f>
        <v>85.444494920767</v>
      </c>
      <c r="AX42" s="59">
        <f>AC42/AV42*100</f>
        <v>11.0331591263948</v>
      </c>
    </row>
    <row r="43" s="5" customFormat="1" spans="1:5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="5" customFormat="1" spans="1:50">
      <c r="A44" s="4"/>
      <c r="B44" s="58"/>
      <c r="C44" s="58"/>
      <c r="D44" s="5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58"/>
      <c r="S44" s="4"/>
      <c r="T44" s="4"/>
      <c r="U44" s="4"/>
      <c r="V44" s="4"/>
      <c r="W44" s="4"/>
      <c r="X44" s="58"/>
      <c r="Y44" s="60"/>
      <c r="Z44" s="61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="5" customFormat="1" spans="1:50">
      <c r="A45" s="62" t="s">
        <v>56</v>
      </c>
      <c r="B45" s="3"/>
      <c r="C45" s="3"/>
      <c r="D45" s="6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58"/>
      <c r="S45" s="4"/>
      <c r="T45" s="4"/>
      <c r="U45" s="4"/>
      <c r="V45" s="4"/>
      <c r="W45" s="4"/>
      <c r="X45" s="58"/>
      <c r="Y45" s="4"/>
      <c r="Z45" s="58"/>
      <c r="AB45" s="4"/>
      <c r="AC45" s="64"/>
      <c r="AD45" s="64"/>
      <c r="AE45" s="64"/>
      <c r="AF45" s="6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="5" customFormat="1" spans="1:50">
      <c r="A46" s="62" t="s">
        <v>57</v>
      </c>
      <c r="B46" s="3"/>
      <c r="C46" s="3"/>
      <c r="D46" s="3"/>
      <c r="E46" s="65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 t="s">
        <v>58</v>
      </c>
      <c r="W46" s="4"/>
      <c r="X46" s="58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="5" customFormat="1" spans="1:50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58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="5" customFormat="1" spans="1:50">
      <c r="A48" s="62" t="s">
        <v>59</v>
      </c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="5" customFormat="1" spans="1:46">
      <c r="A49" s="3"/>
      <c r="B49" s="4" t="s">
        <v>60</v>
      </c>
      <c r="C49" s="4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="5" customFormat="1" spans="1:46">
      <c r="A50" s="3"/>
      <c r="B50" s="66"/>
      <c r="C50" s="66"/>
      <c r="D50" s="3"/>
      <c r="E50" s="3"/>
      <c r="F50" s="3"/>
      <c r="G50" s="3"/>
      <c r="H50" s="4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="5" customFormat="1" spans="1:46">
      <c r="A51" s="3"/>
      <c r="B51" s="67"/>
      <c r="C51" s="67" t="s">
        <v>61</v>
      </c>
      <c r="D51" s="68"/>
      <c r="E51" s="68"/>
      <c r="F51" s="68"/>
      <c r="G51" s="68"/>
      <c r="H51" s="69"/>
      <c r="I51" s="70" t="s">
        <v>62</v>
      </c>
      <c r="J51" s="70" t="s">
        <v>63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="5" customFormat="1" spans="1:46">
      <c r="A52" s="3"/>
      <c r="B52" s="71"/>
      <c r="C52" s="71" t="s">
        <v>64</v>
      </c>
      <c r="D52" s="71" t="s">
        <v>65</v>
      </c>
      <c r="E52" s="72" t="s">
        <v>66</v>
      </c>
      <c r="F52" s="73" t="s">
        <v>67</v>
      </c>
      <c r="G52" s="74" t="s">
        <v>68</v>
      </c>
      <c r="H52" s="71" t="s">
        <v>69</v>
      </c>
      <c r="I52" s="74" t="s">
        <v>70</v>
      </c>
      <c r="J52" s="75" t="s">
        <v>71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="5" customFormat="1" spans="1:46">
      <c r="A53" s="76">
        <v>44.9</v>
      </c>
      <c r="B53" s="110" t="s">
        <v>79</v>
      </c>
      <c r="C53" s="79">
        <v>46009</v>
      </c>
      <c r="D53" s="79">
        <v>46009</v>
      </c>
      <c r="E53" s="79">
        <v>46009</v>
      </c>
      <c r="F53" s="80"/>
      <c r="G53" s="81" t="s">
        <v>73</v>
      </c>
      <c r="H53" s="111">
        <f>B138</f>
        <v>40827</v>
      </c>
      <c r="I53" s="82" t="s">
        <v>73</v>
      </c>
      <c r="J53" s="83" t="s">
        <v>81</v>
      </c>
      <c r="K53" s="84"/>
      <c r="L53" s="84"/>
      <c r="M53" s="85">
        <f>+C53*A53</f>
        <v>2065804.1</v>
      </c>
      <c r="N53" s="85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</row>
    <row r="54" s="5" customFormat="1" spans="1:46">
      <c r="A54" s="76">
        <v>44.91</v>
      </c>
      <c r="B54" s="110" t="s">
        <v>115</v>
      </c>
      <c r="C54" s="79">
        <v>24704</v>
      </c>
      <c r="D54" s="79">
        <v>24704</v>
      </c>
      <c r="E54" s="79">
        <v>24704</v>
      </c>
      <c r="F54" s="80"/>
      <c r="G54" s="81" t="s">
        <v>73</v>
      </c>
      <c r="H54" s="79">
        <f>C138</f>
        <v>23105</v>
      </c>
      <c r="I54" s="82" t="s">
        <v>73</v>
      </c>
      <c r="J54" s="83" t="s">
        <v>116</v>
      </c>
      <c r="K54" s="84"/>
      <c r="L54" s="84"/>
      <c r="M54" s="85">
        <f>+C54*A54</f>
        <v>1109456.64</v>
      </c>
      <c r="N54" s="85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</row>
    <row r="55" s="5" customFormat="1" spans="1:46">
      <c r="A55" s="76">
        <v>46.44</v>
      </c>
      <c r="B55" s="110" t="s">
        <v>220</v>
      </c>
      <c r="C55" s="79">
        <v>14102</v>
      </c>
      <c r="D55" s="79">
        <v>14102</v>
      </c>
      <c r="E55" s="79">
        <v>14102</v>
      </c>
      <c r="F55" s="80"/>
      <c r="G55" s="81" t="s">
        <v>73</v>
      </c>
      <c r="H55" s="111">
        <f>D138</f>
        <v>11149</v>
      </c>
      <c r="I55" s="82" t="s">
        <v>73</v>
      </c>
      <c r="J55" s="83" t="s">
        <v>221</v>
      </c>
      <c r="K55" s="84"/>
      <c r="L55" s="84"/>
      <c r="M55" s="85">
        <f>+C55*A55</f>
        <v>654896.88</v>
      </c>
      <c r="N55" s="85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</row>
    <row r="56" s="5" customFormat="1" spans="1:46">
      <c r="A56" s="76">
        <v>47.52</v>
      </c>
      <c r="B56" s="110" t="s">
        <v>225</v>
      </c>
      <c r="C56" s="79">
        <v>29266</v>
      </c>
      <c r="D56" s="79">
        <v>29266</v>
      </c>
      <c r="E56" s="79">
        <v>29266</v>
      </c>
      <c r="F56" s="80"/>
      <c r="G56" s="81" t="s">
        <v>73</v>
      </c>
      <c r="H56" s="111">
        <f>E138</f>
        <v>28669</v>
      </c>
      <c r="I56" s="82" t="s">
        <v>73</v>
      </c>
      <c r="J56" s="83" t="s">
        <v>226</v>
      </c>
      <c r="K56" s="84"/>
      <c r="L56" s="84"/>
      <c r="M56" s="85">
        <f>+C56*A56</f>
        <v>1390720.32</v>
      </c>
      <c r="N56" s="85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</row>
    <row r="57" s="5" customFormat="1" spans="1:46">
      <c r="A57" s="76">
        <v>46.44</v>
      </c>
      <c r="B57" s="110" t="s">
        <v>245</v>
      </c>
      <c r="C57" s="79">
        <v>5293</v>
      </c>
      <c r="D57" s="79">
        <v>5293</v>
      </c>
      <c r="E57" s="79">
        <v>5293</v>
      </c>
      <c r="F57" s="80"/>
      <c r="G57" s="81" t="s">
        <v>73</v>
      </c>
      <c r="H57" s="79">
        <f>G138</f>
        <v>3256</v>
      </c>
      <c r="I57" s="82" t="s">
        <v>73</v>
      </c>
      <c r="J57" s="83" t="s">
        <v>246</v>
      </c>
      <c r="K57" s="84"/>
      <c r="L57" s="84"/>
      <c r="M57" s="85">
        <f t="shared" ref="M57:M86" si="2">+C57*A57</f>
        <v>245806.92</v>
      </c>
      <c r="N57" s="85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</row>
    <row r="58" s="5" customFormat="1" spans="1:46">
      <c r="A58" s="76">
        <v>48.28</v>
      </c>
      <c r="B58" s="77" t="s">
        <v>251</v>
      </c>
      <c r="C58" s="79">
        <v>10000</v>
      </c>
      <c r="D58" s="79">
        <v>10000</v>
      </c>
      <c r="E58" s="79">
        <v>10000</v>
      </c>
      <c r="F58" s="80"/>
      <c r="G58" s="81" t="s">
        <v>73</v>
      </c>
      <c r="H58" s="79">
        <f>H138</f>
        <v>10000</v>
      </c>
      <c r="I58" s="82" t="s">
        <v>73</v>
      </c>
      <c r="J58" s="83" t="s">
        <v>91</v>
      </c>
      <c r="K58" s="84"/>
      <c r="L58" s="84"/>
      <c r="M58" s="85">
        <f t="shared" si="2"/>
        <v>482800</v>
      </c>
      <c r="N58" s="85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</row>
    <row r="59" s="5" customFormat="1" spans="1:46">
      <c r="A59" s="76">
        <v>46.44</v>
      </c>
      <c r="B59" s="110" t="s">
        <v>324</v>
      </c>
      <c r="C59" s="79">
        <v>77842</v>
      </c>
      <c r="D59" s="79">
        <v>77842</v>
      </c>
      <c r="E59" s="79">
        <v>77842</v>
      </c>
      <c r="F59" s="80"/>
      <c r="G59" s="81" t="s">
        <v>73</v>
      </c>
      <c r="H59" s="79">
        <f>I138</f>
        <v>72677</v>
      </c>
      <c r="I59" s="82" t="s">
        <v>73</v>
      </c>
      <c r="J59" s="83" t="s">
        <v>325</v>
      </c>
      <c r="K59" s="84"/>
      <c r="L59" s="84"/>
      <c r="M59" s="85">
        <f t="shared" si="2"/>
        <v>3614982.48</v>
      </c>
      <c r="N59" s="85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</row>
    <row r="60" s="5" customFormat="1" spans="1:46">
      <c r="A60" s="76">
        <v>46.44</v>
      </c>
      <c r="B60" s="110" t="s">
        <v>326</v>
      </c>
      <c r="C60" s="79">
        <v>75365</v>
      </c>
      <c r="D60" s="79">
        <v>75365</v>
      </c>
      <c r="E60" s="79">
        <v>75365</v>
      </c>
      <c r="F60" s="80"/>
      <c r="G60" s="81" t="s">
        <v>73</v>
      </c>
      <c r="H60" s="79">
        <f>J138</f>
        <v>70736</v>
      </c>
      <c r="I60" s="82" t="s">
        <v>73</v>
      </c>
      <c r="J60" s="83" t="s">
        <v>327</v>
      </c>
      <c r="K60" s="84"/>
      <c r="L60" s="84"/>
      <c r="M60" s="85">
        <f t="shared" si="2"/>
        <v>3499950.6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</row>
    <row r="61" s="5" customFormat="1" spans="1:46">
      <c r="A61" s="76">
        <v>48.28</v>
      </c>
      <c r="B61" s="77" t="s">
        <v>328</v>
      </c>
      <c r="C61" s="79">
        <v>19130</v>
      </c>
      <c r="D61" s="79">
        <v>19130</v>
      </c>
      <c r="E61" s="79">
        <v>19130</v>
      </c>
      <c r="F61" s="80"/>
      <c r="G61" s="81" t="s">
        <v>73</v>
      </c>
      <c r="H61" s="79">
        <f>K138</f>
        <v>19130</v>
      </c>
      <c r="I61" s="82" t="s">
        <v>73</v>
      </c>
      <c r="J61" s="83" t="s">
        <v>91</v>
      </c>
      <c r="K61" s="84"/>
      <c r="L61" s="84"/>
      <c r="M61" s="85">
        <f t="shared" si="2"/>
        <v>923596.4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</row>
    <row r="62" s="5" customFormat="1" spans="1:46">
      <c r="A62" s="76">
        <v>44.84</v>
      </c>
      <c r="B62" s="77" t="s">
        <v>329</v>
      </c>
      <c r="C62" s="79">
        <v>29910</v>
      </c>
      <c r="D62" s="79">
        <v>29910</v>
      </c>
      <c r="E62" s="79">
        <v>29910</v>
      </c>
      <c r="F62" s="80"/>
      <c r="G62" s="81" t="s">
        <v>73</v>
      </c>
      <c r="H62" s="79">
        <f>L138</f>
        <v>28694</v>
      </c>
      <c r="I62" s="82" t="s">
        <v>73</v>
      </c>
      <c r="J62" s="83" t="s">
        <v>330</v>
      </c>
      <c r="K62" s="84"/>
      <c r="L62" s="84"/>
      <c r="M62" s="85">
        <f t="shared" si="2"/>
        <v>1341164.4</v>
      </c>
      <c r="N62" s="85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</row>
    <row r="63" s="5" customFormat="1" spans="1:46">
      <c r="A63" s="76"/>
      <c r="B63" s="77" t="s">
        <v>331</v>
      </c>
      <c r="C63" s="79">
        <v>21155</v>
      </c>
      <c r="D63" s="79">
        <v>21155</v>
      </c>
      <c r="E63" s="79">
        <v>21155</v>
      </c>
      <c r="F63" s="80"/>
      <c r="G63" s="81" t="s">
        <v>73</v>
      </c>
      <c r="H63" s="79">
        <v>21155</v>
      </c>
      <c r="I63" s="82" t="s">
        <v>73</v>
      </c>
      <c r="J63" s="83" t="s">
        <v>91</v>
      </c>
      <c r="K63" s="84"/>
      <c r="L63" s="84"/>
      <c r="M63" s="85">
        <f t="shared" si="2"/>
        <v>0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</row>
    <row r="64" s="5" customFormat="1" spans="1:46">
      <c r="A64" s="76"/>
      <c r="B64" s="77" t="s">
        <v>332</v>
      </c>
      <c r="C64" s="79">
        <v>18570</v>
      </c>
      <c r="D64" s="79">
        <v>18570</v>
      </c>
      <c r="E64" s="79">
        <v>18570</v>
      </c>
      <c r="F64" s="80"/>
      <c r="G64" s="81" t="s">
        <v>73</v>
      </c>
      <c r="H64" s="79">
        <f>N138</f>
        <v>18570</v>
      </c>
      <c r="I64" s="82" t="s">
        <v>73</v>
      </c>
      <c r="J64" s="83" t="s">
        <v>91</v>
      </c>
      <c r="K64" s="84"/>
      <c r="L64" s="84"/>
      <c r="M64" s="85">
        <f t="shared" si="2"/>
        <v>0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</row>
    <row r="65" s="5" customFormat="1" spans="1:46">
      <c r="A65" s="76">
        <v>46.44</v>
      </c>
      <c r="B65" s="110" t="s">
        <v>333</v>
      </c>
      <c r="C65" s="79">
        <v>47621</v>
      </c>
      <c r="D65" s="79">
        <v>47621</v>
      </c>
      <c r="E65" s="79">
        <v>47621</v>
      </c>
      <c r="F65" s="80"/>
      <c r="G65" s="81" t="s">
        <v>73</v>
      </c>
      <c r="H65" s="79">
        <f>O138</f>
        <v>44352</v>
      </c>
      <c r="I65" s="82" t="s">
        <v>73</v>
      </c>
      <c r="J65" s="83" t="s">
        <v>334</v>
      </c>
      <c r="K65" s="84"/>
      <c r="L65" s="84"/>
      <c r="M65" s="85">
        <f t="shared" si="2"/>
        <v>2211519.24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</row>
    <row r="66" s="5" customFormat="1" spans="1:46">
      <c r="A66" s="76"/>
      <c r="B66" s="77" t="s">
        <v>335</v>
      </c>
      <c r="C66" s="79">
        <v>18885</v>
      </c>
      <c r="D66" s="79">
        <v>18885</v>
      </c>
      <c r="E66" s="79">
        <v>18885</v>
      </c>
      <c r="F66" s="80"/>
      <c r="G66" s="81" t="s">
        <v>73</v>
      </c>
      <c r="H66" s="79">
        <f>P138</f>
        <v>18885</v>
      </c>
      <c r="I66" s="82" t="s">
        <v>73</v>
      </c>
      <c r="J66" s="83" t="s">
        <v>91</v>
      </c>
      <c r="K66" s="84"/>
      <c r="L66" s="84"/>
      <c r="M66" s="85">
        <f t="shared" si="2"/>
        <v>0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</row>
    <row r="67" s="5" customFormat="1" spans="1:46">
      <c r="A67" s="76"/>
      <c r="B67" s="77" t="s">
        <v>336</v>
      </c>
      <c r="C67" s="79">
        <v>19630</v>
      </c>
      <c r="D67" s="79">
        <v>19630</v>
      </c>
      <c r="E67" s="79">
        <v>19630</v>
      </c>
      <c r="F67" s="80"/>
      <c r="G67" s="81" t="s">
        <v>73</v>
      </c>
      <c r="H67" s="79">
        <f>Q138</f>
        <v>19630</v>
      </c>
      <c r="I67" s="82" t="s">
        <v>73</v>
      </c>
      <c r="J67" s="83" t="s">
        <v>91</v>
      </c>
      <c r="K67" s="84"/>
      <c r="L67" s="84"/>
      <c r="M67" s="85">
        <f t="shared" si="2"/>
        <v>0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</row>
    <row r="68" s="5" customFormat="1" spans="1:46">
      <c r="A68" s="76"/>
      <c r="B68" s="77" t="s">
        <v>337</v>
      </c>
      <c r="C68" s="79">
        <v>19245</v>
      </c>
      <c r="D68" s="79">
        <v>19245</v>
      </c>
      <c r="E68" s="79">
        <v>19245</v>
      </c>
      <c r="F68" s="80"/>
      <c r="G68" s="81" t="s">
        <v>73</v>
      </c>
      <c r="H68" s="79">
        <f>R138</f>
        <v>19245</v>
      </c>
      <c r="I68" s="82" t="s">
        <v>73</v>
      </c>
      <c r="J68" s="83" t="s">
        <v>91</v>
      </c>
      <c r="K68" s="84"/>
      <c r="L68" s="84"/>
      <c r="M68" s="85">
        <f t="shared" si="2"/>
        <v>0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</row>
    <row r="69" s="5" customFormat="1" spans="1:46">
      <c r="A69" s="76">
        <v>44.9</v>
      </c>
      <c r="B69" s="77" t="s">
        <v>338</v>
      </c>
      <c r="C69" s="79">
        <v>69820</v>
      </c>
      <c r="D69" s="79">
        <v>69820</v>
      </c>
      <c r="E69" s="79">
        <v>69820</v>
      </c>
      <c r="F69" s="80"/>
      <c r="G69" s="81" t="s">
        <v>73</v>
      </c>
      <c r="H69" s="79">
        <f>S138</f>
        <v>65077</v>
      </c>
      <c r="I69" s="82" t="s">
        <v>73</v>
      </c>
      <c r="J69" s="83" t="s">
        <v>339</v>
      </c>
      <c r="K69" s="84"/>
      <c r="L69" s="84"/>
      <c r="M69" s="85">
        <f t="shared" si="2"/>
        <v>3134918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</row>
    <row r="70" s="5" customFormat="1" spans="1:46">
      <c r="A70" s="76">
        <v>47.52</v>
      </c>
      <c r="B70" s="77" t="s">
        <v>340</v>
      </c>
      <c r="C70" s="79">
        <v>67463</v>
      </c>
      <c r="D70" s="79">
        <v>67463</v>
      </c>
      <c r="E70" s="79">
        <v>67463</v>
      </c>
      <c r="F70" s="80"/>
      <c r="G70" s="81" t="s">
        <v>73</v>
      </c>
      <c r="H70" s="79">
        <f>T138</f>
        <v>66201</v>
      </c>
      <c r="I70" s="82" t="s">
        <v>73</v>
      </c>
      <c r="J70" s="83" t="s">
        <v>341</v>
      </c>
      <c r="K70" s="84"/>
      <c r="L70" s="84"/>
      <c r="M70" s="85">
        <f t="shared" si="2"/>
        <v>3205841.76</v>
      </c>
      <c r="N70" s="85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</row>
    <row r="71" s="5" customFormat="1" spans="1:46">
      <c r="A71" s="76"/>
      <c r="B71" s="77" t="s">
        <v>342</v>
      </c>
      <c r="C71" s="79">
        <v>17895</v>
      </c>
      <c r="D71" s="79">
        <v>17895</v>
      </c>
      <c r="E71" s="79">
        <v>17895</v>
      </c>
      <c r="F71" s="80"/>
      <c r="G71" s="81" t="s">
        <v>73</v>
      </c>
      <c r="H71" s="79">
        <f>V138</f>
        <v>17895</v>
      </c>
      <c r="I71" s="82" t="s">
        <v>73</v>
      </c>
      <c r="J71" s="83" t="s">
        <v>91</v>
      </c>
      <c r="K71" s="84"/>
      <c r="L71" s="84"/>
      <c r="M71" s="85">
        <f t="shared" si="2"/>
        <v>0</v>
      </c>
      <c r="N71" s="85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</row>
    <row r="72" s="5" customFormat="1" spans="1:46">
      <c r="A72" s="76">
        <v>46.44</v>
      </c>
      <c r="B72" s="77" t="s">
        <v>343</v>
      </c>
      <c r="C72" s="79">
        <v>25538</v>
      </c>
      <c r="D72" s="79">
        <v>25538</v>
      </c>
      <c r="E72" s="79">
        <v>25538</v>
      </c>
      <c r="F72" s="80"/>
      <c r="G72" s="81" t="s">
        <v>73</v>
      </c>
      <c r="H72" s="79">
        <f>U138</f>
        <v>24559</v>
      </c>
      <c r="I72" s="82" t="s">
        <v>73</v>
      </c>
      <c r="J72" s="83" t="s">
        <v>344</v>
      </c>
      <c r="K72" s="84"/>
      <c r="L72" s="84"/>
      <c r="M72" s="85">
        <f t="shared" si="2"/>
        <v>1185984.72</v>
      </c>
      <c r="N72" s="85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</row>
    <row r="73" s="5" customFormat="1" spans="1:46">
      <c r="A73" s="76"/>
      <c r="B73" s="198" t="s">
        <v>345</v>
      </c>
      <c r="C73" s="79">
        <v>29704</v>
      </c>
      <c r="D73" s="79">
        <v>29704</v>
      </c>
      <c r="E73" s="79">
        <v>29704</v>
      </c>
      <c r="F73" s="80"/>
      <c r="G73" s="81" t="s">
        <v>73</v>
      </c>
      <c r="H73" s="79">
        <f>W138</f>
        <v>29416</v>
      </c>
      <c r="I73" s="82" t="s">
        <v>73</v>
      </c>
      <c r="J73" s="83" t="s">
        <v>91</v>
      </c>
      <c r="K73" s="84"/>
      <c r="L73" s="84"/>
      <c r="M73" s="85">
        <f t="shared" si="2"/>
        <v>0</v>
      </c>
      <c r="N73" s="85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</row>
    <row r="74" s="5" customFormat="1" spans="1:46">
      <c r="A74" s="76">
        <v>48.28</v>
      </c>
      <c r="B74" s="77" t="s">
        <v>346</v>
      </c>
      <c r="C74" s="79">
        <v>1650</v>
      </c>
      <c r="D74" s="79">
        <v>1650</v>
      </c>
      <c r="E74" s="79">
        <v>1650</v>
      </c>
      <c r="F74" s="80"/>
      <c r="G74" s="81" t="s">
        <v>73</v>
      </c>
      <c r="H74" s="79">
        <f>X138</f>
        <v>1587</v>
      </c>
      <c r="I74" s="82" t="s">
        <v>73</v>
      </c>
      <c r="J74" s="83" t="s">
        <v>91</v>
      </c>
      <c r="K74" s="84"/>
      <c r="L74" s="84"/>
      <c r="M74" s="85">
        <f t="shared" si="2"/>
        <v>79662</v>
      </c>
      <c r="N74" s="85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</row>
    <row r="75" s="5" customFormat="1" spans="1:46">
      <c r="A75" s="76">
        <v>46.44</v>
      </c>
      <c r="B75" s="77" t="s">
        <v>347</v>
      </c>
      <c r="C75" s="79">
        <v>75013</v>
      </c>
      <c r="D75" s="79">
        <v>75013</v>
      </c>
      <c r="E75" s="79">
        <v>75013</v>
      </c>
      <c r="F75" s="80"/>
      <c r="G75" s="81" t="s">
        <v>73</v>
      </c>
      <c r="H75" s="79">
        <f>Y138</f>
        <v>68010</v>
      </c>
      <c r="I75" s="82" t="s">
        <v>73</v>
      </c>
      <c r="J75" s="83" t="s">
        <v>348</v>
      </c>
      <c r="K75" s="84"/>
      <c r="L75" s="84"/>
      <c r="M75" s="85">
        <f t="shared" si="2"/>
        <v>3483603.72</v>
      </c>
      <c r="N75" s="85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</row>
    <row r="76" s="5" customFormat="1" spans="1:46">
      <c r="A76" s="76"/>
      <c r="B76" s="77" t="s">
        <v>349</v>
      </c>
      <c r="C76" s="79">
        <v>17660</v>
      </c>
      <c r="D76" s="79">
        <v>17660</v>
      </c>
      <c r="E76" s="79">
        <v>17660</v>
      </c>
      <c r="F76" s="80"/>
      <c r="G76" s="81" t="s">
        <v>73</v>
      </c>
      <c r="H76" s="79">
        <f>Z138</f>
        <v>17660</v>
      </c>
      <c r="I76" s="82" t="s">
        <v>73</v>
      </c>
      <c r="J76" s="83" t="s">
        <v>91</v>
      </c>
      <c r="K76" s="84"/>
      <c r="L76" s="84"/>
      <c r="M76" s="85">
        <f t="shared" si="2"/>
        <v>0</v>
      </c>
      <c r="N76" s="85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</row>
    <row r="77" s="5" customFormat="1" spans="1:46">
      <c r="A77" s="76">
        <v>46.44</v>
      </c>
      <c r="B77" s="77" t="s">
        <v>350</v>
      </c>
      <c r="C77" s="79">
        <v>55605</v>
      </c>
      <c r="D77" s="79">
        <v>55605</v>
      </c>
      <c r="E77" s="79">
        <v>55605</v>
      </c>
      <c r="F77" s="80"/>
      <c r="G77" s="81" t="s">
        <v>73</v>
      </c>
      <c r="H77" s="79">
        <f>AA138</f>
        <v>52436</v>
      </c>
      <c r="I77" s="82" t="s">
        <v>73</v>
      </c>
      <c r="J77" s="83" t="s">
        <v>351</v>
      </c>
      <c r="K77" s="84"/>
      <c r="L77" s="84"/>
      <c r="M77" s="85">
        <f t="shared" si="2"/>
        <v>2582296.2</v>
      </c>
      <c r="N77" s="85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</row>
    <row r="78" s="5" customFormat="1" spans="1:46">
      <c r="A78" s="76">
        <v>46.44</v>
      </c>
      <c r="B78" s="77" t="s">
        <v>352</v>
      </c>
      <c r="C78" s="79">
        <v>72925</v>
      </c>
      <c r="D78" s="79">
        <v>72925</v>
      </c>
      <c r="E78" s="79">
        <v>72925</v>
      </c>
      <c r="F78" s="80"/>
      <c r="G78" s="81" t="s">
        <v>73</v>
      </c>
      <c r="H78" s="79">
        <f>AC138</f>
        <v>65283</v>
      </c>
      <c r="I78" s="82" t="s">
        <v>73</v>
      </c>
      <c r="J78" s="83" t="s">
        <v>353</v>
      </c>
      <c r="K78" s="84"/>
      <c r="L78" s="84"/>
      <c r="M78" s="85">
        <f t="shared" si="2"/>
        <v>3386637</v>
      </c>
      <c r="N78" s="85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</row>
    <row r="79" s="5" customFormat="1" spans="1:46">
      <c r="A79" s="76"/>
      <c r="B79" s="77" t="s">
        <v>354</v>
      </c>
      <c r="C79" s="79">
        <v>17945</v>
      </c>
      <c r="D79" s="79">
        <v>17945</v>
      </c>
      <c r="E79" s="79">
        <v>17945</v>
      </c>
      <c r="F79" s="80"/>
      <c r="G79" s="81" t="s">
        <v>73</v>
      </c>
      <c r="H79" s="79">
        <f>AB138</f>
        <v>17945</v>
      </c>
      <c r="I79" s="82" t="s">
        <v>73</v>
      </c>
      <c r="J79" s="83" t="s">
        <v>91</v>
      </c>
      <c r="K79" s="84"/>
      <c r="L79" s="84"/>
      <c r="M79" s="85">
        <f t="shared" si="2"/>
        <v>0</v>
      </c>
      <c r="N79" s="85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</row>
    <row r="80" s="5" customFormat="1" spans="1:46">
      <c r="A80" s="76">
        <v>46.44</v>
      </c>
      <c r="B80" s="77" t="s">
        <v>355</v>
      </c>
      <c r="C80" s="79">
        <v>82050</v>
      </c>
      <c r="D80" s="79">
        <v>82050</v>
      </c>
      <c r="E80" s="79">
        <v>82050</v>
      </c>
      <c r="F80" s="80"/>
      <c r="G80" s="81" t="s">
        <v>73</v>
      </c>
      <c r="H80" s="79">
        <f>AD138</f>
        <v>75090</v>
      </c>
      <c r="I80" s="82" t="s">
        <v>73</v>
      </c>
      <c r="J80" s="83" t="s">
        <v>356</v>
      </c>
      <c r="K80" s="84"/>
      <c r="L80" s="84"/>
      <c r="M80" s="85">
        <f t="shared" si="2"/>
        <v>3810402</v>
      </c>
      <c r="N80" s="85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</row>
    <row r="81" s="5" customFormat="1" spans="1:46">
      <c r="A81" s="76">
        <v>47.52</v>
      </c>
      <c r="B81" s="77" t="s">
        <v>357</v>
      </c>
      <c r="C81" s="79">
        <v>64080</v>
      </c>
      <c r="D81" s="79">
        <v>64080</v>
      </c>
      <c r="E81" s="79">
        <f>AE138</f>
        <v>32227</v>
      </c>
      <c r="F81" s="80"/>
      <c r="G81" s="81" t="s">
        <v>358</v>
      </c>
      <c r="H81" s="79">
        <f>E81</f>
        <v>32227</v>
      </c>
      <c r="I81" s="82">
        <f>AE139</f>
        <v>31853</v>
      </c>
      <c r="J81" s="83" t="s">
        <v>359</v>
      </c>
      <c r="K81" s="84"/>
      <c r="L81" s="84"/>
      <c r="M81" s="85">
        <f t="shared" si="2"/>
        <v>3045081.6</v>
      </c>
      <c r="N81" s="85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</row>
    <row r="82" s="5" customFormat="1" spans="1:46">
      <c r="A82" s="76">
        <v>47.52</v>
      </c>
      <c r="B82" s="77" t="s">
        <v>360</v>
      </c>
      <c r="C82" s="79">
        <v>75779</v>
      </c>
      <c r="D82" s="79">
        <v>75779</v>
      </c>
      <c r="E82" s="79">
        <f>AF138</f>
        <v>28875</v>
      </c>
      <c r="F82" s="80"/>
      <c r="G82" s="81" t="s">
        <v>358</v>
      </c>
      <c r="H82" s="79">
        <f>E82</f>
        <v>28875</v>
      </c>
      <c r="I82" s="82">
        <f>AF139</f>
        <v>46904</v>
      </c>
      <c r="J82" s="83" t="s">
        <v>74</v>
      </c>
      <c r="K82" s="84"/>
      <c r="L82" s="84"/>
      <c r="M82" s="85">
        <f t="shared" si="2"/>
        <v>3601018.08</v>
      </c>
      <c r="N82" s="85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</row>
    <row r="83" s="5" customFormat="1" spans="1:46">
      <c r="A83" s="76"/>
      <c r="B83" s="77" t="s">
        <v>361</v>
      </c>
      <c r="C83" s="79">
        <v>19025</v>
      </c>
      <c r="D83" s="79">
        <v>19025</v>
      </c>
      <c r="E83" s="79">
        <v>19025</v>
      </c>
      <c r="F83" s="80"/>
      <c r="G83" s="81" t="s">
        <v>73</v>
      </c>
      <c r="H83" s="79">
        <f>AG138</f>
        <v>19025</v>
      </c>
      <c r="I83" s="82" t="s">
        <v>73</v>
      </c>
      <c r="J83" s="83" t="s">
        <v>91</v>
      </c>
      <c r="K83" s="84"/>
      <c r="L83" s="84"/>
      <c r="M83" s="85">
        <f t="shared" si="2"/>
        <v>0</v>
      </c>
      <c r="N83" s="85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</row>
    <row r="84" s="5" customFormat="1" spans="1:46">
      <c r="A84" s="76"/>
      <c r="B84" s="77" t="s">
        <v>362</v>
      </c>
      <c r="C84" s="79">
        <v>16470</v>
      </c>
      <c r="D84" s="79">
        <v>16470</v>
      </c>
      <c r="E84" s="79">
        <v>16470</v>
      </c>
      <c r="F84" s="80"/>
      <c r="G84" s="81" t="s">
        <v>73</v>
      </c>
      <c r="H84" s="79">
        <f>AH138</f>
        <v>16470</v>
      </c>
      <c r="I84" s="82" t="s">
        <v>73</v>
      </c>
      <c r="J84" s="83" t="s">
        <v>91</v>
      </c>
      <c r="K84" s="84"/>
      <c r="L84" s="84"/>
      <c r="M84" s="85">
        <f t="shared" si="2"/>
        <v>0</v>
      </c>
      <c r="N84" s="85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</row>
    <row r="85" s="5" customFormat="1" spans="1:46">
      <c r="A85" s="76"/>
      <c r="B85" s="110"/>
      <c r="C85" s="87"/>
      <c r="D85" s="87"/>
      <c r="E85" s="87"/>
      <c r="F85" s="88"/>
      <c r="G85" s="89"/>
      <c r="H85" s="87"/>
      <c r="I85" s="82"/>
      <c r="J85" s="83"/>
      <c r="K85" s="84"/>
      <c r="L85" s="84"/>
      <c r="M85" s="85">
        <f t="shared" si="2"/>
        <v>0</v>
      </c>
      <c r="N85" s="85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</row>
    <row r="86" s="5" customFormat="1" spans="1:46">
      <c r="A86" s="90"/>
      <c r="B86" s="22" t="s">
        <v>55</v>
      </c>
      <c r="C86" s="91">
        <f>SUM(C53:C85)</f>
        <v>1185349</v>
      </c>
      <c r="D86" s="91">
        <f>SUM(D53:D85)</f>
        <v>1185349</v>
      </c>
      <c r="E86" s="91">
        <f>SUM(E53:E85)</f>
        <v>1106592</v>
      </c>
      <c r="F86" s="91"/>
      <c r="G86" s="92"/>
      <c r="H86" s="91">
        <f>SUM(H53:H85)</f>
        <v>1047836</v>
      </c>
      <c r="I86" s="91"/>
      <c r="J86" s="93"/>
      <c r="K86" s="94"/>
      <c r="L86" s="4"/>
      <c r="M86" s="85">
        <f t="shared" si="2"/>
        <v>0</v>
      </c>
      <c r="N86" s="8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="5" customFormat="1" spans="1:46">
      <c r="A87" s="90"/>
      <c r="B87" s="95" t="s">
        <v>118</v>
      </c>
      <c r="C87" s="96"/>
      <c r="D87" s="96"/>
      <c r="E87" s="96"/>
      <c r="F87" s="96"/>
      <c r="G87" s="97"/>
      <c r="H87" s="98"/>
      <c r="I87" s="99"/>
      <c r="J87" s="94"/>
      <c r="K87" s="94"/>
      <c r="L87" s="4"/>
      <c r="M87" s="85"/>
      <c r="N87" s="8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="5" customFormat="1" spans="1:46">
      <c r="A88" s="90"/>
      <c r="B88" s="100"/>
      <c r="C88" s="101"/>
      <c r="D88" s="101"/>
      <c r="E88" s="101"/>
      <c r="F88" s="101"/>
      <c r="G88" s="102"/>
      <c r="H88" s="103"/>
      <c r="I88" s="104"/>
      <c r="J88" s="94"/>
      <c r="K88" s="94"/>
      <c r="L88" s="4"/>
      <c r="M88" s="85"/>
      <c r="N88" s="8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="5" customFormat="1" spans="1:46">
      <c r="A89" s="90"/>
      <c r="B89" s="66" t="s">
        <v>119</v>
      </c>
      <c r="C89" s="66"/>
      <c r="D89" s="3"/>
      <c r="E89" s="3"/>
      <c r="F89" s="3"/>
      <c r="G89" s="3"/>
      <c r="H89" s="4"/>
      <c r="I89" s="104"/>
      <c r="J89" s="94"/>
      <c r="K89" s="94"/>
      <c r="L89" s="4"/>
      <c r="M89" s="85"/>
      <c r="N89" s="8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="5" customFormat="1" spans="1:46">
      <c r="A90" s="90"/>
      <c r="B90" s="105"/>
      <c r="C90" s="105" t="s">
        <v>61</v>
      </c>
      <c r="D90" s="106"/>
      <c r="E90" s="106"/>
      <c r="F90" s="106"/>
      <c r="G90" s="107"/>
      <c r="H90" s="75" t="s">
        <v>62</v>
      </c>
      <c r="I90" s="104"/>
      <c r="J90" s="94"/>
      <c r="K90" s="94"/>
      <c r="L90" s="4"/>
      <c r="M90" s="85"/>
      <c r="N90" s="8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="5" customFormat="1" spans="1:46">
      <c r="A91" s="90"/>
      <c r="B91" s="108"/>
      <c r="C91" s="71" t="s">
        <v>64</v>
      </c>
      <c r="D91" s="71" t="s">
        <v>65</v>
      </c>
      <c r="E91" s="109" t="s">
        <v>66</v>
      </c>
      <c r="F91" s="74" t="s">
        <v>68</v>
      </c>
      <c r="G91" s="71" t="s">
        <v>69</v>
      </c>
      <c r="H91" s="74" t="s">
        <v>70</v>
      </c>
      <c r="I91" s="104"/>
      <c r="J91" s="94"/>
      <c r="K91" s="94"/>
      <c r="L91" s="4"/>
      <c r="M91" s="85"/>
      <c r="N91" s="8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="5" customFormat="1" spans="1:46">
      <c r="A92" s="90"/>
      <c r="B92" s="110"/>
      <c r="C92" s="111"/>
      <c r="D92" s="111"/>
      <c r="E92" s="112"/>
      <c r="F92" s="113"/>
      <c r="G92" s="112"/>
      <c r="H92" s="114"/>
      <c r="I92" s="104"/>
      <c r="J92" s="94"/>
      <c r="K92" s="94"/>
      <c r="L92" s="4"/>
      <c r="M92" s="85"/>
      <c r="N92" s="8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="5" customFormat="1" spans="1:46">
      <c r="A93" s="90"/>
      <c r="B93" s="19"/>
      <c r="C93" s="115"/>
      <c r="D93" s="112"/>
      <c r="E93" s="112"/>
      <c r="F93" s="116"/>
      <c r="G93" s="112"/>
      <c r="H93" s="117"/>
      <c r="I93" s="104"/>
      <c r="J93" s="94"/>
      <c r="K93" s="94"/>
      <c r="L93" s="4"/>
      <c r="M93" s="85"/>
      <c r="N93" s="8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="5" customFormat="1" spans="1:46">
      <c r="A94" s="90"/>
      <c r="B94" s="19"/>
      <c r="C94" s="115"/>
      <c r="D94" s="112"/>
      <c r="E94" s="112"/>
      <c r="F94" s="113"/>
      <c r="G94" s="112"/>
      <c r="H94" s="113"/>
      <c r="I94" s="104"/>
      <c r="J94" s="94"/>
      <c r="K94" s="94"/>
      <c r="L94" s="4"/>
      <c r="M94" s="85"/>
      <c r="N94" s="8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="5" customFormat="1" spans="1:46">
      <c r="A95" s="90"/>
      <c r="B95" s="118"/>
      <c r="C95" s="115"/>
      <c r="D95" s="112"/>
      <c r="E95" s="112"/>
      <c r="F95" s="113"/>
      <c r="G95" s="112"/>
      <c r="H95" s="113"/>
      <c r="I95" s="104"/>
      <c r="J95" s="94"/>
      <c r="K95" s="94"/>
      <c r="L95" s="4"/>
      <c r="M95" s="85"/>
      <c r="N95" s="8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="5" customFormat="1" spans="1:46">
      <c r="A96" s="90"/>
      <c r="B96" s="118"/>
      <c r="C96" s="115"/>
      <c r="D96" s="112"/>
      <c r="E96" s="112"/>
      <c r="F96" s="113"/>
      <c r="G96" s="112"/>
      <c r="H96" s="113"/>
      <c r="I96" s="104"/>
      <c r="J96" s="94"/>
      <c r="K96" s="94"/>
      <c r="L96" s="4"/>
      <c r="M96" s="85"/>
      <c r="N96" s="8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="5" customFormat="1" spans="1:59">
      <c r="A97" s="90"/>
      <c r="B97" s="118"/>
      <c r="C97" s="115"/>
      <c r="D97" s="112"/>
      <c r="E97" s="112"/>
      <c r="F97" s="113"/>
      <c r="G97" s="112"/>
      <c r="H97" s="113"/>
      <c r="I97" s="104"/>
      <c r="J97" s="94"/>
      <c r="K97" s="94"/>
      <c r="L97" s="4"/>
      <c r="M97" s="85"/>
      <c r="N97" s="8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="5" customFormat="1" spans="1:59">
      <c r="A98" s="65"/>
      <c r="B98" s="118"/>
      <c r="C98" s="115"/>
      <c r="D98" s="112"/>
      <c r="E98" s="112"/>
      <c r="F98" s="113"/>
      <c r="G98" s="112"/>
      <c r="H98" s="113"/>
      <c r="I98" s="94"/>
      <c r="J98" s="94"/>
      <c r="K98" s="4"/>
      <c r="L98" s="8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="5" customFormat="1" ht="15.75" spans="1:59">
      <c r="A99" s="65"/>
      <c r="B99" s="19"/>
      <c r="C99" s="119"/>
      <c r="D99" s="119"/>
      <c r="E99" s="120"/>
      <c r="F99" s="121"/>
      <c r="G99" s="120"/>
      <c r="H99" s="122"/>
      <c r="I99" s="94"/>
      <c r="J99" s="94"/>
      <c r="K99" s="4"/>
      <c r="L99" s="8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="5" customFormat="1" ht="15.75" spans="1:59">
      <c r="A100" s="65"/>
      <c r="B100" s="22" t="s">
        <v>55</v>
      </c>
      <c r="C100" s="91"/>
      <c r="D100" s="91"/>
      <c r="E100" s="123"/>
      <c r="F100" s="92"/>
      <c r="G100" s="123"/>
      <c r="H100" s="91">
        <v>0</v>
      </c>
      <c r="I100" s="94"/>
      <c r="J100" s="94"/>
      <c r="K100" s="4"/>
      <c r="L100" s="8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="5" customFormat="1" spans="1:59">
      <c r="A101" s="65"/>
      <c r="B101" s="95" t="s">
        <v>118</v>
      </c>
      <c r="C101" s="96"/>
      <c r="D101" s="96"/>
      <c r="E101" s="96"/>
      <c r="F101" s="97"/>
      <c r="G101" s="98"/>
      <c r="H101" s="99"/>
      <c r="I101" s="94"/>
      <c r="J101" s="94"/>
      <c r="K101" s="4"/>
      <c r="L101" s="8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="5" customFormat="1" spans="1:59">
      <c r="A102" s="65"/>
      <c r="B102" s="100"/>
      <c r="C102" s="101"/>
      <c r="D102" s="101"/>
      <c r="E102" s="101"/>
      <c r="F102" s="102"/>
      <c r="G102" s="103"/>
      <c r="H102" s="104"/>
      <c r="I102" s="94"/>
      <c r="J102" s="94"/>
      <c r="K102" s="4"/>
      <c r="L102" s="8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="5" customFormat="1" spans="1:59">
      <c r="A103" s="65"/>
      <c r="B103" s="124" t="s">
        <v>120</v>
      </c>
      <c r="C103" s="125"/>
      <c r="D103" s="125"/>
      <c r="E103" s="125"/>
      <c r="F103" s="126"/>
      <c r="G103" s="127"/>
      <c r="H103" s="128"/>
      <c r="I103" s="94"/>
      <c r="J103" s="94"/>
      <c r="K103" s="4"/>
      <c r="L103" s="8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="5" customFormat="1" spans="1:59">
      <c r="A104" s="65"/>
      <c r="B104" s="129" t="s">
        <v>121</v>
      </c>
      <c r="C104" s="101"/>
      <c r="D104" s="101"/>
      <c r="E104" s="101"/>
      <c r="F104" s="102"/>
      <c r="G104" s="103"/>
      <c r="H104" s="104"/>
      <c r="I104" s="94"/>
      <c r="J104" s="94"/>
      <c r="K104" s="4"/>
      <c r="L104" s="8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="5" customFormat="1" spans="1:59">
      <c r="A105" s="65"/>
      <c r="B105" s="129" t="s">
        <v>122</v>
      </c>
      <c r="C105" s="101"/>
      <c r="D105" s="101"/>
      <c r="E105" s="130"/>
      <c r="F105" s="102"/>
      <c r="G105" s="103"/>
      <c r="H105" s="104"/>
      <c r="I105" s="94"/>
      <c r="J105" s="94"/>
      <c r="K105" s="4"/>
      <c r="L105" s="8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="5" customFormat="1" spans="1:59">
      <c r="A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="5" customFormat="1" spans="1:59">
      <c r="A107" s="62" t="s">
        <v>123</v>
      </c>
      <c r="B107" s="131" t="s">
        <v>124</v>
      </c>
      <c r="C107" s="131"/>
      <c r="D107" s="132"/>
      <c r="E107" s="132"/>
      <c r="F107" s="199" t="s">
        <v>363</v>
      </c>
      <c r="G107" s="132"/>
      <c r="H107" s="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="5" customFormat="1" ht="18" customHeight="1" spans="1:59">
      <c r="A108" s="69" t="s">
        <v>1</v>
      </c>
      <c r="B108" s="133" t="s">
        <v>128</v>
      </c>
      <c r="C108" s="133" t="s">
        <v>142</v>
      </c>
      <c r="D108" s="133" t="s">
        <v>254</v>
      </c>
      <c r="E108" s="133" t="s">
        <v>257</v>
      </c>
      <c r="F108" s="134" t="s">
        <v>258</v>
      </c>
      <c r="G108" s="133" t="s">
        <v>264</v>
      </c>
      <c r="H108" s="133" t="s">
        <v>255</v>
      </c>
      <c r="I108" s="133" t="s">
        <v>364</v>
      </c>
      <c r="J108" s="133" t="s">
        <v>365</v>
      </c>
      <c r="K108" s="133" t="s">
        <v>255</v>
      </c>
      <c r="L108" s="133" t="s">
        <v>366</v>
      </c>
      <c r="M108" s="133" t="s">
        <v>367</v>
      </c>
      <c r="N108" s="133" t="s">
        <v>367</v>
      </c>
      <c r="O108" s="133" t="s">
        <v>368</v>
      </c>
      <c r="P108" s="133" t="s">
        <v>367</v>
      </c>
      <c r="Q108" s="133" t="s">
        <v>367</v>
      </c>
      <c r="R108" s="133" t="s">
        <v>367</v>
      </c>
      <c r="S108" s="133" t="s">
        <v>369</v>
      </c>
      <c r="T108" s="133" t="s">
        <v>370</v>
      </c>
      <c r="U108" s="133" t="s">
        <v>371</v>
      </c>
      <c r="V108" s="133" t="s">
        <v>367</v>
      </c>
      <c r="W108" s="133" t="s">
        <v>372</v>
      </c>
      <c r="X108" s="133" t="s">
        <v>373</v>
      </c>
      <c r="Y108" s="133" t="s">
        <v>374</v>
      </c>
      <c r="Z108" s="133" t="s">
        <v>367</v>
      </c>
      <c r="AA108" s="133" t="s">
        <v>375</v>
      </c>
      <c r="AB108" s="133" t="s">
        <v>376</v>
      </c>
      <c r="AC108" s="133" t="s">
        <v>377</v>
      </c>
      <c r="AD108" s="133" t="s">
        <v>378</v>
      </c>
      <c r="AE108" s="134" t="s">
        <v>379</v>
      </c>
      <c r="AF108" s="134" t="s">
        <v>380</v>
      </c>
      <c r="AG108" s="133" t="s">
        <v>376</v>
      </c>
      <c r="AH108" s="133" t="s">
        <v>376</v>
      </c>
      <c r="AI108" s="134"/>
      <c r="AJ108" s="134"/>
      <c r="AK108" s="135"/>
      <c r="AL108" s="136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="5" customFormat="1" ht="18.95" customHeight="1" spans="1:59">
      <c r="A109" s="137"/>
      <c r="B109" s="138">
        <f>C53</f>
        <v>46009</v>
      </c>
      <c r="C109" s="138">
        <f>C54</f>
        <v>24704</v>
      </c>
      <c r="D109" s="138">
        <f>C55</f>
        <v>14102</v>
      </c>
      <c r="E109" s="138">
        <f>C56</f>
        <v>29266</v>
      </c>
      <c r="F109" s="139" t="e">
        <f>#REF!</f>
        <v>#REF!</v>
      </c>
      <c r="G109" s="138">
        <f>C57</f>
        <v>5293</v>
      </c>
      <c r="H109" s="138">
        <f>C58</f>
        <v>10000</v>
      </c>
      <c r="I109" s="138">
        <f>C59</f>
        <v>77842</v>
      </c>
      <c r="J109" s="138">
        <f>C60</f>
        <v>75365</v>
      </c>
      <c r="K109" s="138">
        <f>C61</f>
        <v>19130</v>
      </c>
      <c r="L109" s="138">
        <f>C62</f>
        <v>29910</v>
      </c>
      <c r="M109" s="138">
        <f>C63</f>
        <v>21155</v>
      </c>
      <c r="N109" s="138">
        <f>C64</f>
        <v>18570</v>
      </c>
      <c r="O109" s="138">
        <f>C65</f>
        <v>47621</v>
      </c>
      <c r="P109" s="138">
        <f>C66</f>
        <v>18885</v>
      </c>
      <c r="Q109" s="138">
        <f>C67</f>
        <v>19630</v>
      </c>
      <c r="R109" s="138">
        <f>C68</f>
        <v>19245</v>
      </c>
      <c r="S109" s="138">
        <f>C69</f>
        <v>69820</v>
      </c>
      <c r="T109" s="138">
        <f>C70</f>
        <v>67463</v>
      </c>
      <c r="U109" s="138">
        <f>C72</f>
        <v>25538</v>
      </c>
      <c r="V109" s="138">
        <f>C71</f>
        <v>17895</v>
      </c>
      <c r="W109" s="138">
        <f>C73</f>
        <v>29704</v>
      </c>
      <c r="X109" s="138">
        <f>C74</f>
        <v>1650</v>
      </c>
      <c r="Y109" s="138">
        <f>C75</f>
        <v>75013</v>
      </c>
      <c r="Z109" s="138">
        <f>C76</f>
        <v>17660</v>
      </c>
      <c r="AA109" s="138">
        <f>C77</f>
        <v>55605</v>
      </c>
      <c r="AB109" s="138">
        <v>17945</v>
      </c>
      <c r="AC109" s="138">
        <f>C78</f>
        <v>72925</v>
      </c>
      <c r="AD109" s="138">
        <f>C80</f>
        <v>82050</v>
      </c>
      <c r="AE109" s="139">
        <f>C81</f>
        <v>64080</v>
      </c>
      <c r="AF109" s="139">
        <f>C82</f>
        <v>75779</v>
      </c>
      <c r="AG109" s="138">
        <f>C83</f>
        <v>19025</v>
      </c>
      <c r="AH109" s="138">
        <f>C84</f>
        <v>16470</v>
      </c>
      <c r="AI109" s="139"/>
      <c r="AJ109" s="139"/>
      <c r="AK109" s="140"/>
      <c r="AL109" s="141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="5" customFormat="1" spans="1:59">
      <c r="A110" s="40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1">
        <f t="shared" ref="AL110:AL137" si="3">SUM(B110:AK110)</f>
        <v>0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="5" customFormat="1" spans="1:59">
      <c r="A111" s="40">
        <v>46081</v>
      </c>
      <c r="B111" s="142">
        <v>2468</v>
      </c>
      <c r="C111" s="142">
        <v>4196</v>
      </c>
      <c r="D111" s="142">
        <v>4626</v>
      </c>
      <c r="E111" s="142">
        <v>7237</v>
      </c>
      <c r="F111" s="142">
        <v>0</v>
      </c>
      <c r="G111" s="142">
        <v>3256</v>
      </c>
      <c r="H111" s="142">
        <v>3000</v>
      </c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1">
        <f t="shared" si="3"/>
        <v>24783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="5" customFormat="1" spans="1:59">
      <c r="A112" s="40">
        <v>46083</v>
      </c>
      <c r="B112" s="142">
        <v>3659</v>
      </c>
      <c r="C112" s="142">
        <v>6309</v>
      </c>
      <c r="D112" s="142">
        <v>4593</v>
      </c>
      <c r="E112" s="142">
        <v>12564</v>
      </c>
      <c r="F112" s="142">
        <v>0</v>
      </c>
      <c r="G112" s="142"/>
      <c r="H112" s="142">
        <v>4000</v>
      </c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1">
        <f t="shared" si="3"/>
        <v>31125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="5" customFormat="1" spans="1:59">
      <c r="A113" s="40">
        <v>46084</v>
      </c>
      <c r="B113" s="142">
        <v>3430</v>
      </c>
      <c r="C113" s="142">
        <v>6474</v>
      </c>
      <c r="D113" s="142">
        <v>1930</v>
      </c>
      <c r="E113" s="142">
        <v>8868</v>
      </c>
      <c r="F113" s="142">
        <v>0</v>
      </c>
      <c r="G113" s="142"/>
      <c r="H113" s="142">
        <v>3000</v>
      </c>
      <c r="I113" s="142">
        <v>7980</v>
      </c>
      <c r="J113" s="142">
        <v>5163</v>
      </c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1">
        <f t="shared" si="3"/>
        <v>36845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="5" customFormat="1" spans="1:59">
      <c r="A114" s="40">
        <v>46085</v>
      </c>
      <c r="B114" s="142">
        <v>2326</v>
      </c>
      <c r="C114" s="142">
        <v>4265</v>
      </c>
      <c r="D114" s="142"/>
      <c r="E114" s="142"/>
      <c r="F114" s="142">
        <v>0</v>
      </c>
      <c r="G114" s="142"/>
      <c r="H114" s="142"/>
      <c r="I114" s="142">
        <v>16238</v>
      </c>
      <c r="J114" s="142">
        <v>8062</v>
      </c>
      <c r="K114" s="142">
        <v>3130</v>
      </c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1">
        <f t="shared" si="3"/>
        <v>34021</v>
      </c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="5" customFormat="1" spans="1:59">
      <c r="A115" s="40">
        <v>46086</v>
      </c>
      <c r="B115" s="142">
        <v>3484</v>
      </c>
      <c r="C115" s="142">
        <v>1861</v>
      </c>
      <c r="D115" s="142"/>
      <c r="E115" s="142"/>
      <c r="F115" s="142">
        <v>0</v>
      </c>
      <c r="G115" s="142"/>
      <c r="H115" s="142"/>
      <c r="I115" s="142">
        <v>15578</v>
      </c>
      <c r="J115" s="142">
        <v>4362</v>
      </c>
      <c r="K115" s="142">
        <v>6000</v>
      </c>
      <c r="L115" s="142">
        <v>4977</v>
      </c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1">
        <f t="shared" si="3"/>
        <v>36262</v>
      </c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="5" customFormat="1" spans="1:59">
      <c r="A116" s="40">
        <v>46087</v>
      </c>
      <c r="B116" s="142">
        <v>2488</v>
      </c>
      <c r="C116" s="142"/>
      <c r="D116" s="142"/>
      <c r="E116" s="142"/>
      <c r="F116" s="142">
        <v>0</v>
      </c>
      <c r="G116" s="142"/>
      <c r="H116" s="142"/>
      <c r="I116" s="142">
        <v>11843</v>
      </c>
      <c r="J116" s="142">
        <v>4509</v>
      </c>
      <c r="K116" s="142">
        <v>10000</v>
      </c>
      <c r="L116" s="142">
        <v>4718</v>
      </c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1">
        <f t="shared" si="3"/>
        <v>33558</v>
      </c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="5" customFormat="1" spans="1:59">
      <c r="A117" s="40">
        <v>46088</v>
      </c>
      <c r="B117" s="142">
        <v>2208</v>
      </c>
      <c r="C117" s="142"/>
      <c r="D117" s="142"/>
      <c r="E117" s="142"/>
      <c r="F117" s="142">
        <v>0</v>
      </c>
      <c r="G117" s="142"/>
      <c r="H117" s="142"/>
      <c r="I117" s="142">
        <v>15045</v>
      </c>
      <c r="J117" s="142">
        <v>6753</v>
      </c>
      <c r="K117" s="142"/>
      <c r="L117" s="142">
        <v>4113</v>
      </c>
      <c r="M117" s="142">
        <v>11115</v>
      </c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1">
        <f t="shared" si="3"/>
        <v>39234</v>
      </c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="5" customFormat="1" spans="1:59">
      <c r="A118" s="40">
        <v>46090</v>
      </c>
      <c r="B118" s="142">
        <v>4281</v>
      </c>
      <c r="C118" s="142"/>
      <c r="D118" s="142"/>
      <c r="E118" s="142"/>
      <c r="F118" s="142">
        <v>0</v>
      </c>
      <c r="G118" s="142"/>
      <c r="H118" s="142"/>
      <c r="I118" s="142">
        <v>5993</v>
      </c>
      <c r="J118" s="142">
        <v>10251</v>
      </c>
      <c r="K118" s="142"/>
      <c r="L118" s="142">
        <v>9068</v>
      </c>
      <c r="M118" s="142">
        <v>10000</v>
      </c>
      <c r="N118" s="142">
        <v>18570</v>
      </c>
      <c r="O118" s="142">
        <v>19541</v>
      </c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1">
        <f t="shared" si="3"/>
        <v>77704</v>
      </c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="5" customFormat="1" spans="1:59">
      <c r="A119" s="40">
        <v>46091</v>
      </c>
      <c r="B119" s="142">
        <v>3424</v>
      </c>
      <c r="C119" s="142"/>
      <c r="D119" s="142"/>
      <c r="E119" s="142"/>
      <c r="F119" s="142">
        <v>0</v>
      </c>
      <c r="G119" s="142"/>
      <c r="H119" s="142"/>
      <c r="I119" s="142"/>
      <c r="J119" s="142">
        <v>7319</v>
      </c>
      <c r="K119" s="142"/>
      <c r="L119" s="142">
        <v>5818</v>
      </c>
      <c r="M119" s="142"/>
      <c r="N119" s="142"/>
      <c r="O119" s="142">
        <v>24811</v>
      </c>
      <c r="P119" s="142">
        <v>15885</v>
      </c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1">
        <f t="shared" si="3"/>
        <v>57257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="5" customFormat="1" spans="1:59">
      <c r="A120" s="40">
        <v>46092</v>
      </c>
      <c r="B120" s="142">
        <v>13059</v>
      </c>
      <c r="C120" s="142"/>
      <c r="D120" s="142"/>
      <c r="E120" s="142"/>
      <c r="F120" s="142">
        <v>0</v>
      </c>
      <c r="G120" s="142"/>
      <c r="H120" s="142"/>
      <c r="I120" s="142"/>
      <c r="J120" s="142">
        <v>18938</v>
      </c>
      <c r="K120" s="142"/>
      <c r="L120" s="142"/>
      <c r="M120" s="142"/>
      <c r="N120" s="142"/>
      <c r="O120" s="142"/>
      <c r="P120" s="142">
        <v>3000</v>
      </c>
      <c r="Q120" s="142">
        <v>15630</v>
      </c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1">
        <f t="shared" si="3"/>
        <v>50627</v>
      </c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="5" customFormat="1" spans="1:59">
      <c r="A121" s="40">
        <v>46093</v>
      </c>
      <c r="B121" s="142"/>
      <c r="C121" s="142"/>
      <c r="D121" s="142"/>
      <c r="E121" s="142"/>
      <c r="F121" s="142">
        <v>0</v>
      </c>
      <c r="G121" s="142"/>
      <c r="H121" s="142"/>
      <c r="I121" s="142"/>
      <c r="J121" s="142">
        <v>5379</v>
      </c>
      <c r="K121" s="142"/>
      <c r="L121" s="142"/>
      <c r="M121" s="142"/>
      <c r="N121" s="142"/>
      <c r="O121" s="142"/>
      <c r="P121" s="142"/>
      <c r="Q121" s="142">
        <v>4000</v>
      </c>
      <c r="R121" s="142">
        <v>3245</v>
      </c>
      <c r="S121" s="142">
        <v>8551</v>
      </c>
      <c r="T121" s="142">
        <v>17034</v>
      </c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1">
        <f t="shared" si="3"/>
        <v>38209</v>
      </c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</row>
    <row r="122" s="5" customFormat="1" spans="1:59">
      <c r="A122" s="40">
        <v>46094</v>
      </c>
      <c r="B122" s="142"/>
      <c r="C122" s="142"/>
      <c r="D122" s="142"/>
      <c r="E122" s="142"/>
      <c r="F122" s="142">
        <v>0</v>
      </c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>
        <v>10000</v>
      </c>
      <c r="S122" s="142">
        <v>8108</v>
      </c>
      <c r="T122" s="142">
        <v>20984</v>
      </c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1">
        <f t="shared" si="3"/>
        <v>39092</v>
      </c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</row>
    <row r="123" s="5" customFormat="1" spans="1:59">
      <c r="A123" s="40">
        <v>46095</v>
      </c>
      <c r="B123" s="142"/>
      <c r="C123" s="142"/>
      <c r="D123" s="142"/>
      <c r="E123" s="142"/>
      <c r="F123" s="142">
        <v>0</v>
      </c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>
        <v>6000</v>
      </c>
      <c r="S123" s="142">
        <v>7724</v>
      </c>
      <c r="T123" s="142">
        <v>8816</v>
      </c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1">
        <f t="shared" si="3"/>
        <v>22540</v>
      </c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s="5" customFormat="1" spans="1:59">
      <c r="A124" s="40">
        <v>46098</v>
      </c>
      <c r="B124" s="142"/>
      <c r="C124" s="142"/>
      <c r="D124" s="142"/>
      <c r="E124" s="142"/>
      <c r="F124" s="142">
        <v>0</v>
      </c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>
        <v>12276</v>
      </c>
      <c r="T124" s="142">
        <v>19367</v>
      </c>
      <c r="U124" s="142">
        <v>5904</v>
      </c>
      <c r="V124" s="142">
        <v>10000</v>
      </c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1">
        <f t="shared" si="3"/>
        <v>47547</v>
      </c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s="5" customFormat="1" spans="1:59">
      <c r="A125" s="40">
        <v>46099</v>
      </c>
      <c r="B125" s="142"/>
      <c r="C125" s="142"/>
      <c r="D125" s="142"/>
      <c r="E125" s="142"/>
      <c r="F125" s="142">
        <v>0</v>
      </c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>
        <v>6621</v>
      </c>
      <c r="T125" s="142"/>
      <c r="U125" s="142">
        <v>6033</v>
      </c>
      <c r="V125" s="142">
        <v>7895</v>
      </c>
      <c r="W125" s="142">
        <v>10496</v>
      </c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1">
        <f t="shared" si="3"/>
        <v>31045</v>
      </c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</row>
    <row r="126" s="5" customFormat="1" spans="1:59">
      <c r="A126" s="40">
        <v>46100</v>
      </c>
      <c r="B126" s="142"/>
      <c r="C126" s="142"/>
      <c r="D126" s="142"/>
      <c r="E126" s="142"/>
      <c r="F126" s="142">
        <v>0</v>
      </c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>
        <v>11962</v>
      </c>
      <c r="T126" s="142"/>
      <c r="U126" s="142">
        <v>12622</v>
      </c>
      <c r="V126" s="142"/>
      <c r="W126" s="142">
        <v>18920</v>
      </c>
      <c r="X126" s="142">
        <v>1587</v>
      </c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1">
        <f t="shared" si="3"/>
        <v>45091</v>
      </c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="5" customFormat="1" spans="1:59">
      <c r="A127" s="40">
        <v>46101</v>
      </c>
      <c r="B127" s="142"/>
      <c r="C127" s="142"/>
      <c r="D127" s="142"/>
      <c r="E127" s="142"/>
      <c r="F127" s="142">
        <v>0</v>
      </c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>
        <v>6081</v>
      </c>
      <c r="T127" s="142"/>
      <c r="U127" s="142"/>
      <c r="V127" s="142"/>
      <c r="W127" s="142"/>
      <c r="X127" s="142"/>
      <c r="Y127" s="142">
        <v>6404</v>
      </c>
      <c r="Z127" s="142">
        <v>660</v>
      </c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1">
        <f t="shared" si="3"/>
        <v>13145</v>
      </c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="5" customFormat="1" spans="1:59">
      <c r="A128" s="40">
        <v>46104</v>
      </c>
      <c r="B128" s="142"/>
      <c r="C128" s="142"/>
      <c r="D128" s="142"/>
      <c r="E128" s="142"/>
      <c r="F128" s="142">
        <v>0</v>
      </c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>
        <v>3754</v>
      </c>
      <c r="T128" s="142"/>
      <c r="U128" s="142"/>
      <c r="V128" s="142"/>
      <c r="W128" s="142"/>
      <c r="X128" s="142"/>
      <c r="Y128" s="142">
        <v>40054</v>
      </c>
      <c r="Z128" s="142">
        <v>17000</v>
      </c>
      <c r="AA128" s="142">
        <v>33304</v>
      </c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1">
        <f t="shared" si="3"/>
        <v>94112</v>
      </c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="5" customFormat="1" spans="1:59">
      <c r="A129" s="40">
        <v>46105</v>
      </c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>
        <v>18937</v>
      </c>
      <c r="Z129" s="142"/>
      <c r="AA129" s="142">
        <v>17351</v>
      </c>
      <c r="AB129" s="142">
        <v>10945</v>
      </c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1">
        <f t="shared" si="3"/>
        <v>47233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="5" customFormat="1" spans="1:59">
      <c r="A130" s="40">
        <v>46106</v>
      </c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>
        <v>2615</v>
      </c>
      <c r="Z130" s="142"/>
      <c r="AA130" s="142">
        <v>1781</v>
      </c>
      <c r="AB130" s="142">
        <v>7000</v>
      </c>
      <c r="AC130" s="142">
        <v>25589</v>
      </c>
      <c r="AD130" s="142">
        <v>25862</v>
      </c>
      <c r="AE130" s="142"/>
      <c r="AF130" s="142"/>
      <c r="AG130" s="142"/>
      <c r="AH130" s="142"/>
      <c r="AI130" s="142"/>
      <c r="AJ130" s="142"/>
      <c r="AK130" s="142"/>
      <c r="AL130" s="141">
        <f t="shared" si="3"/>
        <v>62847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="5" customFormat="1" spans="1:59">
      <c r="A131" s="40">
        <v>46107</v>
      </c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>
        <v>37519</v>
      </c>
      <c r="AD131" s="142">
        <v>37694</v>
      </c>
      <c r="AE131" s="142"/>
      <c r="AF131" s="142"/>
      <c r="AG131" s="142"/>
      <c r="AH131" s="142"/>
      <c r="AI131" s="142"/>
      <c r="AJ131" s="142"/>
      <c r="AK131" s="142"/>
      <c r="AL131" s="141">
        <f t="shared" si="3"/>
        <v>75213</v>
      </c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="5" customFormat="1" spans="1:59">
      <c r="A132" s="40">
        <v>46108</v>
      </c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>
        <v>2175</v>
      </c>
      <c r="AD132" s="142">
        <v>11534</v>
      </c>
      <c r="AE132" s="142">
        <v>11791</v>
      </c>
      <c r="AF132" s="142">
        <v>14262</v>
      </c>
      <c r="AG132" s="142">
        <v>18000</v>
      </c>
      <c r="AH132" s="142"/>
      <c r="AI132" s="142"/>
      <c r="AJ132" s="142"/>
      <c r="AK132" s="142"/>
      <c r="AL132" s="141">
        <f t="shared" si="3"/>
        <v>57762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="5" customFormat="1" spans="1:59">
      <c r="A133" s="40">
        <v>46109</v>
      </c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>
        <v>20436</v>
      </c>
      <c r="AF133" s="142">
        <v>14613</v>
      </c>
      <c r="AG133" s="142">
        <v>1025</v>
      </c>
      <c r="AH133" s="142">
        <v>16470</v>
      </c>
      <c r="AI133" s="142"/>
      <c r="AJ133" s="142"/>
      <c r="AK133" s="142"/>
      <c r="AL133" s="141">
        <f t="shared" si="3"/>
        <v>52544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="5" customFormat="1" spans="1:59">
      <c r="A134" s="40">
        <v>46111</v>
      </c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>
        <v>0</v>
      </c>
      <c r="AF134" s="142">
        <v>0</v>
      </c>
      <c r="AG134" s="142"/>
      <c r="AH134" s="142"/>
      <c r="AI134" s="142"/>
      <c r="AJ134" s="142"/>
      <c r="AK134" s="142"/>
      <c r="AL134" s="141">
        <f t="shared" si="3"/>
        <v>0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="5" customFormat="1" spans="1:59">
      <c r="A135" s="40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1">
        <f t="shared" si="3"/>
        <v>0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="5" customFormat="1" spans="1:59">
      <c r="A136" s="40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1">
        <f t="shared" si="3"/>
        <v>0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="5" customFormat="1" spans="1:59">
      <c r="A137" s="143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1">
        <f t="shared" si="3"/>
        <v>0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="5" customFormat="1" spans="1:59">
      <c r="A138" s="145"/>
      <c r="B138" s="146">
        <f>SUM(B110:B137)</f>
        <v>40827</v>
      </c>
      <c r="C138" s="146">
        <f t="shared" ref="C138:AJ138" si="4">SUM(C110:C137)</f>
        <v>23105</v>
      </c>
      <c r="D138" s="146">
        <f t="shared" si="4"/>
        <v>11149</v>
      </c>
      <c r="E138" s="146">
        <f t="shared" si="4"/>
        <v>28669</v>
      </c>
      <c r="F138" s="146">
        <f t="shared" si="4"/>
        <v>0</v>
      </c>
      <c r="G138" s="146">
        <f t="shared" si="4"/>
        <v>3256</v>
      </c>
      <c r="H138" s="146">
        <f t="shared" si="4"/>
        <v>10000</v>
      </c>
      <c r="I138" s="146">
        <f t="shared" si="4"/>
        <v>72677</v>
      </c>
      <c r="J138" s="146">
        <f t="shared" si="4"/>
        <v>70736</v>
      </c>
      <c r="K138" s="146">
        <f t="shared" si="4"/>
        <v>19130</v>
      </c>
      <c r="L138" s="146">
        <f t="shared" si="4"/>
        <v>28694</v>
      </c>
      <c r="M138" s="146">
        <f t="shared" si="4"/>
        <v>21115</v>
      </c>
      <c r="N138" s="146">
        <f t="shared" si="4"/>
        <v>18570</v>
      </c>
      <c r="O138" s="146">
        <f t="shared" si="4"/>
        <v>44352</v>
      </c>
      <c r="P138" s="146">
        <f t="shared" si="4"/>
        <v>18885</v>
      </c>
      <c r="Q138" s="146">
        <f t="shared" si="4"/>
        <v>19630</v>
      </c>
      <c r="R138" s="146">
        <f t="shared" si="4"/>
        <v>19245</v>
      </c>
      <c r="S138" s="146">
        <f t="shared" si="4"/>
        <v>65077</v>
      </c>
      <c r="T138" s="146">
        <f t="shared" si="4"/>
        <v>66201</v>
      </c>
      <c r="U138" s="146">
        <f t="shared" si="4"/>
        <v>24559</v>
      </c>
      <c r="V138" s="146">
        <f t="shared" si="4"/>
        <v>17895</v>
      </c>
      <c r="W138" s="146">
        <f t="shared" si="4"/>
        <v>29416</v>
      </c>
      <c r="X138" s="146">
        <f t="shared" si="4"/>
        <v>1587</v>
      </c>
      <c r="Y138" s="146">
        <f t="shared" si="4"/>
        <v>68010</v>
      </c>
      <c r="Z138" s="146">
        <f t="shared" si="4"/>
        <v>17660</v>
      </c>
      <c r="AA138" s="146">
        <f t="shared" si="4"/>
        <v>52436</v>
      </c>
      <c r="AB138" s="146">
        <f t="shared" si="4"/>
        <v>17945</v>
      </c>
      <c r="AC138" s="146">
        <f t="shared" si="4"/>
        <v>65283</v>
      </c>
      <c r="AD138" s="146">
        <f t="shared" si="4"/>
        <v>75090</v>
      </c>
      <c r="AE138" s="146">
        <f t="shared" si="4"/>
        <v>32227</v>
      </c>
      <c r="AF138" s="146">
        <f t="shared" si="4"/>
        <v>28875</v>
      </c>
      <c r="AG138" s="146">
        <f t="shared" si="4"/>
        <v>19025</v>
      </c>
      <c r="AH138" s="146">
        <f t="shared" si="4"/>
        <v>16470</v>
      </c>
      <c r="AI138" s="146">
        <f t="shared" si="4"/>
        <v>0</v>
      </c>
      <c r="AJ138" s="146">
        <f t="shared" si="4"/>
        <v>0</v>
      </c>
      <c r="AK138" s="147"/>
      <c r="AL138" s="148">
        <f>SUM(B138:AJ138)</f>
        <v>1047796</v>
      </c>
      <c r="AM138" s="58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s="5" customFormat="1" spans="1:59">
      <c r="A139" s="39"/>
      <c r="B139" s="149">
        <f>+B109-B138</f>
        <v>5182</v>
      </c>
      <c r="C139" s="149">
        <f t="shared" ref="C139:AJ139" si="5">+C109-C138</f>
        <v>1599</v>
      </c>
      <c r="D139" s="149">
        <f t="shared" si="5"/>
        <v>2953</v>
      </c>
      <c r="E139" s="149">
        <f t="shared" si="5"/>
        <v>597</v>
      </c>
      <c r="F139" s="150" t="e">
        <f t="shared" si="5"/>
        <v>#REF!</v>
      </c>
      <c r="G139" s="149">
        <f t="shared" si="5"/>
        <v>2037</v>
      </c>
      <c r="H139" s="149">
        <f t="shared" si="5"/>
        <v>0</v>
      </c>
      <c r="I139" s="149">
        <f t="shared" si="5"/>
        <v>5165</v>
      </c>
      <c r="J139" s="149">
        <f t="shared" si="5"/>
        <v>4629</v>
      </c>
      <c r="K139" s="149">
        <f t="shared" si="5"/>
        <v>0</v>
      </c>
      <c r="L139" s="149">
        <f t="shared" si="5"/>
        <v>1216</v>
      </c>
      <c r="M139" s="149">
        <f t="shared" si="5"/>
        <v>40</v>
      </c>
      <c r="N139" s="149">
        <f t="shared" si="5"/>
        <v>0</v>
      </c>
      <c r="O139" s="149">
        <f t="shared" si="5"/>
        <v>3269</v>
      </c>
      <c r="P139" s="149">
        <f t="shared" si="5"/>
        <v>0</v>
      </c>
      <c r="Q139" s="149">
        <f t="shared" si="5"/>
        <v>0</v>
      </c>
      <c r="R139" s="149">
        <f t="shared" si="5"/>
        <v>0</v>
      </c>
      <c r="S139" s="149">
        <f t="shared" si="5"/>
        <v>4743</v>
      </c>
      <c r="T139" s="149">
        <f t="shared" si="5"/>
        <v>1262</v>
      </c>
      <c r="U139" s="149">
        <f t="shared" si="5"/>
        <v>979</v>
      </c>
      <c r="V139" s="149">
        <f t="shared" si="5"/>
        <v>0</v>
      </c>
      <c r="W139" s="149">
        <f t="shared" si="5"/>
        <v>288</v>
      </c>
      <c r="X139" s="149">
        <f t="shared" si="5"/>
        <v>63</v>
      </c>
      <c r="Y139" s="149">
        <f t="shared" si="5"/>
        <v>7003</v>
      </c>
      <c r="Z139" s="149">
        <f t="shared" si="5"/>
        <v>0</v>
      </c>
      <c r="AA139" s="149">
        <f t="shared" si="5"/>
        <v>3169</v>
      </c>
      <c r="AB139" s="149">
        <f t="shared" si="5"/>
        <v>0</v>
      </c>
      <c r="AC139" s="149">
        <f t="shared" si="5"/>
        <v>7642</v>
      </c>
      <c r="AD139" s="149">
        <f t="shared" si="5"/>
        <v>6960</v>
      </c>
      <c r="AE139" s="150">
        <f t="shared" si="5"/>
        <v>31853</v>
      </c>
      <c r="AF139" s="150">
        <f t="shared" si="5"/>
        <v>46904</v>
      </c>
      <c r="AG139" s="149">
        <f t="shared" si="5"/>
        <v>0</v>
      </c>
      <c r="AH139" s="149">
        <f t="shared" si="5"/>
        <v>0</v>
      </c>
      <c r="AI139" s="150">
        <f t="shared" si="5"/>
        <v>0</v>
      </c>
      <c r="AJ139" s="150">
        <f t="shared" si="5"/>
        <v>0</v>
      </c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s="5" customFormat="1" spans="1:59">
      <c r="B140" s="200"/>
      <c r="C140" s="201"/>
    </row>
    <row r="141" s="5" customFormat="1" spans="1:59">
      <c r="A141" s="2" t="s">
        <v>143</v>
      </c>
    </row>
    <row r="142" s="5" customFormat="1" spans="1:59">
      <c r="A142" s="2"/>
    </row>
    <row r="143" s="5" customFormat="1" spans="1:59">
      <c r="A143" s="237" t="s">
        <v>381</v>
      </c>
    </row>
    <row r="144" s="5" customFormat="1" spans="1:59">
      <c r="A144" s="5" t="s">
        <v>382</v>
      </c>
    </row>
    <row r="145" customFormat="1" spans="1:2">
      <c r="A145" t="s">
        <v>149</v>
      </c>
    </row>
    <row r="146" customFormat="1" spans="1:2">
      <c r="A146" t="s">
        <v>383</v>
      </c>
    </row>
    <row r="147" customFormat="1" spans="1:2">
      <c r="A147" s="161">
        <v>60675</v>
      </c>
      <c r="B147" s="153" t="s">
        <v>384</v>
      </c>
    </row>
    <row r="149" spans="1:2">
      <c r="A149" s="237" t="s">
        <v>385</v>
      </c>
    </row>
    <row r="150" spans="1:2">
      <c r="A150" t="s">
        <v>386</v>
      </c>
    </row>
    <row r="151" spans="1:2">
      <c r="A151" t="s">
        <v>387</v>
      </c>
    </row>
    <row r="152" spans="1:2">
      <c r="A152" t="s">
        <v>149</v>
      </c>
    </row>
    <row r="153" spans="1:2">
      <c r="A153" s="160" t="s">
        <v>388</v>
      </c>
    </row>
    <row r="154" customFormat="1" spans="1:2">
      <c r="A154" t="s">
        <v>389</v>
      </c>
    </row>
    <row r="155" customFormat="1" spans="1:2">
      <c r="A155" s="161">
        <v>58195</v>
      </c>
      <c r="B155" s="153" t="s">
        <v>390</v>
      </c>
    </row>
    <row r="156" customFormat="1" spans="1:2">
      <c r="A156" s="160" t="s">
        <v>225</v>
      </c>
    </row>
    <row r="157" customFormat="1" spans="1:2">
      <c r="A157" t="s">
        <v>391</v>
      </c>
    </row>
    <row r="158" customFormat="1" spans="1:2">
      <c r="A158" s="161">
        <v>29719</v>
      </c>
      <c r="B158" s="153" t="s">
        <v>392</v>
      </c>
    </row>
    <row r="160" spans="1:2">
      <c r="A160" s="237" t="s">
        <v>393</v>
      </c>
    </row>
    <row r="161" spans="1:2">
      <c r="A161" t="s">
        <v>394</v>
      </c>
    </row>
    <row r="162" spans="1:2">
      <c r="A162" t="s">
        <v>395</v>
      </c>
    </row>
    <row r="163" customHeight="1" spans="1:2">
      <c r="A163" s="153" t="s">
        <v>149</v>
      </c>
    </row>
    <row r="164" customFormat="1" spans="1:2">
      <c r="A164" s="160" t="s">
        <v>396</v>
      </c>
    </row>
    <row r="165" customFormat="1" spans="1:2">
      <c r="A165" t="s">
        <v>397</v>
      </c>
    </row>
    <row r="166" customFormat="1" spans="1:2">
      <c r="A166" s="161">
        <v>60250</v>
      </c>
      <c r="B166" s="153" t="s">
        <v>398</v>
      </c>
    </row>
    <row r="168" spans="1:2">
      <c r="A168" s="237" t="s">
        <v>399</v>
      </c>
    </row>
    <row r="169" spans="1:2">
      <c r="A169" t="s">
        <v>400</v>
      </c>
    </row>
    <row r="170" spans="1:2">
      <c r="A170" t="s">
        <v>149</v>
      </c>
    </row>
    <row r="171" spans="1:2">
      <c r="A171" t="s">
        <v>401</v>
      </c>
    </row>
    <row r="172" spans="1:2">
      <c r="A172" s="154">
        <v>77842</v>
      </c>
      <c r="B172" s="153" t="s">
        <v>402</v>
      </c>
    </row>
    <row r="174" spans="1:2">
      <c r="A174" s="237" t="s">
        <v>403</v>
      </c>
    </row>
    <row r="175" spans="1:2">
      <c r="A175" t="s">
        <v>404</v>
      </c>
    </row>
    <row r="176" spans="1:2">
      <c r="A176" t="s">
        <v>405</v>
      </c>
    </row>
    <row r="177" spans="1:2">
      <c r="A177" t="s">
        <v>149</v>
      </c>
    </row>
    <row r="178" spans="1:2">
      <c r="A178" s="160" t="s">
        <v>329</v>
      </c>
    </row>
    <row r="179" customFormat="1" spans="1:2">
      <c r="A179" t="s">
        <v>406</v>
      </c>
    </row>
    <row r="180" customFormat="1" spans="1:2">
      <c r="A180" s="154">
        <v>29910</v>
      </c>
      <c r="B180" s="153" t="s">
        <v>407</v>
      </c>
    </row>
    <row r="181" customFormat="1" spans="1:2">
      <c r="A181" s="160" t="s">
        <v>408</v>
      </c>
    </row>
    <row r="182" customFormat="1" spans="1:2">
      <c r="A182" t="s">
        <v>409</v>
      </c>
    </row>
    <row r="183" customFormat="1" spans="1:2">
      <c r="A183" s="154">
        <v>47621</v>
      </c>
      <c r="B183" s="153" t="s">
        <v>410</v>
      </c>
    </row>
    <row r="185" spans="1:2">
      <c r="A185" s="237" t="s">
        <v>411</v>
      </c>
    </row>
    <row r="186" spans="1:2">
      <c r="A186" t="s">
        <v>404</v>
      </c>
    </row>
    <row r="187" spans="1:2">
      <c r="A187" t="s">
        <v>412</v>
      </c>
    </row>
    <row r="188" customFormat="1" spans="1:2">
      <c r="A188" t="s">
        <v>149</v>
      </c>
    </row>
    <row r="189" customFormat="1" spans="1:2">
      <c r="A189" s="160" t="s">
        <v>79</v>
      </c>
    </row>
    <row r="190" customFormat="1" spans="1:2">
      <c r="A190" t="s">
        <v>413</v>
      </c>
    </row>
    <row r="191" customFormat="1" spans="1:2">
      <c r="A191" s="161">
        <v>64958</v>
      </c>
      <c r="B191" s="153" t="s">
        <v>414</v>
      </c>
    </row>
    <row r="193" spans="1:2">
      <c r="A193" s="237" t="s">
        <v>415</v>
      </c>
    </row>
    <row r="194" spans="1:2">
      <c r="A194" t="s">
        <v>416</v>
      </c>
    </row>
    <row r="195" spans="1:2">
      <c r="A195" t="s">
        <v>417</v>
      </c>
    </row>
    <row r="196" spans="1:2">
      <c r="A196" t="s">
        <v>149</v>
      </c>
    </row>
    <row r="197" customFormat="1" spans="1:2">
      <c r="A197" s="160" t="s">
        <v>418</v>
      </c>
    </row>
    <row r="198" customFormat="1" spans="1:2">
      <c r="A198" t="s">
        <v>419</v>
      </c>
    </row>
    <row r="199" customFormat="1" spans="1:2">
      <c r="A199" s="154">
        <v>75365</v>
      </c>
      <c r="B199" s="153" t="s">
        <v>420</v>
      </c>
    </row>
    <row r="201" spans="1:2">
      <c r="A201" s="237" t="s">
        <v>421</v>
      </c>
    </row>
    <row r="202" spans="1:2">
      <c r="A202" t="s">
        <v>422</v>
      </c>
    </row>
    <row r="203" spans="1:2">
      <c r="A203" t="s">
        <v>423</v>
      </c>
    </row>
    <row r="204" spans="1:2">
      <c r="A204" s="153" t="s">
        <v>424</v>
      </c>
    </row>
    <row r="206" spans="1:2">
      <c r="A206" s="237" t="s">
        <v>425</v>
      </c>
    </row>
    <row r="207" spans="1:2">
      <c r="A207" t="s">
        <v>426</v>
      </c>
    </row>
    <row r="208" spans="1:2">
      <c r="A208" t="s">
        <v>149</v>
      </c>
    </row>
    <row r="209" spans="1:1">
      <c r="A209" s="171" t="s">
        <v>427</v>
      </c>
    </row>
    <row r="210" spans="1:1">
      <c r="A210" s="171" t="s">
        <v>428</v>
      </c>
    </row>
    <row r="211" spans="1:1">
      <c r="A211" s="171" t="s">
        <v>429</v>
      </c>
    </row>
    <row r="214" spans="1:1">
      <c r="A214" s="237" t="s">
        <v>430</v>
      </c>
    </row>
    <row r="215" spans="1:1">
      <c r="A215" t="s">
        <v>431</v>
      </c>
    </row>
    <row r="217" spans="1:1">
      <c r="A217" s="237" t="s">
        <v>432</v>
      </c>
    </row>
    <row r="218" spans="1:1">
      <c r="A218" t="s">
        <v>433</v>
      </c>
    </row>
    <row r="219" spans="1:1">
      <c r="A219" t="s">
        <v>434</v>
      </c>
    </row>
    <row r="220" spans="1:1">
      <c r="A220" s="153" t="s">
        <v>435</v>
      </c>
    </row>
    <row r="222" spans="1:1">
      <c r="A222" s="237" t="s">
        <v>436</v>
      </c>
    </row>
    <row r="223" spans="1:1">
      <c r="A223" t="s">
        <v>437</v>
      </c>
    </row>
    <row r="225" spans="1:2">
      <c r="A225" s="237" t="s">
        <v>438</v>
      </c>
    </row>
    <row r="226" spans="1:2">
      <c r="A226" t="s">
        <v>439</v>
      </c>
    </row>
    <row r="227" spans="1:2">
      <c r="A227" t="s">
        <v>440</v>
      </c>
    </row>
    <row r="228" spans="1:2">
      <c r="A228" t="s">
        <v>149</v>
      </c>
    </row>
    <row r="229" customFormat="1" spans="1:2">
      <c r="A229" s="160" t="s">
        <v>441</v>
      </c>
    </row>
    <row r="230" customFormat="1" spans="1:2">
      <c r="A230" t="s">
        <v>442</v>
      </c>
    </row>
    <row r="231" customFormat="1" spans="1:2">
      <c r="A231" s="154">
        <v>55605</v>
      </c>
      <c r="B231" s="153" t="s">
        <v>443</v>
      </c>
    </row>
    <row r="232" customFormat="1" spans="1:2">
      <c r="A232" s="160" t="s">
        <v>444</v>
      </c>
    </row>
    <row r="233" customFormat="1" spans="1:2">
      <c r="A233" t="s">
        <v>445</v>
      </c>
    </row>
    <row r="234" customFormat="1" spans="1:2">
      <c r="A234" s="154">
        <v>75013</v>
      </c>
      <c r="B234" s="153" t="s">
        <v>446</v>
      </c>
    </row>
    <row r="236" spans="1:2">
      <c r="A236" s="237" t="s">
        <v>447</v>
      </c>
    </row>
    <row r="237" spans="1:2">
      <c r="A237" t="s">
        <v>448</v>
      </c>
    </row>
    <row r="238" spans="1:2">
      <c r="A238" t="s">
        <v>449</v>
      </c>
    </row>
    <row r="239" spans="1:2">
      <c r="A239" t="s">
        <v>149</v>
      </c>
    </row>
    <row r="240" customFormat="1" spans="1:2">
      <c r="A240" s="160" t="s">
        <v>450</v>
      </c>
    </row>
    <row r="241" customFormat="1" spans="1:2">
      <c r="A241" t="s">
        <v>451</v>
      </c>
    </row>
    <row r="242" customFormat="1" spans="1:2">
      <c r="A242" s="154">
        <v>72925</v>
      </c>
      <c r="B242" s="153" t="s">
        <v>452</v>
      </c>
    </row>
    <row r="243" customFormat="1" spans="1:2">
      <c r="A243" s="160" t="s">
        <v>453</v>
      </c>
    </row>
    <row r="244" customFormat="1" spans="1:2">
      <c r="A244" t="s">
        <v>454</v>
      </c>
    </row>
    <row r="245" customFormat="1" spans="1:2">
      <c r="A245" s="154">
        <v>82050</v>
      </c>
      <c r="B245" s="153" t="s">
        <v>455</v>
      </c>
    </row>
    <row r="247" spans="1:2">
      <c r="A247" s="237" t="s">
        <v>456</v>
      </c>
    </row>
    <row r="248" spans="1:2">
      <c r="A248" t="s">
        <v>437</v>
      </c>
    </row>
  </sheetData>
  <mergeCells count="7">
    <mergeCell ref="AC24:AC25"/>
    <mergeCell ref="AC26:AC27"/>
    <mergeCell ref="AC28:AC29"/>
    <mergeCell ref="AC30:AC31"/>
    <mergeCell ref="AC32:AC33"/>
    <mergeCell ref="AC34:AC35"/>
    <mergeCell ref="AK108:AK109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50"/>
  <sheetViews>
    <sheetView topLeftCell="A136" workbookViewId="0">
      <selection activeCell="A154" sqref="$A154:$XFD155"/>
    </sheetView>
  </sheetViews>
  <sheetFormatPr defaultColWidth="9.14285714285714" defaultRowHeight="15"/>
  <cols>
    <col min="1" max="1" width="10.5714285714286"/>
    <col min="2" max="2" width="29.1428571428571" customWidth="1"/>
    <col min="3" max="3" width="12.5714285714286" customWidth="1"/>
    <col min="4" max="5" width="13.5714285714286" customWidth="1"/>
    <col min="6" max="6" width="13.4285714285714" customWidth="1"/>
    <col min="7" max="7" width="12.8571428571429" customWidth="1"/>
    <col min="8" max="8" width="12.7142857142857" customWidth="1"/>
    <col min="9" max="9" width="13.2857142857143" customWidth="1"/>
    <col min="10" max="10" width="19.1428571428571" customWidth="1"/>
    <col min="11" max="11" width="13.1428571428571" customWidth="1"/>
    <col min="12" max="12" width="11.5714285714286" customWidth="1"/>
    <col min="13" max="13" width="13"/>
    <col min="14" max="14" width="12.1428571428571" customWidth="1"/>
    <col min="15" max="15" width="11.7142857142857" customWidth="1"/>
    <col min="16" max="17" width="12.8571428571429" customWidth="1"/>
    <col min="19" max="19" width="13.2857142857143" customWidth="1"/>
    <col min="20" max="20" width="13.4285714285714" customWidth="1"/>
    <col min="22" max="22" width="11.1428571428571" customWidth="1"/>
    <col min="23" max="23" width="10.5714285714286" customWidth="1"/>
    <col min="25" max="25" width="10.2857142857143" customWidth="1"/>
    <col min="31" max="31" width="12.2857142857143" customWidth="1"/>
    <col min="37" max="37" width="10.8571428571429" customWidth="1"/>
    <col min="38" max="38" width="12.1428571428571" customWidth="1"/>
    <col min="48" max="48" width="10.8571428571429" hidden="1" customWidth="1"/>
    <col min="49" max="50" width="9.14285714285714" hidden="1" customWidth="1"/>
  </cols>
  <sheetData>
    <row r="1" spans="1:54">
      <c r="A1" s="235" t="s">
        <v>457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  <c r="AV1" s="5" t="s">
        <v>458</v>
      </c>
      <c r="AW1" s="5"/>
      <c r="AX1" s="5"/>
      <c r="AY1" s="5"/>
      <c r="AZ1" s="5"/>
      <c r="BA1" s="5"/>
      <c r="BB1" s="5"/>
    </row>
    <row r="2" spans="1:54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  <c r="AV2" s="5"/>
      <c r="AW2" s="5"/>
      <c r="AX2" s="5"/>
      <c r="AY2" s="5"/>
      <c r="AZ2" s="5"/>
      <c r="BA2" s="5"/>
      <c r="BB2" s="5"/>
    </row>
    <row r="3" spans="1:54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  <c r="AW3" s="5"/>
      <c r="AX3" s="5"/>
      <c r="AY3" s="5"/>
      <c r="AZ3" s="5"/>
      <c r="BA3" s="5"/>
      <c r="BB3" s="5"/>
    </row>
    <row r="4" spans="1:54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34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  <c r="AW4" s="5"/>
      <c r="AX4" s="5"/>
      <c r="AY4" s="5"/>
      <c r="AZ4" s="5"/>
      <c r="BA4" s="5"/>
      <c r="BB4" s="5"/>
    </row>
    <row r="5" spans="1:54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  <c r="AW5" s="5"/>
      <c r="AX5" s="5"/>
      <c r="AY5" s="5"/>
      <c r="AZ5" s="5"/>
      <c r="BA5" s="5"/>
      <c r="BB5" s="5"/>
    </row>
    <row r="6" spans="1:54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155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  <c r="AW6" s="5"/>
      <c r="AX6" s="5"/>
      <c r="AY6" s="5"/>
      <c r="AZ6" s="5"/>
      <c r="BA6" s="5"/>
      <c r="BB6" s="5"/>
    </row>
    <row r="7" spans="1:54">
      <c r="A7" s="44">
        <v>46111</v>
      </c>
      <c r="B7" s="41">
        <v>33422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>
        <v>32</v>
      </c>
      <c r="V7" s="34"/>
      <c r="W7" s="34"/>
      <c r="X7" s="34"/>
      <c r="Y7" s="34"/>
      <c r="Z7" s="34"/>
      <c r="AA7" s="35">
        <v>590</v>
      </c>
      <c r="AB7" s="42">
        <f t="shared" ref="AB7:AB18" si="0">AA7*U7</f>
        <v>18880</v>
      </c>
      <c r="AC7" s="155">
        <v>2946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  <c r="AW7" s="5"/>
      <c r="AX7" s="5"/>
      <c r="AY7" s="5"/>
      <c r="AZ7" s="5"/>
      <c r="BA7" s="5"/>
      <c r="BB7" s="5"/>
    </row>
    <row r="8" spans="1:54">
      <c r="A8" s="44">
        <v>46112</v>
      </c>
      <c r="B8" s="41">
        <v>51889</v>
      </c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>
        <v>47</v>
      </c>
      <c r="V8" s="34"/>
      <c r="W8" s="34"/>
      <c r="X8" s="34"/>
      <c r="Y8" s="34"/>
      <c r="Z8" s="34"/>
      <c r="AA8" s="35">
        <v>590</v>
      </c>
      <c r="AB8" s="42">
        <f t="shared" si="0"/>
        <v>27730</v>
      </c>
      <c r="AC8" s="155">
        <v>3008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  <c r="AW8" s="5"/>
      <c r="AX8" s="5"/>
      <c r="AY8" s="5"/>
      <c r="AZ8" s="5"/>
      <c r="BA8" s="5"/>
      <c r="BB8" s="5"/>
    </row>
    <row r="9" spans="1:54">
      <c r="A9" s="44">
        <v>46113</v>
      </c>
      <c r="B9" s="41">
        <v>17388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>
        <v>38</v>
      </c>
      <c r="V9" s="34"/>
      <c r="W9" s="34"/>
      <c r="X9" s="34"/>
      <c r="Y9" s="34"/>
      <c r="Z9" s="34"/>
      <c r="AA9" s="35">
        <v>590</v>
      </c>
      <c r="AB9" s="42">
        <f t="shared" si="0"/>
        <v>22420</v>
      </c>
      <c r="AC9" s="155">
        <v>5004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  <c r="AW9" s="5"/>
      <c r="AX9" s="5"/>
      <c r="AY9" s="5"/>
      <c r="AZ9" s="5"/>
      <c r="BA9" s="5"/>
      <c r="BB9" s="5"/>
    </row>
    <row r="10" spans="1:54">
      <c r="A10" s="44">
        <v>46118</v>
      </c>
      <c r="B10" s="41">
        <v>39556</v>
      </c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>
        <v>38</v>
      </c>
      <c r="V10" s="34"/>
      <c r="W10" s="34"/>
      <c r="X10" s="34"/>
      <c r="Y10" s="34"/>
      <c r="Z10" s="34"/>
      <c r="AA10" s="35">
        <v>590</v>
      </c>
      <c r="AB10" s="42">
        <f t="shared" si="0"/>
        <v>22420</v>
      </c>
      <c r="AC10" s="155">
        <v>2778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  <c r="AW10" s="5"/>
      <c r="AX10" s="5"/>
      <c r="AY10" s="5"/>
      <c r="AZ10" s="5"/>
      <c r="BA10" s="5"/>
      <c r="BB10" s="5"/>
    </row>
    <row r="11" spans="1:54">
      <c r="A11" s="44">
        <v>46119</v>
      </c>
      <c r="B11" s="41">
        <v>30098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>
        <v>41</v>
      </c>
      <c r="V11" s="34"/>
      <c r="W11" s="34"/>
      <c r="X11" s="34"/>
      <c r="Y11" s="34"/>
      <c r="Z11" s="34"/>
      <c r="AA11" s="35">
        <v>590</v>
      </c>
      <c r="AB11" s="42">
        <f t="shared" si="0"/>
        <v>24190</v>
      </c>
      <c r="AC11" s="43">
        <v>3780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  <c r="AW11" s="5"/>
      <c r="AX11" s="5"/>
      <c r="AY11" s="5"/>
      <c r="AZ11" s="5"/>
      <c r="BA11" s="5"/>
      <c r="BB11" s="5"/>
    </row>
    <row r="12" spans="1:54">
      <c r="A12" s="44">
        <v>46120</v>
      </c>
      <c r="B12" s="41">
        <v>22106</v>
      </c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>
        <v>43</v>
      </c>
      <c r="V12" s="34"/>
      <c r="W12" s="34"/>
      <c r="X12" s="34"/>
      <c r="Y12" s="34"/>
      <c r="Z12" s="34"/>
      <c r="AA12" s="35">
        <v>590</v>
      </c>
      <c r="AB12" s="42">
        <f t="shared" si="0"/>
        <v>25370</v>
      </c>
      <c r="AC12" s="33">
        <v>3724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  <c r="AW12" s="5"/>
      <c r="AX12" s="5"/>
      <c r="AY12" s="5"/>
      <c r="AZ12" s="5"/>
      <c r="BA12" s="5"/>
      <c r="BB12" s="5"/>
    </row>
    <row r="13" spans="1:54">
      <c r="A13" s="44">
        <v>46121</v>
      </c>
      <c r="B13" s="41">
        <v>23859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>
        <v>43</v>
      </c>
      <c r="V13" s="34"/>
      <c r="W13" s="34"/>
      <c r="X13" s="34"/>
      <c r="Y13" s="34"/>
      <c r="Z13" s="34"/>
      <c r="AA13" s="35">
        <v>590</v>
      </c>
      <c r="AB13" s="42">
        <f t="shared" si="0"/>
        <v>25370</v>
      </c>
      <c r="AC13" s="43">
        <v>3819</v>
      </c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  <c r="AW13" s="5"/>
      <c r="AX13" s="5"/>
      <c r="AY13" s="5"/>
      <c r="AZ13" s="5"/>
      <c r="BA13" s="5"/>
      <c r="BB13" s="5"/>
    </row>
    <row r="14" spans="1:54">
      <c r="A14" s="44">
        <v>46122</v>
      </c>
      <c r="B14" s="41">
        <v>17190</v>
      </c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>
        <v>37</v>
      </c>
      <c r="V14" s="34"/>
      <c r="W14" s="34"/>
      <c r="X14" s="34"/>
      <c r="Y14" s="34"/>
      <c r="Z14" s="34"/>
      <c r="AA14" s="35">
        <v>590</v>
      </c>
      <c r="AB14" s="42">
        <f t="shared" si="0"/>
        <v>21830</v>
      </c>
      <c r="AC14" s="43">
        <v>4221</v>
      </c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  <c r="AW14" s="5"/>
      <c r="AX14" s="5"/>
      <c r="AY14" s="5"/>
      <c r="AZ14" s="5"/>
      <c r="BA14" s="5"/>
      <c r="BB14" s="5"/>
    </row>
    <row r="15" spans="1:54">
      <c r="A15" s="44">
        <v>46125</v>
      </c>
      <c r="B15" s="41">
        <v>29401</v>
      </c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>
        <v>46</v>
      </c>
      <c r="V15" s="34"/>
      <c r="W15" s="34"/>
      <c r="X15" s="34"/>
      <c r="Y15" s="34"/>
      <c r="Z15" s="34"/>
      <c r="AA15" s="35">
        <v>590</v>
      </c>
      <c r="AB15" s="42">
        <f t="shared" si="0"/>
        <v>27140</v>
      </c>
      <c r="AC15" s="189">
        <v>3727</v>
      </c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  <c r="AW15" s="5"/>
      <c r="AX15" s="5"/>
      <c r="AY15" s="5"/>
      <c r="AZ15" s="5"/>
      <c r="BA15" s="5"/>
      <c r="BB15" s="5"/>
    </row>
    <row r="16" spans="1:54">
      <c r="A16" s="44">
        <v>46126</v>
      </c>
      <c r="B16" s="41">
        <v>32092</v>
      </c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>
        <v>47</v>
      </c>
      <c r="V16" s="34"/>
      <c r="W16" s="34"/>
      <c r="X16" s="34"/>
      <c r="Y16" s="34"/>
      <c r="Z16" s="34"/>
      <c r="AA16" s="35">
        <v>590</v>
      </c>
      <c r="AB16" s="42">
        <f t="shared" si="0"/>
        <v>27730</v>
      </c>
      <c r="AC16" s="43">
        <v>3816</v>
      </c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  <c r="AW16" s="5"/>
      <c r="AX16" s="5"/>
      <c r="AY16" s="5"/>
      <c r="AZ16" s="5"/>
      <c r="BA16" s="5"/>
      <c r="BB16" s="5"/>
    </row>
    <row r="17" spans="1:54">
      <c r="A17" s="44">
        <v>46127</v>
      </c>
      <c r="B17" s="177">
        <v>29911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>
        <v>35</v>
      </c>
      <c r="V17" s="178"/>
      <c r="W17" s="178"/>
      <c r="X17" s="178"/>
      <c r="Y17" s="178"/>
      <c r="Z17" s="178"/>
      <c r="AA17" s="35">
        <v>590</v>
      </c>
      <c r="AB17" s="42">
        <f t="shared" si="0"/>
        <v>20650</v>
      </c>
      <c r="AC17" s="190">
        <v>4679</v>
      </c>
      <c r="AD17" s="36"/>
      <c r="AE17" s="179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  <c r="AW17" s="5"/>
      <c r="AX17" s="5"/>
      <c r="AY17" s="5"/>
      <c r="AZ17" s="5"/>
      <c r="BA17" s="5"/>
      <c r="BB17" s="5"/>
    </row>
    <row r="18" spans="1:54">
      <c r="A18" s="44">
        <v>46128</v>
      </c>
      <c r="B18" s="41">
        <v>7650</v>
      </c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178">
        <v>36</v>
      </c>
      <c r="V18" s="178"/>
      <c r="W18" s="178"/>
      <c r="X18" s="178"/>
      <c r="Y18" s="178"/>
      <c r="Z18" s="178"/>
      <c r="AA18" s="35">
        <v>590</v>
      </c>
      <c r="AB18" s="42">
        <f t="shared" si="0"/>
        <v>21240</v>
      </c>
      <c r="AC18" s="180">
        <v>4648</v>
      </c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  <c r="AW18" s="5"/>
      <c r="AX18" s="5"/>
      <c r="AY18" s="5"/>
      <c r="AZ18" s="5"/>
      <c r="BA18" s="5"/>
      <c r="BB18" s="5"/>
    </row>
    <row r="19" spans="1:54">
      <c r="A19" s="44">
        <v>46129</v>
      </c>
      <c r="B19" s="41">
        <v>29217</v>
      </c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65</v>
      </c>
      <c r="AA19" s="35">
        <v>26</v>
      </c>
      <c r="AB19" s="42">
        <f t="shared" ref="AB19:AB31" si="1">Z19*AA19</f>
        <v>1690</v>
      </c>
      <c r="AC19" s="180"/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  <c r="AW19" s="5"/>
      <c r="AX19" s="5"/>
      <c r="AY19" s="5"/>
      <c r="AZ19" s="5"/>
      <c r="BA19" s="5"/>
      <c r="BB19" s="5"/>
    </row>
    <row r="20" spans="1:54">
      <c r="A20" s="44"/>
      <c r="B20" s="41"/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1070</v>
      </c>
      <c r="AA20" s="35">
        <v>26</v>
      </c>
      <c r="AB20" s="42">
        <f t="shared" si="1"/>
        <v>27820</v>
      </c>
      <c r="AC20" s="43">
        <v>3790</v>
      </c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  <c r="AW20" s="5"/>
      <c r="AX20" s="5"/>
      <c r="AY20" s="5"/>
      <c r="AZ20" s="5"/>
      <c r="BA20" s="5"/>
      <c r="BB20" s="5"/>
    </row>
    <row r="21" spans="1:54">
      <c r="A21" s="44">
        <v>46130</v>
      </c>
      <c r="B21" s="41">
        <v>33686</v>
      </c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1105</v>
      </c>
      <c r="AA21" s="35">
        <v>26</v>
      </c>
      <c r="AB21" s="42">
        <f t="shared" si="1"/>
        <v>28730</v>
      </c>
      <c r="AC21" s="43">
        <v>3629</v>
      </c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  <c r="AW21" s="5"/>
      <c r="AX21" s="5"/>
      <c r="AY21" s="5"/>
      <c r="AZ21" s="5"/>
      <c r="BA21" s="5"/>
      <c r="BB21" s="5"/>
    </row>
    <row r="22" spans="1:54">
      <c r="A22" s="44">
        <v>46132</v>
      </c>
      <c r="B22" s="41">
        <v>40620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>
        <v>1125</v>
      </c>
      <c r="AA22" s="35">
        <v>26</v>
      </c>
      <c r="AB22" s="42">
        <f t="shared" si="1"/>
        <v>29250</v>
      </c>
      <c r="AC22" s="43">
        <v>4620</v>
      </c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  <c r="AW22" s="5"/>
      <c r="AX22" s="5"/>
      <c r="AY22" s="5"/>
      <c r="AZ22" s="5"/>
      <c r="BA22" s="5"/>
      <c r="BB22" s="5"/>
    </row>
    <row r="23" spans="1:54">
      <c r="A23" s="44">
        <v>46133</v>
      </c>
      <c r="B23" s="41">
        <v>29475</v>
      </c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>
        <v>1110</v>
      </c>
      <c r="AA23" s="35">
        <v>26</v>
      </c>
      <c r="AB23" s="42">
        <f t="shared" si="1"/>
        <v>28860</v>
      </c>
      <c r="AC23" s="43">
        <v>3674</v>
      </c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  <c r="AW23" s="5"/>
      <c r="AX23" s="5"/>
      <c r="AY23" s="5"/>
      <c r="AZ23" s="5"/>
      <c r="BA23" s="5"/>
      <c r="BB23" s="5"/>
    </row>
    <row r="24" spans="1:54">
      <c r="A24" s="44">
        <v>46134</v>
      </c>
      <c r="B24" s="41">
        <v>41639</v>
      </c>
      <c r="C24" s="34"/>
      <c r="D24" s="34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>
        <v>1124</v>
      </c>
      <c r="AA24" s="35">
        <v>26</v>
      </c>
      <c r="AB24" s="42">
        <f t="shared" si="1"/>
        <v>29224</v>
      </c>
      <c r="AC24" s="43">
        <v>3730</v>
      </c>
      <c r="AD24" s="36"/>
      <c r="AE24" s="37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  <c r="AW24" s="5"/>
      <c r="AX24" s="5"/>
      <c r="AY24" s="5"/>
      <c r="AZ24" s="5"/>
      <c r="BA24" s="5"/>
      <c r="BB24" s="5"/>
    </row>
    <row r="25" spans="1:54">
      <c r="A25" s="44">
        <v>46135</v>
      </c>
      <c r="B25" s="41">
        <v>38896</v>
      </c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1165</v>
      </c>
      <c r="AA25" s="35">
        <v>26</v>
      </c>
      <c r="AB25" s="42">
        <f t="shared" si="1"/>
        <v>30290</v>
      </c>
      <c r="AC25" s="43">
        <v>4230</v>
      </c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  <c r="AW25" s="5"/>
      <c r="AX25" s="5"/>
      <c r="AY25" s="5"/>
      <c r="AZ25" s="5"/>
      <c r="BA25" s="5"/>
      <c r="BB25" s="5"/>
    </row>
    <row r="26" spans="1:54">
      <c r="A26" s="44">
        <v>46136</v>
      </c>
      <c r="B26" s="41">
        <v>44456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>
        <v>1156</v>
      </c>
      <c r="AA26" s="35">
        <v>26</v>
      </c>
      <c r="AB26" s="42">
        <f t="shared" si="1"/>
        <v>30056</v>
      </c>
      <c r="AC26" s="43">
        <v>4074</v>
      </c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  <c r="AW26" s="5"/>
      <c r="AX26" s="5"/>
      <c r="AY26" s="5"/>
      <c r="AZ26" s="5"/>
      <c r="BA26" s="5"/>
      <c r="BB26" s="5"/>
    </row>
    <row r="27" spans="1:54">
      <c r="A27" s="44">
        <v>46137</v>
      </c>
      <c r="B27" s="41">
        <v>33266</v>
      </c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>
        <v>990</v>
      </c>
      <c r="AA27" s="35">
        <v>26</v>
      </c>
      <c r="AB27" s="42">
        <f t="shared" si="1"/>
        <v>25740</v>
      </c>
      <c r="AC27" s="43">
        <v>3785</v>
      </c>
      <c r="AD27" s="36"/>
      <c r="AE27" s="37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  <c r="AW27" s="5"/>
      <c r="AX27" s="5"/>
      <c r="AY27" s="5"/>
      <c r="AZ27" s="5"/>
      <c r="BA27" s="5"/>
      <c r="BB27" s="5"/>
    </row>
    <row r="28" spans="1:54">
      <c r="A28" s="44">
        <v>46139</v>
      </c>
      <c r="B28" s="41">
        <v>43129</v>
      </c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>
        <v>1004</v>
      </c>
      <c r="AA28" s="35">
        <v>26</v>
      </c>
      <c r="AB28" s="42">
        <f t="shared" si="1"/>
        <v>26104</v>
      </c>
      <c r="AC28" s="43">
        <v>3492</v>
      </c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  <c r="AW28" s="5"/>
      <c r="AX28" s="5"/>
      <c r="AY28" s="5"/>
      <c r="AZ28" s="5"/>
      <c r="BA28" s="5"/>
      <c r="BB28" s="5"/>
    </row>
    <row r="29" spans="1:54">
      <c r="A29" s="44">
        <v>46140</v>
      </c>
      <c r="B29" s="41">
        <v>20465</v>
      </c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>
        <v>990</v>
      </c>
      <c r="AA29" s="35">
        <v>26</v>
      </c>
      <c r="AB29" s="42">
        <f t="shared" si="1"/>
        <v>25740</v>
      </c>
      <c r="AC29" s="43">
        <v>4092</v>
      </c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  <c r="AW29" s="5"/>
      <c r="AX29" s="5"/>
      <c r="AY29" s="5"/>
      <c r="AZ29" s="5"/>
      <c r="BA29" s="5"/>
      <c r="BB29" s="5"/>
    </row>
    <row r="30" spans="1:54">
      <c r="A30" s="44">
        <v>46141</v>
      </c>
      <c r="B30" s="41">
        <v>22253</v>
      </c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>
        <v>975</v>
      </c>
      <c r="AA30" s="35">
        <v>26</v>
      </c>
      <c r="AB30" s="42">
        <f t="shared" si="1"/>
        <v>25350</v>
      </c>
      <c r="AC30" s="43">
        <v>3609</v>
      </c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  <c r="AW30" s="5"/>
      <c r="AX30" s="5"/>
      <c r="AY30" s="5"/>
      <c r="AZ30" s="5"/>
      <c r="BA30" s="5"/>
      <c r="BB30" s="5"/>
    </row>
    <row r="31" spans="1:54">
      <c r="A31" s="44">
        <v>46142</v>
      </c>
      <c r="B31" s="41">
        <v>0</v>
      </c>
      <c r="C31" s="34"/>
      <c r="D31" s="34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>
        <v>246</v>
      </c>
      <c r="AA31" s="35">
        <v>26</v>
      </c>
      <c r="AB31" s="42">
        <f t="shared" si="1"/>
        <v>6396</v>
      </c>
      <c r="AC31" s="43">
        <v>1409</v>
      </c>
      <c r="AD31" s="36"/>
      <c r="AE31" s="37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  <c r="AW31" s="5"/>
      <c r="AX31" s="5"/>
      <c r="AY31" s="5"/>
      <c r="AZ31" s="5"/>
      <c r="BA31" s="5"/>
      <c r="BB31" s="5"/>
    </row>
    <row r="32" spans="1:54">
      <c r="A32" s="44"/>
      <c r="B32" s="41"/>
      <c r="C32" s="34"/>
      <c r="D32" s="34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  <c r="AB32" s="33"/>
      <c r="AC32" s="43"/>
      <c r="AD32" s="36"/>
      <c r="AE32" s="37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  <c r="AW32" s="5"/>
      <c r="AX32" s="5"/>
      <c r="AY32" s="5"/>
      <c r="AZ32" s="5"/>
      <c r="BA32" s="5"/>
      <c r="BB32" s="5"/>
    </row>
    <row r="33" ht="15.75" spans="1:54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39"/>
      <c r="AE33" s="47"/>
      <c r="AF33" s="4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49"/>
      <c r="AW33" s="50"/>
      <c r="AX33" s="50"/>
      <c r="AY33" s="50"/>
      <c r="AZ33" s="50"/>
      <c r="BA33" s="50"/>
      <c r="BB33" s="50"/>
    </row>
    <row r="34" ht="15.75" spans="1:54">
      <c r="A34" s="51" t="s">
        <v>55</v>
      </c>
      <c r="B34" s="52">
        <f t="shared" ref="B34:N34" si="2">SUM(B6:B32)</f>
        <v>711664</v>
      </c>
      <c r="C34" s="52">
        <f t="shared" si="2"/>
        <v>0</v>
      </c>
      <c r="D34" s="52">
        <f>SUM(D6:D33)</f>
        <v>0</v>
      </c>
      <c r="E34" s="52">
        <f t="shared" si="2"/>
        <v>0</v>
      </c>
      <c r="F34" s="52">
        <f t="shared" si="2"/>
        <v>0</v>
      </c>
      <c r="G34" s="52">
        <f t="shared" si="2"/>
        <v>0</v>
      </c>
      <c r="H34" s="52">
        <f t="shared" si="2"/>
        <v>0</v>
      </c>
      <c r="I34" s="52">
        <f t="shared" si="2"/>
        <v>0</v>
      </c>
      <c r="J34" s="52">
        <f t="shared" si="2"/>
        <v>0</v>
      </c>
      <c r="K34" s="52">
        <f t="shared" si="2"/>
        <v>0</v>
      </c>
      <c r="L34" s="52">
        <f t="shared" si="2"/>
        <v>0</v>
      </c>
      <c r="M34" s="52">
        <f t="shared" si="2"/>
        <v>0</v>
      </c>
      <c r="N34" s="52">
        <f t="shared" si="2"/>
        <v>0</v>
      </c>
      <c r="O34" s="52">
        <f>SUM(O6:O33)</f>
        <v>0</v>
      </c>
      <c r="P34" s="52">
        <f>SUM(P6:P32)</f>
        <v>0</v>
      </c>
      <c r="Q34" s="52">
        <f>SUM(Q6:Q33)</f>
        <v>0</v>
      </c>
      <c r="R34" s="52">
        <f>SUM(R6:R33)</f>
        <v>0</v>
      </c>
      <c r="S34" s="52">
        <f>SUM(S6:S33)</f>
        <v>0</v>
      </c>
      <c r="T34" s="52">
        <f>SUM(T6:T32)</f>
        <v>0</v>
      </c>
      <c r="U34" s="52">
        <f>SUM(U6:U32)</f>
        <v>483</v>
      </c>
      <c r="V34" s="52">
        <f>SUM(V6:V32)</f>
        <v>0</v>
      </c>
      <c r="W34" s="52">
        <f>SUM(W6:W32)</f>
        <v>0</v>
      </c>
      <c r="X34" s="52">
        <f>SUM(X7:X32)</f>
        <v>0</v>
      </c>
      <c r="Y34" s="52">
        <f>SUM(Y6:Y32)</f>
        <v>0</v>
      </c>
      <c r="Z34" s="52">
        <f>SUM(Z6:Z33)</f>
        <v>12125</v>
      </c>
      <c r="AA34" s="52">
        <f>SUM(AA6:AA33)</f>
        <v>7418</v>
      </c>
      <c r="AB34" s="53">
        <f>SUM(AB6:AB33)</f>
        <v>600220</v>
      </c>
      <c r="AC34" s="53">
        <f>SUM(AC6:AC33)</f>
        <v>90284</v>
      </c>
      <c r="AD34" s="54">
        <v>84.34</v>
      </c>
      <c r="AE34" s="54">
        <f>100-AD34</f>
        <v>15.66</v>
      </c>
      <c r="AF34" s="54">
        <v>12.69</v>
      </c>
      <c r="AG34" s="55">
        <v>9.66</v>
      </c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7"/>
      <c r="AU34" s="57"/>
      <c r="AV34" s="58">
        <f>SUM(B34:E34)</f>
        <v>711664</v>
      </c>
      <c r="AW34" s="59">
        <f>AB34/AV34*100</f>
        <v>84.3403628678702</v>
      </c>
      <c r="AX34" s="59">
        <f>AC34/AV34*100</f>
        <v>12.6863238831808</v>
      </c>
      <c r="AY34" s="5"/>
      <c r="AZ34" s="5"/>
      <c r="BA34" s="5"/>
      <c r="BB34" s="5"/>
    </row>
    <row r="35" spans="1:5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5"/>
      <c r="AV35" s="5"/>
      <c r="AW35" s="5"/>
      <c r="AX35" s="5"/>
      <c r="AY35" s="5"/>
      <c r="AZ35" s="5"/>
      <c r="BA35" s="5"/>
      <c r="BB35" s="5"/>
    </row>
    <row r="36" spans="1:54">
      <c r="A36" s="4"/>
      <c r="B36" s="58"/>
      <c r="C36" s="58"/>
      <c r="D36" s="5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58"/>
      <c r="S36" s="4"/>
      <c r="T36" s="4"/>
      <c r="U36" s="4"/>
      <c r="V36" s="4"/>
      <c r="W36" s="4"/>
      <c r="X36" s="58"/>
      <c r="Y36" s="60"/>
      <c r="Z36" s="61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5"/>
      <c r="AV36" s="5"/>
      <c r="AW36" s="5"/>
      <c r="AX36" s="5"/>
      <c r="AY36" s="5"/>
      <c r="AZ36" s="5"/>
      <c r="BA36" s="5"/>
      <c r="BB36" s="5"/>
    </row>
    <row r="37" spans="1:54">
      <c r="A37" s="62" t="s">
        <v>56</v>
      </c>
      <c r="B37" s="3"/>
      <c r="C37" s="3"/>
      <c r="D37" s="6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58"/>
      <c r="S37" s="4"/>
      <c r="T37" s="4"/>
      <c r="U37" s="4"/>
      <c r="V37" s="4"/>
      <c r="W37" s="4"/>
      <c r="X37" s="58"/>
      <c r="Y37" s="4"/>
      <c r="Z37" s="58"/>
      <c r="AA37" s="5"/>
      <c r="AB37" s="4"/>
      <c r="AC37" s="64"/>
      <c r="AD37" s="64"/>
      <c r="AE37" s="64"/>
      <c r="AF37" s="6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5"/>
      <c r="AV37" s="5"/>
      <c r="AW37" s="5"/>
      <c r="AX37" s="5"/>
      <c r="AY37" s="5"/>
      <c r="AZ37" s="5"/>
      <c r="BA37" s="5"/>
      <c r="BB37" s="5"/>
    </row>
    <row r="38" spans="1:54">
      <c r="A38" s="62" t="s">
        <v>57</v>
      </c>
      <c r="B38" s="3"/>
      <c r="C38" s="3"/>
      <c r="D38" s="3"/>
      <c r="E38" s="65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58</v>
      </c>
      <c r="W38" s="4"/>
      <c r="X38" s="58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5"/>
      <c r="AV38" s="5"/>
      <c r="AW38" s="5"/>
      <c r="AX38" s="5"/>
      <c r="AY38" s="5"/>
      <c r="AZ38" s="5"/>
      <c r="BA38" s="5"/>
      <c r="BB38" s="5"/>
    </row>
    <row r="39" spans="1:54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58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5"/>
      <c r="AV39" s="5"/>
      <c r="AW39" s="5"/>
      <c r="AX39" s="5"/>
      <c r="AY39" s="5"/>
      <c r="AZ39" s="5"/>
      <c r="BA39" s="5"/>
      <c r="BB39" s="5"/>
    </row>
    <row r="40" spans="1:54">
      <c r="A40" s="62" t="s">
        <v>59</v>
      </c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5"/>
      <c r="AV40" s="5"/>
      <c r="AW40" s="5"/>
      <c r="AX40" s="5"/>
      <c r="AY40" s="5"/>
      <c r="AZ40" s="5"/>
      <c r="BA40" s="5"/>
      <c r="BB40" s="5"/>
    </row>
    <row r="41" spans="1:54">
      <c r="A41" s="3"/>
      <c r="B41" s="4" t="s">
        <v>60</v>
      </c>
      <c r="C41" s="4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5"/>
      <c r="AV41" s="5"/>
      <c r="AW41" s="5"/>
      <c r="AX41" s="5"/>
      <c r="AY41" s="5"/>
      <c r="AZ41" s="5"/>
      <c r="BA41" s="5"/>
      <c r="BB41" s="5"/>
    </row>
    <row r="42" spans="1:54">
      <c r="A42" s="3"/>
      <c r="B42" s="66"/>
      <c r="C42" s="66"/>
      <c r="D42" s="3"/>
      <c r="E42" s="3"/>
      <c r="F42" s="3"/>
      <c r="G42" s="3"/>
      <c r="H42" s="4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5"/>
      <c r="AV42" s="5"/>
      <c r="AW42" s="5"/>
      <c r="AX42" s="5"/>
      <c r="AY42" s="5"/>
      <c r="AZ42" s="5"/>
      <c r="BA42" s="5"/>
      <c r="BB42" s="5"/>
    </row>
    <row r="43" spans="1:54">
      <c r="A43" s="3"/>
      <c r="B43" s="67"/>
      <c r="C43" s="67" t="s">
        <v>61</v>
      </c>
      <c r="D43" s="68"/>
      <c r="E43" s="68"/>
      <c r="F43" s="68"/>
      <c r="G43" s="68"/>
      <c r="H43" s="69"/>
      <c r="I43" s="70" t="s">
        <v>62</v>
      </c>
      <c r="J43" s="70" t="s">
        <v>63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5"/>
      <c r="AV43" s="5"/>
      <c r="AW43" s="5"/>
      <c r="AX43" s="5"/>
      <c r="AY43" s="5"/>
      <c r="AZ43" s="5"/>
      <c r="BA43" s="5"/>
      <c r="BB43" s="5"/>
    </row>
    <row r="44" spans="1:54">
      <c r="A44" s="3"/>
      <c r="B44" s="71"/>
      <c r="C44" s="71" t="s">
        <v>64</v>
      </c>
      <c r="D44" s="71" t="s">
        <v>65</v>
      </c>
      <c r="E44" s="72" t="s">
        <v>66</v>
      </c>
      <c r="F44" s="73" t="s">
        <v>67</v>
      </c>
      <c r="G44" s="74" t="s">
        <v>68</v>
      </c>
      <c r="H44" s="71" t="s">
        <v>69</v>
      </c>
      <c r="I44" s="74" t="s">
        <v>70</v>
      </c>
      <c r="J44" s="75" t="s">
        <v>71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5"/>
      <c r="AV44" s="5"/>
      <c r="AW44" s="5"/>
      <c r="AX44" s="5"/>
      <c r="AY44" s="5"/>
      <c r="AZ44" s="5"/>
      <c r="BA44" s="5"/>
      <c r="BB44" s="5"/>
    </row>
    <row r="45" spans="1:54">
      <c r="A45" s="76">
        <v>47.52</v>
      </c>
      <c r="B45" s="77" t="s">
        <v>357</v>
      </c>
      <c r="C45" s="79">
        <v>31853</v>
      </c>
      <c r="D45" s="79">
        <v>31853</v>
      </c>
      <c r="E45" s="79">
        <v>31853</v>
      </c>
      <c r="F45" s="80"/>
      <c r="G45" s="81" t="s">
        <v>73</v>
      </c>
      <c r="H45" s="79">
        <f>B122</f>
        <v>27622</v>
      </c>
      <c r="I45" s="82" t="s">
        <v>73</v>
      </c>
      <c r="J45" s="83" t="s">
        <v>359</v>
      </c>
      <c r="K45" s="84"/>
      <c r="L45" s="84"/>
      <c r="M45" s="85">
        <f>+C45*A45</f>
        <v>1513654.56</v>
      </c>
      <c r="N45" s="85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5"/>
      <c r="AV45" s="5"/>
      <c r="AW45" s="5"/>
      <c r="AX45" s="5"/>
      <c r="AY45" s="5"/>
      <c r="AZ45" s="5"/>
      <c r="BA45" s="5"/>
      <c r="BB45" s="5"/>
    </row>
    <row r="46" spans="1:54">
      <c r="A46" s="76">
        <v>47.52</v>
      </c>
      <c r="B46" s="77" t="s">
        <v>360</v>
      </c>
      <c r="C46" s="79">
        <v>46904</v>
      </c>
      <c r="D46" s="79">
        <v>46904</v>
      </c>
      <c r="E46" s="79">
        <v>46904</v>
      </c>
      <c r="F46" s="80"/>
      <c r="G46" s="81" t="s">
        <v>73</v>
      </c>
      <c r="H46" s="79">
        <f>C122</f>
        <v>42744</v>
      </c>
      <c r="I46" s="82" t="s">
        <v>73</v>
      </c>
      <c r="J46" s="83" t="s">
        <v>74</v>
      </c>
      <c r="K46" s="84"/>
      <c r="L46" s="84"/>
      <c r="M46" s="85">
        <f t="shared" ref="M46:M53" si="3">+C46*A46</f>
        <v>2228878.08</v>
      </c>
      <c r="N46" s="85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5"/>
      <c r="AV46" s="5"/>
      <c r="AW46" s="5"/>
      <c r="AX46" s="5"/>
      <c r="AY46" s="5"/>
      <c r="AZ46" s="5"/>
      <c r="BA46" s="5"/>
      <c r="BB46" s="5"/>
    </row>
    <row r="47" spans="1:54">
      <c r="A47" s="76">
        <v>44.84</v>
      </c>
      <c r="B47" s="77" t="s">
        <v>459</v>
      </c>
      <c r="C47" s="79">
        <v>65700</v>
      </c>
      <c r="D47" s="79">
        <v>65700</v>
      </c>
      <c r="E47" s="79">
        <v>65700</v>
      </c>
      <c r="F47" s="79"/>
      <c r="G47" s="81" t="s">
        <v>73</v>
      </c>
      <c r="H47" s="79">
        <f>D122</f>
        <v>61822</v>
      </c>
      <c r="I47" s="82" t="s">
        <v>73</v>
      </c>
      <c r="J47" s="83" t="s">
        <v>460</v>
      </c>
      <c r="K47" s="84"/>
      <c r="L47" s="84"/>
      <c r="M47" s="85">
        <f t="shared" si="3"/>
        <v>2945988</v>
      </c>
      <c r="N47" s="85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5"/>
      <c r="AV47" s="5"/>
      <c r="AW47" s="5"/>
      <c r="AX47" s="5"/>
      <c r="AY47" s="5"/>
      <c r="AZ47" s="5"/>
      <c r="BA47" s="5"/>
      <c r="BB47" s="5"/>
    </row>
    <row r="48" spans="1:54">
      <c r="A48" s="76">
        <v>48.28</v>
      </c>
      <c r="B48" s="77" t="s">
        <v>461</v>
      </c>
      <c r="C48" s="79">
        <v>13580</v>
      </c>
      <c r="D48" s="79">
        <v>13580</v>
      </c>
      <c r="E48" s="79">
        <v>13580</v>
      </c>
      <c r="F48" s="80">
        <v>11601</v>
      </c>
      <c r="G48" s="81" t="s">
        <v>73</v>
      </c>
      <c r="H48" s="79">
        <f>E122</f>
        <v>11304</v>
      </c>
      <c r="I48" s="82" t="s">
        <v>73</v>
      </c>
      <c r="J48" s="181" t="s">
        <v>462</v>
      </c>
      <c r="K48" s="84"/>
      <c r="L48" s="84"/>
      <c r="M48" s="85">
        <f t="shared" si="3"/>
        <v>655642.4</v>
      </c>
      <c r="N48" s="85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5"/>
      <c r="AV48" s="5"/>
      <c r="AW48" s="5"/>
      <c r="AX48" s="5"/>
      <c r="AY48" s="5"/>
      <c r="AZ48" s="5"/>
      <c r="BA48" s="5"/>
      <c r="BB48" s="5"/>
    </row>
    <row r="49" spans="1:54">
      <c r="A49" s="76">
        <v>48.28</v>
      </c>
      <c r="B49" s="77" t="s">
        <v>463</v>
      </c>
      <c r="C49" s="79">
        <v>28678</v>
      </c>
      <c r="D49" s="79">
        <v>28678</v>
      </c>
      <c r="E49" s="79">
        <v>28678</v>
      </c>
      <c r="F49" s="80">
        <v>24102</v>
      </c>
      <c r="G49" s="81" t="s">
        <v>73</v>
      </c>
      <c r="H49" s="79">
        <f>F122</f>
        <v>23952</v>
      </c>
      <c r="I49" s="82" t="s">
        <v>73</v>
      </c>
      <c r="J49" s="181" t="s">
        <v>464</v>
      </c>
      <c r="K49" s="84"/>
      <c r="L49" s="84"/>
      <c r="M49" s="85">
        <f t="shared" si="3"/>
        <v>1384573.84</v>
      </c>
      <c r="N49" s="85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5"/>
      <c r="AV49" s="5"/>
      <c r="AW49" s="5"/>
      <c r="AX49" s="5"/>
      <c r="AY49" s="5"/>
      <c r="AZ49" s="5"/>
      <c r="BA49" s="5"/>
      <c r="BB49" s="5"/>
    </row>
    <row r="50" spans="1:54">
      <c r="A50" s="76">
        <v>48.28</v>
      </c>
      <c r="B50" s="77" t="s">
        <v>465</v>
      </c>
      <c r="C50" s="79">
        <v>14961</v>
      </c>
      <c r="D50" s="79">
        <v>14961</v>
      </c>
      <c r="E50" s="79">
        <v>14961</v>
      </c>
      <c r="F50" s="80">
        <v>12453</v>
      </c>
      <c r="G50" s="81" t="s">
        <v>73</v>
      </c>
      <c r="H50" s="79">
        <f>G122</f>
        <v>12307</v>
      </c>
      <c r="I50" s="82" t="s">
        <v>73</v>
      </c>
      <c r="J50" s="181" t="s">
        <v>466</v>
      </c>
      <c r="K50" s="84"/>
      <c r="L50" s="84"/>
      <c r="M50" s="85">
        <f t="shared" si="3"/>
        <v>722317.08</v>
      </c>
      <c r="N50" s="85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5"/>
      <c r="AV50" s="5"/>
      <c r="AW50" s="5"/>
      <c r="AX50" s="5"/>
      <c r="AY50" s="5"/>
      <c r="AZ50" s="5"/>
      <c r="BA50" s="5"/>
      <c r="BB50" s="5"/>
    </row>
    <row r="51" spans="1:54">
      <c r="A51" s="76">
        <v>44.84</v>
      </c>
      <c r="B51" s="77" t="s">
        <v>467</v>
      </c>
      <c r="C51" s="79">
        <v>79281</v>
      </c>
      <c r="D51" s="79">
        <v>79281</v>
      </c>
      <c r="E51" s="79">
        <v>79281</v>
      </c>
      <c r="F51" s="80"/>
      <c r="G51" s="81" t="s">
        <v>73</v>
      </c>
      <c r="H51" s="79">
        <f>H122</f>
        <v>74417</v>
      </c>
      <c r="I51" s="82" t="s">
        <v>73</v>
      </c>
      <c r="J51" s="83" t="s">
        <v>468</v>
      </c>
      <c r="K51" s="84"/>
      <c r="L51" s="84"/>
      <c r="M51" s="85">
        <f t="shared" si="3"/>
        <v>3554960.04</v>
      </c>
      <c r="N51" s="85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5"/>
      <c r="AV51" s="5"/>
      <c r="AW51" s="5"/>
      <c r="AX51" s="5"/>
      <c r="AY51" s="5"/>
      <c r="AZ51" s="5"/>
      <c r="BA51" s="5"/>
      <c r="BB51" s="5"/>
    </row>
    <row r="52" spans="1:54">
      <c r="A52" s="76">
        <v>47.52</v>
      </c>
      <c r="B52" s="77" t="s">
        <v>469</v>
      </c>
      <c r="C52" s="79">
        <v>11144</v>
      </c>
      <c r="D52" s="79">
        <v>11144</v>
      </c>
      <c r="E52" s="79">
        <v>11144</v>
      </c>
      <c r="F52" s="80">
        <v>8989</v>
      </c>
      <c r="G52" s="81" t="s">
        <v>73</v>
      </c>
      <c r="H52" s="79">
        <f>I122</f>
        <v>7792</v>
      </c>
      <c r="I52" s="82" t="s">
        <v>73</v>
      </c>
      <c r="J52" s="181" t="s">
        <v>470</v>
      </c>
      <c r="K52" s="84"/>
      <c r="L52" s="84"/>
      <c r="M52" s="85">
        <f t="shared" si="3"/>
        <v>529562.88</v>
      </c>
      <c r="N52" s="85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5"/>
      <c r="AV52" s="5"/>
      <c r="AW52" s="5"/>
      <c r="AX52" s="5"/>
      <c r="AY52" s="5"/>
      <c r="AZ52" s="5"/>
      <c r="BA52" s="5"/>
      <c r="BB52" s="5"/>
    </row>
    <row r="53" spans="1:54">
      <c r="A53" s="76"/>
      <c r="B53" s="77" t="s">
        <v>471</v>
      </c>
      <c r="C53" s="79">
        <v>17765</v>
      </c>
      <c r="D53" s="79">
        <v>17765</v>
      </c>
      <c r="E53" s="79">
        <v>17765</v>
      </c>
      <c r="F53" s="80"/>
      <c r="G53" s="81" t="s">
        <v>73</v>
      </c>
      <c r="H53" s="79">
        <f>J122</f>
        <v>17765</v>
      </c>
      <c r="I53" s="82" t="s">
        <v>73</v>
      </c>
      <c r="J53" s="181" t="s">
        <v>91</v>
      </c>
      <c r="K53" s="84"/>
      <c r="L53" s="84"/>
      <c r="M53" s="85">
        <f t="shared" si="3"/>
        <v>0</v>
      </c>
      <c r="N53" s="85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5"/>
      <c r="AV53" s="5"/>
      <c r="AW53" s="5"/>
      <c r="AX53" s="5"/>
      <c r="AY53" s="5"/>
      <c r="AZ53" s="5"/>
      <c r="BA53" s="5"/>
      <c r="BB53" s="5"/>
    </row>
    <row r="54" spans="1:54">
      <c r="A54" s="76">
        <v>47.52</v>
      </c>
      <c r="B54" s="77" t="s">
        <v>472</v>
      </c>
      <c r="C54" s="79">
        <v>23575</v>
      </c>
      <c r="D54" s="79">
        <v>23575</v>
      </c>
      <c r="E54" s="79">
        <v>23575</v>
      </c>
      <c r="F54" s="80">
        <v>19585</v>
      </c>
      <c r="G54" s="81" t="s">
        <v>73</v>
      </c>
      <c r="H54" s="79">
        <f>K122</f>
        <v>18362</v>
      </c>
      <c r="I54" s="82" t="s">
        <v>73</v>
      </c>
      <c r="J54" s="181" t="s">
        <v>473</v>
      </c>
      <c r="K54" s="84"/>
      <c r="L54" s="84"/>
      <c r="M54" s="85">
        <f t="shared" ref="M54:M57" si="4">+C54*A54</f>
        <v>1120284</v>
      </c>
      <c r="N54" s="85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5"/>
      <c r="AV54" s="5"/>
      <c r="AW54" s="5"/>
      <c r="AX54" s="5"/>
      <c r="AY54" s="5"/>
      <c r="AZ54" s="5"/>
      <c r="BA54" s="5"/>
      <c r="BB54" s="5"/>
    </row>
    <row r="55" spans="1:54">
      <c r="A55" s="76">
        <v>47.52</v>
      </c>
      <c r="B55" s="77" t="s">
        <v>474</v>
      </c>
      <c r="C55" s="79">
        <v>12664</v>
      </c>
      <c r="D55" s="79">
        <v>12664</v>
      </c>
      <c r="E55" s="79">
        <v>12664</v>
      </c>
      <c r="F55" s="80">
        <v>10635</v>
      </c>
      <c r="G55" s="81" t="s">
        <v>73</v>
      </c>
      <c r="H55" s="79">
        <f>L122</f>
        <v>9909</v>
      </c>
      <c r="I55" s="82" t="s">
        <v>73</v>
      </c>
      <c r="J55" s="83" t="s">
        <v>475</v>
      </c>
      <c r="K55" s="84"/>
      <c r="L55" s="84"/>
      <c r="M55" s="85">
        <f t="shared" si="4"/>
        <v>601793.28</v>
      </c>
      <c r="N55" s="85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5"/>
      <c r="AV55" s="5"/>
      <c r="AW55" s="5"/>
      <c r="AX55" s="5"/>
      <c r="AY55" s="5"/>
      <c r="AZ55" s="5"/>
      <c r="BA55" s="5"/>
      <c r="BB55" s="5"/>
    </row>
    <row r="56" spans="1:54">
      <c r="A56" s="76">
        <v>47.52</v>
      </c>
      <c r="B56" s="77" t="s">
        <v>476</v>
      </c>
      <c r="C56" s="79">
        <v>68145</v>
      </c>
      <c r="D56" s="79">
        <v>68145</v>
      </c>
      <c r="E56" s="79">
        <v>68145</v>
      </c>
      <c r="F56" s="80"/>
      <c r="G56" s="81" t="s">
        <v>73</v>
      </c>
      <c r="H56" s="79">
        <f>M122</f>
        <v>62321</v>
      </c>
      <c r="I56" s="82" t="s">
        <v>73</v>
      </c>
      <c r="J56" s="83" t="s">
        <v>477</v>
      </c>
      <c r="K56" s="84"/>
      <c r="L56" s="84"/>
      <c r="M56" s="85">
        <f t="shared" si="4"/>
        <v>3238250.4</v>
      </c>
      <c r="N56" s="85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5"/>
      <c r="AV56" s="5"/>
      <c r="AW56" s="5"/>
      <c r="AX56" s="5"/>
      <c r="AY56" s="5"/>
      <c r="AZ56" s="5"/>
      <c r="BA56" s="5"/>
      <c r="BB56" s="5"/>
    </row>
    <row r="57" spans="1:54">
      <c r="A57" s="76">
        <v>48.28</v>
      </c>
      <c r="B57" s="77" t="s">
        <v>478</v>
      </c>
      <c r="C57" s="79">
        <v>17828</v>
      </c>
      <c r="D57" s="79">
        <v>17828</v>
      </c>
      <c r="E57" s="79">
        <v>11570</v>
      </c>
      <c r="F57" s="80">
        <v>14668</v>
      </c>
      <c r="G57" s="81" t="s">
        <v>80</v>
      </c>
      <c r="H57" s="79">
        <v>11570</v>
      </c>
      <c r="I57" s="82">
        <f>N123</f>
        <v>6258</v>
      </c>
      <c r="J57" s="83" t="s">
        <v>479</v>
      </c>
      <c r="K57" s="84"/>
      <c r="L57" s="84"/>
      <c r="M57" s="85">
        <f t="shared" si="4"/>
        <v>860735.84</v>
      </c>
      <c r="N57" s="85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5"/>
      <c r="AV57" s="5"/>
      <c r="AW57" s="5"/>
      <c r="AX57" s="5"/>
      <c r="AY57" s="5"/>
      <c r="AZ57" s="5"/>
      <c r="BA57" s="5"/>
      <c r="BB57" s="5"/>
    </row>
    <row r="58" spans="1:54">
      <c r="A58" s="76"/>
      <c r="B58" s="77" t="s">
        <v>480</v>
      </c>
      <c r="C58" s="79">
        <v>19220</v>
      </c>
      <c r="D58" s="79">
        <v>19220</v>
      </c>
      <c r="E58" s="79">
        <v>19220</v>
      </c>
      <c r="F58" s="80"/>
      <c r="G58" s="81" t="s">
        <v>73</v>
      </c>
      <c r="H58" s="79">
        <f>O122</f>
        <v>19220</v>
      </c>
      <c r="I58" s="82" t="s">
        <v>73</v>
      </c>
      <c r="J58" s="83" t="s">
        <v>91</v>
      </c>
      <c r="K58" s="84"/>
      <c r="L58" s="84"/>
      <c r="M58" s="85">
        <f t="shared" ref="M58:M61" si="5">+C58*A58</f>
        <v>0</v>
      </c>
      <c r="N58" s="85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5"/>
      <c r="AV58" s="5"/>
      <c r="AW58" s="5"/>
      <c r="AX58" s="5"/>
      <c r="AY58" s="5"/>
      <c r="AZ58" s="5"/>
      <c r="BA58" s="5"/>
      <c r="BB58" s="5"/>
    </row>
    <row r="59" spans="1:54">
      <c r="A59" s="76">
        <v>44.84</v>
      </c>
      <c r="B59" s="77" t="s">
        <v>481</v>
      </c>
      <c r="C59" s="79">
        <v>71900</v>
      </c>
      <c r="D59" s="79">
        <v>71900</v>
      </c>
      <c r="E59" s="79">
        <f>P122</f>
        <v>52665</v>
      </c>
      <c r="F59" s="80"/>
      <c r="G59" s="81" t="s">
        <v>80</v>
      </c>
      <c r="H59" s="79">
        <f>E59</f>
        <v>52665</v>
      </c>
      <c r="I59" s="82">
        <f>P123</f>
        <v>19235</v>
      </c>
      <c r="J59" s="83" t="s">
        <v>482</v>
      </c>
      <c r="K59" s="84"/>
      <c r="L59" s="84"/>
      <c r="M59" s="85">
        <f t="shared" si="5"/>
        <v>3223996</v>
      </c>
      <c r="N59" s="85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5"/>
      <c r="AV59" s="5"/>
      <c r="AW59" s="5"/>
      <c r="AX59" s="5"/>
      <c r="AY59" s="5"/>
      <c r="AZ59" s="5"/>
      <c r="BA59" s="5"/>
      <c r="BB59" s="5"/>
    </row>
    <row r="60" spans="1:54">
      <c r="A60" s="76">
        <v>47.52</v>
      </c>
      <c r="B60" s="77" t="s">
        <v>483</v>
      </c>
      <c r="C60" s="79">
        <v>54690</v>
      </c>
      <c r="D60" s="79">
        <v>54690</v>
      </c>
      <c r="E60" s="79">
        <v>54690</v>
      </c>
      <c r="F60" s="80"/>
      <c r="G60" s="81" t="s">
        <v>73</v>
      </c>
      <c r="H60" s="79">
        <f>Q122</f>
        <v>52437</v>
      </c>
      <c r="I60" s="82" t="s">
        <v>73</v>
      </c>
      <c r="J60" s="83" t="s">
        <v>484</v>
      </c>
      <c r="K60" s="84"/>
      <c r="L60" s="84"/>
      <c r="M60" s="85">
        <f t="shared" si="5"/>
        <v>2598868.8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5"/>
      <c r="AV60" s="5"/>
      <c r="AW60" s="5"/>
      <c r="AX60" s="5"/>
      <c r="AY60" s="5"/>
      <c r="AZ60" s="5"/>
      <c r="BA60" s="5"/>
      <c r="BB60" s="5"/>
    </row>
    <row r="61" spans="1:54">
      <c r="A61" s="76"/>
      <c r="B61" s="77" t="s">
        <v>485</v>
      </c>
      <c r="C61" s="79">
        <v>19530</v>
      </c>
      <c r="D61" s="79">
        <v>19530</v>
      </c>
      <c r="E61" s="79">
        <v>19530</v>
      </c>
      <c r="F61" s="80"/>
      <c r="G61" s="81" t="s">
        <v>73</v>
      </c>
      <c r="H61" s="79">
        <f>R122</f>
        <v>19530</v>
      </c>
      <c r="I61" s="82" t="s">
        <v>73</v>
      </c>
      <c r="J61" s="83" t="s">
        <v>91</v>
      </c>
      <c r="K61" s="84"/>
      <c r="L61" s="84"/>
      <c r="M61" s="85">
        <f t="shared" si="5"/>
        <v>0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5"/>
      <c r="AV61" s="5"/>
      <c r="AW61" s="5"/>
      <c r="AX61" s="5"/>
      <c r="AY61" s="5"/>
      <c r="AZ61" s="5"/>
      <c r="BA61" s="5"/>
      <c r="BB61" s="5"/>
    </row>
    <row r="62" spans="1:54">
      <c r="A62" s="76"/>
      <c r="B62" s="77" t="s">
        <v>486</v>
      </c>
      <c r="C62" s="79">
        <v>19120</v>
      </c>
      <c r="D62" s="79">
        <v>19120</v>
      </c>
      <c r="E62" s="79">
        <v>19120</v>
      </c>
      <c r="F62" s="80"/>
      <c r="G62" s="81" t="s">
        <v>73</v>
      </c>
      <c r="H62" s="79">
        <f>S122</f>
        <v>19120</v>
      </c>
      <c r="I62" s="82" t="s">
        <v>73</v>
      </c>
      <c r="J62" s="83" t="s">
        <v>91</v>
      </c>
      <c r="K62" s="84"/>
      <c r="L62" s="84"/>
      <c r="M62" s="85">
        <f t="shared" ref="M62:M75" si="6">+C62*A62</f>
        <v>0</v>
      </c>
      <c r="N62" s="85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5"/>
      <c r="AV62" s="5"/>
      <c r="AW62" s="5"/>
      <c r="AX62" s="5"/>
      <c r="AY62" s="5"/>
      <c r="AZ62" s="5"/>
      <c r="BA62" s="5"/>
      <c r="BB62" s="5"/>
    </row>
    <row r="63" spans="1:54">
      <c r="A63" s="76">
        <v>47.52</v>
      </c>
      <c r="B63" s="77" t="s">
        <v>487</v>
      </c>
      <c r="C63" s="79">
        <v>73780</v>
      </c>
      <c r="D63" s="79">
        <v>73780</v>
      </c>
      <c r="E63" s="79">
        <v>73780</v>
      </c>
      <c r="F63" s="80"/>
      <c r="G63" s="81" t="s">
        <v>73</v>
      </c>
      <c r="H63" s="79">
        <f>T122</f>
        <v>68990</v>
      </c>
      <c r="I63" s="82" t="s">
        <v>73</v>
      </c>
      <c r="J63" s="83" t="s">
        <v>87</v>
      </c>
      <c r="K63" s="84"/>
      <c r="L63" s="84"/>
      <c r="M63" s="85">
        <f t="shared" si="6"/>
        <v>3506025.6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5"/>
      <c r="AV63" s="5"/>
      <c r="AW63" s="5"/>
      <c r="AX63" s="5"/>
      <c r="AY63" s="5"/>
      <c r="AZ63" s="5"/>
      <c r="BA63" s="5"/>
      <c r="BB63" s="5"/>
    </row>
    <row r="64" spans="1:54">
      <c r="A64" s="76"/>
      <c r="B64" s="77" t="s">
        <v>488</v>
      </c>
      <c r="C64" s="79">
        <v>19330</v>
      </c>
      <c r="D64" s="79">
        <v>19330</v>
      </c>
      <c r="E64" s="79">
        <v>19330</v>
      </c>
      <c r="F64" s="80"/>
      <c r="G64" s="81" t="s">
        <v>73</v>
      </c>
      <c r="H64" s="79">
        <f>U122</f>
        <v>19330</v>
      </c>
      <c r="I64" s="82" t="s">
        <v>73</v>
      </c>
      <c r="J64" s="83" t="s">
        <v>91</v>
      </c>
      <c r="K64" s="84"/>
      <c r="L64" s="84"/>
      <c r="M64" s="85">
        <f t="shared" si="6"/>
        <v>0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5"/>
      <c r="AV64" s="5"/>
      <c r="AW64" s="5"/>
      <c r="AX64" s="5"/>
      <c r="AY64" s="5"/>
      <c r="AZ64" s="5"/>
      <c r="BA64" s="5"/>
      <c r="BB64" s="5"/>
    </row>
    <row r="65" spans="1:54">
      <c r="A65" s="76"/>
      <c r="B65" s="77" t="s">
        <v>489</v>
      </c>
      <c r="C65" s="79">
        <v>16270</v>
      </c>
      <c r="D65" s="79">
        <v>16270</v>
      </c>
      <c r="E65" s="79">
        <v>16270</v>
      </c>
      <c r="F65" s="80"/>
      <c r="G65" s="81" t="s">
        <v>73</v>
      </c>
      <c r="H65" s="79">
        <f>V122</f>
        <v>16270</v>
      </c>
      <c r="I65" s="82" t="s">
        <v>73</v>
      </c>
      <c r="J65" s="83" t="s">
        <v>91</v>
      </c>
      <c r="K65" s="84"/>
      <c r="L65" s="84"/>
      <c r="M65" s="85">
        <f t="shared" si="6"/>
        <v>0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5"/>
      <c r="AV65" s="5"/>
      <c r="AW65" s="5"/>
      <c r="AX65" s="5"/>
      <c r="AY65" s="5"/>
      <c r="AZ65" s="5"/>
      <c r="BA65" s="5"/>
      <c r="BB65" s="5"/>
    </row>
    <row r="66" spans="1:54">
      <c r="A66" s="76">
        <v>47.52</v>
      </c>
      <c r="B66" s="77" t="s">
        <v>490</v>
      </c>
      <c r="C66" s="79">
        <v>75425</v>
      </c>
      <c r="D66" s="79">
        <v>75425</v>
      </c>
      <c r="E66" s="79">
        <f>W122</f>
        <v>35225</v>
      </c>
      <c r="F66" s="80"/>
      <c r="G66" s="81" t="s">
        <v>80</v>
      </c>
      <c r="H66" s="79">
        <f>E66</f>
        <v>35225</v>
      </c>
      <c r="I66" s="82">
        <f>W123</f>
        <v>40200</v>
      </c>
      <c r="J66" s="83" t="s">
        <v>95</v>
      </c>
      <c r="K66" s="84"/>
      <c r="L66" s="84"/>
      <c r="M66" s="85">
        <f t="shared" si="6"/>
        <v>3584196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5"/>
      <c r="AV66" s="5"/>
      <c r="AW66" s="5"/>
      <c r="AX66" s="5"/>
      <c r="AY66" s="5"/>
      <c r="AZ66" s="5"/>
      <c r="BA66" s="5"/>
      <c r="BB66" s="5"/>
    </row>
    <row r="67" spans="1:54">
      <c r="A67" s="76">
        <v>23.73</v>
      </c>
      <c r="B67" s="77" t="s">
        <v>491</v>
      </c>
      <c r="C67" s="79">
        <v>63311</v>
      </c>
      <c r="D67" s="79">
        <v>63311</v>
      </c>
      <c r="E67" s="79">
        <f>X122</f>
        <v>25701</v>
      </c>
      <c r="F67" s="80">
        <v>44976</v>
      </c>
      <c r="G67" s="81" t="s">
        <v>80</v>
      </c>
      <c r="H67" s="79">
        <f>E67</f>
        <v>25701</v>
      </c>
      <c r="I67" s="82">
        <f>X123</f>
        <v>37610</v>
      </c>
      <c r="J67" s="83" t="s">
        <v>492</v>
      </c>
      <c r="K67" s="84"/>
      <c r="L67" s="84"/>
      <c r="M67" s="85">
        <f t="shared" si="6"/>
        <v>1502370.03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5"/>
      <c r="AV67" s="5"/>
      <c r="AW67" s="5"/>
      <c r="AX67" s="5"/>
      <c r="AY67" s="5"/>
      <c r="AZ67" s="5"/>
      <c r="BA67" s="5"/>
      <c r="BB67" s="5"/>
    </row>
    <row r="68" spans="1:54">
      <c r="A68" s="76">
        <v>48.28</v>
      </c>
      <c r="B68" s="77" t="s">
        <v>493</v>
      </c>
      <c r="C68" s="79">
        <v>64787</v>
      </c>
      <c r="D68" s="79">
        <v>64787</v>
      </c>
      <c r="E68" s="79">
        <f>Y122</f>
        <v>1289</v>
      </c>
      <c r="F68" s="80"/>
      <c r="G68" s="81" t="s">
        <v>80</v>
      </c>
      <c r="H68" s="79">
        <f>E68</f>
        <v>1289</v>
      </c>
      <c r="I68" s="82">
        <f>Y123</f>
        <v>63498</v>
      </c>
      <c r="J68" s="83" t="s">
        <v>494</v>
      </c>
      <c r="K68" s="84"/>
      <c r="L68" s="84"/>
      <c r="M68" s="85">
        <f t="shared" si="6"/>
        <v>3127916.36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5"/>
      <c r="AV68" s="5"/>
      <c r="AW68" s="5"/>
      <c r="AX68" s="5"/>
      <c r="AY68" s="5"/>
      <c r="AZ68" s="5"/>
      <c r="BA68" s="5"/>
      <c r="BB68" s="5"/>
    </row>
    <row r="69" spans="1:54">
      <c r="A69" s="76"/>
      <c r="B69" s="110"/>
      <c r="C69" s="87"/>
      <c r="D69" s="87"/>
      <c r="E69" s="87"/>
      <c r="F69" s="88"/>
      <c r="G69" s="89"/>
      <c r="H69" s="87"/>
      <c r="I69" s="82"/>
      <c r="J69" s="83"/>
      <c r="K69" s="84"/>
      <c r="L69" s="84"/>
      <c r="M69" s="85">
        <f t="shared" si="6"/>
        <v>0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5"/>
      <c r="AV69" s="5"/>
      <c r="AW69" s="5"/>
      <c r="AX69" s="5"/>
      <c r="AY69" s="5"/>
      <c r="AZ69" s="5"/>
      <c r="BA69" s="5"/>
      <c r="BB69" s="5"/>
    </row>
    <row r="70" spans="1:54">
      <c r="A70" s="90"/>
      <c r="B70" s="22" t="s">
        <v>55</v>
      </c>
      <c r="C70" s="91">
        <f>SUM(C45:C69)</f>
        <v>929441</v>
      </c>
      <c r="D70" s="91">
        <f>SUM(D45:D69)</f>
        <v>929441</v>
      </c>
      <c r="E70" s="91">
        <f>SUM(E45:E69)</f>
        <v>762640</v>
      </c>
      <c r="F70" s="91"/>
      <c r="G70" s="92"/>
      <c r="H70" s="91">
        <f>SUM(H45:H69)</f>
        <v>711664</v>
      </c>
      <c r="I70" s="91"/>
      <c r="J70" s="93"/>
      <c r="K70" s="94"/>
      <c r="L70" s="4"/>
      <c r="M70" s="85">
        <f t="shared" si="6"/>
        <v>0</v>
      </c>
      <c r="N70" s="8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5"/>
      <c r="AV70" s="5"/>
      <c r="AW70" s="5"/>
      <c r="AX70" s="5"/>
      <c r="AY70" s="5"/>
      <c r="AZ70" s="5"/>
      <c r="BA70" s="5"/>
      <c r="BB70" s="5"/>
    </row>
    <row r="71" spans="1:54">
      <c r="A71" s="90"/>
      <c r="B71" s="95" t="s">
        <v>118</v>
      </c>
      <c r="C71" s="96"/>
      <c r="D71" s="96"/>
      <c r="E71" s="96"/>
      <c r="F71" s="96"/>
      <c r="G71" s="97"/>
      <c r="H71" s="98"/>
      <c r="I71" s="99"/>
      <c r="J71" s="94"/>
      <c r="K71" s="94"/>
      <c r="L71" s="4"/>
      <c r="M71" s="85"/>
      <c r="N71" s="8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5"/>
      <c r="AV71" s="5"/>
      <c r="AW71" s="5"/>
      <c r="AX71" s="5"/>
      <c r="AY71" s="5"/>
      <c r="AZ71" s="5"/>
      <c r="BA71" s="5"/>
      <c r="BB71" s="5"/>
    </row>
    <row r="72" spans="1:54">
      <c r="A72" s="90"/>
      <c r="B72" s="100"/>
      <c r="C72" s="101"/>
      <c r="D72" s="101"/>
      <c r="E72" s="101"/>
      <c r="F72" s="101"/>
      <c r="G72" s="102"/>
      <c r="H72" s="103"/>
      <c r="I72" s="104"/>
      <c r="J72" s="94"/>
      <c r="K72" s="94"/>
      <c r="L72" s="4"/>
      <c r="M72" s="85"/>
      <c r="N72" s="8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5"/>
      <c r="AV72" s="5"/>
      <c r="AW72" s="5"/>
      <c r="AX72" s="5"/>
      <c r="AY72" s="5"/>
      <c r="AZ72" s="5"/>
      <c r="BA72" s="5"/>
      <c r="BB72" s="5"/>
    </row>
    <row r="73" spans="1:54">
      <c r="A73" s="90"/>
      <c r="B73" s="66" t="s">
        <v>119</v>
      </c>
      <c r="C73" s="66"/>
      <c r="D73" s="3"/>
      <c r="E73" s="3"/>
      <c r="F73" s="3"/>
      <c r="G73" s="3"/>
      <c r="H73" s="4"/>
      <c r="I73" s="104"/>
      <c r="J73" s="94"/>
      <c r="K73" s="94"/>
      <c r="L73" s="4"/>
      <c r="M73" s="85"/>
      <c r="N73" s="8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5"/>
      <c r="AV73" s="5"/>
      <c r="AW73" s="5"/>
      <c r="AX73" s="5"/>
      <c r="AY73" s="5"/>
      <c r="AZ73" s="5"/>
      <c r="BA73" s="5"/>
      <c r="BB73" s="5"/>
    </row>
    <row r="74" spans="1:54">
      <c r="A74" s="90"/>
      <c r="B74" s="105"/>
      <c r="C74" s="105" t="s">
        <v>61</v>
      </c>
      <c r="D74" s="106"/>
      <c r="E74" s="106"/>
      <c r="F74" s="106"/>
      <c r="G74" s="107"/>
      <c r="H74" s="75" t="s">
        <v>62</v>
      </c>
      <c r="I74" s="104"/>
      <c r="J74" s="94"/>
      <c r="K74" s="94"/>
      <c r="L74" s="4"/>
      <c r="M74" s="85"/>
      <c r="N74" s="8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5"/>
      <c r="AV74" s="5"/>
      <c r="AW74" s="5"/>
      <c r="AX74" s="5"/>
      <c r="AY74" s="5"/>
      <c r="AZ74" s="5"/>
      <c r="BA74" s="5"/>
      <c r="BB74" s="5"/>
    </row>
    <row r="75" spans="1:54">
      <c r="A75" s="90"/>
      <c r="B75" s="108"/>
      <c r="C75" s="71" t="s">
        <v>64</v>
      </c>
      <c r="D75" s="71" t="s">
        <v>65</v>
      </c>
      <c r="E75" s="109" t="s">
        <v>66</v>
      </c>
      <c r="F75" s="74" t="s">
        <v>68</v>
      </c>
      <c r="G75" s="71" t="s">
        <v>69</v>
      </c>
      <c r="H75" s="74" t="s">
        <v>70</v>
      </c>
      <c r="I75" s="104"/>
      <c r="J75" s="94"/>
      <c r="K75" s="94"/>
      <c r="L75" s="4"/>
      <c r="M75" s="85"/>
      <c r="N75" s="8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5"/>
      <c r="AV75" s="5"/>
      <c r="AW75" s="5"/>
      <c r="AX75" s="5"/>
      <c r="AY75" s="5"/>
      <c r="AZ75" s="5"/>
      <c r="BA75" s="5"/>
      <c r="BB75" s="5"/>
    </row>
    <row r="76" spans="1:54">
      <c r="A76" s="90"/>
      <c r="B76" s="110"/>
      <c r="C76" s="111"/>
      <c r="D76" s="111"/>
      <c r="E76" s="112"/>
      <c r="F76" s="113"/>
      <c r="G76" s="112"/>
      <c r="H76" s="114"/>
      <c r="I76" s="104"/>
      <c r="J76" s="94"/>
      <c r="K76" s="94"/>
      <c r="L76" s="4"/>
      <c r="M76" s="85"/>
      <c r="N76" s="8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5"/>
      <c r="AV76" s="5"/>
      <c r="AW76" s="5"/>
      <c r="AX76" s="5"/>
      <c r="AY76" s="5"/>
      <c r="AZ76" s="5"/>
      <c r="BA76" s="5"/>
      <c r="BB76" s="5"/>
    </row>
    <row r="77" spans="1:54">
      <c r="A77" s="90"/>
      <c r="B77" s="19"/>
      <c r="C77" s="115"/>
      <c r="D77" s="112"/>
      <c r="E77" s="112"/>
      <c r="F77" s="116"/>
      <c r="G77" s="112"/>
      <c r="H77" s="117"/>
      <c r="I77" s="104"/>
      <c r="J77" s="94"/>
      <c r="K77" s="94"/>
      <c r="L77" s="4"/>
      <c r="M77" s="85"/>
      <c r="N77" s="8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5"/>
      <c r="AV77" s="5"/>
      <c r="AW77" s="5"/>
      <c r="AX77" s="5"/>
      <c r="AY77" s="5"/>
      <c r="AZ77" s="5"/>
      <c r="BA77" s="5"/>
      <c r="BB77" s="5"/>
    </row>
    <row r="78" spans="1:54">
      <c r="A78" s="90"/>
      <c r="B78" s="19"/>
      <c r="C78" s="115"/>
      <c r="D78" s="112"/>
      <c r="E78" s="112"/>
      <c r="F78" s="113"/>
      <c r="G78" s="112"/>
      <c r="H78" s="113"/>
      <c r="I78" s="104"/>
      <c r="J78" s="94"/>
      <c r="K78" s="94"/>
      <c r="L78" s="4"/>
      <c r="M78" s="85"/>
      <c r="N78" s="8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5"/>
      <c r="AV78" s="5"/>
      <c r="AW78" s="5"/>
      <c r="AX78" s="5"/>
      <c r="AY78" s="5"/>
      <c r="AZ78" s="5"/>
      <c r="BA78" s="5"/>
      <c r="BB78" s="5"/>
    </row>
    <row r="79" spans="1:54">
      <c r="A79" s="90"/>
      <c r="B79" s="118"/>
      <c r="C79" s="115"/>
      <c r="D79" s="112"/>
      <c r="E79" s="112"/>
      <c r="F79" s="113"/>
      <c r="G79" s="112"/>
      <c r="H79" s="113"/>
      <c r="I79" s="104"/>
      <c r="J79" s="94"/>
      <c r="K79" s="94"/>
      <c r="L79" s="4"/>
      <c r="M79" s="85"/>
      <c r="N79" s="8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5"/>
      <c r="AV79" s="5"/>
      <c r="AW79" s="5"/>
      <c r="AX79" s="5"/>
      <c r="AY79" s="5"/>
      <c r="AZ79" s="5"/>
      <c r="BA79" s="5"/>
      <c r="BB79" s="5"/>
    </row>
    <row r="80" spans="1:54">
      <c r="A80" s="90"/>
      <c r="B80" s="118"/>
      <c r="C80" s="115"/>
      <c r="D80" s="112"/>
      <c r="E80" s="112"/>
      <c r="F80" s="113"/>
      <c r="G80" s="112"/>
      <c r="H80" s="113"/>
      <c r="I80" s="104"/>
      <c r="J80" s="94"/>
      <c r="K80" s="94"/>
      <c r="L80" s="4"/>
      <c r="M80" s="85"/>
      <c r="N80" s="8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5"/>
      <c r="AV80" s="5"/>
      <c r="AW80" s="5"/>
      <c r="AX80" s="5"/>
      <c r="AY80" s="5"/>
      <c r="AZ80" s="5"/>
      <c r="BA80" s="5"/>
      <c r="BB80" s="5"/>
    </row>
    <row r="81" spans="1:54">
      <c r="A81" s="90"/>
      <c r="B81" s="118"/>
      <c r="C81" s="115"/>
      <c r="D81" s="112"/>
      <c r="E81" s="112"/>
      <c r="F81" s="113"/>
      <c r="G81" s="112"/>
      <c r="H81" s="113"/>
      <c r="I81" s="104"/>
      <c r="J81" s="94"/>
      <c r="K81" s="94"/>
      <c r="L81" s="4"/>
      <c r="M81" s="85"/>
      <c r="N81" s="8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5"/>
      <c r="AV81" s="5"/>
      <c r="AW81" s="5"/>
      <c r="AX81" s="5"/>
      <c r="AY81" s="5"/>
      <c r="AZ81" s="5"/>
      <c r="BA81" s="5"/>
      <c r="BB81" s="5"/>
    </row>
    <row r="82" spans="1:54">
      <c r="A82" s="65"/>
      <c r="B82" s="118"/>
      <c r="C82" s="115"/>
      <c r="D82" s="112"/>
      <c r="E82" s="112"/>
      <c r="F82" s="113"/>
      <c r="G82" s="112"/>
      <c r="H82" s="113"/>
      <c r="I82" s="94"/>
      <c r="J82" s="94"/>
      <c r="K82" s="4"/>
      <c r="L82" s="85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5"/>
      <c r="AV82" s="5"/>
      <c r="AW82" s="5"/>
      <c r="AX82" s="5"/>
      <c r="AY82" s="5"/>
      <c r="AZ82" s="5"/>
      <c r="BA82" s="5"/>
      <c r="BB82" s="5"/>
    </row>
    <row r="83" ht="15.75" spans="1:54">
      <c r="A83" s="65"/>
      <c r="B83" s="19"/>
      <c r="C83" s="119"/>
      <c r="D83" s="119"/>
      <c r="E83" s="120"/>
      <c r="F83" s="121"/>
      <c r="G83" s="120"/>
      <c r="H83" s="122"/>
      <c r="I83" s="94"/>
      <c r="J83" s="94"/>
      <c r="K83" s="4"/>
      <c r="L83" s="85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5"/>
      <c r="AV83" s="5"/>
      <c r="AW83" s="5"/>
      <c r="AX83" s="5"/>
      <c r="AY83" s="5"/>
      <c r="AZ83" s="5"/>
      <c r="BA83" s="5"/>
      <c r="BB83" s="5"/>
    </row>
    <row r="84" ht="15.75" spans="1:54">
      <c r="A84" s="65"/>
      <c r="B84" s="22" t="s">
        <v>55</v>
      </c>
      <c r="C84" s="91"/>
      <c r="D84" s="91"/>
      <c r="E84" s="123"/>
      <c r="F84" s="92"/>
      <c r="G84" s="123"/>
      <c r="H84" s="91">
        <v>0</v>
      </c>
      <c r="I84" s="94"/>
      <c r="J84" s="94"/>
      <c r="K84" s="4"/>
      <c r="L84" s="8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5"/>
      <c r="AV84" s="5"/>
      <c r="AW84" s="5"/>
      <c r="AX84" s="5"/>
      <c r="AY84" s="5"/>
      <c r="AZ84" s="5"/>
      <c r="BA84" s="5"/>
      <c r="BB84" s="5"/>
    </row>
    <row r="85" spans="1:54">
      <c r="A85" s="65"/>
      <c r="B85" s="95" t="s">
        <v>118</v>
      </c>
      <c r="C85" s="96"/>
      <c r="D85" s="96"/>
      <c r="E85" s="96"/>
      <c r="F85" s="97"/>
      <c r="G85" s="98"/>
      <c r="H85" s="99"/>
      <c r="I85" s="94"/>
      <c r="J85" s="94"/>
      <c r="K85" s="4"/>
      <c r="L85" s="85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5"/>
      <c r="AV85" s="5"/>
      <c r="AW85" s="5"/>
      <c r="AX85" s="5"/>
      <c r="AY85" s="5"/>
      <c r="AZ85" s="5"/>
      <c r="BA85" s="5"/>
      <c r="BB85" s="5"/>
    </row>
    <row r="86" spans="1:54">
      <c r="A86" s="65"/>
      <c r="B86" s="100"/>
      <c r="C86" s="101"/>
      <c r="D86" s="101"/>
      <c r="E86" s="101"/>
      <c r="F86" s="102"/>
      <c r="G86" s="103"/>
      <c r="H86" s="104"/>
      <c r="I86" s="94"/>
      <c r="J86" s="94"/>
      <c r="K86" s="4"/>
      <c r="L86" s="85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5"/>
      <c r="AV86" s="5"/>
      <c r="AW86" s="5"/>
      <c r="AX86" s="5"/>
      <c r="AY86" s="5"/>
      <c r="AZ86" s="5"/>
      <c r="BA86" s="5"/>
      <c r="BB86" s="5"/>
    </row>
    <row r="87" spans="1:54">
      <c r="A87" s="65"/>
      <c r="B87" s="124" t="s">
        <v>120</v>
      </c>
      <c r="C87" s="125"/>
      <c r="D87" s="125"/>
      <c r="E87" s="125"/>
      <c r="F87" s="126"/>
      <c r="G87" s="127"/>
      <c r="H87" s="128"/>
      <c r="I87" s="94"/>
      <c r="J87" s="94"/>
      <c r="K87" s="4"/>
      <c r="L87" s="8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5"/>
      <c r="AV87" s="5"/>
      <c r="AW87" s="5"/>
      <c r="AX87" s="5"/>
      <c r="AY87" s="5"/>
      <c r="AZ87" s="5"/>
      <c r="BA87" s="5"/>
      <c r="BB87" s="5"/>
    </row>
    <row r="88" spans="1:54">
      <c r="A88" s="65"/>
      <c r="B88" s="129" t="s">
        <v>121</v>
      </c>
      <c r="C88" s="101"/>
      <c r="D88" s="101"/>
      <c r="E88" s="101"/>
      <c r="F88" s="102"/>
      <c r="G88" s="103"/>
      <c r="H88" s="104"/>
      <c r="I88" s="94"/>
      <c r="J88" s="94"/>
      <c r="K88" s="4"/>
      <c r="L88" s="85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5"/>
      <c r="AV88" s="5"/>
      <c r="AW88" s="5"/>
      <c r="AX88" s="5"/>
      <c r="AY88" s="5"/>
      <c r="AZ88" s="5"/>
      <c r="BA88" s="5"/>
      <c r="BB88" s="5"/>
    </row>
    <row r="89" spans="1:54">
      <c r="A89" s="65"/>
      <c r="B89" s="129" t="s">
        <v>122</v>
      </c>
      <c r="C89" s="101"/>
      <c r="D89" s="101"/>
      <c r="E89" s="130"/>
      <c r="F89" s="102"/>
      <c r="G89" s="103"/>
      <c r="H89" s="104"/>
      <c r="I89" s="94"/>
      <c r="J89" s="94"/>
      <c r="K89" s="4"/>
      <c r="L89" s="85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5"/>
      <c r="AV89" s="5"/>
      <c r="AW89" s="5"/>
      <c r="AX89" s="5"/>
      <c r="AY89" s="5"/>
      <c r="AZ89" s="5"/>
      <c r="BA89" s="5"/>
      <c r="BB89" s="5"/>
    </row>
    <row r="90" spans="1:54">
      <c r="A90" s="4"/>
      <c r="B90" s="5"/>
      <c r="C90" s="5"/>
      <c r="D90" s="5"/>
      <c r="E90" s="5"/>
      <c r="F90" s="5"/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5"/>
      <c r="AV90" s="5"/>
      <c r="AW90" s="5"/>
      <c r="AX90" s="5"/>
      <c r="AY90" s="5"/>
      <c r="AZ90" s="5"/>
      <c r="BA90" s="5"/>
      <c r="BB90" s="5"/>
    </row>
    <row r="91" spans="1:54">
      <c r="A91" s="62" t="s">
        <v>123</v>
      </c>
      <c r="B91" s="131" t="s">
        <v>124</v>
      </c>
      <c r="C91" s="131"/>
      <c r="D91" s="132"/>
      <c r="E91" s="132"/>
      <c r="F91" s="132"/>
      <c r="G91" s="132"/>
      <c r="H91" s="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5"/>
      <c r="AV91" s="5"/>
      <c r="AW91" s="5"/>
      <c r="AX91" s="5"/>
      <c r="AY91" s="5"/>
      <c r="AZ91" s="5"/>
      <c r="BA91" s="5"/>
      <c r="BB91" s="5"/>
    </row>
    <row r="92" spans="1:54">
      <c r="A92" s="69" t="s">
        <v>1</v>
      </c>
      <c r="B92" s="133" t="s">
        <v>379</v>
      </c>
      <c r="C92" s="133" t="s">
        <v>380</v>
      </c>
      <c r="D92" s="133" t="s">
        <v>495</v>
      </c>
      <c r="E92" s="133" t="s">
        <v>496</v>
      </c>
      <c r="F92" s="133" t="s">
        <v>497</v>
      </c>
      <c r="G92" s="133" t="s">
        <v>498</v>
      </c>
      <c r="H92" s="133" t="s">
        <v>499</v>
      </c>
      <c r="I92" s="133" t="s">
        <v>500</v>
      </c>
      <c r="J92" s="133" t="s">
        <v>501</v>
      </c>
      <c r="K92" s="133" t="s">
        <v>502</v>
      </c>
      <c r="L92" s="133" t="s">
        <v>503</v>
      </c>
      <c r="M92" s="133" t="s">
        <v>504</v>
      </c>
      <c r="N92" s="134" t="s">
        <v>505</v>
      </c>
      <c r="O92" s="133" t="s">
        <v>506</v>
      </c>
      <c r="P92" s="134" t="s">
        <v>507</v>
      </c>
      <c r="Q92" s="133" t="s">
        <v>508</v>
      </c>
      <c r="R92" s="133" t="s">
        <v>509</v>
      </c>
      <c r="S92" s="133" t="s">
        <v>510</v>
      </c>
      <c r="T92" s="133" t="s">
        <v>511</v>
      </c>
      <c r="U92" s="133" t="s">
        <v>512</v>
      </c>
      <c r="V92" s="133" t="s">
        <v>513</v>
      </c>
      <c r="W92" s="134" t="s">
        <v>514</v>
      </c>
      <c r="X92" s="134" t="s">
        <v>515</v>
      </c>
      <c r="Y92" s="134" t="s">
        <v>516</v>
      </c>
      <c r="Z92" s="135"/>
      <c r="AA92" s="136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54">
      <c r="A93" s="137"/>
      <c r="B93" s="138">
        <f>C45</f>
        <v>31853</v>
      </c>
      <c r="C93" s="138">
        <f>C46</f>
        <v>46904</v>
      </c>
      <c r="D93" s="138">
        <f>C47</f>
        <v>65700</v>
      </c>
      <c r="E93" s="138">
        <f>C48</f>
        <v>13580</v>
      </c>
      <c r="F93" s="138">
        <f>C49</f>
        <v>28678</v>
      </c>
      <c r="G93" s="138">
        <f>C50</f>
        <v>14961</v>
      </c>
      <c r="H93" s="138">
        <f>C51</f>
        <v>79281</v>
      </c>
      <c r="I93" s="138">
        <f>C52</f>
        <v>11144</v>
      </c>
      <c r="J93" s="138">
        <f>C53</f>
        <v>17765</v>
      </c>
      <c r="K93" s="138">
        <f>C54</f>
        <v>23575</v>
      </c>
      <c r="L93" s="138">
        <f>C55</f>
        <v>12664</v>
      </c>
      <c r="M93" s="138">
        <f>C56</f>
        <v>68145</v>
      </c>
      <c r="N93" s="139">
        <f>C57</f>
        <v>17828</v>
      </c>
      <c r="O93" s="138">
        <f>C58</f>
        <v>19220</v>
      </c>
      <c r="P93" s="139">
        <f>C59</f>
        <v>71900</v>
      </c>
      <c r="Q93" s="138">
        <f>C60</f>
        <v>54690</v>
      </c>
      <c r="R93" s="138">
        <f>C61</f>
        <v>19530</v>
      </c>
      <c r="S93" s="138">
        <f>C62</f>
        <v>19120</v>
      </c>
      <c r="T93" s="138">
        <f>C63</f>
        <v>73780</v>
      </c>
      <c r="U93" s="138">
        <f>C64</f>
        <v>19330</v>
      </c>
      <c r="V93" s="138">
        <f>C65</f>
        <v>16270</v>
      </c>
      <c r="W93" s="139">
        <f>C66</f>
        <v>75425</v>
      </c>
      <c r="X93" s="139">
        <f>C67</f>
        <v>63311</v>
      </c>
      <c r="Y93" s="139">
        <f>C68</f>
        <v>64787</v>
      </c>
      <c r="Z93" s="140"/>
      <c r="AA93" s="141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54">
      <c r="A94" s="40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1">
        <f t="shared" ref="AA94:AA121" si="7">SUM(B94:Z94)</f>
        <v>0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54">
      <c r="A95" s="40">
        <v>46111</v>
      </c>
      <c r="B95" s="142">
        <v>5162</v>
      </c>
      <c r="C95" s="142">
        <v>5261</v>
      </c>
      <c r="D95" s="142">
        <v>14538</v>
      </c>
      <c r="E95" s="142">
        <v>8461</v>
      </c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1">
        <f t="shared" si="7"/>
        <v>33422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54">
      <c r="A96" s="40">
        <v>46112</v>
      </c>
      <c r="B96" s="142">
        <v>7836</v>
      </c>
      <c r="C96" s="142">
        <v>7788</v>
      </c>
      <c r="D96" s="142">
        <v>19702</v>
      </c>
      <c r="E96" s="142">
        <v>2843</v>
      </c>
      <c r="F96" s="142">
        <v>13720</v>
      </c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1">
        <f t="shared" si="7"/>
        <v>51889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>
      <c r="A97" s="40">
        <v>46113</v>
      </c>
      <c r="B97" s="142">
        <v>2462</v>
      </c>
      <c r="C97" s="142">
        <v>2598</v>
      </c>
      <c r="D97" s="142">
        <v>6275</v>
      </c>
      <c r="E97" s="142"/>
      <c r="F97" s="142">
        <v>6053</v>
      </c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1">
        <f t="shared" si="7"/>
        <v>17388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>
      <c r="A98" s="40">
        <v>46118</v>
      </c>
      <c r="B98" s="142">
        <v>4807</v>
      </c>
      <c r="C98" s="142">
        <v>4805</v>
      </c>
      <c r="D98" s="142">
        <v>13458</v>
      </c>
      <c r="E98" s="142"/>
      <c r="F98" s="142">
        <v>4179</v>
      </c>
      <c r="G98" s="142">
        <v>12307</v>
      </c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1">
        <f t="shared" si="7"/>
        <v>39556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>
      <c r="A99" s="40">
        <v>46119</v>
      </c>
      <c r="B99" s="142">
        <v>4349</v>
      </c>
      <c r="C99" s="142">
        <v>4702</v>
      </c>
      <c r="D99" s="142">
        <v>7849</v>
      </c>
      <c r="E99" s="142"/>
      <c r="F99" s="142"/>
      <c r="G99" s="142"/>
      <c r="H99" s="142">
        <v>3641</v>
      </c>
      <c r="I99" s="142">
        <v>7792</v>
      </c>
      <c r="J99" s="142">
        <v>1765</v>
      </c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1">
        <f t="shared" si="7"/>
        <v>30098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>
      <c r="A100" s="40">
        <v>46120</v>
      </c>
      <c r="B100" s="142">
        <v>3006</v>
      </c>
      <c r="C100" s="142">
        <v>2510</v>
      </c>
      <c r="D100" s="142"/>
      <c r="E100" s="142"/>
      <c r="F100" s="142"/>
      <c r="G100" s="142"/>
      <c r="H100" s="142">
        <v>6148</v>
      </c>
      <c r="I100" s="142"/>
      <c r="J100" s="142">
        <v>3000</v>
      </c>
      <c r="K100" s="142">
        <v>7442</v>
      </c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1">
        <f t="shared" si="7"/>
        <v>22106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>
      <c r="A101" s="40">
        <v>46121</v>
      </c>
      <c r="B101" s="142"/>
      <c r="C101" s="142">
        <v>4343</v>
      </c>
      <c r="D101" s="142"/>
      <c r="E101" s="142"/>
      <c r="F101" s="142"/>
      <c r="G101" s="142"/>
      <c r="H101" s="142">
        <v>9078</v>
      </c>
      <c r="I101" s="142"/>
      <c r="J101" s="142">
        <v>3000</v>
      </c>
      <c r="K101" s="142">
        <v>7438</v>
      </c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1">
        <f t="shared" si="7"/>
        <v>23859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>
      <c r="A102" s="40">
        <v>46122</v>
      </c>
      <c r="B102" s="142"/>
      <c r="C102" s="142">
        <v>2502</v>
      </c>
      <c r="D102" s="142"/>
      <c r="E102" s="142"/>
      <c r="F102" s="142"/>
      <c r="G102" s="142"/>
      <c r="H102" s="142">
        <v>4079</v>
      </c>
      <c r="I102" s="142"/>
      <c r="J102" s="142">
        <v>3000</v>
      </c>
      <c r="K102" s="142">
        <v>3482</v>
      </c>
      <c r="L102" s="142">
        <v>4127</v>
      </c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1">
        <f t="shared" si="7"/>
        <v>17190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>
      <c r="A103" s="40">
        <v>46125</v>
      </c>
      <c r="B103" s="142"/>
      <c r="C103" s="142">
        <v>8235</v>
      </c>
      <c r="D103" s="142"/>
      <c r="E103" s="142"/>
      <c r="F103" s="142"/>
      <c r="G103" s="142"/>
      <c r="H103" s="142">
        <v>9545</v>
      </c>
      <c r="I103" s="142"/>
      <c r="J103" s="142">
        <v>7000</v>
      </c>
      <c r="K103" s="142"/>
      <c r="L103" s="142">
        <v>4621</v>
      </c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1">
        <f t="shared" si="7"/>
        <v>29401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>
      <c r="A104" s="40">
        <v>46126</v>
      </c>
      <c r="B104" s="142"/>
      <c r="C104" s="142"/>
      <c r="D104" s="142"/>
      <c r="E104" s="142"/>
      <c r="F104" s="142"/>
      <c r="G104" s="142"/>
      <c r="H104" s="142">
        <v>8274</v>
      </c>
      <c r="I104" s="142"/>
      <c r="J104" s="142"/>
      <c r="K104" s="142"/>
      <c r="L104" s="142">
        <v>1161</v>
      </c>
      <c r="M104" s="142">
        <v>4528</v>
      </c>
      <c r="N104" s="142">
        <v>9129</v>
      </c>
      <c r="O104" s="142">
        <v>9000</v>
      </c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1">
        <f t="shared" si="7"/>
        <v>32092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:43">
      <c r="A105" s="40">
        <v>46127</v>
      </c>
      <c r="B105" s="142"/>
      <c r="C105" s="142"/>
      <c r="D105" s="142"/>
      <c r="E105" s="142"/>
      <c r="F105" s="142"/>
      <c r="G105" s="142"/>
      <c r="H105" s="142">
        <v>13763</v>
      </c>
      <c r="I105" s="142"/>
      <c r="J105" s="142"/>
      <c r="K105" s="142"/>
      <c r="L105" s="142"/>
      <c r="M105" s="142">
        <v>8707</v>
      </c>
      <c r="N105" s="142">
        <v>2441</v>
      </c>
      <c r="O105" s="142">
        <v>5000</v>
      </c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1">
        <f t="shared" si="7"/>
        <v>29911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:43">
      <c r="A106" s="40">
        <v>46128</v>
      </c>
      <c r="B106" s="142"/>
      <c r="C106" s="142"/>
      <c r="D106" s="142"/>
      <c r="E106" s="142"/>
      <c r="F106" s="142"/>
      <c r="G106" s="142"/>
      <c r="H106" s="142">
        <v>2497</v>
      </c>
      <c r="I106" s="142"/>
      <c r="J106" s="142"/>
      <c r="K106" s="142"/>
      <c r="L106" s="142"/>
      <c r="M106" s="142">
        <v>1311</v>
      </c>
      <c r="N106" s="142">
        <v>0</v>
      </c>
      <c r="O106" s="142">
        <v>1000</v>
      </c>
      <c r="P106" s="142">
        <v>1452</v>
      </c>
      <c r="Q106" s="142">
        <v>1390</v>
      </c>
      <c r="R106" s="142"/>
      <c r="S106" s="142"/>
      <c r="T106" s="142"/>
      <c r="U106" s="142"/>
      <c r="V106" s="142"/>
      <c r="W106" s="142"/>
      <c r="X106" s="142"/>
      <c r="Y106" s="142"/>
      <c r="Z106" s="142"/>
      <c r="AA106" s="141">
        <f t="shared" si="7"/>
        <v>7650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:43">
      <c r="A107" s="40">
        <v>46129</v>
      </c>
      <c r="B107" s="142"/>
      <c r="C107" s="142"/>
      <c r="D107" s="142"/>
      <c r="E107" s="142"/>
      <c r="F107" s="142"/>
      <c r="G107" s="142"/>
      <c r="H107" s="142">
        <v>8760</v>
      </c>
      <c r="I107" s="142"/>
      <c r="J107" s="142"/>
      <c r="K107" s="142"/>
      <c r="L107" s="142"/>
      <c r="M107" s="142">
        <v>4992</v>
      </c>
      <c r="N107" s="142">
        <v>0</v>
      </c>
      <c r="O107" s="142">
        <v>4220</v>
      </c>
      <c r="P107" s="142">
        <v>5512</v>
      </c>
      <c r="Q107" s="142">
        <v>5733</v>
      </c>
      <c r="R107" s="142"/>
      <c r="S107" s="142"/>
      <c r="T107" s="142"/>
      <c r="U107" s="142"/>
      <c r="V107" s="142"/>
      <c r="W107" s="142"/>
      <c r="X107" s="142"/>
      <c r="Y107" s="142"/>
      <c r="Z107" s="142"/>
      <c r="AA107" s="141">
        <f t="shared" si="7"/>
        <v>29217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:43">
      <c r="A108" s="40">
        <v>46130</v>
      </c>
      <c r="B108" s="142"/>
      <c r="C108" s="142"/>
      <c r="D108" s="142"/>
      <c r="E108" s="142"/>
      <c r="F108" s="142"/>
      <c r="G108" s="142"/>
      <c r="H108" s="142">
        <v>8632</v>
      </c>
      <c r="I108" s="142"/>
      <c r="J108" s="142"/>
      <c r="K108" s="142"/>
      <c r="L108" s="142"/>
      <c r="M108" s="142">
        <v>5642</v>
      </c>
      <c r="N108" s="142">
        <v>0</v>
      </c>
      <c r="O108" s="142"/>
      <c r="P108" s="142">
        <v>6066</v>
      </c>
      <c r="Q108" s="142">
        <v>8816</v>
      </c>
      <c r="R108" s="142">
        <v>4530</v>
      </c>
      <c r="S108" s="142"/>
      <c r="T108" s="142"/>
      <c r="U108" s="142"/>
      <c r="V108" s="142"/>
      <c r="W108" s="142"/>
      <c r="X108" s="142"/>
      <c r="Y108" s="142"/>
      <c r="Z108" s="142"/>
      <c r="AA108" s="141">
        <f t="shared" si="7"/>
        <v>33686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:43">
      <c r="A109" s="40">
        <v>46132</v>
      </c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>
        <v>5490</v>
      </c>
      <c r="N109" s="142">
        <v>0</v>
      </c>
      <c r="O109" s="142"/>
      <c r="P109" s="142">
        <v>6206</v>
      </c>
      <c r="Q109" s="142">
        <v>18924</v>
      </c>
      <c r="R109" s="142">
        <v>10000</v>
      </c>
      <c r="S109" s="142"/>
      <c r="T109" s="142"/>
      <c r="U109" s="142"/>
      <c r="V109" s="142"/>
      <c r="W109" s="142"/>
      <c r="X109" s="142"/>
      <c r="Y109" s="142"/>
      <c r="Z109" s="142"/>
      <c r="AA109" s="141">
        <f t="shared" si="7"/>
        <v>40620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:43">
      <c r="A110" s="40">
        <v>46133</v>
      </c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>
        <v>4938</v>
      </c>
      <c r="N110" s="142">
        <v>0</v>
      </c>
      <c r="O110" s="142"/>
      <c r="P110" s="142">
        <v>5189</v>
      </c>
      <c r="Q110" s="142">
        <v>14348</v>
      </c>
      <c r="R110" s="142">
        <v>5000</v>
      </c>
      <c r="S110" s="142"/>
      <c r="T110" s="142"/>
      <c r="U110" s="142"/>
      <c r="V110" s="142"/>
      <c r="W110" s="142"/>
      <c r="X110" s="142"/>
      <c r="Y110" s="142"/>
      <c r="Z110" s="142"/>
      <c r="AA110" s="141">
        <f t="shared" si="7"/>
        <v>29475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:43">
      <c r="A111" s="40">
        <v>46134</v>
      </c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>
        <v>5888</v>
      </c>
      <c r="N111" s="142">
        <v>0</v>
      </c>
      <c r="O111" s="142"/>
      <c r="P111" s="142">
        <v>6584</v>
      </c>
      <c r="Q111" s="142">
        <v>3226</v>
      </c>
      <c r="R111" s="142"/>
      <c r="S111" s="142">
        <v>10000</v>
      </c>
      <c r="T111" s="142">
        <v>15941</v>
      </c>
      <c r="U111" s="142"/>
      <c r="V111" s="142"/>
      <c r="W111" s="142"/>
      <c r="X111" s="142"/>
      <c r="Y111" s="142"/>
      <c r="Z111" s="142"/>
      <c r="AA111" s="141">
        <f t="shared" si="7"/>
        <v>41639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:43">
      <c r="A112" s="40">
        <v>46135</v>
      </c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>
        <v>5385</v>
      </c>
      <c r="N112" s="142">
        <v>0</v>
      </c>
      <c r="O112" s="142"/>
      <c r="P112" s="142">
        <v>5773</v>
      </c>
      <c r="Q112" s="142"/>
      <c r="R112" s="142"/>
      <c r="S112" s="142">
        <v>9120</v>
      </c>
      <c r="T112" s="142">
        <v>18618</v>
      </c>
      <c r="U112" s="142"/>
      <c r="V112" s="142"/>
      <c r="W112" s="142"/>
      <c r="X112" s="142"/>
      <c r="Y112" s="142"/>
      <c r="Z112" s="142"/>
      <c r="AA112" s="141">
        <f t="shared" si="7"/>
        <v>38896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54">
      <c r="A113" s="40">
        <v>46136</v>
      </c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>
        <v>5800</v>
      </c>
      <c r="N113" s="142">
        <v>0</v>
      </c>
      <c r="O113" s="142"/>
      <c r="P113" s="142">
        <v>5026</v>
      </c>
      <c r="Q113" s="142"/>
      <c r="R113" s="142"/>
      <c r="S113" s="142"/>
      <c r="T113" s="142">
        <v>18630</v>
      </c>
      <c r="U113" s="142">
        <v>15000</v>
      </c>
      <c r="V113" s="142"/>
      <c r="W113" s="142"/>
      <c r="X113" s="142"/>
      <c r="Y113" s="142"/>
      <c r="Z113" s="142"/>
      <c r="AA113" s="141">
        <f t="shared" si="7"/>
        <v>44456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54">
      <c r="A114" s="40">
        <v>46137</v>
      </c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>
        <v>4558</v>
      </c>
      <c r="N114" s="142">
        <v>0</v>
      </c>
      <c r="O114" s="142"/>
      <c r="P114" s="142">
        <v>4921</v>
      </c>
      <c r="Q114" s="142"/>
      <c r="R114" s="142"/>
      <c r="S114" s="142"/>
      <c r="T114" s="142">
        <v>14187</v>
      </c>
      <c r="U114" s="142">
        <v>4330</v>
      </c>
      <c r="V114" s="142">
        <v>5270</v>
      </c>
      <c r="W114" s="142"/>
      <c r="X114" s="142"/>
      <c r="Y114" s="142"/>
      <c r="Z114" s="142"/>
      <c r="AA114" s="141">
        <f t="shared" si="7"/>
        <v>33266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54">
      <c r="A115" s="40">
        <v>46139</v>
      </c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>
        <v>5082</v>
      </c>
      <c r="N115" s="142">
        <v>0</v>
      </c>
      <c r="O115" s="142"/>
      <c r="P115" s="142">
        <v>4658</v>
      </c>
      <c r="Q115" s="142"/>
      <c r="R115" s="142"/>
      <c r="S115" s="142"/>
      <c r="T115" s="142">
        <v>1614</v>
      </c>
      <c r="U115" s="142"/>
      <c r="V115" s="142">
        <v>5000</v>
      </c>
      <c r="W115" s="142">
        <v>20857</v>
      </c>
      <c r="X115" s="142">
        <v>5918</v>
      </c>
      <c r="Y115" s="142"/>
      <c r="Z115" s="142"/>
      <c r="AA115" s="141">
        <f t="shared" si="7"/>
        <v>43129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54">
      <c r="A116" s="40">
        <v>46140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>
        <v>0</v>
      </c>
      <c r="O116" s="142"/>
      <c r="P116" s="142">
        <v>0</v>
      </c>
      <c r="Q116" s="142"/>
      <c r="R116" s="142"/>
      <c r="S116" s="142"/>
      <c r="T116" s="142"/>
      <c r="U116" s="142"/>
      <c r="V116" s="142">
        <v>2000</v>
      </c>
      <c r="W116" s="142">
        <v>7163</v>
      </c>
      <c r="X116" s="142">
        <v>11302</v>
      </c>
      <c r="Y116" s="142"/>
      <c r="Z116" s="142"/>
      <c r="AA116" s="141">
        <f t="shared" si="7"/>
        <v>20465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54">
      <c r="A117" s="40">
        <v>46141</v>
      </c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>
        <v>0</v>
      </c>
      <c r="O117" s="142"/>
      <c r="P117" s="142">
        <v>1278</v>
      </c>
      <c r="Q117" s="142"/>
      <c r="R117" s="142"/>
      <c r="S117" s="142"/>
      <c r="T117" s="142"/>
      <c r="U117" s="142"/>
      <c r="V117" s="142">
        <v>4000</v>
      </c>
      <c r="W117" s="142">
        <v>7205</v>
      </c>
      <c r="X117" s="142">
        <v>8481</v>
      </c>
      <c r="Y117" s="142">
        <v>1289</v>
      </c>
      <c r="Z117" s="142"/>
      <c r="AA117" s="141">
        <f t="shared" si="7"/>
        <v>22253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54">
      <c r="A118" s="40">
        <v>46142</v>
      </c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>
        <v>0</v>
      </c>
      <c r="O118" s="142"/>
      <c r="P118" s="142">
        <v>0</v>
      </c>
      <c r="Q118" s="142"/>
      <c r="R118" s="142"/>
      <c r="S118" s="142"/>
      <c r="T118" s="142"/>
      <c r="U118" s="142"/>
      <c r="V118" s="142"/>
      <c r="W118" s="142">
        <v>0</v>
      </c>
      <c r="X118" s="142">
        <v>0</v>
      </c>
      <c r="Y118" s="142">
        <v>0</v>
      </c>
      <c r="Z118" s="142"/>
      <c r="AA118" s="141">
        <f t="shared" si="7"/>
        <v>0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54">
      <c r="A119" s="40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1">
        <f t="shared" si="7"/>
        <v>0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54">
      <c r="A120" s="40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1">
        <f t="shared" si="7"/>
        <v>0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54">
      <c r="A121" s="143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1">
        <f t="shared" si="7"/>
        <v>0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54">
      <c r="A122" s="145"/>
      <c r="B122" s="146">
        <f t="shared" ref="B122:Y122" si="8">SUM(B94:B121)</f>
        <v>27622</v>
      </c>
      <c r="C122" s="146">
        <f t="shared" si="8"/>
        <v>42744</v>
      </c>
      <c r="D122" s="146">
        <f t="shared" si="8"/>
        <v>61822</v>
      </c>
      <c r="E122" s="146">
        <f t="shared" si="8"/>
        <v>11304</v>
      </c>
      <c r="F122" s="146">
        <f t="shared" si="8"/>
        <v>23952</v>
      </c>
      <c r="G122" s="146">
        <f t="shared" si="8"/>
        <v>12307</v>
      </c>
      <c r="H122" s="146">
        <f t="shared" si="8"/>
        <v>74417</v>
      </c>
      <c r="I122" s="146">
        <f t="shared" si="8"/>
        <v>7792</v>
      </c>
      <c r="J122" s="146">
        <f t="shared" si="8"/>
        <v>17765</v>
      </c>
      <c r="K122" s="146">
        <f t="shared" si="8"/>
        <v>18362</v>
      </c>
      <c r="L122" s="146">
        <f t="shared" si="8"/>
        <v>9909</v>
      </c>
      <c r="M122" s="146">
        <f t="shared" si="8"/>
        <v>62321</v>
      </c>
      <c r="N122" s="146">
        <f t="shared" si="8"/>
        <v>11570</v>
      </c>
      <c r="O122" s="146">
        <f t="shared" si="8"/>
        <v>19220</v>
      </c>
      <c r="P122" s="146">
        <f t="shared" si="8"/>
        <v>52665</v>
      </c>
      <c r="Q122" s="146">
        <f t="shared" si="8"/>
        <v>52437</v>
      </c>
      <c r="R122" s="146">
        <f t="shared" si="8"/>
        <v>19530</v>
      </c>
      <c r="S122" s="146">
        <f t="shared" si="8"/>
        <v>19120</v>
      </c>
      <c r="T122" s="146">
        <f t="shared" si="8"/>
        <v>68990</v>
      </c>
      <c r="U122" s="146">
        <f t="shared" si="8"/>
        <v>19330</v>
      </c>
      <c r="V122" s="146">
        <f t="shared" si="8"/>
        <v>16270</v>
      </c>
      <c r="W122" s="146">
        <f t="shared" si="8"/>
        <v>35225</v>
      </c>
      <c r="X122" s="146">
        <f t="shared" si="8"/>
        <v>25701</v>
      </c>
      <c r="Y122" s="146">
        <f t="shared" si="8"/>
        <v>1289</v>
      </c>
      <c r="Z122" s="147"/>
      <c r="AA122" s="148">
        <f>SUM(B122:Y122)</f>
        <v>711664</v>
      </c>
      <c r="AB122" s="58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54">
      <c r="A123" s="39"/>
      <c r="B123" s="149">
        <f t="shared" ref="B123:Y123" si="9">+B93-B122</f>
        <v>4231</v>
      </c>
      <c r="C123" s="149">
        <f t="shared" si="9"/>
        <v>4160</v>
      </c>
      <c r="D123" s="149">
        <f t="shared" si="9"/>
        <v>3878</v>
      </c>
      <c r="E123" s="149">
        <f t="shared" si="9"/>
        <v>2276</v>
      </c>
      <c r="F123" s="149">
        <f t="shared" si="9"/>
        <v>4726</v>
      </c>
      <c r="G123" s="149">
        <f t="shared" si="9"/>
        <v>2654</v>
      </c>
      <c r="H123" s="149">
        <f t="shared" si="9"/>
        <v>4864</v>
      </c>
      <c r="I123" s="149">
        <f t="shared" si="9"/>
        <v>3352</v>
      </c>
      <c r="J123" s="149">
        <f t="shared" si="9"/>
        <v>0</v>
      </c>
      <c r="K123" s="149">
        <f t="shared" si="9"/>
        <v>5213</v>
      </c>
      <c r="L123" s="149">
        <f t="shared" si="9"/>
        <v>2755</v>
      </c>
      <c r="M123" s="149">
        <f t="shared" si="9"/>
        <v>5824</v>
      </c>
      <c r="N123" s="150">
        <f t="shared" si="9"/>
        <v>6258</v>
      </c>
      <c r="O123" s="149">
        <f t="shared" si="9"/>
        <v>0</v>
      </c>
      <c r="P123" s="150">
        <f t="shared" si="9"/>
        <v>19235</v>
      </c>
      <c r="Q123" s="149">
        <f t="shared" si="9"/>
        <v>2253</v>
      </c>
      <c r="R123" s="149">
        <f t="shared" si="9"/>
        <v>0</v>
      </c>
      <c r="S123" s="149">
        <f t="shared" si="9"/>
        <v>0</v>
      </c>
      <c r="T123" s="149">
        <f t="shared" si="9"/>
        <v>4790</v>
      </c>
      <c r="U123" s="149">
        <f t="shared" si="9"/>
        <v>0</v>
      </c>
      <c r="V123" s="149">
        <f t="shared" si="9"/>
        <v>0</v>
      </c>
      <c r="W123" s="150">
        <f t="shared" si="9"/>
        <v>40200</v>
      </c>
      <c r="X123" s="150">
        <f t="shared" si="9"/>
        <v>37610</v>
      </c>
      <c r="Y123" s="150">
        <f t="shared" si="9"/>
        <v>63498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5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54">
      <c r="A125" s="2" t="s">
        <v>143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54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</row>
    <row r="127" spans="1:54">
      <c r="A127" s="238" t="s">
        <v>517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</row>
    <row r="128" spans="1:54">
      <c r="A128" s="5" t="s">
        <v>518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30" spans="1:2">
      <c r="A130" s="238" t="s">
        <v>519</v>
      </c>
    </row>
    <row r="131" spans="1:2">
      <c r="A131" s="161" t="s">
        <v>520</v>
      </c>
      <c r="B131" s="153"/>
    </row>
    <row r="132" spans="1:2">
      <c r="A132" t="s">
        <v>521</v>
      </c>
    </row>
    <row r="133" customFormat="1" spans="1:2">
      <c r="A133" t="s">
        <v>156</v>
      </c>
    </row>
    <row r="134" customFormat="1" spans="1:2">
      <c r="A134" s="171" t="s">
        <v>276</v>
      </c>
      <c r="B134" s="170"/>
    </row>
    <row r="135" customFormat="1" spans="1:2">
      <c r="A135" t="s">
        <v>522</v>
      </c>
    </row>
    <row r="136" customFormat="1" spans="1:2">
      <c r="A136" s="161">
        <v>13580</v>
      </c>
      <c r="B136" s="153" t="s">
        <v>523</v>
      </c>
    </row>
    <row r="137" customFormat="1" spans="1:2">
      <c r="A137" s="171" t="s">
        <v>279</v>
      </c>
    </row>
    <row r="138" customFormat="1" spans="1:2">
      <c r="A138" t="s">
        <v>524</v>
      </c>
    </row>
    <row r="139" customFormat="1" spans="1:2">
      <c r="A139" s="161">
        <v>11601</v>
      </c>
      <c r="B139" s="153" t="s">
        <v>525</v>
      </c>
    </row>
    <row r="140" spans="1:2">
      <c r="A140" s="160"/>
    </row>
    <row r="141" spans="1:2">
      <c r="A141" s="239" t="s">
        <v>526</v>
      </c>
    </row>
    <row r="142" spans="1:2">
      <c r="A142" s="169" t="s">
        <v>527</v>
      </c>
      <c r="B142" s="153"/>
    </row>
    <row r="143" customFormat="1" spans="1:2">
      <c r="A143" t="s">
        <v>156</v>
      </c>
    </row>
    <row r="144" spans="1:2">
      <c r="A144" s="160" t="s">
        <v>528</v>
      </c>
    </row>
    <row r="145" customFormat="1" spans="1:2">
      <c r="A145" s="171" t="s">
        <v>276</v>
      </c>
      <c r="B145" s="170"/>
    </row>
    <row r="146" customFormat="1" spans="1:2">
      <c r="A146" t="s">
        <v>529</v>
      </c>
    </row>
    <row r="147" customFormat="1" spans="1:2">
      <c r="A147" s="161">
        <v>28678</v>
      </c>
      <c r="B147" s="153" t="s">
        <v>530</v>
      </c>
    </row>
    <row r="148" customFormat="1" spans="1:2">
      <c r="A148" s="171" t="s">
        <v>279</v>
      </c>
    </row>
    <row r="149" customFormat="1" spans="1:2">
      <c r="A149" t="s">
        <v>531</v>
      </c>
    </row>
    <row r="150" customFormat="1" spans="1:2">
      <c r="A150" s="161">
        <v>24102</v>
      </c>
      <c r="B150" s="153" t="s">
        <v>532</v>
      </c>
    </row>
    <row r="151" spans="1:2">
      <c r="A151" s="161"/>
      <c r="B151" s="153"/>
    </row>
    <row r="152" customFormat="1" spans="1:2">
      <c r="A152" s="160" t="s">
        <v>533</v>
      </c>
    </row>
    <row r="153" customFormat="1" spans="1:2">
      <c r="A153" s="171" t="s">
        <v>276</v>
      </c>
      <c r="B153" s="170"/>
    </row>
    <row r="154" customFormat="1" spans="1:2">
      <c r="A154" t="s">
        <v>534</v>
      </c>
    </row>
    <row r="155" customFormat="1" spans="1:2">
      <c r="A155" s="161">
        <v>14961</v>
      </c>
      <c r="B155" s="153" t="s">
        <v>535</v>
      </c>
    </row>
    <row r="156" customFormat="1" spans="1:2">
      <c r="A156" s="171" t="s">
        <v>279</v>
      </c>
    </row>
    <row r="157" customFormat="1" spans="1:2">
      <c r="A157" t="s">
        <v>536</v>
      </c>
    </row>
    <row r="158" customFormat="1" spans="1:2">
      <c r="A158" s="161">
        <v>12453</v>
      </c>
      <c r="B158" s="153" t="s">
        <v>537</v>
      </c>
    </row>
    <row r="159" spans="1:2">
      <c r="A159" s="193"/>
    </row>
    <row r="160" spans="1:2">
      <c r="A160" s="239" t="s">
        <v>538</v>
      </c>
    </row>
    <row r="161" spans="1:2">
      <c r="A161" t="s">
        <v>539</v>
      </c>
    </row>
    <row r="162" spans="1:2">
      <c r="A162" t="s">
        <v>540</v>
      </c>
    </row>
    <row r="163" spans="1:2">
      <c r="A163" s="153" t="s">
        <v>156</v>
      </c>
    </row>
    <row r="164" customFormat="1" spans="1:2">
      <c r="A164" s="160" t="s">
        <v>541</v>
      </c>
    </row>
    <row r="165" customFormat="1" spans="1:2">
      <c r="A165" t="s">
        <v>542</v>
      </c>
    </row>
    <row r="166" customFormat="1" spans="1:2">
      <c r="A166" s="161">
        <v>65700</v>
      </c>
      <c r="B166" s="153" t="s">
        <v>543</v>
      </c>
    </row>
    <row r="167" customFormat="1" spans="1:2">
      <c r="A167" s="160" t="s">
        <v>544</v>
      </c>
    </row>
    <row r="168" customFormat="1" spans="1:2">
      <c r="A168" s="171" t="s">
        <v>276</v>
      </c>
      <c r="B168" s="170"/>
    </row>
    <row r="169" customFormat="1" spans="1:2">
      <c r="A169" t="s">
        <v>545</v>
      </c>
    </row>
    <row r="170" customFormat="1" spans="1:2">
      <c r="A170" s="161">
        <v>11144</v>
      </c>
      <c r="B170" s="153" t="s">
        <v>546</v>
      </c>
    </row>
    <row r="171" customFormat="1" spans="1:2">
      <c r="A171" s="171" t="s">
        <v>279</v>
      </c>
    </row>
    <row r="172" customFormat="1" spans="1:2">
      <c r="A172" t="s">
        <v>547</v>
      </c>
    </row>
    <row r="173" customFormat="1" spans="1:2">
      <c r="A173" s="161">
        <v>8989</v>
      </c>
      <c r="B173" s="153" t="s">
        <v>548</v>
      </c>
    </row>
    <row r="175" spans="1:2">
      <c r="A175" s="239" t="s">
        <v>549</v>
      </c>
      <c r="B175" s="153"/>
    </row>
    <row r="176" spans="1:2">
      <c r="A176" t="s">
        <v>550</v>
      </c>
    </row>
    <row r="177" spans="1:2">
      <c r="A177" s="194" t="s">
        <v>551</v>
      </c>
    </row>
    <row r="178" spans="1:2">
      <c r="A178" t="s">
        <v>156</v>
      </c>
    </row>
    <row r="179" customFormat="1" spans="1:2">
      <c r="A179" t="s">
        <v>552</v>
      </c>
    </row>
    <row r="180" customFormat="1" spans="1:2">
      <c r="A180" s="161">
        <v>64080</v>
      </c>
      <c r="B180" s="153" t="s">
        <v>553</v>
      </c>
    </row>
    <row r="181" spans="1:2">
      <c r="A181" s="160"/>
    </row>
    <row r="182" spans="1:2">
      <c r="A182" s="239" t="s">
        <v>554</v>
      </c>
    </row>
    <row r="183" spans="1:2">
      <c r="A183" s="154" t="s">
        <v>555</v>
      </c>
      <c r="B183" s="153"/>
    </row>
    <row r="184" spans="1:2">
      <c r="A184" t="s">
        <v>556</v>
      </c>
    </row>
    <row r="185" spans="1:2">
      <c r="A185" s="194" t="s">
        <v>156</v>
      </c>
    </row>
    <row r="186" customFormat="1" spans="1:2">
      <c r="A186" s="160" t="s">
        <v>557</v>
      </c>
    </row>
    <row r="187" customFormat="1" spans="1:2">
      <c r="A187" s="171" t="s">
        <v>276</v>
      </c>
      <c r="B187" s="170"/>
    </row>
    <row r="188" customFormat="1" spans="1:2">
      <c r="A188" t="s">
        <v>558</v>
      </c>
    </row>
    <row r="189" customFormat="1" spans="1:2">
      <c r="A189" s="161">
        <v>23575</v>
      </c>
      <c r="B189" s="153" t="s">
        <v>559</v>
      </c>
    </row>
    <row r="190" customFormat="1" spans="1:2">
      <c r="A190" s="171" t="s">
        <v>279</v>
      </c>
    </row>
    <row r="191" customFormat="1" spans="1:2">
      <c r="A191" t="s">
        <v>560</v>
      </c>
    </row>
    <row r="192" customFormat="1" spans="1:2">
      <c r="A192" s="161">
        <v>19585</v>
      </c>
      <c r="B192" s="153" t="s">
        <v>561</v>
      </c>
    </row>
    <row r="193" spans="1:2">
      <c r="A193" s="171"/>
    </row>
    <row r="194" spans="1:2">
      <c r="A194" s="239" t="s">
        <v>562</v>
      </c>
    </row>
    <row r="195" s="5" customFormat="1" spans="1:2">
      <c r="A195" s="5" t="s">
        <v>563</v>
      </c>
    </row>
    <row r="196" customFormat="1" spans="1:2">
      <c r="A196" t="s">
        <v>149</v>
      </c>
    </row>
    <row r="197" customFormat="1" spans="1:2">
      <c r="A197" t="s">
        <v>564</v>
      </c>
    </row>
    <row r="198" customFormat="1" spans="1:2">
      <c r="A198" s="161">
        <v>75779</v>
      </c>
      <c r="B198" s="153" t="s">
        <v>565</v>
      </c>
    </row>
    <row r="200" spans="1:2">
      <c r="A200" s="239" t="s">
        <v>566</v>
      </c>
    </row>
    <row r="201" spans="1:2">
      <c r="A201" s="194" t="s">
        <v>567</v>
      </c>
    </row>
    <row r="202" customFormat="1" spans="1:2">
      <c r="A202" t="s">
        <v>568</v>
      </c>
    </row>
    <row r="203" customFormat="1" spans="1:2">
      <c r="A203" s="194" t="s">
        <v>156</v>
      </c>
    </row>
    <row r="204" customFormat="1" spans="1:2">
      <c r="A204" s="160" t="s">
        <v>569</v>
      </c>
    </row>
    <row r="205" customFormat="1" spans="1:2">
      <c r="A205" s="171" t="s">
        <v>276</v>
      </c>
      <c r="B205" s="170"/>
    </row>
    <row r="206" customFormat="1" spans="1:2">
      <c r="A206" t="s">
        <v>570</v>
      </c>
    </row>
    <row r="207" customFormat="1" spans="1:2">
      <c r="A207" s="161">
        <v>12664</v>
      </c>
      <c r="B207" s="153" t="s">
        <v>571</v>
      </c>
    </row>
    <row r="208" customFormat="1" spans="1:2">
      <c r="A208" s="171" t="s">
        <v>279</v>
      </c>
    </row>
    <row r="209" customFormat="1" spans="1:2">
      <c r="A209" t="s">
        <v>572</v>
      </c>
    </row>
    <row r="210" customFormat="1" spans="1:2">
      <c r="A210" s="161">
        <v>10635</v>
      </c>
      <c r="B210" s="153" t="s">
        <v>573</v>
      </c>
    </row>
    <row r="211" spans="1:2">
      <c r="A211" s="193"/>
    </row>
    <row r="212" spans="1:2">
      <c r="A212" s="239" t="s">
        <v>574</v>
      </c>
    </row>
    <row r="213" spans="1:2">
      <c r="A213" t="s">
        <v>575</v>
      </c>
    </row>
    <row r="215" spans="1:2">
      <c r="A215" s="239" t="s">
        <v>576</v>
      </c>
    </row>
    <row r="216" spans="1:2">
      <c r="A216" t="s">
        <v>577</v>
      </c>
    </row>
    <row r="217" spans="1:2">
      <c r="A217" s="154"/>
      <c r="B217" s="153"/>
    </row>
    <row r="218" spans="1:2">
      <c r="A218" s="239" t="s">
        <v>578</v>
      </c>
    </row>
    <row r="219" spans="1:2">
      <c r="A219" t="s">
        <v>579</v>
      </c>
    </row>
    <row r="220" spans="1:2">
      <c r="A220" s="154" t="s">
        <v>580</v>
      </c>
      <c r="B220" s="153"/>
    </row>
    <row r="221" spans="1:2">
      <c r="A221" s="153" t="s">
        <v>581</v>
      </c>
    </row>
    <row r="222" spans="1:2">
      <c r="A222" s="193" t="s">
        <v>582</v>
      </c>
    </row>
    <row r="223" spans="1:2">
      <c r="A223" s="154">
        <v>79281</v>
      </c>
      <c r="B223" t="s">
        <v>583</v>
      </c>
    </row>
    <row r="225" spans="1:2">
      <c r="A225" s="239" t="s">
        <v>584</v>
      </c>
    </row>
    <row r="226" s="153" customFormat="1" spans="1:2">
      <c r="A226" s="153" t="s">
        <v>585</v>
      </c>
    </row>
    <row r="227" spans="1:2">
      <c r="A227" t="s">
        <v>586</v>
      </c>
    </row>
    <row r="228" spans="1:2">
      <c r="A228" s="169" t="s">
        <v>587</v>
      </c>
      <c r="B228" s="153"/>
    </row>
    <row r="229" spans="1:2">
      <c r="A229" s="160"/>
    </row>
    <row r="230" spans="1:2">
      <c r="A230" s="239" t="s">
        <v>588</v>
      </c>
    </row>
    <row r="231" spans="1:2">
      <c r="A231" s="154" t="s">
        <v>579</v>
      </c>
      <c r="B231" s="153"/>
    </row>
    <row r="233" spans="1:2">
      <c r="A233" s="239" t="s">
        <v>589</v>
      </c>
    </row>
    <row r="234" spans="1:2">
      <c r="A234" t="s">
        <v>579</v>
      </c>
    </row>
    <row r="235" spans="1:2">
      <c r="A235" t="s">
        <v>577</v>
      </c>
    </row>
    <row r="237" spans="1:2">
      <c r="A237" s="239" t="s">
        <v>590</v>
      </c>
    </row>
    <row r="238" spans="1:2">
      <c r="A238" t="s">
        <v>591</v>
      </c>
    </row>
    <row r="239" spans="1:2">
      <c r="A239" t="s">
        <v>592</v>
      </c>
    </row>
    <row r="240" spans="1:2">
      <c r="A240" t="s">
        <v>149</v>
      </c>
    </row>
    <row r="241" spans="1:2">
      <c r="A241" s="160" t="s">
        <v>593</v>
      </c>
    </row>
    <row r="242" spans="1:2">
      <c r="A242" t="s">
        <v>594</v>
      </c>
    </row>
    <row r="243" spans="1:2">
      <c r="A243" s="154">
        <v>68145</v>
      </c>
      <c r="B243" s="153" t="s">
        <v>595</v>
      </c>
    </row>
    <row r="244" customFormat="1" spans="1:2">
      <c r="A244" s="160" t="s">
        <v>596</v>
      </c>
    </row>
    <row r="245" customFormat="1" spans="1:2">
      <c r="A245" t="s">
        <v>597</v>
      </c>
    </row>
    <row r="246" customFormat="1" spans="1:2">
      <c r="A246" s="154">
        <v>73780</v>
      </c>
      <c r="B246" s="153" t="s">
        <v>598</v>
      </c>
    </row>
    <row r="248" spans="1:2">
      <c r="A248" s="239" t="s">
        <v>599</v>
      </c>
    </row>
    <row r="249" spans="1:2">
      <c r="A249" t="s">
        <v>600</v>
      </c>
    </row>
    <row r="250" spans="1:2">
      <c r="A250" t="s">
        <v>577</v>
      </c>
    </row>
  </sheetData>
  <mergeCells count="2">
    <mergeCell ref="Z92:Z93"/>
    <mergeCell ref="AC18:AC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06"/>
  <sheetViews>
    <sheetView topLeftCell="A52" workbookViewId="0">
      <selection activeCell="A83" sqref="$A83:$XFD83"/>
    </sheetView>
  </sheetViews>
  <sheetFormatPr defaultColWidth="9.14285714285714" defaultRowHeight="15"/>
  <cols>
    <col min="1" max="1" width="11.7142857142857"/>
    <col min="2" max="2" width="30.1428571428571" customWidth="1"/>
    <col min="3" max="3" width="11.8571428571429" customWidth="1"/>
    <col min="4" max="4" width="11.4285714285714" customWidth="1"/>
    <col min="5" max="5" width="12.4285714285714" customWidth="1"/>
    <col min="6" max="6" width="12.8571428571429" customWidth="1"/>
    <col min="8" max="8" width="11.7142857142857" customWidth="1"/>
    <col min="9" max="9" width="12.2857142857143" customWidth="1"/>
    <col min="10" max="10" width="18" customWidth="1"/>
    <col min="11" max="11" width="12.8571428571429" customWidth="1"/>
    <col min="12" max="12" width="11.8571428571429" customWidth="1"/>
    <col min="13" max="13" width="18" customWidth="1"/>
    <col min="14" max="14" width="13.1428571428571" customWidth="1"/>
    <col min="15" max="15" width="12.8571428571429" customWidth="1"/>
    <col min="16" max="16" width="12" customWidth="1"/>
    <col min="18" max="18" width="11.7142857142857" customWidth="1"/>
    <col min="19" max="20" width="12.2857142857143" customWidth="1"/>
    <col min="22" max="23" width="13" customWidth="1"/>
    <col min="24" max="24" width="10.4285714285714" customWidth="1"/>
    <col min="53" max="53" width="8.42857142857143" hidden="1" customWidth="1"/>
    <col min="54" max="57" width="9.14285714285714" hidden="1" customWidth="1"/>
  </cols>
  <sheetData>
    <row r="1" spans="1:60">
      <c r="A1" s="235" t="s">
        <v>601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  <c r="BB1" s="5" t="s">
        <v>458</v>
      </c>
      <c r="BC1" s="5"/>
      <c r="BD1" s="5"/>
      <c r="BE1" s="5"/>
      <c r="BF1" s="5"/>
      <c r="BG1" s="5"/>
      <c r="BH1" s="5"/>
    </row>
    <row r="2" spans="1:60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/>
      <c r="BB2" s="5"/>
      <c r="BC2" s="5"/>
      <c r="BD2" s="5"/>
      <c r="BE2" s="5"/>
      <c r="BF2" s="5"/>
      <c r="BG2" s="5"/>
      <c r="BH2" s="5"/>
    </row>
    <row r="3" spans="1:60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  <c r="AW3" s="5"/>
      <c r="AX3" s="5"/>
      <c r="AY3" s="5"/>
      <c r="AZ3" s="5"/>
      <c r="BA3" s="5"/>
      <c r="BB3" s="5"/>
    </row>
    <row r="4" spans="1:60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34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  <c r="AW4" s="5"/>
      <c r="AX4" s="5"/>
      <c r="AY4" s="5"/>
      <c r="AZ4" s="5"/>
      <c r="BA4" s="5"/>
      <c r="BB4" s="5"/>
    </row>
    <row r="5" spans="1:60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  <c r="AW5" s="5"/>
      <c r="AX5" s="5"/>
      <c r="AY5" s="5"/>
      <c r="AZ5" s="5"/>
      <c r="BA5" s="5"/>
      <c r="BB5" s="5"/>
    </row>
    <row r="6" spans="1:60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34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  <c r="AW6" s="5"/>
      <c r="AX6" s="5"/>
      <c r="AY6" s="5"/>
      <c r="AZ6" s="5"/>
      <c r="BA6" s="5"/>
      <c r="BB6" s="5"/>
    </row>
    <row r="7" spans="1:60">
      <c r="A7" s="44">
        <v>46142</v>
      </c>
      <c r="B7" s="41">
        <f>7183+9291+1095</f>
        <v>17569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512</v>
      </c>
      <c r="AA7" s="35">
        <v>26</v>
      </c>
      <c r="AB7" s="33">
        <f t="shared" ref="AB7:AB14" si="0">Z7*AA7</f>
        <v>13312</v>
      </c>
      <c r="AC7" s="155">
        <v>2624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  <c r="AW7" s="5"/>
      <c r="AX7" s="5"/>
      <c r="AY7" s="5"/>
      <c r="AZ7" s="5"/>
      <c r="BA7" s="5"/>
      <c r="BB7" s="5"/>
    </row>
    <row r="8" spans="1:60">
      <c r="A8" s="44">
        <v>46146</v>
      </c>
      <c r="B8" s="41">
        <v>38192</v>
      </c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>
        <v>1005</v>
      </c>
      <c r="AA8" s="35">
        <v>26</v>
      </c>
      <c r="AB8" s="42">
        <f t="shared" si="0"/>
        <v>26130</v>
      </c>
      <c r="AC8" s="34">
        <v>3473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  <c r="AW8" s="5"/>
      <c r="AX8" s="5"/>
      <c r="AY8" s="5"/>
      <c r="AZ8" s="5"/>
      <c r="BA8" s="5"/>
      <c r="BB8" s="5"/>
    </row>
    <row r="9" spans="1:60">
      <c r="A9" s="44">
        <v>46147</v>
      </c>
      <c r="B9" s="41">
        <v>39951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v>1097</v>
      </c>
      <c r="AA9" s="35">
        <v>26</v>
      </c>
      <c r="AB9" s="33">
        <f t="shared" si="0"/>
        <v>28522</v>
      </c>
      <c r="AC9" s="155">
        <v>2762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  <c r="AW9" s="5"/>
      <c r="AX9" s="5"/>
      <c r="AY9" s="5"/>
      <c r="AZ9" s="5"/>
      <c r="BA9" s="5"/>
      <c r="BB9" s="5"/>
    </row>
    <row r="10" spans="1:60">
      <c r="A10" s="44">
        <v>46148</v>
      </c>
      <c r="B10" s="41">
        <v>34934</v>
      </c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>
        <v>1040</v>
      </c>
      <c r="AA10" s="35">
        <v>26</v>
      </c>
      <c r="AB10" s="176">
        <f t="shared" si="0"/>
        <v>27040</v>
      </c>
      <c r="AC10" s="155">
        <v>3704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  <c r="AW10" s="5"/>
      <c r="AX10" s="5"/>
      <c r="AY10" s="5"/>
      <c r="AZ10" s="5"/>
      <c r="BA10" s="5"/>
      <c r="BB10" s="5"/>
    </row>
    <row r="11" spans="1:60">
      <c r="A11" s="44">
        <v>46149</v>
      </c>
      <c r="B11" s="41">
        <v>34320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v>1035</v>
      </c>
      <c r="AA11" s="35">
        <v>26</v>
      </c>
      <c r="AB11" s="176">
        <f t="shared" si="0"/>
        <v>26910</v>
      </c>
      <c r="AC11" s="43">
        <v>3779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  <c r="AW11" s="5"/>
      <c r="AX11" s="5"/>
      <c r="AY11" s="5"/>
      <c r="AZ11" s="5"/>
      <c r="BA11" s="5"/>
      <c r="BB11" s="5"/>
    </row>
    <row r="12" spans="1:60">
      <c r="A12" s="44">
        <v>46150</v>
      </c>
      <c r="B12" s="41">
        <v>24212</v>
      </c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>
        <v>840</v>
      </c>
      <c r="AA12" s="35">
        <v>26</v>
      </c>
      <c r="AB12" s="176">
        <f t="shared" si="0"/>
        <v>21840</v>
      </c>
      <c r="AC12" s="33">
        <v>3653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  <c r="AW12" s="5"/>
      <c r="AX12" s="5"/>
      <c r="AY12" s="5"/>
      <c r="AZ12" s="5"/>
      <c r="BA12" s="5"/>
      <c r="BB12" s="5"/>
    </row>
    <row r="13" spans="1:60">
      <c r="A13" s="44">
        <v>46151</v>
      </c>
      <c r="B13" s="41">
        <v>33944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>
        <v>930</v>
      </c>
      <c r="AA13" s="35">
        <v>26</v>
      </c>
      <c r="AB13" s="176">
        <f t="shared" si="0"/>
        <v>24180</v>
      </c>
      <c r="AC13" s="43">
        <v>4824</v>
      </c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  <c r="AW13" s="5"/>
      <c r="AX13" s="5"/>
      <c r="AY13" s="5"/>
      <c r="AZ13" s="5"/>
      <c r="BA13" s="5"/>
      <c r="BB13" s="5"/>
    </row>
    <row r="14" spans="1:60">
      <c r="A14" s="44">
        <v>46153</v>
      </c>
      <c r="B14" s="41">
        <v>32146</v>
      </c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>
        <v>690</v>
      </c>
      <c r="AA14" s="35">
        <v>26</v>
      </c>
      <c r="AB14" s="176">
        <f t="shared" si="0"/>
        <v>17940</v>
      </c>
      <c r="AC14" s="43">
        <v>3909</v>
      </c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  <c r="AW14" s="5"/>
      <c r="AX14" s="5"/>
      <c r="AY14" s="5"/>
      <c r="AZ14" s="5"/>
      <c r="BA14" s="5"/>
      <c r="BB14" s="5"/>
    </row>
    <row r="15" spans="1:60">
      <c r="A15" s="44"/>
      <c r="B15" s="41"/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>
        <v>5</v>
      </c>
      <c r="T15" s="34"/>
      <c r="U15" s="34"/>
      <c r="V15" s="34"/>
      <c r="W15" s="34"/>
      <c r="X15" s="34"/>
      <c r="Y15" s="34"/>
      <c r="Z15" s="34"/>
      <c r="AA15" s="35">
        <v>550</v>
      </c>
      <c r="AB15" s="42">
        <f t="shared" ref="AB15:AB19" si="1">AA15*S15</f>
        <v>2750</v>
      </c>
      <c r="AC15" s="43"/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  <c r="AW15" s="5"/>
      <c r="AX15" s="5"/>
      <c r="AY15" s="5"/>
      <c r="AZ15" s="5"/>
      <c r="BA15" s="5"/>
      <c r="BB15" s="5"/>
    </row>
    <row r="16" spans="1:60">
      <c r="A16" s="44">
        <v>46154</v>
      </c>
      <c r="B16" s="41">
        <v>25367</v>
      </c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>
        <v>643</v>
      </c>
      <c r="AA16" s="35">
        <v>26</v>
      </c>
      <c r="AB16" s="42">
        <f t="shared" ref="AB16:AB20" si="2">Z16*AA16</f>
        <v>16718</v>
      </c>
      <c r="AC16" s="43">
        <v>4001</v>
      </c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  <c r="AW16" s="5"/>
      <c r="AX16" s="5"/>
      <c r="AY16" s="5"/>
      <c r="AZ16" s="5"/>
      <c r="BA16" s="5"/>
      <c r="BB16" s="5"/>
    </row>
    <row r="17" spans="1:54">
      <c r="A17" s="44"/>
      <c r="B17" s="177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>
        <v>12</v>
      </c>
      <c r="T17" s="178"/>
      <c r="U17" s="178"/>
      <c r="V17" s="178"/>
      <c r="W17" s="178"/>
      <c r="X17" s="178"/>
      <c r="Y17" s="178"/>
      <c r="Z17" s="178"/>
      <c r="AA17" s="35">
        <v>550</v>
      </c>
      <c r="AB17" s="42">
        <f t="shared" si="1"/>
        <v>6600</v>
      </c>
      <c r="AC17" s="43"/>
      <c r="AD17" s="36"/>
      <c r="AE17" s="179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  <c r="AW17" s="5"/>
      <c r="AX17" s="5"/>
      <c r="AY17" s="5"/>
      <c r="AZ17" s="5"/>
      <c r="BA17" s="5"/>
      <c r="BB17" s="5"/>
    </row>
    <row r="18" spans="1:54">
      <c r="A18" s="44">
        <v>46155</v>
      </c>
      <c r="B18" s="41">
        <v>31091</v>
      </c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178"/>
      <c r="V18" s="178"/>
      <c r="W18" s="178"/>
      <c r="X18" s="178"/>
      <c r="Y18" s="178"/>
      <c r="Z18" s="178">
        <v>680</v>
      </c>
      <c r="AA18" s="35">
        <v>26</v>
      </c>
      <c r="AB18" s="33">
        <f t="shared" si="2"/>
        <v>17680</v>
      </c>
      <c r="AC18" s="180">
        <v>4014</v>
      </c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  <c r="AW18" s="5"/>
      <c r="AX18" s="5"/>
      <c r="AY18" s="5"/>
      <c r="AZ18" s="5"/>
      <c r="BA18" s="5"/>
      <c r="BB18" s="5"/>
    </row>
    <row r="19" spans="1:54">
      <c r="A19" s="44"/>
      <c r="B19" s="41"/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>
        <v>12</v>
      </c>
      <c r="T19" s="34"/>
      <c r="U19" s="34"/>
      <c r="V19" s="34"/>
      <c r="W19" s="34"/>
      <c r="X19" s="34"/>
      <c r="Y19" s="34"/>
      <c r="Z19" s="34"/>
      <c r="AA19" s="35">
        <v>550</v>
      </c>
      <c r="AB19" s="42">
        <f t="shared" si="1"/>
        <v>6600</v>
      </c>
      <c r="AC19" s="43"/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  <c r="AW19" s="5"/>
      <c r="AX19" s="5"/>
      <c r="AY19" s="5"/>
      <c r="AZ19" s="5"/>
      <c r="BA19" s="5"/>
      <c r="BB19" s="5"/>
    </row>
    <row r="20" spans="1:54">
      <c r="A20" s="44">
        <v>46156</v>
      </c>
      <c r="B20" s="41">
        <v>32224</v>
      </c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840</v>
      </c>
      <c r="AA20" s="35">
        <v>26</v>
      </c>
      <c r="AB20" s="42">
        <f t="shared" si="2"/>
        <v>21840</v>
      </c>
      <c r="AC20" s="43">
        <v>4246</v>
      </c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  <c r="AW20" s="5"/>
      <c r="AX20" s="5"/>
      <c r="AY20" s="5"/>
      <c r="AZ20" s="5"/>
      <c r="BA20" s="5"/>
      <c r="BB20" s="5"/>
    </row>
    <row r="21" spans="1:54">
      <c r="A21" s="44"/>
      <c r="B21" s="41"/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>
        <v>9</v>
      </c>
      <c r="T21" s="34"/>
      <c r="U21" s="34"/>
      <c r="V21" s="34"/>
      <c r="W21" s="34"/>
      <c r="X21" s="34"/>
      <c r="Y21" s="34"/>
      <c r="Z21" s="34"/>
      <c r="AA21" s="35">
        <v>550</v>
      </c>
      <c r="AB21" s="42">
        <f t="shared" ref="AB21:AB25" si="3">AA21*S21</f>
        <v>4950</v>
      </c>
      <c r="AC21" s="43"/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  <c r="AW21" s="5"/>
      <c r="AX21" s="5"/>
      <c r="AY21" s="5"/>
      <c r="AZ21" s="5"/>
      <c r="BA21" s="5"/>
      <c r="BB21" s="5"/>
    </row>
    <row r="22" spans="1:54">
      <c r="A22" s="44">
        <v>46157</v>
      </c>
      <c r="B22" s="41">
        <v>28087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>
        <v>750</v>
      </c>
      <c r="AA22" s="35">
        <v>26</v>
      </c>
      <c r="AB22" s="42">
        <f t="shared" ref="AB22:AB26" si="4">Z22*AA22</f>
        <v>19500</v>
      </c>
      <c r="AC22" s="43">
        <v>5284</v>
      </c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  <c r="AW22" s="5"/>
      <c r="AX22" s="5"/>
      <c r="AY22" s="5"/>
      <c r="AZ22" s="5"/>
      <c r="BA22" s="5"/>
      <c r="BB22" s="5"/>
    </row>
    <row r="23" spans="1:54">
      <c r="A23" s="44"/>
      <c r="B23" s="41"/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>
        <v>14</v>
      </c>
      <c r="T23" s="34"/>
      <c r="U23" s="34"/>
      <c r="V23" s="34"/>
      <c r="W23" s="34"/>
      <c r="X23" s="34"/>
      <c r="Y23" s="34"/>
      <c r="Z23" s="34"/>
      <c r="AA23" s="35">
        <v>550</v>
      </c>
      <c r="AB23" s="42">
        <f t="shared" si="3"/>
        <v>7700</v>
      </c>
      <c r="AC23" s="43"/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  <c r="AW23" s="5"/>
      <c r="AX23" s="5"/>
      <c r="AY23" s="5"/>
      <c r="AZ23" s="5"/>
      <c r="BA23" s="5"/>
      <c r="BB23" s="5"/>
    </row>
    <row r="24" spans="1:54">
      <c r="A24" s="44">
        <v>46160</v>
      </c>
      <c r="B24" s="41">
        <v>32149</v>
      </c>
      <c r="C24" s="34"/>
      <c r="D24" s="34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>
        <v>690</v>
      </c>
      <c r="AA24" s="35">
        <v>26</v>
      </c>
      <c r="AB24" s="42">
        <f t="shared" si="4"/>
        <v>17940</v>
      </c>
      <c r="AC24" s="43">
        <v>5629</v>
      </c>
      <c r="AD24" s="36"/>
      <c r="AE24" s="37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  <c r="AW24" s="5"/>
      <c r="AX24" s="5"/>
      <c r="AY24" s="5"/>
      <c r="AZ24" s="5"/>
      <c r="BA24" s="5"/>
      <c r="BB24" s="5"/>
    </row>
    <row r="25" spans="1:54">
      <c r="A25" s="44"/>
      <c r="B25" s="41"/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>
        <v>14</v>
      </c>
      <c r="T25" s="34"/>
      <c r="U25" s="34"/>
      <c r="V25" s="34"/>
      <c r="W25" s="34"/>
      <c r="X25" s="34"/>
      <c r="Y25" s="34"/>
      <c r="Z25" s="34"/>
      <c r="AA25" s="35">
        <v>550</v>
      </c>
      <c r="AB25" s="42">
        <f t="shared" si="3"/>
        <v>7700</v>
      </c>
      <c r="AC25" s="43"/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  <c r="AW25" s="5"/>
      <c r="AX25" s="5"/>
      <c r="AY25" s="5"/>
      <c r="AZ25" s="5"/>
      <c r="BA25" s="5"/>
      <c r="BB25" s="5"/>
    </row>
    <row r="26" spans="1:54">
      <c r="A26" s="44">
        <v>46161</v>
      </c>
      <c r="B26" s="41">
        <v>33911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>
        <v>710</v>
      </c>
      <c r="AA26" s="35">
        <v>26</v>
      </c>
      <c r="AB26" s="42">
        <f t="shared" si="4"/>
        <v>18460</v>
      </c>
      <c r="AC26" s="43">
        <v>5295</v>
      </c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  <c r="AW26" s="5"/>
      <c r="AX26" s="5"/>
      <c r="AY26" s="5"/>
      <c r="AZ26" s="5"/>
      <c r="BA26" s="5"/>
      <c r="BB26" s="5"/>
    </row>
    <row r="27" spans="1:54">
      <c r="A27" s="44"/>
      <c r="B27" s="41"/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>
        <v>14</v>
      </c>
      <c r="T27" s="34"/>
      <c r="U27" s="34"/>
      <c r="V27" s="34"/>
      <c r="W27" s="34"/>
      <c r="X27" s="34"/>
      <c r="Y27" s="34"/>
      <c r="Z27" s="34"/>
      <c r="AA27" s="35">
        <v>550</v>
      </c>
      <c r="AB27" s="33">
        <f t="shared" ref="AB27:AB31" si="5">AA27*S27</f>
        <v>7700</v>
      </c>
      <c r="AC27" s="180"/>
      <c r="AD27" s="36"/>
      <c r="AE27" s="37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  <c r="AW27" s="5"/>
      <c r="AX27" s="5"/>
      <c r="AY27" s="5"/>
      <c r="AZ27" s="5"/>
      <c r="BA27" s="5"/>
      <c r="BB27" s="5"/>
    </row>
    <row r="28" spans="1:54">
      <c r="A28" s="44">
        <v>46162</v>
      </c>
      <c r="B28" s="41">
        <v>32236</v>
      </c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>
        <v>731</v>
      </c>
      <c r="AA28" s="35">
        <v>26</v>
      </c>
      <c r="AB28" s="33">
        <f t="shared" ref="AB28:AB32" si="6">Z28*AA28</f>
        <v>19006</v>
      </c>
      <c r="AC28" s="180">
        <v>5886</v>
      </c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  <c r="AW28" s="5"/>
      <c r="AX28" s="5"/>
      <c r="AY28" s="5"/>
      <c r="AZ28" s="5"/>
      <c r="BA28" s="5"/>
      <c r="BB28" s="5"/>
    </row>
    <row r="29" spans="1:54">
      <c r="A29" s="44"/>
      <c r="B29" s="41"/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>
        <v>14</v>
      </c>
      <c r="T29" s="34"/>
      <c r="U29" s="34"/>
      <c r="V29" s="34"/>
      <c r="W29" s="34"/>
      <c r="X29" s="34"/>
      <c r="Y29" s="34"/>
      <c r="Z29" s="34"/>
      <c r="AA29" s="35">
        <v>550</v>
      </c>
      <c r="AB29" s="42">
        <f t="shared" si="5"/>
        <v>7700</v>
      </c>
      <c r="AC29" s="43"/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  <c r="AW29" s="5"/>
      <c r="AX29" s="5"/>
      <c r="AY29" s="5"/>
      <c r="AZ29" s="5"/>
      <c r="BA29" s="5"/>
      <c r="BB29" s="5"/>
    </row>
    <row r="30" spans="1:54">
      <c r="A30" s="44">
        <v>46163</v>
      </c>
      <c r="B30" s="41">
        <v>37705</v>
      </c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>
        <v>686</v>
      </c>
      <c r="AA30" s="35">
        <v>26</v>
      </c>
      <c r="AB30" s="42">
        <f t="shared" si="6"/>
        <v>17836</v>
      </c>
      <c r="AC30" s="43">
        <v>5419</v>
      </c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  <c r="AW30" s="5"/>
      <c r="AX30" s="5"/>
      <c r="AY30" s="5"/>
      <c r="AZ30" s="5"/>
      <c r="BA30" s="5"/>
      <c r="BB30" s="5"/>
    </row>
    <row r="31" spans="1:54">
      <c r="A31" s="44"/>
      <c r="B31" s="41"/>
      <c r="C31" s="34"/>
      <c r="D31" s="34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>
        <v>14</v>
      </c>
      <c r="T31" s="34"/>
      <c r="U31" s="34"/>
      <c r="V31" s="34"/>
      <c r="W31" s="34"/>
      <c r="X31" s="34"/>
      <c r="Y31" s="34"/>
      <c r="Z31" s="34"/>
      <c r="AA31" s="35">
        <v>550</v>
      </c>
      <c r="AB31" s="42">
        <f t="shared" si="5"/>
        <v>7700</v>
      </c>
      <c r="AC31" s="43"/>
      <c r="AD31" s="36"/>
      <c r="AE31" s="37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  <c r="AW31" s="5"/>
      <c r="AX31" s="5"/>
      <c r="AY31" s="5"/>
      <c r="AZ31" s="5"/>
      <c r="BA31" s="5"/>
      <c r="BB31" s="5"/>
    </row>
    <row r="32" spans="1:54">
      <c r="A32" s="44">
        <v>46164</v>
      </c>
      <c r="B32" s="41">
        <v>31908</v>
      </c>
      <c r="C32" s="34"/>
      <c r="D32" s="34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>
        <v>705</v>
      </c>
      <c r="AA32" s="35">
        <v>26</v>
      </c>
      <c r="AB32" s="42">
        <f t="shared" si="6"/>
        <v>18330</v>
      </c>
      <c r="AC32" s="43">
        <v>5134</v>
      </c>
      <c r="AD32" s="36"/>
      <c r="AE32" s="37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  <c r="AW32" s="5"/>
      <c r="AX32" s="5"/>
      <c r="AY32" s="5"/>
      <c r="AZ32" s="5"/>
      <c r="BA32" s="5"/>
      <c r="BB32" s="5"/>
    </row>
    <row r="33" spans="1:60">
      <c r="A33" s="44"/>
      <c r="B33" s="41"/>
      <c r="C33" s="34"/>
      <c r="D33" s="34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>
        <v>14</v>
      </c>
      <c r="T33" s="34"/>
      <c r="U33" s="34"/>
      <c r="V33" s="34"/>
      <c r="W33" s="34"/>
      <c r="X33" s="34"/>
      <c r="Y33" s="34"/>
      <c r="Z33" s="34"/>
      <c r="AA33" s="35">
        <v>550</v>
      </c>
      <c r="AB33" s="42">
        <f>AA33*S33</f>
        <v>7700</v>
      </c>
      <c r="AC33" s="43"/>
      <c r="AD33" s="36"/>
      <c r="AE33" s="37"/>
      <c r="AF33" s="38"/>
      <c r="AG33" s="36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"/>
      <c r="AU33" s="3"/>
      <c r="AV33" s="4"/>
      <c r="AW33" s="5"/>
      <c r="AX33" s="5"/>
      <c r="AY33" s="5"/>
      <c r="AZ33" s="5"/>
      <c r="BA33" s="5"/>
      <c r="BB33" s="5"/>
    </row>
    <row r="34" spans="1:60">
      <c r="A34" s="44">
        <v>46165</v>
      </c>
      <c r="B34" s="41">
        <v>60056</v>
      </c>
      <c r="C34" s="34"/>
      <c r="D34" s="34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>
        <v>741</v>
      </c>
      <c r="AA34" s="35">
        <v>26</v>
      </c>
      <c r="AB34" s="42">
        <f t="shared" ref="AB34:AB40" si="7">Z34*AA34</f>
        <v>19266</v>
      </c>
      <c r="AC34" s="43">
        <v>5270</v>
      </c>
      <c r="AD34" s="36"/>
      <c r="AE34" s="37"/>
      <c r="AF34" s="38"/>
      <c r="AG34" s="36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"/>
      <c r="AU34" s="3"/>
      <c r="AV34" s="4"/>
      <c r="AW34" s="5"/>
      <c r="AX34" s="5"/>
      <c r="AY34" s="5"/>
      <c r="AZ34" s="5"/>
      <c r="BA34" s="5"/>
      <c r="BB34" s="5"/>
    </row>
    <row r="35" spans="1:60">
      <c r="A35" s="44"/>
      <c r="B35" s="41"/>
      <c r="C35" s="34"/>
      <c r="D35" s="34"/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>
        <v>16</v>
      </c>
      <c r="T35" s="34"/>
      <c r="U35" s="34"/>
      <c r="V35" s="34"/>
      <c r="W35" s="34"/>
      <c r="X35" s="34"/>
      <c r="Y35" s="34"/>
      <c r="Z35" s="34"/>
      <c r="AA35" s="35">
        <v>550</v>
      </c>
      <c r="AB35" s="42">
        <f>AA35*S35</f>
        <v>8800</v>
      </c>
      <c r="AC35" s="43"/>
      <c r="AD35" s="36"/>
      <c r="AE35" s="37"/>
      <c r="AF35" s="38"/>
      <c r="AG35" s="36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"/>
      <c r="AU35" s="3"/>
      <c r="AV35" s="4"/>
      <c r="AW35" s="5"/>
      <c r="AX35" s="5"/>
      <c r="AY35" s="5"/>
      <c r="AZ35" s="5"/>
      <c r="BA35" s="5"/>
      <c r="BB35" s="5"/>
    </row>
    <row r="36" spans="1:60">
      <c r="A36" s="44">
        <v>46167</v>
      </c>
      <c r="B36" s="41">
        <v>35145</v>
      </c>
      <c r="C36" s="34"/>
      <c r="D36" s="34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>
        <v>1835</v>
      </c>
      <c r="AA36" s="35">
        <v>26</v>
      </c>
      <c r="AB36" s="42">
        <f t="shared" si="7"/>
        <v>47710</v>
      </c>
      <c r="AC36" s="43">
        <v>14217</v>
      </c>
      <c r="AD36" s="36"/>
      <c r="AE36" s="37"/>
      <c r="AF36" s="38"/>
      <c r="AG36" s="36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"/>
      <c r="AU36" s="3"/>
      <c r="AV36" s="4"/>
      <c r="AW36" s="5"/>
      <c r="AX36" s="5"/>
      <c r="AY36" s="5"/>
      <c r="AZ36" s="5"/>
      <c r="BA36" s="5"/>
      <c r="BB36" s="5"/>
    </row>
    <row r="37" spans="1:60">
      <c r="A37" s="44">
        <v>46168</v>
      </c>
      <c r="B37" s="41">
        <v>45167</v>
      </c>
      <c r="C37" s="34"/>
      <c r="D37" s="34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>
        <v>1801</v>
      </c>
      <c r="AA37" s="35">
        <v>26</v>
      </c>
      <c r="AB37" s="42">
        <f t="shared" si="7"/>
        <v>46826</v>
      </c>
      <c r="AC37" s="43">
        <v>8028</v>
      </c>
      <c r="AD37" s="36"/>
      <c r="AE37" s="37"/>
      <c r="AF37" s="38"/>
      <c r="AG37" s="36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"/>
      <c r="AU37" s="3"/>
      <c r="AV37" s="4"/>
      <c r="AW37" s="5"/>
      <c r="AX37" s="5"/>
      <c r="AY37" s="5"/>
      <c r="AZ37" s="5"/>
      <c r="BA37" s="5"/>
      <c r="BB37" s="5"/>
    </row>
    <row r="38" spans="1:60">
      <c r="A38" s="44">
        <v>46169</v>
      </c>
      <c r="B38" s="41">
        <v>64686</v>
      </c>
      <c r="C38" s="34"/>
      <c r="D38" s="34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>
        <v>1796</v>
      </c>
      <c r="AA38" s="35">
        <v>26</v>
      </c>
      <c r="AB38" s="42">
        <f t="shared" si="7"/>
        <v>46696</v>
      </c>
      <c r="AC38" s="43">
        <v>6930</v>
      </c>
      <c r="AD38" s="36"/>
      <c r="AE38" s="37"/>
      <c r="AF38" s="38"/>
      <c r="AG38" s="36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"/>
      <c r="AU38" s="3"/>
      <c r="AV38" s="4"/>
      <c r="AW38" s="5"/>
      <c r="AX38" s="5"/>
      <c r="AY38" s="5"/>
      <c r="AZ38" s="5"/>
      <c r="BA38" s="5"/>
      <c r="BB38" s="5"/>
    </row>
    <row r="39" spans="1:60">
      <c r="A39" s="44">
        <v>46170</v>
      </c>
      <c r="B39" s="41">
        <v>56393</v>
      </c>
      <c r="C39" s="34"/>
      <c r="D39" s="34"/>
      <c r="E39" s="33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>
        <v>1780</v>
      </c>
      <c r="AA39" s="35">
        <v>26</v>
      </c>
      <c r="AB39" s="42">
        <f t="shared" si="7"/>
        <v>46280</v>
      </c>
      <c r="AC39" s="43">
        <v>8750</v>
      </c>
      <c r="AD39" s="36"/>
      <c r="AE39" s="37"/>
      <c r="AF39" s="38"/>
      <c r="AG39" s="36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"/>
      <c r="AU39" s="3"/>
      <c r="AV39" s="4"/>
      <c r="AW39" s="5"/>
      <c r="AX39" s="5"/>
      <c r="AY39" s="5"/>
      <c r="AZ39" s="5"/>
      <c r="BA39" s="5"/>
      <c r="BB39" s="5"/>
    </row>
    <row r="40" spans="1:60">
      <c r="A40" s="44">
        <v>46171</v>
      </c>
      <c r="B40" s="41">
        <v>11210</v>
      </c>
      <c r="C40" s="34"/>
      <c r="D40" s="34"/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>
        <v>426</v>
      </c>
      <c r="AA40" s="35">
        <v>26</v>
      </c>
      <c r="AB40" s="42">
        <f t="shared" si="7"/>
        <v>11076</v>
      </c>
      <c r="AC40" s="43">
        <v>4630</v>
      </c>
      <c r="AD40" s="36"/>
      <c r="AE40" s="37"/>
      <c r="AF40" s="38"/>
      <c r="AG40" s="36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"/>
      <c r="AU40" s="3"/>
      <c r="AV40" s="4"/>
      <c r="AW40" s="5"/>
      <c r="AX40" s="5"/>
      <c r="AY40" s="5"/>
      <c r="AZ40" s="5"/>
      <c r="BA40" s="5"/>
      <c r="BB40" s="5"/>
    </row>
    <row r="41" spans="1:60">
      <c r="A41" s="44"/>
      <c r="B41" s="41"/>
      <c r="C41" s="34"/>
      <c r="D41" s="34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  <c r="AB41" s="42"/>
      <c r="AC41" s="43"/>
      <c r="AD41" s="36"/>
      <c r="AE41" s="37"/>
      <c r="AF41" s="38"/>
      <c r="AG41" s="36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"/>
      <c r="AU41" s="3"/>
      <c r="AV41" s="4"/>
      <c r="AW41" s="5"/>
      <c r="AX41" s="5"/>
      <c r="AY41" s="5"/>
      <c r="AZ41" s="5"/>
      <c r="BA41" s="5"/>
      <c r="BB41" s="5"/>
    </row>
    <row r="42" spans="1:60">
      <c r="A42" s="44"/>
      <c r="B42" s="41"/>
      <c r="C42" s="34"/>
      <c r="D42" s="34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5"/>
      <c r="AB42" s="42"/>
      <c r="AC42" s="43"/>
      <c r="AD42" s="36"/>
      <c r="AE42" s="37"/>
      <c r="AF42" s="38"/>
      <c r="AG42" s="36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"/>
      <c r="AU42" s="3"/>
      <c r="AV42" s="4"/>
      <c r="AW42" s="5"/>
      <c r="AX42" s="5"/>
      <c r="AY42" s="5"/>
      <c r="AZ42" s="5"/>
      <c r="BA42" s="5"/>
      <c r="BB42" s="5"/>
    </row>
    <row r="43" spans="1:60">
      <c r="A43" s="44"/>
      <c r="B43" s="41"/>
      <c r="C43" s="34"/>
      <c r="D43" s="34"/>
      <c r="E43" s="33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5"/>
      <c r="AB43" s="42"/>
      <c r="AC43" s="43"/>
      <c r="AD43" s="36"/>
      <c r="AE43" s="37"/>
      <c r="AF43" s="38"/>
      <c r="AG43" s="36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"/>
      <c r="AU43" s="3"/>
      <c r="AV43" s="4"/>
      <c r="AW43" s="5"/>
      <c r="AX43" s="5"/>
      <c r="AY43" s="5"/>
      <c r="AZ43" s="5"/>
      <c r="BA43" s="5"/>
      <c r="BB43" s="5"/>
    </row>
    <row r="44" spans="1:60">
      <c r="A44" s="44"/>
      <c r="B44" s="41"/>
      <c r="C44" s="34"/>
      <c r="D44" s="34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5"/>
      <c r="AB44" s="33"/>
      <c r="AC44" s="43"/>
      <c r="AD44" s="36"/>
      <c r="AE44" s="37"/>
      <c r="AF44" s="38"/>
      <c r="AG44" s="36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"/>
      <c r="AU44" s="3"/>
      <c r="AV44" s="4"/>
      <c r="AW44" s="5"/>
      <c r="AX44" s="5"/>
      <c r="AY44" s="5"/>
      <c r="AZ44" s="5"/>
      <c r="BA44" s="5"/>
      <c r="BB44" s="5"/>
    </row>
    <row r="45" ht="15.75" spans="1:60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39"/>
      <c r="AE45" s="47"/>
      <c r="AF45" s="48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49"/>
      <c r="AW45" s="50"/>
      <c r="AX45" s="50"/>
      <c r="AY45" s="50"/>
      <c r="AZ45" s="50"/>
      <c r="BA45" s="50"/>
      <c r="BB45" s="50"/>
    </row>
    <row r="46" ht="15.75" spans="1:60">
      <c r="A46" s="51" t="s">
        <v>55</v>
      </c>
      <c r="B46" s="52">
        <f t="shared" ref="B46:N46" si="8">SUM(B6:B44)</f>
        <v>812603</v>
      </c>
      <c r="C46" s="52">
        <f t="shared" si="8"/>
        <v>0</v>
      </c>
      <c r="D46" s="52">
        <f>SUM(D6:D45)</f>
        <v>0</v>
      </c>
      <c r="E46" s="52">
        <f t="shared" si="8"/>
        <v>0</v>
      </c>
      <c r="F46" s="52">
        <f t="shared" si="8"/>
        <v>0</v>
      </c>
      <c r="G46" s="52">
        <f t="shared" si="8"/>
        <v>0</v>
      </c>
      <c r="H46" s="52">
        <f t="shared" si="8"/>
        <v>0</v>
      </c>
      <c r="I46" s="52">
        <f t="shared" si="8"/>
        <v>0</v>
      </c>
      <c r="J46" s="52">
        <f t="shared" si="8"/>
        <v>0</v>
      </c>
      <c r="K46" s="52">
        <f t="shared" si="8"/>
        <v>0</v>
      </c>
      <c r="L46" s="52">
        <f t="shared" si="8"/>
        <v>0</v>
      </c>
      <c r="M46" s="52">
        <f t="shared" si="8"/>
        <v>0</v>
      </c>
      <c r="N46" s="52">
        <f t="shared" si="8"/>
        <v>0</v>
      </c>
      <c r="O46" s="52">
        <f>SUM(O6:O45)</f>
        <v>0</v>
      </c>
      <c r="P46" s="52">
        <f>SUM(P6:P44)</f>
        <v>0</v>
      </c>
      <c r="Q46" s="52">
        <f>SUM(Q6:Q45)</f>
        <v>0</v>
      </c>
      <c r="R46" s="52">
        <f>SUM(R6:R45)</f>
        <v>0</v>
      </c>
      <c r="S46" s="52">
        <f>SUM(S6:S45)</f>
        <v>138</v>
      </c>
      <c r="T46" s="52">
        <f>SUM(T6:T44)</f>
        <v>0</v>
      </c>
      <c r="U46" s="52">
        <f>SUM(U6:U44)</f>
        <v>0</v>
      </c>
      <c r="V46" s="52">
        <f>SUM(V6:V44)</f>
        <v>0</v>
      </c>
      <c r="W46" s="52"/>
      <c r="X46" s="52">
        <f>SUM(X6:X44)</f>
        <v>0</v>
      </c>
      <c r="Y46" s="52">
        <f>SUM(Y6:Y44)</f>
        <v>0</v>
      </c>
      <c r="Z46" s="52">
        <f>SUM(Z6:Z45)</f>
        <v>21963</v>
      </c>
      <c r="AA46" s="52">
        <f>SUM(AA6:AA45)</f>
        <v>6648</v>
      </c>
      <c r="AB46" s="53">
        <f>SUM(AB6:AB45)</f>
        <v>646938</v>
      </c>
      <c r="AC46" s="53">
        <f>SUM(AC6:AC45)</f>
        <v>121461</v>
      </c>
      <c r="AD46" s="54">
        <v>79.48</v>
      </c>
      <c r="AE46" s="54">
        <f>100-AD46</f>
        <v>20.52</v>
      </c>
      <c r="AF46" s="54">
        <v>14.95</v>
      </c>
      <c r="AG46" s="55">
        <f>AE46-AF46</f>
        <v>5.57</v>
      </c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7"/>
      <c r="AU46" s="57"/>
      <c r="AV46" s="58">
        <f>SUM(B46:E46)</f>
        <v>812603</v>
      </c>
      <c r="AW46" s="59">
        <f>AB46/AV46*100</f>
        <v>79.6130459769408</v>
      </c>
      <c r="AX46" s="59">
        <f>AC46/AV46*100</f>
        <v>14.9471513149718</v>
      </c>
      <c r="AY46" s="5"/>
      <c r="AZ46" s="5"/>
      <c r="BA46" s="5"/>
      <c r="BB46" s="5"/>
    </row>
    <row r="47" spans="1:6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5"/>
      <c r="AV47" s="5"/>
      <c r="AW47" s="5"/>
      <c r="AX47" s="5"/>
      <c r="AY47" s="5"/>
      <c r="AZ47" s="5"/>
      <c r="BA47" s="5"/>
      <c r="BB47" s="5"/>
    </row>
    <row r="48" spans="1:60">
      <c r="A48" s="4"/>
      <c r="B48" s="58"/>
      <c r="C48" s="58"/>
      <c r="D48" s="5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58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8"/>
      <c r="AE48" s="60"/>
      <c r="AF48" s="61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5"/>
      <c r="BB48" s="5"/>
      <c r="BC48" s="5"/>
      <c r="BD48" s="5"/>
      <c r="BE48" s="5"/>
      <c r="BF48" s="5"/>
      <c r="BG48" s="5"/>
      <c r="BH48" s="5"/>
    </row>
    <row r="49" spans="1:60">
      <c r="A49" s="62" t="s">
        <v>56</v>
      </c>
      <c r="B49" s="3"/>
      <c r="C49" s="3"/>
      <c r="D49" s="6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58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8"/>
      <c r="AE49" s="4"/>
      <c r="AF49" s="58"/>
      <c r="AG49" s="5"/>
      <c r="AH49" s="4"/>
      <c r="AI49" s="64"/>
      <c r="AJ49" s="64"/>
      <c r="AK49" s="64"/>
      <c r="AL49" s="6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5"/>
      <c r="BB49" s="5"/>
      <c r="BC49" s="5"/>
      <c r="BD49" s="5"/>
      <c r="BE49" s="5"/>
      <c r="BF49" s="5"/>
      <c r="BG49" s="5"/>
      <c r="BH49" s="5"/>
    </row>
    <row r="50" spans="1:60">
      <c r="A50" s="62" t="s">
        <v>57</v>
      </c>
      <c r="B50" s="3"/>
      <c r="C50" s="3"/>
      <c r="D50" s="3"/>
      <c r="E50" s="65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 t="s">
        <v>58</v>
      </c>
      <c r="W50" s="4"/>
      <c r="X50" s="4"/>
      <c r="Y50" s="4"/>
      <c r="Z50" s="4"/>
      <c r="AA50" s="4"/>
      <c r="AB50" s="4"/>
      <c r="AC50" s="4"/>
      <c r="AD50" s="58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5"/>
      <c r="BB50" s="5"/>
      <c r="BC50" s="5"/>
      <c r="BD50" s="5"/>
      <c r="BE50" s="5"/>
      <c r="BF50" s="5"/>
      <c r="BG50" s="5"/>
      <c r="BH50" s="5"/>
    </row>
    <row r="51" spans="1:60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58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5"/>
      <c r="BB51" s="5"/>
      <c r="BC51" s="5"/>
      <c r="BD51" s="5"/>
      <c r="BE51" s="5"/>
      <c r="BF51" s="5"/>
      <c r="BG51" s="5"/>
      <c r="BH51" s="5"/>
    </row>
    <row r="52" spans="1:60">
      <c r="A52" s="62" t="s">
        <v>59</v>
      </c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5"/>
      <c r="BB52" s="5"/>
      <c r="BC52" s="5"/>
      <c r="BD52" s="5"/>
      <c r="BE52" s="5"/>
      <c r="BF52" s="5"/>
      <c r="BG52" s="5"/>
      <c r="BH52" s="5"/>
    </row>
    <row r="53" spans="1:60">
      <c r="A53" s="3"/>
      <c r="B53" s="4" t="s">
        <v>60</v>
      </c>
      <c r="C53" s="4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5"/>
      <c r="BB53" s="5"/>
      <c r="BC53" s="5"/>
      <c r="BD53" s="5"/>
      <c r="BE53" s="5"/>
      <c r="BF53" s="5"/>
      <c r="BG53" s="5"/>
      <c r="BH53" s="5"/>
    </row>
    <row r="54" spans="1:60">
      <c r="A54" s="3"/>
      <c r="B54" s="66"/>
      <c r="C54" s="66"/>
      <c r="D54" s="3"/>
      <c r="E54" s="3"/>
      <c r="F54" s="3"/>
      <c r="G54" s="3"/>
      <c r="H54" s="4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5"/>
      <c r="BB54" s="5"/>
      <c r="BC54" s="5"/>
      <c r="BD54" s="5"/>
      <c r="BE54" s="5"/>
      <c r="BF54" s="5"/>
      <c r="BG54" s="5"/>
      <c r="BH54" s="5"/>
    </row>
    <row r="55" spans="1:60">
      <c r="A55" s="3"/>
      <c r="B55" s="67"/>
      <c r="C55" s="67" t="s">
        <v>61</v>
      </c>
      <c r="D55" s="68"/>
      <c r="E55" s="68"/>
      <c r="F55" s="68"/>
      <c r="G55" s="68"/>
      <c r="H55" s="69"/>
      <c r="I55" s="70" t="s">
        <v>62</v>
      </c>
      <c r="J55" s="70" t="s">
        <v>63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5"/>
      <c r="BB55" s="5"/>
      <c r="BC55" s="5"/>
      <c r="BD55" s="5"/>
      <c r="BE55" s="5"/>
      <c r="BF55" s="5"/>
      <c r="BG55" s="5"/>
      <c r="BH55" s="5"/>
    </row>
    <row r="56" spans="1:60">
      <c r="A56" s="3"/>
      <c r="B56" s="71"/>
      <c r="C56" s="71" t="s">
        <v>64</v>
      </c>
      <c r="D56" s="71" t="s">
        <v>65</v>
      </c>
      <c r="E56" s="72" t="s">
        <v>66</v>
      </c>
      <c r="F56" s="73" t="s">
        <v>67</v>
      </c>
      <c r="G56" s="74" t="s">
        <v>68</v>
      </c>
      <c r="H56" s="71" t="s">
        <v>69</v>
      </c>
      <c r="I56" s="74" t="s">
        <v>70</v>
      </c>
      <c r="J56" s="75" t="s">
        <v>71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5"/>
      <c r="BB56" s="5"/>
      <c r="BC56" s="5"/>
      <c r="BD56" s="5"/>
      <c r="BE56" s="5"/>
      <c r="BF56" s="5"/>
      <c r="BG56" s="5"/>
      <c r="BH56" s="5"/>
    </row>
    <row r="57" spans="1:60">
      <c r="A57" s="76">
        <v>48.28</v>
      </c>
      <c r="B57" s="77" t="s">
        <v>478</v>
      </c>
      <c r="C57" s="79">
        <v>6258</v>
      </c>
      <c r="D57" s="79">
        <v>6258</v>
      </c>
      <c r="E57" s="79">
        <v>6258</v>
      </c>
      <c r="F57" s="80"/>
      <c r="G57" s="81" t="s">
        <v>73</v>
      </c>
      <c r="H57" s="79">
        <f>B138</f>
        <v>3692</v>
      </c>
      <c r="I57" s="82" t="s">
        <v>73</v>
      </c>
      <c r="J57" s="83" t="s">
        <v>479</v>
      </c>
      <c r="K57" s="84"/>
      <c r="L57" s="84"/>
      <c r="M57" s="85">
        <f>+C57*A57</f>
        <v>302136.24</v>
      </c>
      <c r="N57" s="85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5"/>
      <c r="BB57" s="5"/>
      <c r="BC57" s="5"/>
      <c r="BD57" s="5"/>
      <c r="BE57" s="5"/>
      <c r="BF57" s="5"/>
      <c r="BG57" s="5"/>
      <c r="BH57" s="5"/>
    </row>
    <row r="58" spans="1:60">
      <c r="A58" s="76">
        <v>44.84</v>
      </c>
      <c r="B58" s="77" t="s">
        <v>481</v>
      </c>
      <c r="C58" s="79">
        <v>19235</v>
      </c>
      <c r="D58" s="79">
        <v>19235</v>
      </c>
      <c r="E58" s="79">
        <v>19235</v>
      </c>
      <c r="F58" s="80"/>
      <c r="G58" s="81" t="s">
        <v>73</v>
      </c>
      <c r="H58" s="79">
        <f>C138</f>
        <v>12063</v>
      </c>
      <c r="I58" s="82" t="s">
        <v>73</v>
      </c>
      <c r="J58" s="83" t="s">
        <v>482</v>
      </c>
      <c r="K58" s="84"/>
      <c r="L58" s="84"/>
      <c r="M58" s="85">
        <f>+C58*A58</f>
        <v>862497.4</v>
      </c>
      <c r="N58" s="85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5"/>
      <c r="BB58" s="5"/>
      <c r="BC58" s="5"/>
      <c r="BD58" s="5"/>
      <c r="BE58" s="5"/>
      <c r="BF58" s="5"/>
      <c r="BG58" s="5"/>
      <c r="BH58" s="5"/>
    </row>
    <row r="59" spans="1:60">
      <c r="A59" s="76">
        <v>47.52</v>
      </c>
      <c r="B59" s="77" t="s">
        <v>490</v>
      </c>
      <c r="C59" s="79">
        <v>40200</v>
      </c>
      <c r="D59" s="79">
        <v>40200</v>
      </c>
      <c r="E59" s="79">
        <v>40200</v>
      </c>
      <c r="F59" s="80"/>
      <c r="G59" s="81" t="s">
        <v>73</v>
      </c>
      <c r="H59" s="79">
        <f>D138</f>
        <v>35182</v>
      </c>
      <c r="I59" s="82" t="s">
        <v>73</v>
      </c>
      <c r="J59" s="83" t="s">
        <v>95</v>
      </c>
      <c r="K59" s="84"/>
      <c r="L59" s="84"/>
      <c r="M59" s="85">
        <f>+C59*A59</f>
        <v>1910304</v>
      </c>
      <c r="N59" s="85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5"/>
      <c r="BB59" s="5"/>
      <c r="BC59" s="5"/>
      <c r="BD59" s="5"/>
      <c r="BE59" s="5"/>
      <c r="BF59" s="5"/>
      <c r="BG59" s="5"/>
      <c r="BH59" s="5"/>
    </row>
    <row r="60" spans="1:60">
      <c r="A60" s="76">
        <v>23.73</v>
      </c>
      <c r="B60" s="77" t="s">
        <v>491</v>
      </c>
      <c r="C60" s="79">
        <v>37610</v>
      </c>
      <c r="D60" s="79">
        <v>37610</v>
      </c>
      <c r="E60" s="79">
        <v>37610</v>
      </c>
      <c r="F60" s="80">
        <v>19275</v>
      </c>
      <c r="G60" s="81" t="s">
        <v>73</v>
      </c>
      <c r="H60" s="79">
        <f>E138</f>
        <v>15234</v>
      </c>
      <c r="I60" s="82" t="s">
        <v>73</v>
      </c>
      <c r="J60" s="83" t="s">
        <v>492</v>
      </c>
      <c r="K60" s="84"/>
      <c r="L60" s="84"/>
      <c r="M60" s="85">
        <f>+C60*A60</f>
        <v>892485.3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5"/>
      <c r="BB60" s="5"/>
      <c r="BC60" s="5"/>
      <c r="BD60" s="5"/>
      <c r="BE60" s="5"/>
      <c r="BF60" s="5"/>
      <c r="BG60" s="5"/>
      <c r="BH60" s="5"/>
    </row>
    <row r="61" spans="1:60">
      <c r="A61" s="76">
        <v>48.28</v>
      </c>
      <c r="B61" s="77" t="s">
        <v>493</v>
      </c>
      <c r="C61" s="79">
        <v>63498</v>
      </c>
      <c r="D61" s="79">
        <v>63498</v>
      </c>
      <c r="E61" s="79">
        <v>63498</v>
      </c>
      <c r="F61" s="80"/>
      <c r="G61" s="81" t="s">
        <v>73</v>
      </c>
      <c r="H61" s="79">
        <v>57679</v>
      </c>
      <c r="I61" s="82" t="s">
        <v>73</v>
      </c>
      <c r="J61" s="83" t="s">
        <v>494</v>
      </c>
      <c r="K61" s="84"/>
      <c r="L61" s="84"/>
      <c r="M61" s="85">
        <f t="shared" ref="M61:M85" si="9">+C61*A61</f>
        <v>3065683.44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5"/>
      <c r="BB61" s="5"/>
      <c r="BC61" s="5"/>
      <c r="BD61" s="5"/>
      <c r="BE61" s="5"/>
      <c r="BF61" s="5"/>
      <c r="BG61" s="5"/>
      <c r="BH61" s="5"/>
    </row>
    <row r="62" spans="1:60">
      <c r="A62" s="76"/>
      <c r="B62" s="77" t="s">
        <v>602</v>
      </c>
      <c r="C62" s="79">
        <v>17095</v>
      </c>
      <c r="D62" s="79">
        <v>17095</v>
      </c>
      <c r="E62" s="79">
        <v>17095</v>
      </c>
      <c r="F62" s="80"/>
      <c r="G62" s="81" t="s">
        <v>73</v>
      </c>
      <c r="H62" s="79">
        <f>G138</f>
        <v>17095</v>
      </c>
      <c r="I62" s="82" t="s">
        <v>73</v>
      </c>
      <c r="J62" s="83" t="s">
        <v>91</v>
      </c>
      <c r="K62" s="84"/>
      <c r="L62" s="84"/>
      <c r="M62" s="85">
        <f t="shared" si="9"/>
        <v>0</v>
      </c>
      <c r="N62" s="85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5"/>
      <c r="BB62" s="5"/>
      <c r="BC62" s="5"/>
      <c r="BD62" s="5"/>
      <c r="BE62" s="5"/>
      <c r="BF62" s="5"/>
      <c r="BG62" s="5"/>
      <c r="BH62" s="5"/>
    </row>
    <row r="63" spans="1:60">
      <c r="A63" s="76">
        <v>23.73</v>
      </c>
      <c r="B63" s="77" t="s">
        <v>603</v>
      </c>
      <c r="C63" s="79">
        <v>63263</v>
      </c>
      <c r="D63" s="79">
        <v>63263</v>
      </c>
      <c r="E63" s="79">
        <v>63263</v>
      </c>
      <c r="F63" s="80">
        <v>49910</v>
      </c>
      <c r="G63" s="81" t="s">
        <v>73</v>
      </c>
      <c r="H63" s="79">
        <f>H138</f>
        <v>48913</v>
      </c>
      <c r="I63" s="82" t="s">
        <v>73</v>
      </c>
      <c r="J63" s="181" t="s">
        <v>604</v>
      </c>
      <c r="K63" s="84"/>
      <c r="L63" s="84"/>
      <c r="M63" s="85">
        <f t="shared" si="9"/>
        <v>1501230.99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5"/>
      <c r="BB63" s="5"/>
      <c r="BC63" s="5"/>
      <c r="BD63" s="5"/>
      <c r="BE63" s="5"/>
      <c r="BF63" s="5"/>
      <c r="BG63" s="5"/>
      <c r="BH63" s="5"/>
    </row>
    <row r="64" spans="1:60">
      <c r="A64" s="76">
        <v>47.52</v>
      </c>
      <c r="B64" s="77" t="s">
        <v>605</v>
      </c>
      <c r="C64" s="79">
        <v>72300</v>
      </c>
      <c r="D64" s="79">
        <v>72300</v>
      </c>
      <c r="E64" s="79">
        <v>72300</v>
      </c>
      <c r="F64" s="80"/>
      <c r="G64" s="81" t="s">
        <v>73</v>
      </c>
      <c r="H64" s="79">
        <f>I138</f>
        <v>66903</v>
      </c>
      <c r="I64" s="82" t="s">
        <v>73</v>
      </c>
      <c r="J64" s="83" t="s">
        <v>606</v>
      </c>
      <c r="K64" s="84"/>
      <c r="L64" s="84"/>
      <c r="M64" s="85">
        <f t="shared" si="9"/>
        <v>3435696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5"/>
      <c r="BB64" s="5"/>
      <c r="BC64" s="5"/>
      <c r="BD64" s="5"/>
      <c r="BE64" s="5"/>
      <c r="BF64" s="5"/>
      <c r="BG64" s="5"/>
      <c r="BH64" s="5"/>
    </row>
    <row r="65" spans="1:60">
      <c r="A65" s="76"/>
      <c r="B65" s="77" t="s">
        <v>607</v>
      </c>
      <c r="C65" s="79">
        <v>16845</v>
      </c>
      <c r="D65" s="79">
        <v>16845</v>
      </c>
      <c r="E65" s="79">
        <v>16845</v>
      </c>
      <c r="F65" s="80"/>
      <c r="G65" s="81" t="s">
        <v>73</v>
      </c>
      <c r="H65" s="79">
        <f>J138</f>
        <v>16845</v>
      </c>
      <c r="I65" s="82" t="s">
        <v>73</v>
      </c>
      <c r="J65" s="83" t="s">
        <v>91</v>
      </c>
      <c r="K65" s="84"/>
      <c r="L65" s="84"/>
      <c r="M65" s="85">
        <f t="shared" si="9"/>
        <v>0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5"/>
      <c r="BB65" s="5"/>
      <c r="BC65" s="5"/>
      <c r="BD65" s="5"/>
      <c r="BE65" s="5"/>
      <c r="BF65" s="5"/>
      <c r="BG65" s="5"/>
      <c r="BH65" s="5"/>
    </row>
    <row r="66" spans="1:60">
      <c r="A66" s="76">
        <v>23.73</v>
      </c>
      <c r="B66" s="77" t="s">
        <v>608</v>
      </c>
      <c r="C66" s="79">
        <v>60182</v>
      </c>
      <c r="D66" s="79">
        <v>60182</v>
      </c>
      <c r="E66" s="79">
        <v>60182</v>
      </c>
      <c r="F66" s="80">
        <v>45704</v>
      </c>
      <c r="G66" s="81" t="s">
        <v>73</v>
      </c>
      <c r="H66" s="182">
        <v>44894</v>
      </c>
      <c r="I66" s="82" t="s">
        <v>73</v>
      </c>
      <c r="J66" s="83" t="s">
        <v>609</v>
      </c>
      <c r="K66" s="84"/>
      <c r="L66" s="84"/>
      <c r="M66" s="85">
        <f t="shared" si="9"/>
        <v>1428118.86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5"/>
      <c r="BB66" s="5"/>
      <c r="BC66" s="5"/>
      <c r="BD66" s="5"/>
      <c r="BE66" s="5"/>
      <c r="BF66" s="5"/>
      <c r="BG66" s="5"/>
      <c r="BH66" s="5"/>
    </row>
    <row r="67" spans="1:60">
      <c r="A67" s="76"/>
      <c r="B67" s="77" t="s">
        <v>610</v>
      </c>
      <c r="C67" s="79">
        <v>18495</v>
      </c>
      <c r="D67" s="79">
        <v>18495</v>
      </c>
      <c r="E67" s="79">
        <v>18495</v>
      </c>
      <c r="F67" s="80"/>
      <c r="G67" s="81" t="s">
        <v>73</v>
      </c>
      <c r="H67" s="79">
        <f>L138</f>
        <v>18495</v>
      </c>
      <c r="I67" s="82" t="s">
        <v>73</v>
      </c>
      <c r="J67" s="83" t="s">
        <v>91</v>
      </c>
      <c r="K67" s="84"/>
      <c r="L67" s="84"/>
      <c r="M67" s="85">
        <f t="shared" si="9"/>
        <v>0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5"/>
      <c r="BB67" s="5"/>
      <c r="BC67" s="5"/>
      <c r="BD67" s="5"/>
      <c r="BE67" s="5"/>
      <c r="BF67" s="5"/>
      <c r="BG67" s="5"/>
      <c r="BH67" s="5"/>
    </row>
    <row r="68" spans="1:60">
      <c r="A68" s="76">
        <v>48.28</v>
      </c>
      <c r="B68" s="77" t="s">
        <v>611</v>
      </c>
      <c r="C68" s="79">
        <v>9288</v>
      </c>
      <c r="D68" s="79">
        <v>9288</v>
      </c>
      <c r="E68" s="79">
        <v>9288</v>
      </c>
      <c r="F68" s="80">
        <v>7766</v>
      </c>
      <c r="G68" s="81" t="s">
        <v>73</v>
      </c>
      <c r="H68" s="79">
        <f>N138</f>
        <v>7494</v>
      </c>
      <c r="I68" s="82" t="s">
        <v>73</v>
      </c>
      <c r="J68" s="83" t="s">
        <v>612</v>
      </c>
      <c r="K68" s="84"/>
      <c r="L68" s="84"/>
      <c r="M68" s="85">
        <f t="shared" si="9"/>
        <v>448424.64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5"/>
      <c r="BB68" s="5"/>
      <c r="BC68" s="5"/>
      <c r="BD68" s="5"/>
      <c r="BE68" s="5"/>
      <c r="BF68" s="5"/>
      <c r="BG68" s="5"/>
      <c r="BH68" s="5"/>
    </row>
    <row r="69" spans="1:60">
      <c r="A69" s="76">
        <v>47.52</v>
      </c>
      <c r="B69" s="77" t="s">
        <v>613</v>
      </c>
      <c r="C69" s="79">
        <v>54108</v>
      </c>
      <c r="D69" s="79">
        <v>54108</v>
      </c>
      <c r="E69" s="79">
        <v>54108</v>
      </c>
      <c r="F69" s="80"/>
      <c r="G69" s="81" t="s">
        <v>73</v>
      </c>
      <c r="H69" s="79">
        <v>50709</v>
      </c>
      <c r="I69" s="82" t="s">
        <v>73</v>
      </c>
      <c r="J69" s="83" t="s">
        <v>614</v>
      </c>
      <c r="K69" s="84"/>
      <c r="L69" s="84"/>
      <c r="M69" s="85">
        <f t="shared" si="9"/>
        <v>2571212.16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5"/>
      <c r="BB69" s="5"/>
      <c r="BC69" s="5"/>
      <c r="BD69" s="5"/>
      <c r="BE69" s="5"/>
      <c r="BF69" s="5"/>
      <c r="BG69" s="5"/>
      <c r="BH69" s="5"/>
    </row>
    <row r="70" spans="1:60">
      <c r="A70" s="76">
        <v>48.28</v>
      </c>
      <c r="B70" s="77" t="s">
        <v>615</v>
      </c>
      <c r="C70" s="79">
        <v>33872</v>
      </c>
      <c r="D70" s="79">
        <v>33872</v>
      </c>
      <c r="E70" s="79">
        <v>33872</v>
      </c>
      <c r="F70" s="80">
        <v>27532</v>
      </c>
      <c r="G70" s="81" t="s">
        <v>73</v>
      </c>
      <c r="H70" s="79">
        <f>O138</f>
        <v>26995</v>
      </c>
      <c r="I70" s="82" t="s">
        <v>73</v>
      </c>
      <c r="J70" s="83" t="s">
        <v>616</v>
      </c>
      <c r="K70" s="84"/>
      <c r="L70" s="84"/>
      <c r="M70" s="85">
        <f t="shared" si="9"/>
        <v>1635340.16</v>
      </c>
      <c r="N70" s="85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5"/>
      <c r="BB70" s="5"/>
      <c r="BC70" s="5"/>
      <c r="BD70" s="5"/>
      <c r="BE70" s="5"/>
      <c r="BF70" s="5"/>
      <c r="BG70" s="5"/>
      <c r="BH70" s="5"/>
    </row>
    <row r="71" spans="1:60">
      <c r="A71" s="76">
        <v>47.52</v>
      </c>
      <c r="B71" s="77" t="s">
        <v>617</v>
      </c>
      <c r="C71" s="79">
        <v>33140</v>
      </c>
      <c r="D71" s="79">
        <v>33140</v>
      </c>
      <c r="E71" s="79">
        <v>33140</v>
      </c>
      <c r="F71" s="80">
        <v>24670</v>
      </c>
      <c r="G71" s="81" t="s">
        <v>73</v>
      </c>
      <c r="H71" s="79">
        <f>P138</f>
        <v>27206</v>
      </c>
      <c r="I71" s="82" t="s">
        <v>73</v>
      </c>
      <c r="J71" s="83" t="s">
        <v>618</v>
      </c>
      <c r="K71" s="84"/>
      <c r="L71" s="84"/>
      <c r="M71" s="85">
        <f t="shared" si="9"/>
        <v>1574812.8</v>
      </c>
      <c r="N71" s="85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5"/>
      <c r="BB71" s="5"/>
      <c r="BC71" s="5"/>
      <c r="BD71" s="5"/>
      <c r="BE71" s="5"/>
      <c r="BF71" s="5"/>
      <c r="BG71" s="5"/>
      <c r="BH71" s="5"/>
    </row>
    <row r="72" spans="1:60">
      <c r="A72" s="76"/>
      <c r="B72" s="77" t="s">
        <v>619</v>
      </c>
      <c r="C72" s="79">
        <v>19250</v>
      </c>
      <c r="D72" s="79">
        <v>19250</v>
      </c>
      <c r="E72" s="79">
        <v>19250</v>
      </c>
      <c r="F72" s="80"/>
      <c r="G72" s="81" t="s">
        <v>73</v>
      </c>
      <c r="H72" s="79">
        <f>Q138</f>
        <v>19250</v>
      </c>
      <c r="I72" s="82" t="s">
        <v>73</v>
      </c>
      <c r="J72" s="83" t="s">
        <v>91</v>
      </c>
      <c r="K72" s="84"/>
      <c r="L72" s="84"/>
      <c r="M72" s="85">
        <f t="shared" si="9"/>
        <v>0</v>
      </c>
      <c r="N72" s="85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5"/>
      <c r="BB72" s="5"/>
      <c r="BC72" s="5"/>
      <c r="BD72" s="5"/>
      <c r="BE72" s="5"/>
      <c r="BF72" s="5"/>
      <c r="BG72" s="5"/>
      <c r="BH72" s="5"/>
    </row>
    <row r="73" spans="1:60">
      <c r="A73" s="76">
        <v>46.84</v>
      </c>
      <c r="B73" s="77" t="s">
        <v>620</v>
      </c>
      <c r="C73" s="79">
        <v>18250</v>
      </c>
      <c r="D73" s="79">
        <v>18250</v>
      </c>
      <c r="E73" s="79">
        <v>18250</v>
      </c>
      <c r="F73" s="80"/>
      <c r="G73" s="81" t="s">
        <v>73</v>
      </c>
      <c r="H73" s="79">
        <f>R138</f>
        <v>17997</v>
      </c>
      <c r="I73" s="82" t="s">
        <v>73</v>
      </c>
      <c r="J73" s="83" t="s">
        <v>621</v>
      </c>
      <c r="K73" s="84"/>
      <c r="L73" s="84"/>
      <c r="M73" s="85">
        <f t="shared" si="9"/>
        <v>854830</v>
      </c>
      <c r="N73" s="85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5"/>
      <c r="BB73" s="5"/>
      <c r="BC73" s="5"/>
      <c r="BD73" s="5"/>
      <c r="BE73" s="5"/>
      <c r="BF73" s="5"/>
      <c r="BG73" s="5"/>
      <c r="BH73" s="5"/>
    </row>
    <row r="74" spans="1:60">
      <c r="A74" s="76">
        <v>47.52</v>
      </c>
      <c r="B74" s="77" t="s">
        <v>622</v>
      </c>
      <c r="C74" s="79">
        <v>24711</v>
      </c>
      <c r="D74" s="79">
        <v>24711</v>
      </c>
      <c r="E74" s="79">
        <v>24711</v>
      </c>
      <c r="F74" s="80">
        <v>20077</v>
      </c>
      <c r="G74" s="81" t="s">
        <v>73</v>
      </c>
      <c r="H74" s="79">
        <f>S138</f>
        <v>21094</v>
      </c>
      <c r="I74" s="82" t="s">
        <v>73</v>
      </c>
      <c r="J74" s="83" t="s">
        <v>475</v>
      </c>
      <c r="K74" s="84"/>
      <c r="L74" s="84"/>
      <c r="M74" s="85">
        <f t="shared" si="9"/>
        <v>1174266.72</v>
      </c>
      <c r="N74" s="85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5"/>
      <c r="BB74" s="5"/>
      <c r="BC74" s="5"/>
      <c r="BD74" s="5"/>
      <c r="BE74" s="5"/>
      <c r="BF74" s="5"/>
      <c r="BG74" s="5"/>
      <c r="BH74" s="5"/>
    </row>
    <row r="75" spans="1:60">
      <c r="A75" s="76">
        <v>48.28</v>
      </c>
      <c r="B75" s="77" t="s">
        <v>623</v>
      </c>
      <c r="C75" s="79">
        <v>37265</v>
      </c>
      <c r="D75" s="79">
        <v>37265</v>
      </c>
      <c r="E75" s="79">
        <v>37265</v>
      </c>
      <c r="F75" s="80"/>
      <c r="G75" s="81" t="s">
        <v>73</v>
      </c>
      <c r="H75" s="79">
        <f>T138</f>
        <v>37146</v>
      </c>
      <c r="I75" s="82" t="s">
        <v>73</v>
      </c>
      <c r="J75" s="83" t="s">
        <v>624</v>
      </c>
      <c r="K75" s="84"/>
      <c r="L75" s="84"/>
      <c r="M75" s="85">
        <f t="shared" si="9"/>
        <v>1799154.2</v>
      </c>
      <c r="N75" s="85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5"/>
      <c r="BB75" s="5"/>
      <c r="BC75" s="5"/>
      <c r="BD75" s="5"/>
      <c r="BE75" s="5"/>
      <c r="BF75" s="5"/>
      <c r="BG75" s="5"/>
      <c r="BH75" s="5"/>
    </row>
    <row r="76" spans="1:60">
      <c r="A76" s="76"/>
      <c r="B76" s="77" t="s">
        <v>625</v>
      </c>
      <c r="C76" s="79">
        <v>20930</v>
      </c>
      <c r="D76" s="79">
        <v>20930</v>
      </c>
      <c r="E76" s="79">
        <v>20930</v>
      </c>
      <c r="F76" s="80"/>
      <c r="G76" s="81" t="s">
        <v>73</v>
      </c>
      <c r="H76" s="79">
        <v>20930</v>
      </c>
      <c r="I76" s="82" t="s">
        <v>73</v>
      </c>
      <c r="J76" s="83" t="s">
        <v>91</v>
      </c>
      <c r="K76" s="84"/>
      <c r="L76" s="84"/>
      <c r="M76" s="85">
        <f t="shared" si="9"/>
        <v>0</v>
      </c>
      <c r="N76" s="85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5"/>
      <c r="BB76" s="5"/>
      <c r="BC76" s="5"/>
      <c r="BD76" s="5"/>
      <c r="BE76" s="5"/>
      <c r="BF76" s="5"/>
      <c r="BG76" s="5"/>
      <c r="BH76" s="5"/>
    </row>
    <row r="77" spans="1:60">
      <c r="A77" s="76">
        <v>48.28</v>
      </c>
      <c r="B77" s="77" t="s">
        <v>626</v>
      </c>
      <c r="C77" s="79">
        <v>46605</v>
      </c>
      <c r="D77" s="79">
        <v>46605</v>
      </c>
      <c r="E77" s="79">
        <v>46605</v>
      </c>
      <c r="F77" s="80"/>
      <c r="G77" s="81" t="s">
        <v>73</v>
      </c>
      <c r="H77" s="79">
        <v>45596</v>
      </c>
      <c r="I77" s="82" t="s">
        <v>73</v>
      </c>
      <c r="J77" s="83" t="s">
        <v>627</v>
      </c>
      <c r="K77" s="84"/>
      <c r="L77" s="84"/>
      <c r="M77" s="85">
        <f t="shared" si="9"/>
        <v>2250089.4</v>
      </c>
      <c r="N77" s="85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5"/>
      <c r="BB77" s="5"/>
      <c r="BC77" s="5"/>
      <c r="BD77" s="5"/>
      <c r="BE77" s="5"/>
      <c r="BF77" s="5"/>
      <c r="BG77" s="5"/>
      <c r="BH77" s="5"/>
    </row>
    <row r="78" spans="1:60">
      <c r="A78" s="76"/>
      <c r="B78" s="77" t="s">
        <v>628</v>
      </c>
      <c r="C78" s="79">
        <v>20060</v>
      </c>
      <c r="D78" s="79">
        <v>20060</v>
      </c>
      <c r="E78" s="79">
        <v>20060</v>
      </c>
      <c r="F78" s="80"/>
      <c r="G78" s="81" t="s">
        <v>73</v>
      </c>
      <c r="H78" s="79">
        <v>20060</v>
      </c>
      <c r="I78" s="82" t="s">
        <v>73</v>
      </c>
      <c r="J78" s="83" t="s">
        <v>91</v>
      </c>
      <c r="K78" s="84"/>
      <c r="L78" s="84"/>
      <c r="M78" s="85">
        <f t="shared" si="9"/>
        <v>0</v>
      </c>
      <c r="N78" s="85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5"/>
      <c r="BB78" s="5"/>
      <c r="BC78" s="5"/>
      <c r="BD78" s="5"/>
      <c r="BE78" s="5"/>
      <c r="BF78" s="5"/>
      <c r="BG78" s="5"/>
      <c r="BH78" s="5"/>
    </row>
    <row r="79" spans="1:60">
      <c r="A79" s="76"/>
      <c r="B79" s="77" t="s">
        <v>629</v>
      </c>
      <c r="C79" s="79">
        <v>57430</v>
      </c>
      <c r="D79" s="79">
        <v>57430</v>
      </c>
      <c r="E79" s="79">
        <v>57430</v>
      </c>
      <c r="F79" s="80"/>
      <c r="G79" s="81" t="s">
        <v>73</v>
      </c>
      <c r="H79" s="79">
        <v>53890</v>
      </c>
      <c r="I79" s="82" t="s">
        <v>73</v>
      </c>
      <c r="J79" s="83" t="s">
        <v>630</v>
      </c>
      <c r="K79" s="84"/>
      <c r="L79" s="84"/>
      <c r="M79" s="85">
        <f t="shared" si="9"/>
        <v>0</v>
      </c>
      <c r="N79" s="85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5"/>
      <c r="BB79" s="5"/>
      <c r="BC79" s="5"/>
      <c r="BD79" s="5"/>
      <c r="BE79" s="5"/>
      <c r="BF79" s="5"/>
      <c r="BG79" s="5"/>
      <c r="BH79" s="5"/>
    </row>
    <row r="80" spans="1:60">
      <c r="A80" s="76"/>
      <c r="B80" s="77" t="s">
        <v>631</v>
      </c>
      <c r="C80" s="79">
        <v>48225</v>
      </c>
      <c r="D80" s="79">
        <v>48225</v>
      </c>
      <c r="E80" s="79">
        <v>48225</v>
      </c>
      <c r="F80" s="80"/>
      <c r="G80" s="81" t="s">
        <v>73</v>
      </c>
      <c r="H80" s="79">
        <v>45200</v>
      </c>
      <c r="I80" s="82" t="s">
        <v>73</v>
      </c>
      <c r="J80" s="83" t="s">
        <v>632</v>
      </c>
      <c r="K80" s="84"/>
      <c r="L80" s="84"/>
      <c r="M80" s="85">
        <f t="shared" si="9"/>
        <v>0</v>
      </c>
      <c r="N80" s="85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5"/>
      <c r="BB80" s="5"/>
      <c r="BC80" s="5"/>
      <c r="BD80" s="5"/>
      <c r="BE80" s="5"/>
      <c r="BF80" s="5"/>
      <c r="BG80" s="5"/>
      <c r="BH80" s="5"/>
    </row>
    <row r="81" s="159" customFormat="1" spans="1:60">
      <c r="A81" s="76"/>
      <c r="B81" s="77" t="s">
        <v>633</v>
      </c>
      <c r="C81" s="183">
        <v>19330</v>
      </c>
      <c r="D81" s="183">
        <v>19330</v>
      </c>
      <c r="E81" s="183">
        <v>19330</v>
      </c>
      <c r="F81" s="80"/>
      <c r="G81" s="81" t="s">
        <v>73</v>
      </c>
      <c r="H81" s="183">
        <v>19330</v>
      </c>
      <c r="I81" s="184" t="s">
        <v>73</v>
      </c>
      <c r="J81" s="83" t="s">
        <v>91</v>
      </c>
      <c r="K81" s="84"/>
      <c r="L81" s="84"/>
      <c r="M81" s="85">
        <f t="shared" si="9"/>
        <v>0</v>
      </c>
      <c r="N81" s="85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5"/>
      <c r="BB81" s="5"/>
      <c r="BC81" s="5"/>
      <c r="BD81" s="5"/>
      <c r="BE81" s="5"/>
      <c r="BF81" s="5"/>
      <c r="BG81" s="5"/>
      <c r="BH81" s="5"/>
    </row>
    <row r="82" s="159" customFormat="1" spans="1:60">
      <c r="A82" s="76"/>
      <c r="B82" s="77" t="s">
        <v>634</v>
      </c>
      <c r="C82" s="183">
        <v>48361</v>
      </c>
      <c r="D82" s="183">
        <v>48361</v>
      </c>
      <c r="E82" s="183">
        <v>48361</v>
      </c>
      <c r="F82" s="80"/>
      <c r="G82" s="81" t="s">
        <v>73</v>
      </c>
      <c r="H82" s="183">
        <v>46843</v>
      </c>
      <c r="I82" s="184" t="s">
        <v>73</v>
      </c>
      <c r="J82" s="83" t="s">
        <v>244</v>
      </c>
      <c r="K82" s="84"/>
      <c r="L82" s="84"/>
      <c r="M82" s="85">
        <f t="shared" si="9"/>
        <v>0</v>
      </c>
      <c r="N82" s="85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5"/>
      <c r="BB82" s="5"/>
      <c r="BC82" s="5"/>
      <c r="BD82" s="5"/>
      <c r="BE82" s="5"/>
      <c r="BF82" s="5"/>
      <c r="BG82" s="5"/>
      <c r="BH82" s="5"/>
    </row>
    <row r="83" s="159" customFormat="1" spans="1:60">
      <c r="A83" s="76"/>
      <c r="B83" s="77" t="s">
        <v>635</v>
      </c>
      <c r="C83" s="183">
        <v>62596</v>
      </c>
      <c r="D83" s="183">
        <v>62596</v>
      </c>
      <c r="E83" s="183">
        <v>15868</v>
      </c>
      <c r="F83" s="80"/>
      <c r="G83" s="81" t="s">
        <v>80</v>
      </c>
      <c r="H83" s="183">
        <v>15868</v>
      </c>
      <c r="I83" s="150">
        <v>46728</v>
      </c>
      <c r="J83" s="83" t="s">
        <v>636</v>
      </c>
      <c r="K83" s="84"/>
      <c r="L83" s="84"/>
      <c r="M83" s="85"/>
      <c r="N83" s="85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5"/>
      <c r="BB83" s="5"/>
      <c r="BC83" s="5"/>
      <c r="BD83" s="5"/>
      <c r="BE83" s="5"/>
      <c r="BF83" s="5"/>
      <c r="BG83" s="5"/>
      <c r="BH83" s="5"/>
    </row>
    <row r="84" spans="1:60">
      <c r="A84" s="76"/>
      <c r="B84" s="77"/>
      <c r="C84" s="79"/>
      <c r="D84" s="79"/>
      <c r="E84" s="79"/>
      <c r="F84" s="80"/>
      <c r="G84" s="81"/>
      <c r="H84" s="79"/>
      <c r="I84" s="82"/>
      <c r="J84" s="83"/>
      <c r="K84" s="84"/>
      <c r="L84" s="84"/>
      <c r="M84" s="85"/>
      <c r="N84" s="85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5"/>
      <c r="BB84" s="5"/>
      <c r="BC84" s="5"/>
      <c r="BD84" s="5"/>
      <c r="BE84" s="5"/>
      <c r="BF84" s="5"/>
      <c r="BG84" s="5"/>
      <c r="BH84" s="5"/>
    </row>
    <row r="85" spans="1:60">
      <c r="A85" s="76"/>
      <c r="B85" s="77"/>
      <c r="C85" s="79"/>
      <c r="D85" s="79"/>
      <c r="E85" s="79"/>
      <c r="F85" s="80"/>
      <c r="G85" s="81"/>
      <c r="H85" s="79"/>
      <c r="I85" s="82"/>
      <c r="J85" s="83"/>
      <c r="K85" s="84"/>
      <c r="L85" s="84"/>
      <c r="M85" s="85"/>
      <c r="N85" s="85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5"/>
      <c r="BB85" s="5"/>
      <c r="BC85" s="5"/>
      <c r="BD85" s="5"/>
      <c r="BE85" s="5"/>
      <c r="BF85" s="5"/>
      <c r="BG85" s="5"/>
      <c r="BH85" s="5"/>
    </row>
    <row r="86" spans="1:60">
      <c r="A86" s="76"/>
      <c r="B86" s="77"/>
      <c r="C86" s="79"/>
      <c r="D86" s="79"/>
      <c r="E86" s="79"/>
      <c r="F86" s="80"/>
      <c r="G86" s="81"/>
      <c r="H86" s="79"/>
      <c r="I86" s="82"/>
      <c r="J86" s="83"/>
      <c r="K86" s="84"/>
      <c r="L86" s="84"/>
      <c r="M86" s="85">
        <f>+C86*A86</f>
        <v>0</v>
      </c>
      <c r="N86" s="85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5"/>
      <c r="BB86" s="5"/>
      <c r="BC86" s="5"/>
      <c r="BD86" s="5"/>
      <c r="BE86" s="5"/>
      <c r="BF86" s="5"/>
      <c r="BG86" s="5"/>
      <c r="BH86" s="5"/>
    </row>
    <row r="87" spans="1:60">
      <c r="A87" s="76"/>
      <c r="B87" s="110"/>
      <c r="C87" s="87"/>
      <c r="D87" s="87"/>
      <c r="E87" s="87"/>
      <c r="F87" s="88"/>
      <c r="G87" s="89"/>
      <c r="H87" s="87"/>
      <c r="I87" s="82"/>
      <c r="J87" s="83"/>
      <c r="K87" s="84"/>
      <c r="L87" s="84"/>
      <c r="M87" s="85">
        <f>+C87*A87</f>
        <v>0</v>
      </c>
      <c r="N87" s="85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5"/>
      <c r="BB87" s="5"/>
      <c r="BC87" s="5"/>
      <c r="BD87" s="5"/>
      <c r="BE87" s="5"/>
      <c r="BF87" s="5"/>
      <c r="BG87" s="5"/>
      <c r="BH87" s="5"/>
    </row>
    <row r="88" spans="1:60">
      <c r="A88" s="90"/>
      <c r="B88" s="22" t="s">
        <v>55</v>
      </c>
      <c r="C88" s="91">
        <f>SUM(C57:C87)</f>
        <v>968402</v>
      </c>
      <c r="D88" s="91">
        <f>SUM(D57:D87)</f>
        <v>968402</v>
      </c>
      <c r="E88" s="91">
        <f>SUM(E57:E87)</f>
        <v>921674</v>
      </c>
      <c r="F88" s="91"/>
      <c r="G88" s="92"/>
      <c r="H88" s="91">
        <f>SUM(H57:H87)</f>
        <v>812603</v>
      </c>
      <c r="I88" s="91"/>
      <c r="J88" s="93"/>
      <c r="K88" s="94"/>
      <c r="L88" s="4"/>
      <c r="M88" s="85">
        <f>+C88*A88</f>
        <v>0</v>
      </c>
      <c r="N88" s="8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5"/>
      <c r="BB88" s="5"/>
      <c r="BC88" s="5"/>
      <c r="BD88" s="5"/>
      <c r="BE88" s="5"/>
      <c r="BF88" s="5"/>
      <c r="BG88" s="5"/>
      <c r="BH88" s="5"/>
    </row>
    <row r="89" spans="1:60">
      <c r="A89" s="90"/>
      <c r="B89" s="95" t="s">
        <v>118</v>
      </c>
      <c r="C89" s="96"/>
      <c r="D89" s="96"/>
      <c r="E89" s="96"/>
      <c r="F89" s="96"/>
      <c r="G89" s="97"/>
      <c r="H89" s="98"/>
      <c r="I89" s="99"/>
      <c r="J89" s="94"/>
      <c r="K89" s="94"/>
      <c r="L89" s="4"/>
      <c r="M89" s="85"/>
      <c r="N89" s="8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5"/>
      <c r="BB89" s="5"/>
      <c r="BC89" s="5"/>
      <c r="BD89" s="5"/>
      <c r="BE89" s="5"/>
      <c r="BF89" s="5"/>
      <c r="BG89" s="5"/>
      <c r="BH89" s="5"/>
    </row>
    <row r="90" spans="1:60">
      <c r="A90" s="90"/>
      <c r="B90" s="100"/>
      <c r="C90" s="101"/>
      <c r="D90" s="101"/>
      <c r="E90" s="101"/>
      <c r="F90" s="101"/>
      <c r="G90" s="102"/>
      <c r="H90" s="103"/>
      <c r="I90" s="104"/>
      <c r="J90" s="94"/>
      <c r="K90" s="94"/>
      <c r="L90" s="4"/>
      <c r="M90" s="85"/>
      <c r="N90" s="8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5"/>
      <c r="BB90" s="5"/>
      <c r="BC90" s="5"/>
      <c r="BD90" s="5"/>
      <c r="BE90" s="5"/>
      <c r="BF90" s="5"/>
      <c r="BG90" s="5"/>
      <c r="BH90" s="5"/>
    </row>
    <row r="91" spans="1:60">
      <c r="A91" s="90"/>
      <c r="B91" s="66" t="s">
        <v>119</v>
      </c>
      <c r="C91" s="66"/>
      <c r="D91" s="3"/>
      <c r="E91" s="3"/>
      <c r="F91" s="3"/>
      <c r="G91" s="3"/>
      <c r="H91" s="4"/>
      <c r="I91" s="104"/>
      <c r="J91" s="94"/>
      <c r="K91" s="94"/>
      <c r="L91" s="4"/>
      <c r="M91" s="85"/>
      <c r="N91" s="8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5"/>
      <c r="BB91" s="5"/>
      <c r="BC91" s="5"/>
      <c r="BD91" s="5"/>
      <c r="BE91" s="5"/>
      <c r="BF91" s="5"/>
      <c r="BG91" s="5"/>
      <c r="BH91" s="5"/>
    </row>
    <row r="92" spans="1:60">
      <c r="A92" s="90"/>
      <c r="B92" s="105"/>
      <c r="C92" s="105" t="s">
        <v>61</v>
      </c>
      <c r="D92" s="106"/>
      <c r="E92" s="106"/>
      <c r="F92" s="106"/>
      <c r="G92" s="107"/>
      <c r="H92" s="75" t="s">
        <v>62</v>
      </c>
      <c r="I92" s="104"/>
      <c r="J92" s="94"/>
      <c r="K92" s="94"/>
      <c r="L92" s="4"/>
      <c r="M92" s="85"/>
      <c r="N92" s="8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5"/>
      <c r="BB92" s="5"/>
      <c r="BC92" s="5"/>
      <c r="BD92" s="5"/>
      <c r="BE92" s="5"/>
      <c r="BF92" s="5"/>
      <c r="BG92" s="5"/>
      <c r="BH92" s="5"/>
    </row>
    <row r="93" spans="1:60">
      <c r="A93" s="90"/>
      <c r="B93" s="108"/>
      <c r="C93" s="71" t="s">
        <v>64</v>
      </c>
      <c r="D93" s="71" t="s">
        <v>65</v>
      </c>
      <c r="E93" s="109" t="s">
        <v>66</v>
      </c>
      <c r="F93" s="74" t="s">
        <v>68</v>
      </c>
      <c r="G93" s="71" t="s">
        <v>69</v>
      </c>
      <c r="H93" s="74" t="s">
        <v>70</v>
      </c>
      <c r="I93" s="104"/>
      <c r="J93" s="94"/>
      <c r="K93" s="94"/>
      <c r="L93" s="4"/>
      <c r="M93" s="85"/>
      <c r="N93" s="8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5"/>
      <c r="BB93" s="5"/>
      <c r="BC93" s="5"/>
      <c r="BD93" s="5"/>
      <c r="BE93" s="5"/>
      <c r="BF93" s="5"/>
      <c r="BG93" s="5"/>
      <c r="BH93" s="5"/>
    </row>
    <row r="94" spans="1:60">
      <c r="A94" s="90"/>
      <c r="B94" s="110"/>
      <c r="C94" s="111"/>
      <c r="D94" s="111"/>
      <c r="E94" s="112"/>
      <c r="F94" s="113"/>
      <c r="G94" s="112"/>
      <c r="H94" s="114"/>
      <c r="I94" s="104"/>
      <c r="J94" s="94"/>
      <c r="K94" s="94"/>
      <c r="L94" s="4"/>
      <c r="M94" s="85"/>
      <c r="N94" s="8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5"/>
      <c r="BB94" s="5"/>
      <c r="BC94" s="5"/>
      <c r="BD94" s="5"/>
      <c r="BE94" s="5"/>
      <c r="BF94" s="5"/>
      <c r="BG94" s="5"/>
      <c r="BH94" s="5"/>
    </row>
    <row r="95" spans="1:60">
      <c r="A95" s="90"/>
      <c r="B95" s="19"/>
      <c r="C95" s="115"/>
      <c r="D95" s="112"/>
      <c r="E95" s="112"/>
      <c r="F95" s="116"/>
      <c r="G95" s="112"/>
      <c r="H95" s="117"/>
      <c r="I95" s="104"/>
      <c r="J95" s="94"/>
      <c r="K95" s="94"/>
      <c r="L95" s="4"/>
      <c r="M95" s="85"/>
      <c r="N95" s="8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5"/>
      <c r="BB95" s="5"/>
      <c r="BC95" s="5"/>
      <c r="BD95" s="5"/>
      <c r="BE95" s="5"/>
      <c r="BF95" s="5"/>
      <c r="BG95" s="5"/>
      <c r="BH95" s="5"/>
    </row>
    <row r="96" spans="1:60">
      <c r="A96" s="90"/>
      <c r="B96" s="19"/>
      <c r="C96" s="115"/>
      <c r="D96" s="112"/>
      <c r="E96" s="112"/>
      <c r="F96" s="113"/>
      <c r="G96" s="112"/>
      <c r="H96" s="113"/>
      <c r="I96" s="104"/>
      <c r="J96" s="94"/>
      <c r="K96" s="94"/>
      <c r="L96" s="4"/>
      <c r="M96" s="85"/>
      <c r="N96" s="8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5"/>
      <c r="BB96" s="5"/>
      <c r="BC96" s="5"/>
      <c r="BD96" s="5"/>
      <c r="BE96" s="5"/>
      <c r="BF96" s="5"/>
      <c r="BG96" s="5"/>
      <c r="BH96" s="5"/>
    </row>
    <row r="97" spans="1:60">
      <c r="A97" s="90"/>
      <c r="B97" s="118"/>
      <c r="C97" s="115"/>
      <c r="D97" s="112"/>
      <c r="E97" s="112"/>
      <c r="F97" s="113"/>
      <c r="G97" s="112"/>
      <c r="H97" s="113"/>
      <c r="I97" s="104"/>
      <c r="J97" s="94"/>
      <c r="K97" s="94"/>
      <c r="L97" s="4"/>
      <c r="M97" s="85"/>
      <c r="N97" s="8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5"/>
      <c r="BB97" s="5"/>
      <c r="BC97" s="5"/>
      <c r="BD97" s="5"/>
      <c r="BE97" s="5"/>
      <c r="BF97" s="5"/>
      <c r="BG97" s="5"/>
      <c r="BH97" s="5"/>
    </row>
    <row r="98" spans="1:60">
      <c r="A98" s="90"/>
      <c r="B98" s="118"/>
      <c r="C98" s="115"/>
      <c r="D98" s="112"/>
      <c r="E98" s="112"/>
      <c r="F98" s="113"/>
      <c r="G98" s="112"/>
      <c r="H98" s="113"/>
      <c r="I98" s="104"/>
      <c r="J98" s="94"/>
      <c r="K98" s="94"/>
      <c r="L98" s="4"/>
      <c r="M98" s="85"/>
      <c r="N98" s="8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5"/>
      <c r="BB98" s="5"/>
      <c r="BC98" s="5"/>
      <c r="BD98" s="5"/>
      <c r="BE98" s="5"/>
      <c r="BF98" s="5"/>
      <c r="BG98" s="5"/>
      <c r="BH98" s="5"/>
    </row>
    <row r="99" spans="1:60">
      <c r="A99" s="90"/>
      <c r="B99" s="118"/>
      <c r="C99" s="115"/>
      <c r="D99" s="112"/>
      <c r="E99" s="112"/>
      <c r="F99" s="113"/>
      <c r="G99" s="112"/>
      <c r="H99" s="113"/>
      <c r="I99" s="104"/>
      <c r="J99" s="94"/>
      <c r="K99" s="94"/>
      <c r="L99" s="4"/>
      <c r="M99" s="85"/>
      <c r="N99" s="8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5"/>
      <c r="BB99" s="5"/>
      <c r="BC99" s="5"/>
      <c r="BD99" s="5"/>
      <c r="BE99" s="5"/>
      <c r="BF99" s="5"/>
      <c r="BG99" s="5"/>
      <c r="BH99" s="5"/>
    </row>
    <row r="100" spans="1:60">
      <c r="A100" s="65"/>
      <c r="B100" s="118"/>
      <c r="C100" s="115"/>
      <c r="D100" s="112"/>
      <c r="E100" s="112"/>
      <c r="F100" s="113"/>
      <c r="G100" s="112"/>
      <c r="H100" s="113"/>
      <c r="I100" s="94"/>
      <c r="J100" s="94"/>
      <c r="K100" s="4"/>
      <c r="L100" s="8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5"/>
      <c r="BB100" s="5"/>
      <c r="BC100" s="5"/>
      <c r="BD100" s="5"/>
      <c r="BE100" s="5"/>
      <c r="BF100" s="5"/>
      <c r="BG100" s="5"/>
      <c r="BH100" s="5"/>
    </row>
    <row r="101" ht="15.75" spans="1:60">
      <c r="A101" s="65"/>
      <c r="B101" s="19"/>
      <c r="C101" s="119"/>
      <c r="D101" s="119"/>
      <c r="E101" s="120"/>
      <c r="F101" s="121"/>
      <c r="G101" s="120"/>
      <c r="H101" s="122"/>
      <c r="I101" s="94"/>
      <c r="J101" s="94"/>
      <c r="K101" s="4"/>
      <c r="L101" s="8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5"/>
      <c r="BB101" s="5"/>
      <c r="BC101" s="5"/>
      <c r="BD101" s="5"/>
      <c r="BE101" s="5"/>
      <c r="BF101" s="5"/>
      <c r="BG101" s="5"/>
      <c r="BH101" s="5"/>
    </row>
    <row r="102" ht="15.75" spans="1:60">
      <c r="A102" s="65"/>
      <c r="B102" s="22" t="s">
        <v>55</v>
      </c>
      <c r="C102" s="91"/>
      <c r="D102" s="91"/>
      <c r="E102" s="123"/>
      <c r="F102" s="92"/>
      <c r="G102" s="123"/>
      <c r="H102" s="91">
        <v>0</v>
      </c>
      <c r="I102" s="94"/>
      <c r="J102" s="94"/>
      <c r="K102" s="4"/>
      <c r="L102" s="8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5"/>
      <c r="BB102" s="5"/>
      <c r="BC102" s="5"/>
      <c r="BD102" s="5"/>
      <c r="BE102" s="5"/>
      <c r="BF102" s="5"/>
      <c r="BG102" s="5"/>
      <c r="BH102" s="5"/>
    </row>
    <row r="103" spans="1:60">
      <c r="A103" s="65"/>
      <c r="B103" s="95" t="s">
        <v>118</v>
      </c>
      <c r="C103" s="96"/>
      <c r="D103" s="96"/>
      <c r="E103" s="96"/>
      <c r="F103" s="97"/>
      <c r="G103" s="98"/>
      <c r="H103" s="99"/>
      <c r="I103" s="94"/>
      <c r="J103" s="94"/>
      <c r="K103" s="4"/>
      <c r="L103" s="8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5"/>
      <c r="BB103" s="5"/>
      <c r="BC103" s="5"/>
      <c r="BD103" s="5"/>
      <c r="BE103" s="5"/>
      <c r="BF103" s="5"/>
      <c r="BG103" s="5"/>
      <c r="BH103" s="5"/>
    </row>
    <row r="104" spans="1:60">
      <c r="A104" s="65"/>
      <c r="B104" s="100"/>
      <c r="C104" s="101"/>
      <c r="D104" s="101"/>
      <c r="E104" s="101"/>
      <c r="F104" s="102"/>
      <c r="G104" s="103"/>
      <c r="H104" s="104"/>
      <c r="I104" s="94"/>
      <c r="J104" s="94"/>
      <c r="K104" s="4"/>
      <c r="L104" s="8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5"/>
      <c r="BB104" s="5"/>
      <c r="BC104" s="5"/>
      <c r="BD104" s="5"/>
      <c r="BE104" s="5"/>
      <c r="BF104" s="5"/>
      <c r="BG104" s="5"/>
      <c r="BH104" s="5"/>
    </row>
    <row r="105" spans="1:60">
      <c r="A105" s="65"/>
      <c r="B105" s="124" t="s">
        <v>120</v>
      </c>
      <c r="C105" s="125"/>
      <c r="D105" s="125"/>
      <c r="E105" s="125"/>
      <c r="F105" s="126"/>
      <c r="G105" s="127"/>
      <c r="H105" s="128"/>
      <c r="I105" s="94"/>
      <c r="J105" s="94"/>
      <c r="K105" s="4"/>
      <c r="L105" s="8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5"/>
      <c r="BB105" s="5"/>
      <c r="BC105" s="5"/>
      <c r="BD105" s="5"/>
      <c r="BE105" s="5"/>
      <c r="BF105" s="5"/>
      <c r="BG105" s="5"/>
      <c r="BH105" s="5"/>
    </row>
    <row r="106" spans="1:60">
      <c r="A106" s="65"/>
      <c r="B106" s="129" t="s">
        <v>121</v>
      </c>
      <c r="C106" s="101"/>
      <c r="D106" s="101"/>
      <c r="E106" s="101"/>
      <c r="F106" s="102"/>
      <c r="G106" s="103"/>
      <c r="H106" s="104"/>
      <c r="I106" s="94"/>
      <c r="J106" s="94"/>
      <c r="K106" s="4"/>
      <c r="L106" s="8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5"/>
      <c r="BB106" s="5"/>
      <c r="BC106" s="5"/>
      <c r="BD106" s="5"/>
      <c r="BE106" s="5"/>
      <c r="BF106" s="5"/>
      <c r="BG106" s="5"/>
      <c r="BH106" s="5"/>
    </row>
    <row r="107" spans="1:60">
      <c r="A107" s="65"/>
      <c r="B107" s="129" t="s">
        <v>122</v>
      </c>
      <c r="C107" s="101"/>
      <c r="D107" s="101"/>
      <c r="E107" s="130"/>
      <c r="F107" s="102"/>
      <c r="G107" s="103"/>
      <c r="H107" s="104"/>
      <c r="I107" s="94"/>
      <c r="J107" s="94"/>
      <c r="K107" s="4"/>
      <c r="L107" s="8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5"/>
      <c r="BB107" s="5"/>
      <c r="BC107" s="5"/>
      <c r="BD107" s="5"/>
      <c r="BE107" s="5"/>
      <c r="BF107" s="5"/>
      <c r="BG107" s="5"/>
      <c r="BH107" s="5"/>
    </row>
    <row r="108" spans="1:60">
      <c r="A108" s="4"/>
      <c r="B108" s="5"/>
      <c r="C108" s="5"/>
      <c r="D108" s="5"/>
      <c r="E108" s="5"/>
      <c r="F108" s="5"/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5"/>
      <c r="BB108" s="5"/>
      <c r="BC108" s="5"/>
      <c r="BD108" s="5"/>
      <c r="BE108" s="5"/>
      <c r="BF108" s="5"/>
      <c r="BG108" s="5"/>
      <c r="BH108" s="5"/>
    </row>
    <row r="109" spans="1:60">
      <c r="A109" s="62" t="s">
        <v>123</v>
      </c>
      <c r="B109" s="131" t="s">
        <v>124</v>
      </c>
      <c r="C109" s="131"/>
      <c r="D109" s="132"/>
      <c r="E109" s="132"/>
      <c r="F109" s="132"/>
      <c r="G109" s="132"/>
      <c r="H109" s="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5"/>
      <c r="BB109" s="5"/>
      <c r="BC109" s="5"/>
      <c r="BD109" s="5"/>
      <c r="BE109" s="5"/>
      <c r="BF109" s="5"/>
      <c r="BG109" s="5"/>
      <c r="BH109" s="5"/>
    </row>
    <row r="110" spans="1:60">
      <c r="A110" s="69" t="s">
        <v>1</v>
      </c>
      <c r="B110" s="133" t="s">
        <v>505</v>
      </c>
      <c r="C110" s="133" t="s">
        <v>507</v>
      </c>
      <c r="D110" s="133" t="s">
        <v>514</v>
      </c>
      <c r="E110" s="133" t="s">
        <v>515</v>
      </c>
      <c r="F110" s="133" t="s">
        <v>516</v>
      </c>
      <c r="G110" s="133" t="s">
        <v>637</v>
      </c>
      <c r="H110" s="133" t="s">
        <v>638</v>
      </c>
      <c r="I110" s="133" t="s">
        <v>639</v>
      </c>
      <c r="J110" s="133" t="s">
        <v>640</v>
      </c>
      <c r="K110" s="133" t="s">
        <v>641</v>
      </c>
      <c r="L110" s="133" t="s">
        <v>640</v>
      </c>
      <c r="M110" s="133" t="s">
        <v>642</v>
      </c>
      <c r="N110" s="133" t="s">
        <v>643</v>
      </c>
      <c r="O110" s="133" t="s">
        <v>644</v>
      </c>
      <c r="P110" s="133" t="s">
        <v>258</v>
      </c>
      <c r="Q110" s="133" t="s">
        <v>640</v>
      </c>
      <c r="R110" s="133" t="s">
        <v>645</v>
      </c>
      <c r="S110" s="133" t="s">
        <v>646</v>
      </c>
      <c r="T110" s="133" t="s">
        <v>647</v>
      </c>
      <c r="U110" s="133" t="s">
        <v>640</v>
      </c>
      <c r="V110" s="133" t="s">
        <v>648</v>
      </c>
      <c r="W110" s="133" t="s">
        <v>649</v>
      </c>
      <c r="X110" s="133" t="s">
        <v>650</v>
      </c>
      <c r="Y110" s="133" t="s">
        <v>651</v>
      </c>
      <c r="Z110" s="133" t="s">
        <v>652</v>
      </c>
      <c r="AA110" s="133" t="s">
        <v>653</v>
      </c>
      <c r="AB110" s="134" t="s">
        <v>654</v>
      </c>
      <c r="AC110" s="134"/>
      <c r="AD110" s="135"/>
      <c r="AE110" s="136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60">
      <c r="A111" s="137"/>
      <c r="B111" s="138">
        <f>C57</f>
        <v>6258</v>
      </c>
      <c r="C111" s="138">
        <f>C58</f>
        <v>19235</v>
      </c>
      <c r="D111" s="138">
        <f>C59</f>
        <v>40200</v>
      </c>
      <c r="E111" s="138">
        <f>C60</f>
        <v>37610</v>
      </c>
      <c r="F111" s="138">
        <f>C61</f>
        <v>63498</v>
      </c>
      <c r="G111" s="138">
        <f>C62</f>
        <v>17095</v>
      </c>
      <c r="H111" s="138">
        <f>C63</f>
        <v>63263</v>
      </c>
      <c r="I111" s="138">
        <f>C64</f>
        <v>72300</v>
      </c>
      <c r="J111" s="138">
        <f>C65</f>
        <v>16845</v>
      </c>
      <c r="K111" s="138">
        <f>C66</f>
        <v>60182</v>
      </c>
      <c r="L111" s="138">
        <f>C67</f>
        <v>18495</v>
      </c>
      <c r="M111" s="138">
        <f>C69</f>
        <v>54108</v>
      </c>
      <c r="N111" s="138">
        <f>C68</f>
        <v>9288</v>
      </c>
      <c r="O111" s="138">
        <f>C70</f>
        <v>33872</v>
      </c>
      <c r="P111" s="138">
        <f>C71</f>
        <v>33140</v>
      </c>
      <c r="Q111" s="138">
        <f>C72</f>
        <v>19250</v>
      </c>
      <c r="R111" s="138">
        <f>C73</f>
        <v>18250</v>
      </c>
      <c r="S111" s="138">
        <f>C74</f>
        <v>24711</v>
      </c>
      <c r="T111" s="138">
        <f>C75</f>
        <v>37265</v>
      </c>
      <c r="U111" s="138">
        <f>C76</f>
        <v>20930</v>
      </c>
      <c r="V111" s="138">
        <f>C77</f>
        <v>46605</v>
      </c>
      <c r="W111" s="138">
        <v>20060</v>
      </c>
      <c r="X111" s="138">
        <v>57430</v>
      </c>
      <c r="Y111" s="138">
        <v>19330</v>
      </c>
      <c r="Z111" s="138">
        <v>48225</v>
      </c>
      <c r="AA111" s="138">
        <v>48361</v>
      </c>
      <c r="AB111" s="139">
        <v>62596</v>
      </c>
      <c r="AC111" s="139"/>
      <c r="AD111" s="140"/>
      <c r="AE111" s="141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60">
      <c r="A112" s="40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1">
        <f t="shared" ref="AE112:AE137" si="10">SUM(B112:AD112)</f>
        <v>0</v>
      </c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>
      <c r="A113" s="40">
        <v>46142</v>
      </c>
      <c r="B113" s="142">
        <v>0</v>
      </c>
      <c r="C113" s="142">
        <v>0</v>
      </c>
      <c r="D113" s="142">
        <v>7183</v>
      </c>
      <c r="E113" s="142">
        <v>9291</v>
      </c>
      <c r="F113" s="142">
        <v>0</v>
      </c>
      <c r="G113" s="142">
        <v>1095</v>
      </c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1">
        <f t="shared" si="10"/>
        <v>17569</v>
      </c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>
      <c r="A114" s="40">
        <v>46146</v>
      </c>
      <c r="B114" s="142">
        <v>0</v>
      </c>
      <c r="C114" s="142">
        <v>1123</v>
      </c>
      <c r="D114" s="142">
        <v>16731</v>
      </c>
      <c r="E114" s="142">
        <v>5943</v>
      </c>
      <c r="F114" s="142">
        <v>1137</v>
      </c>
      <c r="G114" s="142">
        <v>8000</v>
      </c>
      <c r="H114" s="142">
        <v>5258</v>
      </c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1">
        <f t="shared" si="10"/>
        <v>38192</v>
      </c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>
      <c r="A115" s="40">
        <v>46147</v>
      </c>
      <c r="B115" s="142">
        <v>0</v>
      </c>
      <c r="C115" s="142">
        <v>1180</v>
      </c>
      <c r="D115" s="142">
        <v>11268</v>
      </c>
      <c r="E115" s="142"/>
      <c r="F115" s="142">
        <v>1258</v>
      </c>
      <c r="G115" s="142">
        <v>8000</v>
      </c>
      <c r="H115" s="142">
        <v>11632</v>
      </c>
      <c r="I115" s="142">
        <v>6613</v>
      </c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1">
        <f t="shared" si="10"/>
        <v>39951</v>
      </c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customFormat="1" spans="1:47">
      <c r="A116" s="40">
        <v>46148</v>
      </c>
      <c r="B116" s="142">
        <v>0</v>
      </c>
      <c r="C116" s="142">
        <v>1068</v>
      </c>
      <c r="D116" s="142"/>
      <c r="E116" s="142"/>
      <c r="F116" s="142">
        <v>1448</v>
      </c>
      <c r="G116" s="142"/>
      <c r="H116" s="142">
        <v>11473</v>
      </c>
      <c r="I116" s="142">
        <v>15100</v>
      </c>
      <c r="J116" s="142">
        <v>5845</v>
      </c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1">
        <f t="shared" si="10"/>
        <v>34934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>
      <c r="A117" s="40">
        <v>46149</v>
      </c>
      <c r="B117" s="142">
        <v>0</v>
      </c>
      <c r="C117" s="142">
        <v>1142</v>
      </c>
      <c r="D117" s="142"/>
      <c r="E117" s="142"/>
      <c r="F117" s="142">
        <v>1210</v>
      </c>
      <c r="G117" s="142"/>
      <c r="H117" s="142">
        <v>12150</v>
      </c>
      <c r="I117" s="142">
        <v>14818</v>
      </c>
      <c r="J117" s="142">
        <v>5000</v>
      </c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1">
        <f t="shared" si="10"/>
        <v>34320</v>
      </c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>
      <c r="A118" s="40">
        <v>46150</v>
      </c>
      <c r="B118" s="142">
        <v>0</v>
      </c>
      <c r="C118" s="142">
        <v>1244</v>
      </c>
      <c r="D118" s="142"/>
      <c r="E118" s="142"/>
      <c r="F118" s="142">
        <v>1282</v>
      </c>
      <c r="G118" s="142"/>
      <c r="H118" s="142">
        <v>8400</v>
      </c>
      <c r="I118" s="142">
        <v>7286</v>
      </c>
      <c r="J118" s="142">
        <v>6000</v>
      </c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1">
        <f t="shared" si="10"/>
        <v>24212</v>
      </c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>
      <c r="A119" s="40">
        <v>46151</v>
      </c>
      <c r="B119" s="142">
        <v>0</v>
      </c>
      <c r="C119" s="142">
        <v>1182</v>
      </c>
      <c r="D119" s="142"/>
      <c r="E119" s="142"/>
      <c r="F119" s="142">
        <v>1318</v>
      </c>
      <c r="G119" s="142"/>
      <c r="H119" s="142"/>
      <c r="I119" s="142">
        <v>13516</v>
      </c>
      <c r="J119" s="142"/>
      <c r="K119" s="142">
        <v>12433</v>
      </c>
      <c r="L119" s="142">
        <v>5495</v>
      </c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1">
        <f t="shared" si="10"/>
        <v>33944</v>
      </c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>
      <c r="A120" s="40">
        <v>46153</v>
      </c>
      <c r="B120" s="142">
        <v>3692</v>
      </c>
      <c r="C120" s="142">
        <v>994</v>
      </c>
      <c r="D120" s="142"/>
      <c r="E120" s="142"/>
      <c r="F120" s="142">
        <v>1351</v>
      </c>
      <c r="G120" s="142"/>
      <c r="H120" s="142"/>
      <c r="I120" s="142">
        <v>9570</v>
      </c>
      <c r="J120" s="142"/>
      <c r="K120" s="142">
        <v>0</v>
      </c>
      <c r="L120" s="142">
        <v>2000</v>
      </c>
      <c r="M120" s="142">
        <v>7045</v>
      </c>
      <c r="N120" s="142">
        <v>7494</v>
      </c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1">
        <f t="shared" si="10"/>
        <v>32146</v>
      </c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customFormat="1" spans="1:47">
      <c r="A121" s="40">
        <v>46154</v>
      </c>
      <c r="B121" s="142"/>
      <c r="C121" s="142">
        <v>1082</v>
      </c>
      <c r="D121" s="142"/>
      <c r="E121" s="142"/>
      <c r="F121" s="142">
        <v>1206</v>
      </c>
      <c r="G121" s="142"/>
      <c r="H121" s="142"/>
      <c r="I121" s="142"/>
      <c r="J121" s="142"/>
      <c r="K121" s="142">
        <v>0</v>
      </c>
      <c r="L121" s="142">
        <v>3000</v>
      </c>
      <c r="M121" s="142">
        <v>7002</v>
      </c>
      <c r="N121" s="142"/>
      <c r="O121" s="142">
        <v>13077</v>
      </c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1">
        <f t="shared" si="10"/>
        <v>25367</v>
      </c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customFormat="1" spans="1:47">
      <c r="A122" s="40">
        <v>46155</v>
      </c>
      <c r="B122" s="142"/>
      <c r="C122" s="142">
        <v>1189</v>
      </c>
      <c r="D122" s="142"/>
      <c r="E122" s="142"/>
      <c r="F122" s="142">
        <v>1168</v>
      </c>
      <c r="G122" s="142"/>
      <c r="H122" s="142"/>
      <c r="I122" s="142"/>
      <c r="J122" s="142"/>
      <c r="K122" s="142">
        <v>0</v>
      </c>
      <c r="L122" s="142">
        <v>3000</v>
      </c>
      <c r="M122" s="142">
        <v>8467</v>
      </c>
      <c r="N122" s="142"/>
      <c r="O122" s="142">
        <v>13918</v>
      </c>
      <c r="P122" s="142">
        <v>3349</v>
      </c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1">
        <f t="shared" si="10"/>
        <v>31091</v>
      </c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customFormat="1" spans="1:47">
      <c r="A123" s="40">
        <v>46156</v>
      </c>
      <c r="B123" s="142"/>
      <c r="C123" s="142">
        <v>902</v>
      </c>
      <c r="D123" s="142"/>
      <c r="E123" s="142"/>
      <c r="F123" s="142">
        <v>1328</v>
      </c>
      <c r="G123" s="142"/>
      <c r="H123" s="142"/>
      <c r="I123" s="142"/>
      <c r="J123" s="142"/>
      <c r="K123" s="142">
        <v>0</v>
      </c>
      <c r="L123" s="142">
        <v>5000</v>
      </c>
      <c r="M123" s="142">
        <v>16643</v>
      </c>
      <c r="N123" s="142"/>
      <c r="O123" s="142"/>
      <c r="P123" s="142">
        <v>8351</v>
      </c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1">
        <f t="shared" si="10"/>
        <v>32224</v>
      </c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customFormat="1" spans="1:47">
      <c r="A124" s="40">
        <v>46157</v>
      </c>
      <c r="B124" s="142"/>
      <c r="C124" s="142">
        <v>957</v>
      </c>
      <c r="D124" s="142"/>
      <c r="E124" s="142"/>
      <c r="F124" s="142">
        <v>1432</v>
      </c>
      <c r="G124" s="142"/>
      <c r="H124" s="142"/>
      <c r="I124" s="142"/>
      <c r="J124" s="142"/>
      <c r="K124" s="142">
        <v>0</v>
      </c>
      <c r="L124" s="142"/>
      <c r="M124" s="142">
        <v>1008</v>
      </c>
      <c r="N124" s="142"/>
      <c r="O124" s="142"/>
      <c r="P124" s="142">
        <v>15506</v>
      </c>
      <c r="Q124" s="142">
        <v>3250</v>
      </c>
      <c r="R124" s="142">
        <v>5934</v>
      </c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1">
        <f t="shared" si="10"/>
        <v>28087</v>
      </c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customFormat="1" spans="1:47">
      <c r="A125" s="40">
        <v>46160</v>
      </c>
      <c r="B125" s="142"/>
      <c r="C125" s="142">
        <v>0</v>
      </c>
      <c r="D125" s="142"/>
      <c r="E125" s="142"/>
      <c r="F125" s="142">
        <v>1159</v>
      </c>
      <c r="G125" s="142"/>
      <c r="H125" s="142"/>
      <c r="I125" s="142"/>
      <c r="J125" s="142"/>
      <c r="K125" s="142">
        <v>0</v>
      </c>
      <c r="L125" s="142"/>
      <c r="M125" s="142">
        <v>1171</v>
      </c>
      <c r="N125" s="142"/>
      <c r="O125" s="142"/>
      <c r="P125" s="142"/>
      <c r="Q125" s="142">
        <v>8000</v>
      </c>
      <c r="R125" s="142">
        <v>9271</v>
      </c>
      <c r="S125" s="142">
        <v>12548</v>
      </c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1">
        <f t="shared" si="10"/>
        <v>32149</v>
      </c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customFormat="1" spans="1:47">
      <c r="A126" s="40">
        <v>46161</v>
      </c>
      <c r="B126" s="142"/>
      <c r="C126" s="142"/>
      <c r="D126" s="142"/>
      <c r="E126" s="142"/>
      <c r="F126" s="142">
        <v>1281</v>
      </c>
      <c r="G126" s="142"/>
      <c r="H126" s="142"/>
      <c r="I126" s="142"/>
      <c r="J126" s="142"/>
      <c r="K126" s="142">
        <v>0</v>
      </c>
      <c r="L126" s="142"/>
      <c r="M126" s="142">
        <v>1135</v>
      </c>
      <c r="N126" s="142"/>
      <c r="O126" s="142"/>
      <c r="P126" s="142"/>
      <c r="Q126" s="142">
        <v>8000</v>
      </c>
      <c r="R126" s="142">
        <v>2792</v>
      </c>
      <c r="S126" s="142">
        <v>8546</v>
      </c>
      <c r="T126" s="142">
        <v>12157</v>
      </c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1">
        <f t="shared" si="10"/>
        <v>33911</v>
      </c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customFormat="1" spans="1:47">
      <c r="A127" s="40">
        <v>46162</v>
      </c>
      <c r="B127" s="142"/>
      <c r="C127" s="142"/>
      <c r="D127" s="142"/>
      <c r="E127" s="142"/>
      <c r="F127" s="142">
        <v>1164</v>
      </c>
      <c r="G127" s="142"/>
      <c r="H127" s="142"/>
      <c r="I127" s="142"/>
      <c r="J127" s="142"/>
      <c r="K127" s="142">
        <v>0</v>
      </c>
      <c r="L127" s="142"/>
      <c r="M127" s="142">
        <v>1083</v>
      </c>
      <c r="N127" s="142"/>
      <c r="O127" s="142"/>
      <c r="P127" s="142"/>
      <c r="Q127" s="142"/>
      <c r="R127" s="142"/>
      <c r="S127" s="142"/>
      <c r="T127" s="142">
        <v>24989</v>
      </c>
      <c r="U127" s="142">
        <v>5000</v>
      </c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1">
        <f t="shared" si="10"/>
        <v>32236</v>
      </c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customFormat="1" spans="1:47">
      <c r="A128" s="40">
        <v>46163</v>
      </c>
      <c r="B128" s="142"/>
      <c r="C128" s="142"/>
      <c r="D128" s="142"/>
      <c r="E128" s="142"/>
      <c r="F128" s="142">
        <v>1190</v>
      </c>
      <c r="G128" s="142"/>
      <c r="H128" s="142"/>
      <c r="I128" s="142"/>
      <c r="J128" s="142"/>
      <c r="K128" s="142">
        <v>0</v>
      </c>
      <c r="L128" s="142"/>
      <c r="M128" s="142">
        <v>1121</v>
      </c>
      <c r="N128" s="142"/>
      <c r="O128" s="142"/>
      <c r="P128" s="142"/>
      <c r="Q128" s="142"/>
      <c r="R128" s="142"/>
      <c r="S128" s="142"/>
      <c r="T128" s="142"/>
      <c r="U128" s="142">
        <v>10000</v>
      </c>
      <c r="V128" s="142">
        <v>25394</v>
      </c>
      <c r="W128" s="142"/>
      <c r="X128" s="142"/>
      <c r="Y128" s="142"/>
      <c r="Z128" s="142"/>
      <c r="AA128" s="142"/>
      <c r="AB128" s="142"/>
      <c r="AC128" s="142"/>
      <c r="AD128" s="142"/>
      <c r="AE128" s="141">
        <f t="shared" si="10"/>
        <v>37705</v>
      </c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customFormat="1" spans="1:60">
      <c r="A129" s="40">
        <v>46164</v>
      </c>
      <c r="B129" s="142"/>
      <c r="C129" s="142"/>
      <c r="D129" s="142"/>
      <c r="E129" s="142"/>
      <c r="F129" s="142">
        <v>4618</v>
      </c>
      <c r="G129" s="142"/>
      <c r="H129" s="142"/>
      <c r="I129" s="142"/>
      <c r="J129" s="142"/>
      <c r="K129" s="142"/>
      <c r="L129" s="142"/>
      <c r="M129" s="142">
        <v>1158</v>
      </c>
      <c r="N129" s="142"/>
      <c r="O129" s="142"/>
      <c r="P129" s="142"/>
      <c r="Q129" s="142"/>
      <c r="R129" s="142"/>
      <c r="S129" s="142"/>
      <c r="T129" s="142"/>
      <c r="U129" s="142">
        <v>5930</v>
      </c>
      <c r="V129" s="142">
        <v>20202</v>
      </c>
      <c r="W129" s="142"/>
      <c r="X129" s="142"/>
      <c r="Y129" s="142"/>
      <c r="Z129" s="142"/>
      <c r="AA129" s="142"/>
      <c r="AB129" s="142"/>
      <c r="AC129" s="142"/>
      <c r="AD129" s="142"/>
      <c r="AE129" s="141">
        <f t="shared" si="10"/>
        <v>31908</v>
      </c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customFormat="1" spans="1:60">
      <c r="A130" s="40">
        <v>46165</v>
      </c>
      <c r="B130" s="142"/>
      <c r="C130" s="142"/>
      <c r="D130" s="142"/>
      <c r="E130" s="142"/>
      <c r="F130" s="142">
        <v>24073</v>
      </c>
      <c r="G130" s="142"/>
      <c r="H130" s="142"/>
      <c r="I130" s="142"/>
      <c r="J130" s="142"/>
      <c r="K130" s="142"/>
      <c r="L130" s="142"/>
      <c r="M130" s="142">
        <v>1302</v>
      </c>
      <c r="N130" s="142"/>
      <c r="O130" s="142"/>
      <c r="P130" s="142"/>
      <c r="Q130" s="142"/>
      <c r="R130" s="142"/>
      <c r="S130" s="142"/>
      <c r="T130" s="142"/>
      <c r="U130" s="142"/>
      <c r="V130" s="142"/>
      <c r="W130" s="142">
        <v>15000</v>
      </c>
      <c r="X130" s="142">
        <v>19681</v>
      </c>
      <c r="Y130" s="142"/>
      <c r="Z130" s="142"/>
      <c r="AA130" s="142"/>
      <c r="AB130" s="142"/>
      <c r="AC130" s="142"/>
      <c r="AD130" s="142"/>
      <c r="AE130" s="141">
        <f t="shared" si="10"/>
        <v>60056</v>
      </c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customFormat="1" spans="1:60">
      <c r="A131" s="40">
        <v>46167</v>
      </c>
      <c r="B131" s="142"/>
      <c r="C131" s="142"/>
      <c r="D131" s="142"/>
      <c r="E131" s="142"/>
      <c r="F131" s="142">
        <v>1233</v>
      </c>
      <c r="G131" s="142"/>
      <c r="H131" s="142"/>
      <c r="I131" s="142"/>
      <c r="J131" s="142"/>
      <c r="K131" s="142"/>
      <c r="L131" s="142"/>
      <c r="M131" s="142">
        <v>1140</v>
      </c>
      <c r="N131" s="142"/>
      <c r="O131" s="142"/>
      <c r="P131" s="142"/>
      <c r="Q131" s="142"/>
      <c r="R131" s="142"/>
      <c r="S131" s="142"/>
      <c r="T131" s="142"/>
      <c r="U131" s="142"/>
      <c r="V131" s="142"/>
      <c r="W131" s="142">
        <v>5060</v>
      </c>
      <c r="X131" s="142">
        <v>27712</v>
      </c>
      <c r="Y131" s="142"/>
      <c r="Z131" s="142"/>
      <c r="AA131" s="142"/>
      <c r="AB131" s="142"/>
      <c r="AC131" s="142"/>
      <c r="AD131" s="142"/>
      <c r="AE131" s="141">
        <f t="shared" si="10"/>
        <v>35145</v>
      </c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customFormat="1" spans="1:60">
      <c r="A132" s="40">
        <v>46168</v>
      </c>
      <c r="B132" s="142"/>
      <c r="C132" s="142"/>
      <c r="D132" s="142"/>
      <c r="E132" s="142"/>
      <c r="F132" s="142">
        <v>8823</v>
      </c>
      <c r="G132" s="142"/>
      <c r="H132" s="142"/>
      <c r="I132" s="142"/>
      <c r="J132" s="142"/>
      <c r="K132" s="142"/>
      <c r="L132" s="142"/>
      <c r="M132" s="142">
        <v>1184</v>
      </c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>
        <v>6497</v>
      </c>
      <c r="Y132" s="142">
        <v>6000</v>
      </c>
      <c r="Z132" s="142">
        <v>22663</v>
      </c>
      <c r="AA132" s="142"/>
      <c r="AB132" s="142"/>
      <c r="AC132" s="142"/>
      <c r="AD132" s="142"/>
      <c r="AE132" s="141">
        <f t="shared" si="10"/>
        <v>45167</v>
      </c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60">
      <c r="A133" s="40">
        <v>46169</v>
      </c>
      <c r="B133" s="142"/>
      <c r="C133" s="142"/>
      <c r="D133" s="142"/>
      <c r="E133" s="142"/>
      <c r="F133" s="142"/>
      <c r="G133" s="142"/>
      <c r="H133" s="142"/>
      <c r="I133" s="142"/>
      <c r="J133" s="142"/>
      <c r="K133" s="142">
        <v>12563</v>
      </c>
      <c r="L133" s="142"/>
      <c r="M133" s="142">
        <v>1250</v>
      </c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>
        <v>13330</v>
      </c>
      <c r="Z133" s="142">
        <v>22537</v>
      </c>
      <c r="AA133" s="142">
        <v>15006</v>
      </c>
      <c r="AB133" s="142"/>
      <c r="AC133" s="142"/>
      <c r="AD133" s="142"/>
      <c r="AE133" s="141">
        <f t="shared" si="10"/>
        <v>64686</v>
      </c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60">
      <c r="A134" s="40">
        <v>46170</v>
      </c>
      <c r="B134" s="142"/>
      <c r="C134" s="142"/>
      <c r="D134" s="142"/>
      <c r="E134" s="142"/>
      <c r="F134" s="142"/>
      <c r="G134" s="142"/>
      <c r="H134" s="142"/>
      <c r="I134" s="142"/>
      <c r="J134" s="142"/>
      <c r="K134" s="142">
        <v>19898</v>
      </c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>
        <v>31837</v>
      </c>
      <c r="AB134" s="142">
        <v>4658</v>
      </c>
      <c r="AC134" s="142"/>
      <c r="AD134" s="142"/>
      <c r="AE134" s="141">
        <f t="shared" si="10"/>
        <v>56393</v>
      </c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60">
      <c r="A135" s="40">
        <v>46171</v>
      </c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>
        <v>11210</v>
      </c>
      <c r="AC135" s="142"/>
      <c r="AD135" s="142"/>
      <c r="AE135" s="141">
        <f t="shared" si="10"/>
        <v>11210</v>
      </c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60">
      <c r="A136" s="40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1">
        <f t="shared" si="10"/>
        <v>0</v>
      </c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60">
      <c r="A137" s="143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1">
        <f t="shared" si="10"/>
        <v>0</v>
      </c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60">
      <c r="A138" s="145"/>
      <c r="B138" s="146">
        <f>SUM(B112:B137)</f>
        <v>3692</v>
      </c>
      <c r="C138" s="146">
        <f>SUM(C112:C137)</f>
        <v>12063</v>
      </c>
      <c r="D138" s="146">
        <f>SUM(D112:D137)</f>
        <v>35182</v>
      </c>
      <c r="E138" s="146">
        <f>SUM(E112:E137)</f>
        <v>15234</v>
      </c>
      <c r="F138" s="146">
        <f t="shared" ref="F138:AB138" si="11">SUM(F112:F137)</f>
        <v>57679</v>
      </c>
      <c r="G138" s="146">
        <f t="shared" si="11"/>
        <v>17095</v>
      </c>
      <c r="H138" s="146">
        <f t="shared" si="11"/>
        <v>48913</v>
      </c>
      <c r="I138" s="146">
        <f t="shared" si="11"/>
        <v>66903</v>
      </c>
      <c r="J138" s="146">
        <f t="shared" si="11"/>
        <v>16845</v>
      </c>
      <c r="K138" s="146">
        <f t="shared" si="11"/>
        <v>44894</v>
      </c>
      <c r="L138" s="146">
        <f t="shared" si="11"/>
        <v>18495</v>
      </c>
      <c r="M138" s="146">
        <f t="shared" si="11"/>
        <v>50709</v>
      </c>
      <c r="N138" s="146">
        <f t="shared" si="11"/>
        <v>7494</v>
      </c>
      <c r="O138" s="146">
        <f t="shared" si="11"/>
        <v>26995</v>
      </c>
      <c r="P138" s="146">
        <f t="shared" si="11"/>
        <v>27206</v>
      </c>
      <c r="Q138" s="146">
        <f t="shared" si="11"/>
        <v>19250</v>
      </c>
      <c r="R138" s="146">
        <f t="shared" si="11"/>
        <v>17997</v>
      </c>
      <c r="S138" s="146">
        <f t="shared" si="11"/>
        <v>21094</v>
      </c>
      <c r="T138" s="146">
        <f t="shared" si="11"/>
        <v>37146</v>
      </c>
      <c r="U138" s="146">
        <f t="shared" si="11"/>
        <v>20930</v>
      </c>
      <c r="V138" s="146">
        <f t="shared" si="11"/>
        <v>45596</v>
      </c>
      <c r="W138" s="146">
        <f t="shared" si="11"/>
        <v>20060</v>
      </c>
      <c r="X138" s="146">
        <f t="shared" si="11"/>
        <v>53890</v>
      </c>
      <c r="Y138" s="185">
        <f t="shared" si="11"/>
        <v>19330</v>
      </c>
      <c r="Z138" s="185">
        <f t="shared" si="11"/>
        <v>45200</v>
      </c>
      <c r="AA138" s="185">
        <f t="shared" si="11"/>
        <v>46843</v>
      </c>
      <c r="AB138" s="146">
        <f t="shared" si="11"/>
        <v>15868</v>
      </c>
      <c r="AC138" s="147"/>
      <c r="AD138" s="147"/>
      <c r="AE138" s="148">
        <f>SUM(B138:AB138)</f>
        <v>812603</v>
      </c>
      <c r="AF138" s="58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60">
      <c r="A139" s="39"/>
      <c r="B139" s="149">
        <f>+B111-B138</f>
        <v>2566</v>
      </c>
      <c r="C139" s="149">
        <f>+C111-C138</f>
        <v>7172</v>
      </c>
      <c r="D139" s="149">
        <f>+D111-D138</f>
        <v>5018</v>
      </c>
      <c r="E139" s="149">
        <f>+E111-E138</f>
        <v>22376</v>
      </c>
      <c r="F139" s="149">
        <f t="shared" ref="F139:AB139" si="12">+F111-F138</f>
        <v>5819</v>
      </c>
      <c r="G139" s="149">
        <f t="shared" si="12"/>
        <v>0</v>
      </c>
      <c r="H139" s="149">
        <f t="shared" si="12"/>
        <v>14350</v>
      </c>
      <c r="I139" s="149">
        <f t="shared" si="12"/>
        <v>5397</v>
      </c>
      <c r="J139" s="149">
        <f t="shared" si="12"/>
        <v>0</v>
      </c>
      <c r="K139" s="149">
        <f t="shared" si="12"/>
        <v>15288</v>
      </c>
      <c r="L139" s="149">
        <f t="shared" si="12"/>
        <v>0</v>
      </c>
      <c r="M139" s="149">
        <f t="shared" si="12"/>
        <v>3399</v>
      </c>
      <c r="N139" s="149">
        <f t="shared" si="12"/>
        <v>1794</v>
      </c>
      <c r="O139" s="149">
        <f t="shared" si="12"/>
        <v>6877</v>
      </c>
      <c r="P139" s="149">
        <f t="shared" si="12"/>
        <v>5934</v>
      </c>
      <c r="Q139" s="149">
        <f t="shared" si="12"/>
        <v>0</v>
      </c>
      <c r="R139" s="149">
        <f t="shared" si="12"/>
        <v>253</v>
      </c>
      <c r="S139" s="149">
        <f t="shared" si="12"/>
        <v>3617</v>
      </c>
      <c r="T139" s="149">
        <f t="shared" si="12"/>
        <v>119</v>
      </c>
      <c r="U139" s="149">
        <f t="shared" si="12"/>
        <v>0</v>
      </c>
      <c r="V139" s="149">
        <f t="shared" si="12"/>
        <v>1009</v>
      </c>
      <c r="W139" s="149">
        <f t="shared" si="12"/>
        <v>0</v>
      </c>
      <c r="X139" s="149">
        <f t="shared" si="12"/>
        <v>3540</v>
      </c>
      <c r="Y139" s="149">
        <f t="shared" si="12"/>
        <v>0</v>
      </c>
      <c r="Z139" s="149">
        <f t="shared" si="12"/>
        <v>3025</v>
      </c>
      <c r="AA139" s="149">
        <f t="shared" si="12"/>
        <v>1518</v>
      </c>
      <c r="AB139" s="150">
        <f t="shared" si="12"/>
        <v>46728</v>
      </c>
      <c r="AC139" s="151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6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60">
      <c r="A141" s="2" t="s">
        <v>143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60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</row>
    <row r="143" spans="1:60">
      <c r="A143" s="240" t="s">
        <v>655</v>
      </c>
    </row>
    <row r="144" spans="1:60">
      <c r="A144" t="s">
        <v>656</v>
      </c>
    </row>
    <row r="146" spans="1:2">
      <c r="A146" s="240" t="s">
        <v>657</v>
      </c>
    </row>
    <row r="147" spans="1:2">
      <c r="A147" t="s">
        <v>658</v>
      </c>
    </row>
    <row r="148" spans="1:2">
      <c r="A148" t="s">
        <v>659</v>
      </c>
    </row>
    <row r="149" customFormat="1" spans="1:2">
      <c r="A149" t="s">
        <v>156</v>
      </c>
    </row>
    <row r="150" customFormat="1" spans="1:2">
      <c r="A150" s="171" t="s">
        <v>276</v>
      </c>
      <c r="B150" s="170"/>
    </row>
    <row r="151" customFormat="1" spans="1:2">
      <c r="A151" t="s">
        <v>660</v>
      </c>
    </row>
    <row r="152" customFormat="1" spans="1:2">
      <c r="A152" s="161">
        <v>63311</v>
      </c>
      <c r="B152" s="153" t="s">
        <v>661</v>
      </c>
    </row>
    <row r="153" customFormat="1" spans="1:2">
      <c r="A153" s="171" t="s">
        <v>279</v>
      </c>
    </row>
    <row r="154" customFormat="1" spans="1:2">
      <c r="A154" t="s">
        <v>660</v>
      </c>
    </row>
    <row r="155" customFormat="1" spans="1:2">
      <c r="A155" s="161">
        <v>44976</v>
      </c>
      <c r="B155" s="153" t="s">
        <v>662</v>
      </c>
    </row>
    <row r="157" spans="1:2">
      <c r="A157" s="240" t="s">
        <v>663</v>
      </c>
    </row>
    <row r="158" spans="1:2">
      <c r="A158" t="s">
        <v>664</v>
      </c>
    </row>
    <row r="159" spans="1:2">
      <c r="A159" t="s">
        <v>665</v>
      </c>
    </row>
    <row r="160" spans="1:2">
      <c r="A160" t="s">
        <v>156</v>
      </c>
    </row>
    <row r="161" customFormat="1" spans="1:2">
      <c r="A161" s="241" t="s">
        <v>666</v>
      </c>
    </row>
    <row r="162" customFormat="1" spans="1:2">
      <c r="A162" t="s">
        <v>667</v>
      </c>
    </row>
    <row r="163" customFormat="1" spans="1:2">
      <c r="A163" s="161">
        <v>75425</v>
      </c>
      <c r="B163" s="153" t="s">
        <v>668</v>
      </c>
    </row>
    <row r="165" customFormat="1" spans="1:2">
      <c r="A165" s="242" t="s">
        <v>669</v>
      </c>
    </row>
    <row r="166" customFormat="1" spans="1:2">
      <c r="A166" t="s">
        <v>670</v>
      </c>
    </row>
    <row r="168" spans="1:2">
      <c r="A168" s="242" t="s">
        <v>671</v>
      </c>
    </row>
    <row r="169" spans="1:2">
      <c r="A169" t="s">
        <v>672</v>
      </c>
    </row>
    <row r="170" spans="1:2">
      <c r="A170" t="s">
        <v>156</v>
      </c>
    </row>
    <row r="171" customFormat="1" spans="1:2">
      <c r="A171" s="171" t="s">
        <v>276</v>
      </c>
      <c r="B171" s="170"/>
    </row>
    <row r="172" customFormat="1" spans="1:2">
      <c r="A172" t="s">
        <v>673</v>
      </c>
    </row>
    <row r="173" customFormat="1" spans="1:2">
      <c r="A173" s="161">
        <v>63263</v>
      </c>
      <c r="B173" s="153" t="s">
        <v>674</v>
      </c>
    </row>
    <row r="174" customFormat="1" spans="1:2">
      <c r="A174" s="171" t="s">
        <v>279</v>
      </c>
    </row>
    <row r="175" customFormat="1" spans="1:2">
      <c r="A175" t="s">
        <v>673</v>
      </c>
    </row>
    <row r="176" customFormat="1" spans="1:2">
      <c r="A176" s="161">
        <v>49910</v>
      </c>
      <c r="B176" s="153" t="s">
        <v>675</v>
      </c>
    </row>
    <row r="179" spans="1:2">
      <c r="A179" s="242" t="s">
        <v>676</v>
      </c>
    </row>
    <row r="180" spans="1:2">
      <c r="A180" t="s">
        <v>677</v>
      </c>
    </row>
    <row r="182" spans="1:2">
      <c r="A182" s="242" t="s">
        <v>678</v>
      </c>
    </row>
    <row r="183" spans="1:2">
      <c r="A183" t="s">
        <v>679</v>
      </c>
    </row>
    <row r="184" spans="1:2">
      <c r="A184" t="s">
        <v>680</v>
      </c>
    </row>
    <row r="185" spans="1:2">
      <c r="A185" t="s">
        <v>156</v>
      </c>
    </row>
    <row r="186" customFormat="1" spans="1:2">
      <c r="A186" s="241" t="s">
        <v>681</v>
      </c>
    </row>
    <row r="187" customFormat="1" spans="1:2">
      <c r="A187" t="s">
        <v>682</v>
      </c>
    </row>
    <row r="188" customFormat="1" spans="1:2">
      <c r="A188" s="161">
        <v>72300</v>
      </c>
      <c r="B188" s="153" t="s">
        <v>683</v>
      </c>
    </row>
    <row r="189" customFormat="1" spans="1:2">
      <c r="A189" s="241" t="s">
        <v>684</v>
      </c>
    </row>
    <row r="190" customFormat="1" spans="1:2">
      <c r="A190" s="171" t="s">
        <v>276</v>
      </c>
      <c r="B190" s="170"/>
    </row>
    <row r="191" customFormat="1" spans="1:2">
      <c r="A191" t="s">
        <v>685</v>
      </c>
    </row>
    <row r="192" customFormat="1" spans="1:2">
      <c r="A192" s="161">
        <v>17828</v>
      </c>
      <c r="B192" s="153" t="s">
        <v>686</v>
      </c>
    </row>
    <row r="193" customFormat="1" spans="1:2">
      <c r="A193" s="171" t="s">
        <v>279</v>
      </c>
    </row>
    <row r="194" customFormat="1" spans="1:2">
      <c r="A194" t="s">
        <v>685</v>
      </c>
    </row>
    <row r="195" customFormat="1" spans="1:2">
      <c r="A195" s="161">
        <v>14668</v>
      </c>
      <c r="B195" s="153" t="s">
        <v>687</v>
      </c>
    </row>
    <row r="196" spans="1:2">
      <c r="A196" s="241" t="s">
        <v>688</v>
      </c>
    </row>
    <row r="197" customFormat="1" spans="1:2">
      <c r="A197" s="171" t="s">
        <v>276</v>
      </c>
      <c r="B197" s="170"/>
    </row>
    <row r="198" customFormat="1" spans="1:2">
      <c r="A198" t="s">
        <v>689</v>
      </c>
    </row>
    <row r="199" spans="1:2">
      <c r="A199" s="154">
        <v>9288</v>
      </c>
      <c r="B199" s="153" t="s">
        <v>690</v>
      </c>
    </row>
    <row r="200" customFormat="1" spans="1:2">
      <c r="A200" s="171" t="s">
        <v>279</v>
      </c>
    </row>
    <row r="201" customFormat="1" spans="1:2">
      <c r="A201" t="s">
        <v>689</v>
      </c>
    </row>
    <row r="202" customFormat="1" spans="1:2">
      <c r="A202" s="161">
        <v>7766</v>
      </c>
      <c r="B202" s="153" t="s">
        <v>691</v>
      </c>
    </row>
    <row r="204" spans="1:2">
      <c r="A204" s="242" t="s">
        <v>692</v>
      </c>
    </row>
    <row r="205" spans="1:2">
      <c r="A205" t="s">
        <v>693</v>
      </c>
    </row>
    <row r="206" spans="1:2">
      <c r="A206" t="s">
        <v>694</v>
      </c>
    </row>
    <row r="207" spans="1:2">
      <c r="A207" t="s">
        <v>156</v>
      </c>
    </row>
    <row r="208" customFormat="1" spans="1:2">
      <c r="A208" s="241" t="s">
        <v>695</v>
      </c>
    </row>
    <row r="209" customFormat="1" spans="1:2">
      <c r="A209" s="171" t="s">
        <v>276</v>
      </c>
      <c r="B209" s="170"/>
    </row>
    <row r="210" customFormat="1" spans="1:2">
      <c r="A210" t="s">
        <v>696</v>
      </c>
    </row>
    <row r="211" customFormat="1" spans="1:2">
      <c r="A211" s="154">
        <v>33872</v>
      </c>
      <c r="B211" s="153" t="s">
        <v>697</v>
      </c>
    </row>
    <row r="212" customFormat="1" spans="1:2">
      <c r="A212" s="171" t="s">
        <v>279</v>
      </c>
    </row>
    <row r="213" customFormat="1" spans="1:2">
      <c r="A213" t="s">
        <v>696</v>
      </c>
    </row>
    <row r="214" customFormat="1" spans="1:2">
      <c r="A214" s="161">
        <v>27532</v>
      </c>
      <c r="B214" s="153" t="s">
        <v>698</v>
      </c>
    </row>
    <row r="216" spans="1:2">
      <c r="A216" s="242" t="s">
        <v>699</v>
      </c>
    </row>
    <row r="217" spans="1:2">
      <c r="A217" t="s">
        <v>700</v>
      </c>
    </row>
    <row r="219" spans="1:2">
      <c r="A219" s="242" t="s">
        <v>701</v>
      </c>
    </row>
    <row r="220" spans="1:2">
      <c r="A220" t="s">
        <v>702</v>
      </c>
    </row>
    <row r="221" spans="1:2">
      <c r="A221" t="s">
        <v>703</v>
      </c>
    </row>
    <row r="222" spans="1:2">
      <c r="A222" t="s">
        <v>156</v>
      </c>
    </row>
    <row r="223" customFormat="1" spans="1:2">
      <c r="A223" s="241" t="s">
        <v>704</v>
      </c>
    </row>
    <row r="224" customFormat="1" spans="1:2">
      <c r="A224" s="171" t="s">
        <v>276</v>
      </c>
      <c r="B224" s="170"/>
    </row>
    <row r="225" customFormat="1" spans="1:2">
      <c r="A225" t="s">
        <v>705</v>
      </c>
    </row>
    <row r="226" customFormat="1" spans="1:2">
      <c r="A226" s="154">
        <v>35530</v>
      </c>
      <c r="B226" s="153" t="s">
        <v>706</v>
      </c>
    </row>
    <row r="227" customFormat="1" spans="1:2">
      <c r="A227" s="171" t="s">
        <v>279</v>
      </c>
    </row>
    <row r="228" customFormat="1" spans="1:2">
      <c r="A228" t="s">
        <v>705</v>
      </c>
    </row>
    <row r="229" customFormat="1" spans="1:2">
      <c r="A229" s="161">
        <v>35530</v>
      </c>
      <c r="B229" s="153" t="s">
        <v>707</v>
      </c>
    </row>
    <row r="231" spans="1:2">
      <c r="A231" s="241" t="s">
        <v>708</v>
      </c>
    </row>
    <row r="232" customFormat="1" spans="1:2">
      <c r="A232" t="s">
        <v>709</v>
      </c>
    </row>
    <row r="233" customFormat="1" spans="1:2">
      <c r="A233" s="161">
        <v>71900</v>
      </c>
      <c r="B233" s="153" t="s">
        <v>710</v>
      </c>
    </row>
    <row r="235" customFormat="1" spans="1:2">
      <c r="A235" s="188" t="s">
        <v>711</v>
      </c>
    </row>
    <row r="236" customFormat="1" spans="1:2">
      <c r="A236" t="s">
        <v>712</v>
      </c>
    </row>
    <row r="237" customFormat="1" spans="1:2">
      <c r="A237" t="s">
        <v>713</v>
      </c>
    </row>
    <row r="238" customFormat="1" spans="1:2">
      <c r="A238" t="s">
        <v>714</v>
      </c>
    </row>
    <row r="239" customFormat="1" spans="1:2">
      <c r="A239" t="s">
        <v>156</v>
      </c>
    </row>
    <row r="240" customFormat="1" spans="1:2">
      <c r="A240" s="160" t="s">
        <v>715</v>
      </c>
    </row>
    <row r="241" customFormat="1" spans="1:2">
      <c r="A241" s="171" t="s">
        <v>276</v>
      </c>
    </row>
    <row r="242" customFormat="1" spans="1:2">
      <c r="A242" s="153" t="s">
        <v>716</v>
      </c>
    </row>
    <row r="243" customFormat="1" spans="1:2">
      <c r="A243" s="174">
        <v>18250</v>
      </c>
      <c r="B243" s="153" t="s">
        <v>717</v>
      </c>
    </row>
    <row r="245" customFormat="1" spans="1:2">
      <c r="A245" s="160" t="s">
        <v>718</v>
      </c>
    </row>
    <row r="246" customFormat="1" spans="1:2">
      <c r="A246" s="171" t="s">
        <v>276</v>
      </c>
    </row>
    <row r="247" customFormat="1" spans="1:2">
      <c r="A247" s="153" t="s">
        <v>719</v>
      </c>
    </row>
    <row r="248" customFormat="1" spans="1:2">
      <c r="A248" s="174">
        <v>24711</v>
      </c>
      <c r="B248" s="153" t="s">
        <v>720</v>
      </c>
    </row>
    <row r="249" customFormat="1" spans="1:2">
      <c r="A249" s="171" t="s">
        <v>279</v>
      </c>
    </row>
    <row r="250" customFormat="1" spans="1:2">
      <c r="A250" s="153" t="s">
        <v>719</v>
      </c>
    </row>
    <row r="251" customFormat="1" spans="1:2">
      <c r="A251" s="174">
        <v>20077</v>
      </c>
      <c r="B251" s="153" t="s">
        <v>721</v>
      </c>
    </row>
    <row r="253" spans="1:2">
      <c r="A253" s="188" t="s">
        <v>722</v>
      </c>
    </row>
    <row r="254" spans="1:2">
      <c r="A254" t="s">
        <v>679</v>
      </c>
    </row>
    <row r="255" spans="1:2">
      <c r="A255" t="s">
        <v>723</v>
      </c>
    </row>
    <row r="256" spans="1:2">
      <c r="A256" s="153" t="s">
        <v>724</v>
      </c>
    </row>
    <row r="258" spans="1:2">
      <c r="A258" s="188" t="s">
        <v>725</v>
      </c>
    </row>
    <row r="259" spans="1:2">
      <c r="A259" t="s">
        <v>726</v>
      </c>
    </row>
    <row r="260" spans="1:2">
      <c r="A260" s="160" t="s">
        <v>626</v>
      </c>
      <c r="B260" s="160"/>
    </row>
    <row r="261" spans="1:2">
      <c r="A261" s="171" t="s">
        <v>276</v>
      </c>
    </row>
    <row r="262" spans="1:2">
      <c r="A262" s="153" t="s">
        <v>727</v>
      </c>
    </row>
    <row r="263" spans="1:2">
      <c r="A263" s="174">
        <v>46605</v>
      </c>
      <c r="B263" s="153" t="s">
        <v>728</v>
      </c>
    </row>
    <row r="265" spans="1:2">
      <c r="A265" s="188" t="s">
        <v>729</v>
      </c>
    </row>
    <row r="266" spans="1:2">
      <c r="A266" s="153" t="s">
        <v>730</v>
      </c>
    </row>
    <row r="268" spans="1:2">
      <c r="A268" s="188" t="s">
        <v>731</v>
      </c>
    </row>
    <row r="269" spans="1:2">
      <c r="A269" t="s">
        <v>732</v>
      </c>
    </row>
    <row r="271" spans="1:2">
      <c r="A271" s="188" t="s">
        <v>733</v>
      </c>
    </row>
    <row r="272" spans="1:2">
      <c r="A272" s="153" t="s">
        <v>734</v>
      </c>
    </row>
    <row r="273" spans="1:2">
      <c r="A273" s="160" t="s">
        <v>629</v>
      </c>
    </row>
    <row r="274" spans="1:2">
      <c r="A274" s="171" t="s">
        <v>276</v>
      </c>
    </row>
    <row r="275" spans="1:2">
      <c r="A275" s="153" t="s">
        <v>735</v>
      </c>
    </row>
    <row r="276" spans="1:2">
      <c r="A276" s="174">
        <v>57430</v>
      </c>
      <c r="B276" s="153" t="s">
        <v>736</v>
      </c>
    </row>
    <row r="277" spans="1:2">
      <c r="A277" s="160" t="s">
        <v>493</v>
      </c>
    </row>
    <row r="278" spans="1:2">
      <c r="A278" s="171" t="s">
        <v>276</v>
      </c>
    </row>
    <row r="279" spans="1:2">
      <c r="A279" s="153" t="s">
        <v>737</v>
      </c>
    </row>
    <row r="280" spans="1:2">
      <c r="A280" s="174">
        <v>64787</v>
      </c>
      <c r="B280" s="153" t="s">
        <v>738</v>
      </c>
    </row>
    <row r="282" spans="1:2">
      <c r="A282" s="188" t="s">
        <v>739</v>
      </c>
    </row>
    <row r="283" spans="1:2">
      <c r="A283" t="s">
        <v>740</v>
      </c>
    </row>
    <row r="284" spans="1:2">
      <c r="A284" t="s">
        <v>741</v>
      </c>
    </row>
    <row r="285" spans="1:2">
      <c r="A285" s="160" t="s">
        <v>742</v>
      </c>
    </row>
    <row r="286" spans="1:2">
      <c r="A286" s="171" t="s">
        <v>276</v>
      </c>
    </row>
    <row r="287" spans="1:2">
      <c r="A287" t="s">
        <v>743</v>
      </c>
    </row>
    <row r="288" spans="1:2">
      <c r="A288" s="174">
        <v>48225</v>
      </c>
      <c r="B288" s="153" t="s">
        <v>744</v>
      </c>
    </row>
    <row r="289" spans="1:2">
      <c r="A289" s="160" t="s">
        <v>745</v>
      </c>
    </row>
    <row r="290" spans="1:2">
      <c r="A290" s="171" t="s">
        <v>276</v>
      </c>
    </row>
    <row r="291" spans="1:2">
      <c r="A291" t="s">
        <v>746</v>
      </c>
    </row>
    <row r="292" spans="1:2">
      <c r="A292" s="174">
        <v>54108</v>
      </c>
      <c r="B292" s="153" t="s">
        <v>747</v>
      </c>
    </row>
    <row r="294" spans="1:2">
      <c r="A294" s="188" t="s">
        <v>748</v>
      </c>
    </row>
    <row r="295" spans="1:2">
      <c r="A295" s="153" t="s">
        <v>749</v>
      </c>
    </row>
    <row r="296" spans="1:2">
      <c r="A296" s="160" t="s">
        <v>634</v>
      </c>
    </row>
    <row r="297" spans="1:2">
      <c r="A297" s="171" t="s">
        <v>276</v>
      </c>
    </row>
    <row r="298" spans="1:2">
      <c r="A298" t="s">
        <v>750</v>
      </c>
    </row>
    <row r="299" spans="1:2">
      <c r="A299" s="174">
        <v>48361</v>
      </c>
      <c r="B299" s="153" t="s">
        <v>751</v>
      </c>
    </row>
    <row r="300" spans="1:2">
      <c r="A300" s="160" t="s">
        <v>752</v>
      </c>
    </row>
    <row r="301" spans="1:2">
      <c r="A301" s="171" t="s">
        <v>276</v>
      </c>
    </row>
    <row r="302" spans="1:2">
      <c r="A302" s="153" t="s">
        <v>753</v>
      </c>
      <c r="B302" s="175"/>
    </row>
    <row r="303" spans="1:2">
      <c r="A303" s="174">
        <v>60182</v>
      </c>
      <c r="B303" s="153" t="s">
        <v>754</v>
      </c>
    </row>
    <row r="304" spans="1:2">
      <c r="A304" s="171" t="s">
        <v>279</v>
      </c>
    </row>
    <row r="305" spans="1:2">
      <c r="A305" s="153" t="s">
        <v>755</v>
      </c>
    </row>
    <row r="306" spans="1:2">
      <c r="A306" s="174">
        <v>45704</v>
      </c>
      <c r="B306" s="153" t="s">
        <v>756</v>
      </c>
    </row>
  </sheetData>
  <mergeCells count="12">
    <mergeCell ref="AC14:AC15"/>
    <mergeCell ref="AC16:AC17"/>
    <mergeCell ref="AC18:AC19"/>
    <mergeCell ref="AC20:AC21"/>
    <mergeCell ref="AC22:AC23"/>
    <mergeCell ref="AC24:AC25"/>
    <mergeCell ref="AC26:AC27"/>
    <mergeCell ref="AC28:AC29"/>
    <mergeCell ref="AC30:AC31"/>
    <mergeCell ref="AC32:AC33"/>
    <mergeCell ref="AC34:AC35"/>
    <mergeCell ref="AD110:AD1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97"/>
  <sheetViews>
    <sheetView topLeftCell="A187" workbookViewId="0">
      <selection activeCell="A211" sqref="A211"/>
    </sheetView>
  </sheetViews>
  <sheetFormatPr defaultColWidth="9.14285714285714" defaultRowHeight="15"/>
  <cols>
    <col min="1" max="1" width="11.7142857142857"/>
    <col min="2" max="2" width="30.1428571428571" customWidth="1"/>
    <col min="3" max="3" width="15.7142857142857" customWidth="1"/>
    <col min="4" max="4" width="14.8571428571429" customWidth="1"/>
    <col min="5" max="5" width="15.1428571428571" customWidth="1"/>
    <col min="6" max="6" width="12.8571428571429" customWidth="1"/>
    <col min="7" max="7" width="12.1428571428571" customWidth="1"/>
    <col min="8" max="8" width="13.1428571428571" customWidth="1"/>
    <col min="9" max="9" width="14.4285714285714" customWidth="1"/>
    <col min="10" max="10" width="18" customWidth="1"/>
    <col min="11" max="11" width="12.8571428571429" customWidth="1"/>
    <col min="12" max="12" width="11.8571428571429" customWidth="1"/>
    <col min="13" max="13" width="18" customWidth="1"/>
    <col min="14" max="14" width="13.1428571428571" customWidth="1"/>
    <col min="15" max="15" width="12.8571428571429" customWidth="1"/>
    <col min="16" max="16" width="12" customWidth="1"/>
    <col min="17" max="17" width="13.5714285714286" customWidth="1"/>
    <col min="18" max="18" width="11.7142857142857" customWidth="1"/>
    <col min="19" max="20" width="12.2857142857143" customWidth="1"/>
    <col min="22" max="23" width="13" customWidth="1"/>
    <col min="24" max="24" width="10.5714285714286" customWidth="1"/>
    <col min="48" max="50" width="9.14285714285714" hidden="1" customWidth="1"/>
    <col min="53" max="53" width="8.42857142857143" customWidth="1"/>
    <col min="54" max="57" width="9.14285714285714" customWidth="1"/>
  </cols>
  <sheetData>
    <row r="1" spans="1:60">
      <c r="A1" s="235" t="s">
        <v>757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  <c r="BB1" s="5" t="s">
        <v>458</v>
      </c>
      <c r="BC1" s="5"/>
      <c r="BD1" s="5"/>
      <c r="BE1" s="5"/>
      <c r="BF1" s="5"/>
      <c r="BG1" s="5"/>
      <c r="BH1" s="5"/>
    </row>
    <row r="2" spans="1:60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/>
      <c r="BB2" s="5"/>
      <c r="BC2" s="5"/>
      <c r="BD2" s="5"/>
      <c r="BE2" s="5"/>
      <c r="BF2" s="5"/>
      <c r="BG2" s="5"/>
      <c r="BH2" s="5"/>
    </row>
    <row r="3" spans="1:60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  <c r="AW3" s="5"/>
      <c r="AX3" s="5"/>
      <c r="AY3" s="5"/>
      <c r="AZ3" s="5"/>
      <c r="BA3" s="5"/>
      <c r="BB3" s="5"/>
    </row>
    <row r="4" spans="1:60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758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  <c r="AW4" s="5"/>
      <c r="AX4" s="5"/>
      <c r="AY4" s="5"/>
      <c r="AZ4" s="5"/>
      <c r="BA4" s="5"/>
      <c r="BB4" s="5"/>
    </row>
    <row r="5" spans="1:60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  <c r="AW5" s="5"/>
      <c r="AX5" s="5"/>
      <c r="AY5" s="5"/>
      <c r="AZ5" s="5"/>
      <c r="BA5" s="5"/>
      <c r="BB5" s="5"/>
    </row>
    <row r="6" spans="1:60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34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  <c r="AW6" s="5"/>
      <c r="AX6" s="5"/>
      <c r="AY6" s="5"/>
      <c r="AZ6" s="5"/>
      <c r="BA6" s="5"/>
      <c r="BB6" s="5"/>
    </row>
    <row r="7" spans="1:60">
      <c r="A7" s="40">
        <v>46171</v>
      </c>
      <c r="B7" s="41">
        <v>10600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270</v>
      </c>
      <c r="AA7" s="35">
        <v>26</v>
      </c>
      <c r="AB7" s="42">
        <f t="shared" ref="AB7:AB28" si="0">Z7*AA7</f>
        <v>7020</v>
      </c>
      <c r="AC7" s="155">
        <v>324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  <c r="AW7" s="5"/>
      <c r="AX7" s="5"/>
      <c r="AY7" s="5"/>
      <c r="AZ7" s="5"/>
      <c r="BA7" s="5"/>
      <c r="BB7" s="5"/>
    </row>
    <row r="8" spans="1:60">
      <c r="A8" s="44">
        <v>46174</v>
      </c>
      <c r="B8" s="41">
        <v>34705</v>
      </c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>
        <v>810</v>
      </c>
      <c r="AA8" s="35">
        <v>26</v>
      </c>
      <c r="AB8" s="42">
        <f t="shared" si="0"/>
        <v>21060</v>
      </c>
      <c r="AC8" s="34">
        <v>3368</v>
      </c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  <c r="AW8" s="5"/>
      <c r="AX8" s="5"/>
      <c r="AY8" s="5"/>
      <c r="AZ8" s="5"/>
      <c r="BA8" s="5"/>
      <c r="BB8" s="5"/>
    </row>
    <row r="9" spans="1:60">
      <c r="A9" s="44">
        <v>46175</v>
      </c>
      <c r="B9" s="41">
        <v>35666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v>1020</v>
      </c>
      <c r="AA9" s="35">
        <v>26</v>
      </c>
      <c r="AB9" s="42">
        <f t="shared" si="0"/>
        <v>26520</v>
      </c>
      <c r="AC9" s="155">
        <v>3373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  <c r="AW9" s="5"/>
      <c r="AX9" s="5"/>
      <c r="AY9" s="5"/>
      <c r="AZ9" s="5"/>
      <c r="BA9" s="5"/>
      <c r="BB9" s="5"/>
    </row>
    <row r="10" spans="1:60">
      <c r="A10" s="44">
        <v>46176</v>
      </c>
      <c r="B10" s="41">
        <v>47371</v>
      </c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>
        <v>1200</v>
      </c>
      <c r="AA10" s="35">
        <v>26</v>
      </c>
      <c r="AB10" s="42">
        <f t="shared" si="0"/>
        <v>31200</v>
      </c>
      <c r="AC10" s="155">
        <v>3746</v>
      </c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  <c r="AW10" s="5"/>
      <c r="AX10" s="5"/>
      <c r="AY10" s="5"/>
      <c r="AZ10" s="5"/>
      <c r="BA10" s="5"/>
      <c r="BB10" s="5"/>
    </row>
    <row r="11" spans="1:60">
      <c r="A11" s="44">
        <v>46177</v>
      </c>
      <c r="B11" s="41">
        <v>37566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v>1191</v>
      </c>
      <c r="AA11" s="35">
        <v>26</v>
      </c>
      <c r="AB11" s="42">
        <f t="shared" si="0"/>
        <v>30966</v>
      </c>
      <c r="AC11" s="43">
        <v>3972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  <c r="AW11" s="5"/>
      <c r="AX11" s="5"/>
      <c r="AY11" s="5"/>
      <c r="AZ11" s="5"/>
      <c r="BA11" s="5"/>
      <c r="BB11" s="5"/>
    </row>
    <row r="12" spans="1:60">
      <c r="A12" s="44">
        <v>46178</v>
      </c>
      <c r="B12" s="41">
        <v>29450</v>
      </c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>
        <v>804</v>
      </c>
      <c r="AA12" s="35">
        <v>26</v>
      </c>
      <c r="AB12" s="42">
        <f t="shared" si="0"/>
        <v>20904</v>
      </c>
      <c r="AC12" s="33">
        <v>2571</v>
      </c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  <c r="AW12" s="5"/>
      <c r="AX12" s="5"/>
      <c r="AY12" s="5"/>
      <c r="AZ12" s="5"/>
      <c r="BA12" s="5"/>
      <c r="BB12" s="5"/>
    </row>
    <row r="13" spans="1:60">
      <c r="A13" s="44">
        <v>46182</v>
      </c>
      <c r="B13" s="41">
        <v>34527</v>
      </c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>
        <v>921</v>
      </c>
      <c r="AA13" s="35">
        <v>26</v>
      </c>
      <c r="AB13" s="42">
        <f t="shared" si="0"/>
        <v>23946</v>
      </c>
      <c r="AC13" s="43">
        <v>7085</v>
      </c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  <c r="AW13" s="5"/>
      <c r="AX13" s="5"/>
      <c r="AY13" s="5"/>
      <c r="AZ13" s="5"/>
      <c r="BA13" s="5"/>
      <c r="BB13" s="5"/>
    </row>
    <row r="14" spans="1:60">
      <c r="A14" s="44"/>
      <c r="B14" s="41"/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>
        <v>981</v>
      </c>
      <c r="AA14" s="35">
        <v>26</v>
      </c>
      <c r="AB14" s="42">
        <f t="shared" si="0"/>
        <v>25506</v>
      </c>
      <c r="AC14" s="43"/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  <c r="AW14" s="5"/>
      <c r="AX14" s="5"/>
      <c r="AY14" s="5"/>
      <c r="AZ14" s="5"/>
      <c r="BA14" s="5"/>
      <c r="BB14" s="5"/>
    </row>
    <row r="15" spans="1:60">
      <c r="A15" s="44">
        <v>46183</v>
      </c>
      <c r="B15" s="41">
        <v>57401</v>
      </c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>
        <v>1041</v>
      </c>
      <c r="AA15" s="35">
        <v>26</v>
      </c>
      <c r="AB15" s="42">
        <f t="shared" si="0"/>
        <v>27066</v>
      </c>
      <c r="AC15" s="43">
        <v>5699</v>
      </c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  <c r="AW15" s="5"/>
      <c r="AX15" s="5"/>
      <c r="AY15" s="5"/>
      <c r="AZ15" s="5"/>
      <c r="BA15" s="5"/>
      <c r="BB15" s="5"/>
    </row>
    <row r="16" spans="1:60">
      <c r="A16" s="44"/>
      <c r="B16" s="41"/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>
        <v>675</v>
      </c>
      <c r="AA16" s="35">
        <v>26</v>
      </c>
      <c r="AB16" s="42">
        <f t="shared" si="0"/>
        <v>17550</v>
      </c>
      <c r="AC16" s="43"/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  <c r="AW16" s="5"/>
      <c r="AX16" s="5"/>
      <c r="AY16" s="5"/>
      <c r="AZ16" s="5"/>
      <c r="BA16" s="5"/>
      <c r="BB16" s="5"/>
    </row>
    <row r="17" customFormat="1" spans="1:54">
      <c r="A17" s="44">
        <v>46184</v>
      </c>
      <c r="B17" s="41">
        <v>43270</v>
      </c>
      <c r="C17" s="34"/>
      <c r="D17" s="34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>
        <v>965</v>
      </c>
      <c r="AA17" s="35">
        <v>26</v>
      </c>
      <c r="AB17" s="42">
        <f t="shared" si="0"/>
        <v>25090</v>
      </c>
      <c r="AC17" s="43">
        <v>6812</v>
      </c>
      <c r="AD17" s="36"/>
      <c r="AE17" s="37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  <c r="AW17" s="5"/>
      <c r="AX17" s="5"/>
      <c r="AY17" s="5"/>
      <c r="AZ17" s="5"/>
      <c r="BA17" s="5"/>
      <c r="BB17" s="5"/>
    </row>
    <row r="18" customFormat="1" spans="1:54">
      <c r="A18" s="44"/>
      <c r="B18" s="41"/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>
        <v>912</v>
      </c>
      <c r="AA18" s="35">
        <v>26</v>
      </c>
      <c r="AB18" s="42">
        <f t="shared" si="0"/>
        <v>23712</v>
      </c>
      <c r="AC18" s="43"/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  <c r="AW18" s="5"/>
      <c r="AX18" s="5"/>
      <c r="AY18" s="5"/>
      <c r="AZ18" s="5"/>
      <c r="BA18" s="5"/>
      <c r="BB18" s="5"/>
    </row>
    <row r="19" customFormat="1" spans="1:54">
      <c r="A19" s="44">
        <v>46093</v>
      </c>
      <c r="B19" s="41">
        <v>63923</v>
      </c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>
        <v>935</v>
      </c>
      <c r="AA19" s="35">
        <v>26</v>
      </c>
      <c r="AB19" s="42">
        <f t="shared" si="0"/>
        <v>24310</v>
      </c>
      <c r="AC19" s="43">
        <v>5064</v>
      </c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  <c r="AW19" s="5"/>
      <c r="AX19" s="5"/>
      <c r="AY19" s="5"/>
      <c r="AZ19" s="5"/>
      <c r="BA19" s="5"/>
      <c r="BB19" s="5"/>
    </row>
    <row r="20" customFormat="1" spans="1:54">
      <c r="A20" s="44"/>
      <c r="B20" s="41"/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>
        <v>765</v>
      </c>
      <c r="AA20" s="35">
        <v>26</v>
      </c>
      <c r="AB20" s="42">
        <f t="shared" si="0"/>
        <v>19890</v>
      </c>
      <c r="AC20" s="43"/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  <c r="AW20" s="5"/>
      <c r="AX20" s="5"/>
      <c r="AY20" s="5"/>
      <c r="AZ20" s="5"/>
      <c r="BA20" s="5"/>
      <c r="BB20" s="5"/>
    </row>
    <row r="21" customFormat="1" spans="1:54">
      <c r="A21" s="44">
        <v>46188</v>
      </c>
      <c r="B21" s="41">
        <v>33963</v>
      </c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>
        <v>1020</v>
      </c>
      <c r="AA21" s="35">
        <v>26</v>
      </c>
      <c r="AB21" s="42">
        <f t="shared" si="0"/>
        <v>26520</v>
      </c>
      <c r="AC21" s="43">
        <v>3311</v>
      </c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  <c r="AW21" s="5"/>
      <c r="AX21" s="5"/>
      <c r="AY21" s="5"/>
      <c r="AZ21" s="5"/>
      <c r="BA21" s="5"/>
      <c r="BB21" s="5"/>
    </row>
    <row r="22" customFormat="1" spans="1:54">
      <c r="A22" s="44">
        <v>46189</v>
      </c>
      <c r="B22" s="41">
        <v>33805</v>
      </c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>
        <v>890</v>
      </c>
      <c r="AA22" s="35">
        <v>26</v>
      </c>
      <c r="AB22" s="42">
        <f t="shared" si="0"/>
        <v>23140</v>
      </c>
      <c r="AC22" s="43">
        <v>4207</v>
      </c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  <c r="AW22" s="5"/>
      <c r="AX22" s="5"/>
      <c r="AY22" s="5"/>
      <c r="AZ22" s="5"/>
      <c r="BA22" s="5"/>
      <c r="BB22" s="5"/>
    </row>
    <row r="23" customFormat="1" spans="1:54">
      <c r="A23" s="44">
        <v>46190</v>
      </c>
      <c r="B23" s="41">
        <v>33897</v>
      </c>
      <c r="C23" s="34"/>
      <c r="D23" s="34"/>
      <c r="E23" s="33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>
        <v>880</v>
      </c>
      <c r="AA23" s="35">
        <v>26</v>
      </c>
      <c r="AB23" s="42">
        <f t="shared" si="0"/>
        <v>22880</v>
      </c>
      <c r="AC23" s="43">
        <v>2761</v>
      </c>
      <c r="AD23" s="36"/>
      <c r="AE23" s="37"/>
      <c r="AF23" s="38"/>
      <c r="AG23" s="36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"/>
      <c r="AU23" s="3"/>
      <c r="AV23" s="4"/>
      <c r="AW23" s="5"/>
      <c r="AX23" s="5"/>
      <c r="AY23" s="5"/>
      <c r="AZ23" s="5"/>
      <c r="BA23" s="5"/>
      <c r="BB23" s="5"/>
    </row>
    <row r="24" customFormat="1" spans="1:54">
      <c r="A24" s="44">
        <v>46191</v>
      </c>
      <c r="B24" s="41">
        <v>29426</v>
      </c>
      <c r="C24" s="34"/>
      <c r="D24" s="34"/>
      <c r="E24" s="33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>
        <v>725</v>
      </c>
      <c r="AA24" s="35">
        <v>26</v>
      </c>
      <c r="AB24" s="42">
        <f t="shared" si="0"/>
        <v>18850</v>
      </c>
      <c r="AC24" s="43">
        <v>3149</v>
      </c>
      <c r="AD24" s="36"/>
      <c r="AE24" s="37"/>
      <c r="AF24" s="38"/>
      <c r="AG24" s="36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"/>
      <c r="AU24" s="3"/>
      <c r="AV24" s="4"/>
      <c r="AW24" s="5"/>
      <c r="AX24" s="5"/>
      <c r="AY24" s="5"/>
      <c r="AZ24" s="5"/>
      <c r="BA24" s="5"/>
      <c r="BB24" s="5"/>
    </row>
    <row r="25" customFormat="1" spans="1:54">
      <c r="A25" s="44">
        <v>46192</v>
      </c>
      <c r="B25" s="41">
        <v>29894</v>
      </c>
      <c r="C25" s="34"/>
      <c r="D25" s="34"/>
      <c r="E25" s="33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>
        <v>981</v>
      </c>
      <c r="AA25" s="35">
        <v>26</v>
      </c>
      <c r="AB25" s="42">
        <f t="shared" si="0"/>
        <v>25506</v>
      </c>
      <c r="AC25" s="43">
        <v>4592</v>
      </c>
      <c r="AD25" s="36"/>
      <c r="AE25" s="37"/>
      <c r="AF25" s="38"/>
      <c r="AG25" s="36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"/>
      <c r="AU25" s="3"/>
      <c r="AV25" s="4"/>
      <c r="AW25" s="5"/>
      <c r="AX25" s="5"/>
      <c r="AY25" s="5"/>
      <c r="AZ25" s="5"/>
      <c r="BA25" s="5"/>
      <c r="BB25" s="5"/>
    </row>
    <row r="26" customFormat="1" spans="1:54">
      <c r="A26" s="44">
        <v>46193</v>
      </c>
      <c r="B26" s="41">
        <v>38742</v>
      </c>
      <c r="C26" s="34"/>
      <c r="D26" s="34"/>
      <c r="E26" s="33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>
        <v>792</v>
      </c>
      <c r="AA26" s="35">
        <v>26</v>
      </c>
      <c r="AB26" s="42">
        <f t="shared" si="0"/>
        <v>20592</v>
      </c>
      <c r="AC26" s="43">
        <v>3519</v>
      </c>
      <c r="AD26" s="36"/>
      <c r="AE26" s="37"/>
      <c r="AF26" s="38"/>
      <c r="AG26" s="36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"/>
      <c r="AU26" s="3"/>
      <c r="AV26" s="4"/>
      <c r="AW26" s="5"/>
      <c r="AX26" s="5"/>
      <c r="AY26" s="5"/>
      <c r="AZ26" s="5"/>
      <c r="BA26" s="5"/>
      <c r="BB26" s="5"/>
    </row>
    <row r="27" customFormat="1" spans="1:54">
      <c r="A27" s="44">
        <v>46195</v>
      </c>
      <c r="B27" s="41">
        <v>29639</v>
      </c>
      <c r="C27" s="34"/>
      <c r="D27" s="34"/>
      <c r="E27" s="33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>
        <v>800</v>
      </c>
      <c r="AA27" s="35">
        <v>26</v>
      </c>
      <c r="AB27" s="42">
        <f t="shared" si="0"/>
        <v>20800</v>
      </c>
      <c r="AC27" s="43">
        <v>3320</v>
      </c>
      <c r="AD27" s="36"/>
      <c r="AE27" s="37"/>
      <c r="AF27" s="38"/>
      <c r="AG27" s="36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"/>
      <c r="AU27" s="3"/>
      <c r="AV27" s="4"/>
      <c r="AW27" s="5"/>
      <c r="AX27" s="5"/>
      <c r="AY27" s="5"/>
      <c r="AZ27" s="5"/>
      <c r="BA27" s="5"/>
      <c r="BB27" s="5"/>
    </row>
    <row r="28" customFormat="1" spans="1:54">
      <c r="A28" s="44"/>
      <c r="B28" s="41"/>
      <c r="C28" s="34"/>
      <c r="D28" s="34"/>
      <c r="E28" s="33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>
        <v>6</v>
      </c>
      <c r="Y28" s="34"/>
      <c r="Z28" s="34"/>
      <c r="AA28" s="35">
        <v>575</v>
      </c>
      <c r="AB28" s="42">
        <f t="shared" ref="AB28:AB32" si="1">X28*AA28</f>
        <v>3450</v>
      </c>
      <c r="AC28" s="43"/>
      <c r="AD28" s="36"/>
      <c r="AE28" s="37"/>
      <c r="AF28" s="38"/>
      <c r="AG28" s="36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"/>
      <c r="AU28" s="3"/>
      <c r="AV28" s="4"/>
      <c r="AW28" s="5"/>
      <c r="AX28" s="5"/>
      <c r="AY28" s="5"/>
      <c r="AZ28" s="5"/>
      <c r="BA28" s="5"/>
      <c r="BB28" s="5"/>
    </row>
    <row r="29" customFormat="1" spans="1:54">
      <c r="A29" s="44">
        <v>46196</v>
      </c>
      <c r="B29" s="41">
        <v>37226</v>
      </c>
      <c r="C29" s="34"/>
      <c r="D29" s="34"/>
      <c r="E29" s="33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>
        <v>836</v>
      </c>
      <c r="AA29" s="35">
        <v>26</v>
      </c>
      <c r="AB29" s="42">
        <f t="shared" ref="AB29:AB33" si="2">Z29*AA29</f>
        <v>21736</v>
      </c>
      <c r="AC29" s="43">
        <v>5237</v>
      </c>
      <c r="AD29" s="36"/>
      <c r="AE29" s="37"/>
      <c r="AF29" s="38"/>
      <c r="AG29" s="36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  <c r="AU29" s="3"/>
      <c r="AV29" s="4"/>
      <c r="AW29" s="5"/>
      <c r="AX29" s="5"/>
      <c r="AY29" s="5"/>
      <c r="AZ29" s="5"/>
      <c r="BA29" s="5"/>
      <c r="BB29" s="5"/>
    </row>
    <row r="30" customFormat="1" spans="1:54">
      <c r="A30" s="44"/>
      <c r="B30" s="41"/>
      <c r="C30" s="34"/>
      <c r="D30" s="34"/>
      <c r="E30" s="33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>
        <v>8</v>
      </c>
      <c r="Y30" s="34"/>
      <c r="Z30" s="34"/>
      <c r="AA30" s="35">
        <v>575</v>
      </c>
      <c r="AB30" s="42">
        <f t="shared" si="1"/>
        <v>4600</v>
      </c>
      <c r="AC30" s="43"/>
      <c r="AD30" s="36"/>
      <c r="AE30" s="37"/>
      <c r="AF30" s="38"/>
      <c r="AG30" s="36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  <c r="AU30" s="3"/>
      <c r="AV30" s="4"/>
      <c r="AW30" s="5"/>
      <c r="AX30" s="5"/>
      <c r="AY30" s="5"/>
      <c r="AZ30" s="5"/>
      <c r="BA30" s="5"/>
      <c r="BB30" s="5"/>
    </row>
    <row r="31" customFormat="1" spans="1:54">
      <c r="A31" s="44">
        <v>46197</v>
      </c>
      <c r="B31" s="41">
        <v>40568</v>
      </c>
      <c r="C31" s="34"/>
      <c r="D31" s="34"/>
      <c r="E31" s="33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>
        <v>1024</v>
      </c>
      <c r="AA31" s="35">
        <v>26</v>
      </c>
      <c r="AB31" s="42">
        <f t="shared" si="2"/>
        <v>26624</v>
      </c>
      <c r="AC31" s="43">
        <v>4885</v>
      </c>
      <c r="AD31" s="36"/>
      <c r="AE31" s="37"/>
      <c r="AF31" s="38"/>
      <c r="AG31" s="36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"/>
      <c r="AU31" s="3"/>
      <c r="AV31" s="4"/>
      <c r="AW31" s="5"/>
      <c r="AX31" s="5"/>
      <c r="AY31" s="5"/>
      <c r="AZ31" s="5"/>
      <c r="BA31" s="5"/>
      <c r="BB31" s="5"/>
    </row>
    <row r="32" customFormat="1" spans="1:54">
      <c r="A32" s="44"/>
      <c r="B32" s="41"/>
      <c r="C32" s="34"/>
      <c r="D32" s="34"/>
      <c r="E32" s="33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>
        <v>9</v>
      </c>
      <c r="Y32" s="34"/>
      <c r="Z32" s="34"/>
      <c r="AA32" s="35">
        <v>575</v>
      </c>
      <c r="AB32" s="42">
        <f t="shared" si="1"/>
        <v>5175</v>
      </c>
      <c r="AC32" s="43"/>
      <c r="AD32" s="36"/>
      <c r="AE32" s="37"/>
      <c r="AF32" s="38"/>
      <c r="AG32" s="36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"/>
      <c r="AU32" s="3"/>
      <c r="AV32" s="4"/>
      <c r="AW32" s="5"/>
      <c r="AX32" s="5"/>
      <c r="AY32" s="5"/>
      <c r="AZ32" s="5"/>
      <c r="BA32" s="5"/>
      <c r="BB32" s="5"/>
    </row>
    <row r="33" customFormat="1" spans="1:54">
      <c r="A33" s="44">
        <v>46198</v>
      </c>
      <c r="B33" s="41">
        <v>33454</v>
      </c>
      <c r="C33" s="34"/>
      <c r="D33" s="34"/>
      <c r="E33" s="33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>
        <v>975</v>
      </c>
      <c r="AA33" s="35">
        <v>26</v>
      </c>
      <c r="AB33" s="42">
        <f t="shared" si="2"/>
        <v>25350</v>
      </c>
      <c r="AC33" s="43">
        <v>6593</v>
      </c>
      <c r="AD33" s="36"/>
      <c r="AE33" s="37"/>
      <c r="AF33" s="38"/>
      <c r="AG33" s="36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"/>
      <c r="AU33" s="3"/>
      <c r="AV33" s="4"/>
      <c r="AW33" s="5"/>
      <c r="AX33" s="5"/>
      <c r="AY33" s="5"/>
      <c r="AZ33" s="5"/>
      <c r="BA33" s="5"/>
      <c r="BB33" s="5"/>
    </row>
    <row r="34" customFormat="1" spans="1:54">
      <c r="A34" s="44"/>
      <c r="B34" s="41"/>
      <c r="C34" s="34"/>
      <c r="D34" s="34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>
        <v>8</v>
      </c>
      <c r="Y34" s="34"/>
      <c r="Z34" s="34"/>
      <c r="AA34" s="35">
        <v>575</v>
      </c>
      <c r="AB34" s="42">
        <f t="shared" ref="AB34:AB38" si="3">X34*AA34</f>
        <v>4600</v>
      </c>
      <c r="AC34" s="43"/>
      <c r="AD34" s="36"/>
      <c r="AE34" s="37"/>
      <c r="AF34" s="38"/>
      <c r="AG34" s="36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"/>
      <c r="AU34" s="3"/>
      <c r="AV34" s="4"/>
      <c r="AW34" s="5"/>
      <c r="AX34" s="5"/>
      <c r="AY34" s="5"/>
      <c r="AZ34" s="5"/>
      <c r="BA34" s="5"/>
      <c r="BB34" s="5"/>
    </row>
    <row r="35" customFormat="1" spans="1:54">
      <c r="A35" s="44">
        <v>46199</v>
      </c>
      <c r="B35" s="41">
        <v>46790</v>
      </c>
      <c r="C35" s="34"/>
      <c r="D35" s="34"/>
      <c r="E35" s="33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>
        <v>834</v>
      </c>
      <c r="AA35" s="35">
        <v>26</v>
      </c>
      <c r="AB35" s="42">
        <f t="shared" ref="AB35:AB39" si="4">Z35*AA35</f>
        <v>21684</v>
      </c>
      <c r="AC35" s="43">
        <v>4262</v>
      </c>
      <c r="AD35" s="36"/>
      <c r="AE35" s="37"/>
      <c r="AF35" s="38"/>
      <c r="AG35" s="36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"/>
      <c r="AU35" s="3"/>
      <c r="AV35" s="4"/>
      <c r="AW35" s="5"/>
      <c r="AX35" s="5"/>
      <c r="AY35" s="5"/>
      <c r="AZ35" s="5"/>
      <c r="BA35" s="5"/>
      <c r="BB35" s="5"/>
    </row>
    <row r="36" customFormat="1" spans="1:54">
      <c r="A36" s="44"/>
      <c r="B36" s="41"/>
      <c r="C36" s="34"/>
      <c r="D36" s="34"/>
      <c r="E36" s="33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>
        <v>13</v>
      </c>
      <c r="Y36" s="34"/>
      <c r="Z36" s="34"/>
      <c r="AA36" s="35">
        <v>575</v>
      </c>
      <c r="AB36" s="42">
        <f t="shared" si="3"/>
        <v>7475</v>
      </c>
      <c r="AC36" s="43"/>
      <c r="AD36" s="36"/>
      <c r="AE36" s="37"/>
      <c r="AF36" s="38"/>
      <c r="AG36" s="36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"/>
      <c r="AU36" s="3"/>
      <c r="AV36" s="4"/>
      <c r="AW36" s="5"/>
      <c r="AX36" s="5"/>
      <c r="AY36" s="5"/>
      <c r="AZ36" s="5"/>
      <c r="BA36" s="5"/>
      <c r="BB36" s="5"/>
    </row>
    <row r="37" customFormat="1" spans="1:54">
      <c r="A37" s="44">
        <v>46200</v>
      </c>
      <c r="B37" s="41">
        <v>22385</v>
      </c>
      <c r="C37" s="34"/>
      <c r="D37" s="34"/>
      <c r="E37" s="33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>
        <v>832</v>
      </c>
      <c r="AA37" s="35">
        <v>26</v>
      </c>
      <c r="AB37" s="42">
        <f t="shared" si="4"/>
        <v>21632</v>
      </c>
      <c r="AC37" s="43">
        <v>5450</v>
      </c>
      <c r="AD37" s="36"/>
      <c r="AE37" s="37"/>
      <c r="AF37" s="38"/>
      <c r="AG37" s="36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"/>
      <c r="AU37" s="3"/>
      <c r="AV37" s="4"/>
      <c r="AW37" s="5"/>
      <c r="AX37" s="5"/>
      <c r="AY37" s="5"/>
      <c r="AZ37" s="5"/>
      <c r="BA37" s="5"/>
      <c r="BB37" s="5"/>
    </row>
    <row r="38" customFormat="1" spans="1:54">
      <c r="A38" s="44"/>
      <c r="B38" s="41"/>
      <c r="C38" s="34"/>
      <c r="D38" s="34"/>
      <c r="E38" s="33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>
        <v>15</v>
      </c>
      <c r="Y38" s="34"/>
      <c r="Z38" s="34"/>
      <c r="AA38" s="35">
        <v>575</v>
      </c>
      <c r="AB38" s="42">
        <f t="shared" si="3"/>
        <v>8625</v>
      </c>
      <c r="AC38" s="43"/>
      <c r="AD38" s="36"/>
      <c r="AE38" s="37"/>
      <c r="AF38" s="38"/>
      <c r="AG38" s="36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"/>
      <c r="AU38" s="3"/>
      <c r="AV38" s="4"/>
      <c r="AW38" s="5"/>
      <c r="AX38" s="5"/>
      <c r="AY38" s="5"/>
      <c r="AZ38" s="5"/>
      <c r="BA38" s="5"/>
      <c r="BB38" s="5"/>
    </row>
    <row r="39" customFormat="1" spans="1:54">
      <c r="A39" s="44">
        <v>46202</v>
      </c>
      <c r="B39" s="41">
        <v>35827</v>
      </c>
      <c r="C39" s="34"/>
      <c r="D39" s="34"/>
      <c r="E39" s="33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>
        <f>630+265</f>
        <v>895</v>
      </c>
      <c r="AA39" s="35">
        <v>26</v>
      </c>
      <c r="AB39" s="42">
        <f t="shared" si="4"/>
        <v>23270</v>
      </c>
      <c r="AC39" s="43">
        <v>4548</v>
      </c>
      <c r="AD39" s="36"/>
      <c r="AE39" s="37"/>
      <c r="AF39" s="38"/>
      <c r="AG39" s="36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"/>
      <c r="AU39" s="3"/>
      <c r="AV39" s="4"/>
      <c r="AW39" s="5"/>
      <c r="AX39" s="5"/>
      <c r="AY39" s="5"/>
      <c r="AZ39" s="5"/>
      <c r="BA39" s="5"/>
      <c r="BB39" s="5"/>
    </row>
    <row r="40" customFormat="1" spans="1:54">
      <c r="A40" s="44"/>
      <c r="B40" s="41"/>
      <c r="C40" s="34"/>
      <c r="D40" s="34"/>
      <c r="E40" s="33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>
        <v>11</v>
      </c>
      <c r="Y40" s="34"/>
      <c r="Z40" s="34"/>
      <c r="AA40" s="35">
        <v>575</v>
      </c>
      <c r="AB40" s="42">
        <f>X40*AA40</f>
        <v>6325</v>
      </c>
      <c r="AC40" s="43"/>
      <c r="AD40" s="36"/>
      <c r="AE40" s="37"/>
      <c r="AF40" s="38"/>
      <c r="AG40" s="36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"/>
      <c r="AU40" s="3"/>
      <c r="AV40" s="4"/>
      <c r="AW40" s="5"/>
      <c r="AX40" s="5"/>
      <c r="AY40" s="5"/>
      <c r="AZ40" s="5"/>
      <c r="BA40" s="5"/>
      <c r="BB40" s="5"/>
    </row>
    <row r="41" customFormat="1" spans="1:54">
      <c r="A41" s="44">
        <v>46203</v>
      </c>
      <c r="B41" s="41">
        <v>0</v>
      </c>
      <c r="C41" s="34"/>
      <c r="D41" s="34"/>
      <c r="E41" s="33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>
        <v>509</v>
      </c>
      <c r="AA41" s="35">
        <v>26</v>
      </c>
      <c r="AB41" s="42">
        <f>Z41*AA41</f>
        <v>13234</v>
      </c>
      <c r="AC41" s="43">
        <v>2735</v>
      </c>
      <c r="AD41" s="36"/>
      <c r="AE41" s="37"/>
      <c r="AF41" s="38"/>
      <c r="AG41" s="36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"/>
      <c r="AU41" s="3"/>
      <c r="AV41" s="4"/>
      <c r="AW41" s="5"/>
      <c r="AX41" s="5"/>
      <c r="AY41" s="5"/>
      <c r="AZ41" s="5"/>
      <c r="BA41" s="5"/>
      <c r="BB41" s="5"/>
    </row>
    <row r="42" customFormat="1" spans="1:54">
      <c r="A42" s="44"/>
      <c r="B42" s="41"/>
      <c r="C42" s="34"/>
      <c r="D42" s="34"/>
      <c r="E42" s="33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>
        <v>9</v>
      </c>
      <c r="Y42" s="34"/>
      <c r="Z42" s="34"/>
      <c r="AA42" s="35">
        <v>575</v>
      </c>
      <c r="AB42" s="42">
        <f>X42*AA42</f>
        <v>5175</v>
      </c>
      <c r="AC42" s="43"/>
      <c r="AD42" s="36"/>
      <c r="AE42" s="37"/>
      <c r="AF42" s="38"/>
      <c r="AG42" s="36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"/>
      <c r="AU42" s="3"/>
      <c r="AV42" s="4"/>
      <c r="AW42" s="5"/>
      <c r="AX42" s="5"/>
      <c r="AY42" s="5"/>
      <c r="AZ42" s="5"/>
      <c r="BA42" s="5"/>
      <c r="BB42" s="5"/>
    </row>
    <row r="43" customFormat="1" spans="1:54">
      <c r="A43" s="44"/>
      <c r="B43" s="41"/>
      <c r="C43" s="34"/>
      <c r="D43" s="34"/>
      <c r="E43" s="33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5"/>
      <c r="AB43" s="33"/>
      <c r="AC43" s="43"/>
      <c r="AD43" s="36"/>
      <c r="AE43" s="37"/>
      <c r="AF43" s="38"/>
      <c r="AG43" s="36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"/>
      <c r="AU43" s="3"/>
      <c r="AV43" s="4"/>
      <c r="AW43" s="5"/>
      <c r="AX43" s="5"/>
      <c r="AY43" s="5"/>
      <c r="AZ43" s="5"/>
      <c r="BA43" s="5"/>
      <c r="BB43" s="5"/>
    </row>
    <row r="44" spans="1:54">
      <c r="A44" s="44"/>
      <c r="B44" s="41"/>
      <c r="C44" s="34"/>
      <c r="D44" s="34"/>
      <c r="E44" s="33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5"/>
      <c r="AB44" s="42"/>
      <c r="AC44" s="43"/>
      <c r="AD44" s="36"/>
      <c r="AE44" s="37"/>
      <c r="AF44" s="38"/>
      <c r="AG44" s="36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"/>
      <c r="AU44" s="3"/>
      <c r="AV44" s="4"/>
      <c r="AW44" s="5"/>
      <c r="AX44" s="5"/>
      <c r="AY44" s="5"/>
      <c r="AZ44" s="5"/>
      <c r="BA44" s="5"/>
      <c r="BB44" s="5"/>
    </row>
    <row r="45" spans="1:54">
      <c r="A45" s="44"/>
      <c r="B45" s="41"/>
      <c r="C45" s="34"/>
      <c r="D45" s="34"/>
      <c r="E45" s="33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5"/>
      <c r="AB45" s="42"/>
      <c r="AC45" s="43"/>
      <c r="AD45" s="36"/>
      <c r="AE45" s="37"/>
      <c r="AF45" s="38"/>
      <c r="AG45" s="36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"/>
      <c r="AU45" s="3"/>
      <c r="AV45" s="4"/>
      <c r="AW45" s="5"/>
      <c r="AX45" s="5"/>
      <c r="AY45" s="5"/>
      <c r="AZ45" s="5"/>
      <c r="BA45" s="5"/>
      <c r="BB45" s="5"/>
    </row>
    <row r="46" spans="1:54">
      <c r="A46" s="44"/>
      <c r="B46" s="41"/>
      <c r="C46" s="34"/>
      <c r="D46" s="34"/>
      <c r="E46" s="33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5"/>
      <c r="AB46" s="33"/>
      <c r="AC46" s="43"/>
      <c r="AD46" s="36"/>
      <c r="AE46" s="37"/>
      <c r="AF46" s="38"/>
      <c r="AG46" s="36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"/>
      <c r="AU46" s="3"/>
      <c r="AV46" s="4"/>
      <c r="AW46" s="5"/>
      <c r="AX46" s="5"/>
      <c r="AY46" s="5"/>
      <c r="AZ46" s="5"/>
      <c r="BA46" s="5"/>
      <c r="BB46" s="5"/>
    </row>
    <row r="47" ht="15.75" spans="1:54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39"/>
      <c r="AE47" s="47"/>
      <c r="AF47" s="48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49"/>
      <c r="AW47" s="50"/>
      <c r="AX47" s="50"/>
      <c r="AY47" s="50"/>
      <c r="AZ47" s="50"/>
      <c r="BA47" s="50"/>
      <c r="BB47" s="50"/>
    </row>
    <row r="48" ht="15.75" spans="1:54">
      <c r="A48" s="51" t="s">
        <v>55</v>
      </c>
      <c r="B48" s="52">
        <f t="shared" ref="B48:N48" si="5">SUM(B6:B46)</f>
        <v>840095</v>
      </c>
      <c r="C48" s="52">
        <f t="shared" si="5"/>
        <v>0</v>
      </c>
      <c r="D48" s="52">
        <f>SUM(D6:D47)</f>
        <v>0</v>
      </c>
      <c r="E48" s="52">
        <f t="shared" si="5"/>
        <v>0</v>
      </c>
      <c r="F48" s="52">
        <f t="shared" si="5"/>
        <v>0</v>
      </c>
      <c r="G48" s="52">
        <f t="shared" si="5"/>
        <v>0</v>
      </c>
      <c r="H48" s="52">
        <f t="shared" si="5"/>
        <v>0</v>
      </c>
      <c r="I48" s="52">
        <f t="shared" si="5"/>
        <v>0</v>
      </c>
      <c r="J48" s="52">
        <f t="shared" si="5"/>
        <v>0</v>
      </c>
      <c r="K48" s="52">
        <f t="shared" si="5"/>
        <v>0</v>
      </c>
      <c r="L48" s="52">
        <f t="shared" si="5"/>
        <v>0</v>
      </c>
      <c r="M48" s="52">
        <f t="shared" si="5"/>
        <v>0</v>
      </c>
      <c r="N48" s="52">
        <f t="shared" si="5"/>
        <v>0</v>
      </c>
      <c r="O48" s="52">
        <f>SUM(O6:O47)</f>
        <v>0</v>
      </c>
      <c r="P48" s="52">
        <f>SUM(P6:P46)</f>
        <v>0</v>
      </c>
      <c r="Q48" s="52">
        <f>SUM(Q6:Q47)</f>
        <v>0</v>
      </c>
      <c r="R48" s="52">
        <f>SUM(R6:R47)</f>
        <v>0</v>
      </c>
      <c r="S48" s="52">
        <f>SUM(S6:S47)</f>
        <v>0</v>
      </c>
      <c r="T48" s="52">
        <f>SUM(T6:T46)</f>
        <v>0</v>
      </c>
      <c r="U48" s="52">
        <f>SUM(U6:U46)</f>
        <v>0</v>
      </c>
      <c r="V48" s="52">
        <f>SUM(V6:V46)</f>
        <v>0</v>
      </c>
      <c r="W48" s="52"/>
      <c r="X48" s="52">
        <f>SUM(X6:X46)</f>
        <v>79</v>
      </c>
      <c r="Y48" s="52">
        <f>SUM(Y6:Y46)</f>
        <v>0</v>
      </c>
      <c r="Z48" s="52">
        <f>SUM(Z6:Z47)</f>
        <v>24483</v>
      </c>
      <c r="AA48" s="52">
        <f>SUM(AA6:AA47)</f>
        <v>5328</v>
      </c>
      <c r="AB48" s="53">
        <f>SUM(AB6:AB47)</f>
        <v>681983</v>
      </c>
      <c r="AC48" s="53">
        <f>SUM(AC6:AC47)</f>
        <v>100583</v>
      </c>
      <c r="AD48" s="54">
        <v>81.18</v>
      </c>
      <c r="AE48" s="54">
        <f>100-AD48</f>
        <v>18.82</v>
      </c>
      <c r="AF48" s="54">
        <v>11.97</v>
      </c>
      <c r="AG48" s="55">
        <f>AE48-AF48</f>
        <v>6.84999999999999</v>
      </c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7"/>
      <c r="AU48" s="57"/>
      <c r="AV48" s="58">
        <f>SUM(B48:E48)</f>
        <v>840095</v>
      </c>
      <c r="AW48" s="59">
        <f>AB48/AV48*100</f>
        <v>81.1792713919259</v>
      </c>
      <c r="AX48" s="59">
        <f>AC48/AV48*100</f>
        <v>11.9728125985752</v>
      </c>
      <c r="AY48" s="5"/>
      <c r="AZ48" s="5"/>
      <c r="BA48" s="5"/>
      <c r="BB48" s="5"/>
    </row>
    <row r="49" spans="1:6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5"/>
      <c r="AV49" s="5"/>
      <c r="AW49" s="5"/>
      <c r="AX49" s="5"/>
      <c r="AY49" s="5"/>
      <c r="AZ49" s="5"/>
      <c r="BA49" s="5"/>
      <c r="BB49" s="5"/>
    </row>
    <row r="50" spans="1:60">
      <c r="A50" s="4"/>
      <c r="B50" s="58"/>
      <c r="C50" s="58"/>
      <c r="D50" s="5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58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8"/>
      <c r="AE50" s="60"/>
      <c r="AF50" s="61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5"/>
      <c r="BB50" s="5"/>
      <c r="BC50" s="5"/>
      <c r="BD50" s="5"/>
      <c r="BE50" s="5"/>
      <c r="BF50" s="5"/>
      <c r="BG50" s="5"/>
      <c r="BH50" s="5"/>
    </row>
    <row r="51" spans="1:60">
      <c r="A51" s="62" t="s">
        <v>56</v>
      </c>
      <c r="B51" s="3"/>
      <c r="C51" s="3"/>
      <c r="D51" s="6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58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8"/>
      <c r="AE51" s="4"/>
      <c r="AF51" s="58"/>
      <c r="AG51" s="5"/>
      <c r="AH51" s="4"/>
      <c r="AI51" s="64"/>
      <c r="AJ51" s="64"/>
      <c r="AK51" s="64"/>
      <c r="AL51" s="6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5"/>
      <c r="BB51" s="5"/>
      <c r="BC51" s="5"/>
      <c r="BD51" s="5"/>
      <c r="BE51" s="5"/>
      <c r="BF51" s="5"/>
      <c r="BG51" s="5"/>
      <c r="BH51" s="5"/>
    </row>
    <row r="52" spans="1:60">
      <c r="A52" s="62" t="s">
        <v>57</v>
      </c>
      <c r="B52" s="3"/>
      <c r="C52" s="3"/>
      <c r="D52" s="3"/>
      <c r="E52" s="65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 t="s">
        <v>58</v>
      </c>
      <c r="W52" s="4"/>
      <c r="X52" s="4"/>
      <c r="Y52" s="4"/>
      <c r="Z52" s="4"/>
      <c r="AA52" s="4"/>
      <c r="AB52" s="4"/>
      <c r="AC52" s="4"/>
      <c r="AD52" s="58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5"/>
      <c r="BB52" s="5"/>
      <c r="BC52" s="5"/>
      <c r="BD52" s="5"/>
      <c r="BE52" s="5"/>
      <c r="BF52" s="5"/>
      <c r="BG52" s="5"/>
      <c r="BH52" s="5"/>
    </row>
    <row r="53" spans="1:60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58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5"/>
      <c r="BB53" s="5"/>
      <c r="BC53" s="5"/>
      <c r="BD53" s="5"/>
      <c r="BE53" s="5"/>
      <c r="BF53" s="5"/>
      <c r="BG53" s="5"/>
      <c r="BH53" s="5"/>
    </row>
    <row r="54" spans="1:60">
      <c r="A54" s="62" t="s">
        <v>59</v>
      </c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5"/>
      <c r="BB54" s="5"/>
      <c r="BC54" s="5"/>
      <c r="BD54" s="5"/>
      <c r="BE54" s="5"/>
      <c r="BF54" s="5"/>
      <c r="BG54" s="5"/>
      <c r="BH54" s="5"/>
    </row>
    <row r="55" spans="1:60">
      <c r="A55" s="3"/>
      <c r="B55" s="4" t="s">
        <v>759</v>
      </c>
      <c r="C55" s="4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5"/>
      <c r="BB55" s="5"/>
      <c r="BC55" s="5"/>
      <c r="BD55" s="5"/>
      <c r="BE55" s="5"/>
      <c r="BF55" s="5"/>
      <c r="BG55" s="5"/>
      <c r="BH55" s="5"/>
    </row>
    <row r="56" spans="1:60">
      <c r="A56" s="3"/>
      <c r="B56" s="66"/>
      <c r="C56" s="66"/>
      <c r="D56" s="3"/>
      <c r="E56" s="3"/>
      <c r="F56" s="3"/>
      <c r="G56" s="3"/>
      <c r="H56" s="4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5"/>
      <c r="BB56" s="5"/>
      <c r="BC56" s="5"/>
      <c r="BD56" s="5"/>
      <c r="BE56" s="5"/>
      <c r="BF56" s="5"/>
      <c r="BG56" s="5"/>
      <c r="BH56" s="5"/>
    </row>
    <row r="57" spans="1:60">
      <c r="A57" s="3"/>
      <c r="B57" s="67"/>
      <c r="C57" s="67" t="s">
        <v>61</v>
      </c>
      <c r="D57" s="68"/>
      <c r="E57" s="68"/>
      <c r="F57" s="68"/>
      <c r="G57" s="68"/>
      <c r="H57" s="69"/>
      <c r="I57" s="70" t="s">
        <v>62</v>
      </c>
      <c r="J57" s="70" t="s">
        <v>63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5"/>
      <c r="BB57" s="5"/>
      <c r="BC57" s="5"/>
      <c r="BD57" s="5"/>
      <c r="BE57" s="5"/>
      <c r="BF57" s="5"/>
      <c r="BG57" s="5"/>
      <c r="BH57" s="5"/>
    </row>
    <row r="58" spans="1:60">
      <c r="A58" s="3"/>
      <c r="B58" s="71"/>
      <c r="C58" s="71" t="s">
        <v>64</v>
      </c>
      <c r="D58" s="71" t="s">
        <v>65</v>
      </c>
      <c r="E58" s="72" t="s">
        <v>66</v>
      </c>
      <c r="F58" s="73" t="s">
        <v>67</v>
      </c>
      <c r="G58" s="74" t="s">
        <v>68</v>
      </c>
      <c r="H58" s="71" t="s">
        <v>69</v>
      </c>
      <c r="I58" s="74" t="s">
        <v>70</v>
      </c>
      <c r="J58" s="75" t="s">
        <v>71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5"/>
      <c r="BB58" s="5"/>
      <c r="BC58" s="5"/>
      <c r="BD58" s="5"/>
      <c r="BE58" s="5"/>
      <c r="BF58" s="5"/>
      <c r="BG58" s="5"/>
      <c r="BH58" s="5"/>
    </row>
    <row r="59" spans="1:60">
      <c r="A59" s="76">
        <v>47.52</v>
      </c>
      <c r="B59" s="77" t="s">
        <v>635</v>
      </c>
      <c r="C59" s="79">
        <v>46728</v>
      </c>
      <c r="D59" s="79">
        <v>46728</v>
      </c>
      <c r="E59" s="79">
        <f t="shared" ref="E59:E70" si="6">D59</f>
        <v>46728</v>
      </c>
      <c r="F59" s="80"/>
      <c r="G59" s="81" t="s">
        <v>73</v>
      </c>
      <c r="H59" s="79">
        <f>B130</f>
        <v>43810</v>
      </c>
      <c r="I59" s="82" t="s">
        <v>760</v>
      </c>
      <c r="J59" s="83" t="s">
        <v>636</v>
      </c>
      <c r="K59" s="84"/>
      <c r="L59" s="84"/>
      <c r="M59" s="85">
        <f t="shared" ref="M59:M65" si="7">+C59*A59</f>
        <v>2220514.56</v>
      </c>
      <c r="N59" s="85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5"/>
      <c r="BB59" s="5"/>
      <c r="BC59" s="5"/>
      <c r="BD59" s="5"/>
      <c r="BE59" s="5"/>
      <c r="BF59" s="5"/>
      <c r="BG59" s="5"/>
      <c r="BH59" s="5"/>
    </row>
    <row r="60" spans="1:60">
      <c r="A60" s="76">
        <v>48.28</v>
      </c>
      <c r="B60" s="77" t="s">
        <v>761</v>
      </c>
      <c r="C60" s="79">
        <v>58575</v>
      </c>
      <c r="D60" s="79">
        <v>58575</v>
      </c>
      <c r="E60" s="79">
        <f t="shared" si="6"/>
        <v>58575</v>
      </c>
      <c r="F60" s="80"/>
      <c r="G60" s="81" t="s">
        <v>73</v>
      </c>
      <c r="H60" s="79">
        <f>C130</f>
        <v>54427</v>
      </c>
      <c r="I60" s="82" t="s">
        <v>760</v>
      </c>
      <c r="J60" s="83" t="s">
        <v>762</v>
      </c>
      <c r="K60" s="84"/>
      <c r="L60" s="84"/>
      <c r="M60" s="85">
        <f t="shared" si="7"/>
        <v>2828001</v>
      </c>
      <c r="N60" s="85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5"/>
      <c r="BB60" s="5"/>
      <c r="BC60" s="5"/>
      <c r="BD60" s="5"/>
      <c r="BE60" s="5"/>
      <c r="BF60" s="5"/>
      <c r="BG60" s="5"/>
      <c r="BH60" s="5"/>
    </row>
    <row r="61" spans="1:60">
      <c r="A61" s="76">
        <v>44.96</v>
      </c>
      <c r="B61" s="77" t="s">
        <v>763</v>
      </c>
      <c r="C61" s="79">
        <v>49870</v>
      </c>
      <c r="D61" s="79">
        <v>49870</v>
      </c>
      <c r="E61" s="79">
        <f t="shared" si="6"/>
        <v>49870</v>
      </c>
      <c r="F61" s="80"/>
      <c r="G61" s="81" t="s">
        <v>73</v>
      </c>
      <c r="H61" s="79">
        <f>D130</f>
        <v>48234</v>
      </c>
      <c r="I61" s="82" t="s">
        <v>760</v>
      </c>
      <c r="J61" s="83" t="s">
        <v>353</v>
      </c>
      <c r="K61" s="84"/>
      <c r="L61" s="84"/>
      <c r="M61" s="85">
        <f t="shared" si="7"/>
        <v>2242155.2</v>
      </c>
      <c r="N61" s="85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5"/>
      <c r="BB61" s="5"/>
      <c r="BC61" s="5"/>
      <c r="BD61" s="5"/>
      <c r="BE61" s="5"/>
      <c r="BF61" s="5"/>
      <c r="BG61" s="5"/>
      <c r="BH61" s="5"/>
    </row>
    <row r="62" spans="1:60">
      <c r="A62" s="76">
        <v>44.96</v>
      </c>
      <c r="B62" s="77" t="s">
        <v>764</v>
      </c>
      <c r="C62" s="79">
        <v>79210</v>
      </c>
      <c r="D62" s="79">
        <f>C62</f>
        <v>79210</v>
      </c>
      <c r="E62" s="79">
        <f t="shared" si="6"/>
        <v>79210</v>
      </c>
      <c r="F62" s="80"/>
      <c r="G62" s="81" t="s">
        <v>73</v>
      </c>
      <c r="H62" s="79">
        <f>E130</f>
        <v>76700</v>
      </c>
      <c r="I62" s="82" t="s">
        <v>760</v>
      </c>
      <c r="J62" s="83" t="s">
        <v>74</v>
      </c>
      <c r="K62" s="84"/>
      <c r="L62" s="84"/>
      <c r="M62" s="85">
        <f t="shared" si="7"/>
        <v>3561281.6</v>
      </c>
      <c r="N62" s="85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5"/>
      <c r="BB62" s="5"/>
      <c r="BC62" s="5"/>
      <c r="BD62" s="5"/>
      <c r="BE62" s="5"/>
      <c r="BF62" s="5"/>
      <c r="BG62" s="5"/>
      <c r="BH62" s="5"/>
    </row>
    <row r="63" spans="1:60">
      <c r="A63" s="76"/>
      <c r="B63" s="77" t="s">
        <v>765</v>
      </c>
      <c r="C63" s="79">
        <v>25640</v>
      </c>
      <c r="D63" s="79">
        <f>C63</f>
        <v>25640</v>
      </c>
      <c r="E63" s="79">
        <f t="shared" si="6"/>
        <v>25640</v>
      </c>
      <c r="F63" s="80"/>
      <c r="G63" s="81" t="s">
        <v>73</v>
      </c>
      <c r="H63" s="79">
        <f>F130</f>
        <v>25640</v>
      </c>
      <c r="I63" s="82" t="s">
        <v>760</v>
      </c>
      <c r="J63" s="83" t="s">
        <v>91</v>
      </c>
      <c r="K63" s="84"/>
      <c r="L63" s="84"/>
      <c r="M63" s="85">
        <f t="shared" si="7"/>
        <v>0</v>
      </c>
      <c r="N63" s="85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5"/>
      <c r="BB63" s="5"/>
      <c r="BC63" s="5"/>
      <c r="BD63" s="5"/>
      <c r="BE63" s="5"/>
      <c r="BF63" s="5"/>
      <c r="BG63" s="5"/>
      <c r="BH63" s="5"/>
    </row>
    <row r="64" spans="1:60">
      <c r="A64" s="76"/>
      <c r="B64" s="77" t="s">
        <v>766</v>
      </c>
      <c r="C64" s="79">
        <v>20730</v>
      </c>
      <c r="D64" s="79">
        <v>20730</v>
      </c>
      <c r="E64" s="79">
        <f t="shared" si="6"/>
        <v>20730</v>
      </c>
      <c r="F64" s="80"/>
      <c r="G64" s="81" t="s">
        <v>73</v>
      </c>
      <c r="H64" s="79">
        <f>G130</f>
        <v>20730</v>
      </c>
      <c r="I64" s="82" t="s">
        <v>760</v>
      </c>
      <c r="J64" s="83" t="s">
        <v>91</v>
      </c>
      <c r="K64" s="84"/>
      <c r="L64" s="84"/>
      <c r="M64" s="85">
        <f t="shared" si="7"/>
        <v>0</v>
      </c>
      <c r="N64" s="85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5"/>
      <c r="BB64" s="5"/>
      <c r="BC64" s="5"/>
      <c r="BD64" s="5"/>
      <c r="BE64" s="5"/>
      <c r="BF64" s="5"/>
      <c r="BG64" s="5"/>
      <c r="BH64" s="5"/>
    </row>
    <row r="65" spans="1:60">
      <c r="A65" s="76">
        <v>48.28</v>
      </c>
      <c r="B65" s="77" t="s">
        <v>767</v>
      </c>
      <c r="C65" s="79">
        <v>65763</v>
      </c>
      <c r="D65" s="79">
        <v>65763</v>
      </c>
      <c r="E65" s="79">
        <f t="shared" si="6"/>
        <v>65763</v>
      </c>
      <c r="F65" s="80"/>
      <c r="G65" s="81" t="s">
        <v>73</v>
      </c>
      <c r="H65" s="79">
        <f>H130</f>
        <v>61015</v>
      </c>
      <c r="I65" s="82" t="s">
        <v>760</v>
      </c>
      <c r="J65" s="83" t="s">
        <v>768</v>
      </c>
      <c r="K65" s="84"/>
      <c r="L65" s="84"/>
      <c r="M65" s="85">
        <f t="shared" si="7"/>
        <v>3175037.64</v>
      </c>
      <c r="N65" s="85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5"/>
      <c r="BB65" s="5"/>
      <c r="BC65" s="5"/>
      <c r="BD65" s="5"/>
      <c r="BE65" s="5"/>
      <c r="BF65" s="5"/>
      <c r="BG65" s="5"/>
      <c r="BH65" s="5"/>
    </row>
    <row r="66" spans="1:60">
      <c r="A66" s="76">
        <v>48.28</v>
      </c>
      <c r="B66" s="77" t="s">
        <v>769</v>
      </c>
      <c r="C66" s="79">
        <v>52730</v>
      </c>
      <c r="D66" s="79">
        <f>C66</f>
        <v>52730</v>
      </c>
      <c r="E66" s="79">
        <f t="shared" si="6"/>
        <v>52730</v>
      </c>
      <c r="F66" s="80"/>
      <c r="G66" s="81" t="s">
        <v>73</v>
      </c>
      <c r="H66" s="79">
        <f>I130</f>
        <v>48656</v>
      </c>
      <c r="I66" s="82" t="s">
        <v>760</v>
      </c>
      <c r="J66" s="83" t="s">
        <v>770</v>
      </c>
      <c r="K66" s="84"/>
      <c r="L66" s="84"/>
      <c r="M66" s="85">
        <f t="shared" ref="M66:M83" si="8">+C66*A66</f>
        <v>2545804.4</v>
      </c>
      <c r="N66" s="85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5"/>
      <c r="BB66" s="5"/>
      <c r="BC66" s="5"/>
      <c r="BD66" s="5"/>
      <c r="BE66" s="5"/>
      <c r="BF66" s="5"/>
      <c r="BG66" s="5"/>
      <c r="BH66" s="5"/>
    </row>
    <row r="67" spans="1:60">
      <c r="A67" s="76"/>
      <c r="B67" s="77" t="s">
        <v>771</v>
      </c>
      <c r="C67" s="79">
        <v>19245</v>
      </c>
      <c r="D67" s="79">
        <f>C67</f>
        <v>19245</v>
      </c>
      <c r="E67" s="79">
        <f t="shared" si="6"/>
        <v>19245</v>
      </c>
      <c r="F67" s="80"/>
      <c r="G67" s="81" t="s">
        <v>73</v>
      </c>
      <c r="H67" s="79">
        <f>J130</f>
        <v>19245</v>
      </c>
      <c r="I67" s="82" t="s">
        <v>760</v>
      </c>
      <c r="J67" s="83" t="s">
        <v>91</v>
      </c>
      <c r="K67" s="84"/>
      <c r="L67" s="84"/>
      <c r="M67" s="85">
        <f t="shared" si="8"/>
        <v>0</v>
      </c>
      <c r="N67" s="85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5"/>
      <c r="BB67" s="5"/>
      <c r="BC67" s="5"/>
      <c r="BD67" s="5"/>
      <c r="BE67" s="5"/>
      <c r="BF67" s="5"/>
      <c r="BG67" s="5"/>
      <c r="BH67" s="5"/>
    </row>
    <row r="68" spans="1:60">
      <c r="A68" s="76">
        <v>48.28</v>
      </c>
      <c r="B68" s="77" t="s">
        <v>772</v>
      </c>
      <c r="C68" s="79">
        <v>50834</v>
      </c>
      <c r="D68" s="79">
        <f>C68</f>
        <v>50834</v>
      </c>
      <c r="E68" s="79">
        <f t="shared" si="6"/>
        <v>50834</v>
      </c>
      <c r="F68" s="80"/>
      <c r="G68" s="81" t="s">
        <v>73</v>
      </c>
      <c r="H68" s="79">
        <f>K130</f>
        <v>50217</v>
      </c>
      <c r="I68" s="82" t="s">
        <v>760</v>
      </c>
      <c r="J68" s="83" t="s">
        <v>773</v>
      </c>
      <c r="K68" s="84"/>
      <c r="L68" s="84"/>
      <c r="M68" s="85">
        <f t="shared" si="8"/>
        <v>2454265.52</v>
      </c>
      <c r="N68" s="85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5"/>
      <c r="BB68" s="5"/>
      <c r="BC68" s="5"/>
      <c r="BD68" s="5"/>
      <c r="BE68" s="5"/>
      <c r="BF68" s="5"/>
      <c r="BG68" s="5"/>
      <c r="BH68" s="5"/>
    </row>
    <row r="69" spans="1:60">
      <c r="A69" s="76">
        <v>48.28</v>
      </c>
      <c r="B69" s="77" t="s">
        <v>774</v>
      </c>
      <c r="C69" s="79">
        <v>73010</v>
      </c>
      <c r="D69" s="79">
        <f>C69</f>
        <v>73010</v>
      </c>
      <c r="E69" s="79">
        <f t="shared" si="6"/>
        <v>73010</v>
      </c>
      <c r="F69" s="80"/>
      <c r="G69" s="81" t="s">
        <v>73</v>
      </c>
      <c r="H69" s="79">
        <f>L130</f>
        <v>69634</v>
      </c>
      <c r="I69" s="82" t="s">
        <v>760</v>
      </c>
      <c r="J69" s="83" t="s">
        <v>775</v>
      </c>
      <c r="K69" s="84"/>
      <c r="L69" s="84"/>
      <c r="M69" s="85">
        <f t="shared" si="8"/>
        <v>3524922.8</v>
      </c>
      <c r="N69" s="85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5"/>
      <c r="BB69" s="5"/>
      <c r="BC69" s="5"/>
      <c r="BD69" s="5"/>
      <c r="BE69" s="5"/>
      <c r="BF69" s="5"/>
      <c r="BG69" s="5"/>
      <c r="BH69" s="5"/>
    </row>
    <row r="70" spans="1:60">
      <c r="A70" s="76"/>
      <c r="B70" s="77" t="s">
        <v>776</v>
      </c>
      <c r="C70" s="79">
        <v>18575</v>
      </c>
      <c r="D70" s="79">
        <v>18575</v>
      </c>
      <c r="E70" s="79">
        <f t="shared" si="6"/>
        <v>18575</v>
      </c>
      <c r="F70" s="80"/>
      <c r="G70" s="81" t="s">
        <v>73</v>
      </c>
      <c r="H70" s="79">
        <f>M130</f>
        <v>18575</v>
      </c>
      <c r="I70" s="82" t="s">
        <v>760</v>
      </c>
      <c r="J70" s="83" t="s">
        <v>91</v>
      </c>
      <c r="K70" s="84"/>
      <c r="L70" s="84"/>
      <c r="M70" s="85">
        <f t="shared" si="8"/>
        <v>0</v>
      </c>
      <c r="N70" s="85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5"/>
      <c r="BB70" s="5"/>
      <c r="BC70" s="5"/>
      <c r="BD70" s="5"/>
      <c r="BE70" s="5"/>
      <c r="BF70" s="5"/>
      <c r="BG70" s="5"/>
      <c r="BH70" s="5"/>
    </row>
    <row r="71" spans="1:60">
      <c r="A71" s="76">
        <v>48.28</v>
      </c>
      <c r="B71" s="77" t="s">
        <v>777</v>
      </c>
      <c r="C71" s="79">
        <v>56223</v>
      </c>
      <c r="D71" s="79">
        <f t="shared" ref="D71:D77" si="9">C71</f>
        <v>56223</v>
      </c>
      <c r="E71" s="79">
        <f>N130</f>
        <v>52864</v>
      </c>
      <c r="F71" s="80"/>
      <c r="G71" s="81" t="s">
        <v>778</v>
      </c>
      <c r="H71" s="79">
        <f>E71</f>
        <v>52864</v>
      </c>
      <c r="I71" s="82">
        <f>N131</f>
        <v>3359</v>
      </c>
      <c r="J71" s="83" t="s">
        <v>779</v>
      </c>
      <c r="K71" s="84"/>
      <c r="L71" s="84"/>
      <c r="M71" s="85">
        <f t="shared" si="8"/>
        <v>2714446.44</v>
      </c>
      <c r="N71" s="85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5"/>
      <c r="BB71" s="5"/>
      <c r="BC71" s="5"/>
      <c r="BD71" s="5"/>
      <c r="BE71" s="5"/>
      <c r="BF71" s="5"/>
      <c r="BG71" s="5"/>
      <c r="BH71" s="5"/>
    </row>
    <row r="72" spans="1:60">
      <c r="A72" s="76"/>
      <c r="B72" s="77" t="s">
        <v>780</v>
      </c>
      <c r="C72" s="79">
        <v>25990</v>
      </c>
      <c r="D72" s="79">
        <v>25990</v>
      </c>
      <c r="E72" s="79">
        <f t="shared" ref="E72:E77" si="10">D72</f>
        <v>25990</v>
      </c>
      <c r="F72" s="80"/>
      <c r="G72" s="81" t="s">
        <v>73</v>
      </c>
      <c r="H72" s="79">
        <f>O130</f>
        <v>25990</v>
      </c>
      <c r="I72" s="82" t="s">
        <v>760</v>
      </c>
      <c r="J72" s="83" t="s">
        <v>91</v>
      </c>
      <c r="K72" s="84"/>
      <c r="L72" s="84"/>
      <c r="M72" s="85">
        <f t="shared" si="8"/>
        <v>0</v>
      </c>
      <c r="N72" s="85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5"/>
      <c r="BB72" s="5"/>
      <c r="BC72" s="5"/>
      <c r="BD72" s="5"/>
      <c r="BE72" s="5"/>
      <c r="BF72" s="5"/>
      <c r="BG72" s="5"/>
      <c r="BH72" s="5"/>
    </row>
    <row r="73" spans="1:60">
      <c r="A73" s="76">
        <v>48.28</v>
      </c>
      <c r="B73" s="77" t="s">
        <v>781</v>
      </c>
      <c r="C73" s="79">
        <v>71635</v>
      </c>
      <c r="D73" s="79">
        <f t="shared" si="9"/>
        <v>71635</v>
      </c>
      <c r="E73" s="79">
        <f>P130</f>
        <v>34080</v>
      </c>
      <c r="F73" s="80"/>
      <c r="G73" s="81" t="s">
        <v>778</v>
      </c>
      <c r="H73" s="79">
        <f>E73</f>
        <v>34080</v>
      </c>
      <c r="I73" s="82">
        <f>P131</f>
        <v>37555</v>
      </c>
      <c r="J73" s="83" t="s">
        <v>782</v>
      </c>
      <c r="K73" s="84"/>
      <c r="L73" s="84"/>
      <c r="M73" s="85">
        <f t="shared" si="8"/>
        <v>3458537.8</v>
      </c>
      <c r="N73" s="85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5"/>
      <c r="BB73" s="5"/>
      <c r="BC73" s="5"/>
      <c r="BD73" s="5"/>
      <c r="BE73" s="5"/>
      <c r="BF73" s="5"/>
      <c r="BG73" s="5"/>
      <c r="BH73" s="5"/>
    </row>
    <row r="74" spans="1:60">
      <c r="A74" s="76">
        <v>48.28</v>
      </c>
      <c r="B74" s="77" t="s">
        <v>783</v>
      </c>
      <c r="C74" s="79">
        <v>59035</v>
      </c>
      <c r="D74" s="79">
        <f t="shared" si="9"/>
        <v>59035</v>
      </c>
      <c r="E74" s="79">
        <f t="shared" si="10"/>
        <v>59035</v>
      </c>
      <c r="F74" s="80"/>
      <c r="G74" s="81" t="s">
        <v>73</v>
      </c>
      <c r="H74" s="79">
        <f>Q130</f>
        <v>58546</v>
      </c>
      <c r="I74" s="82" t="s">
        <v>760</v>
      </c>
      <c r="J74" s="83" t="s">
        <v>784</v>
      </c>
      <c r="K74" s="84"/>
      <c r="L74" s="84"/>
      <c r="M74" s="85">
        <f t="shared" si="8"/>
        <v>2850209.8</v>
      </c>
      <c r="N74" s="85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5"/>
      <c r="BB74" s="5"/>
      <c r="BC74" s="5"/>
      <c r="BD74" s="5"/>
      <c r="BE74" s="5"/>
      <c r="BF74" s="5"/>
      <c r="BG74" s="5"/>
      <c r="BH74" s="5"/>
    </row>
    <row r="75" spans="1:60">
      <c r="A75" s="76"/>
      <c r="B75" s="77" t="s">
        <v>785</v>
      </c>
      <c r="C75" s="79">
        <v>19035</v>
      </c>
      <c r="D75" s="79">
        <f t="shared" si="9"/>
        <v>19035</v>
      </c>
      <c r="E75" s="79">
        <f t="shared" si="10"/>
        <v>19035</v>
      </c>
      <c r="F75" s="80"/>
      <c r="G75" s="81" t="s">
        <v>73</v>
      </c>
      <c r="H75" s="79">
        <f>R130</f>
        <v>19035</v>
      </c>
      <c r="I75" s="82" t="s">
        <v>760</v>
      </c>
      <c r="J75" s="83" t="s">
        <v>91</v>
      </c>
      <c r="K75" s="84"/>
      <c r="L75" s="84"/>
      <c r="M75" s="85">
        <f t="shared" si="8"/>
        <v>0</v>
      </c>
      <c r="N75" s="85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5"/>
      <c r="BB75" s="5"/>
      <c r="BC75" s="5"/>
      <c r="BD75" s="5"/>
      <c r="BE75" s="5"/>
      <c r="BF75" s="5"/>
      <c r="BG75" s="5"/>
      <c r="BH75" s="5"/>
    </row>
    <row r="76" spans="1:60">
      <c r="A76" s="76">
        <v>44.96</v>
      </c>
      <c r="B76" s="77" t="s">
        <v>786</v>
      </c>
      <c r="C76" s="79">
        <v>47030</v>
      </c>
      <c r="D76" s="79">
        <f t="shared" si="9"/>
        <v>47030</v>
      </c>
      <c r="E76" s="79">
        <f t="shared" si="10"/>
        <v>47030</v>
      </c>
      <c r="F76" s="80"/>
      <c r="G76" s="81" t="s">
        <v>73</v>
      </c>
      <c r="H76" s="79">
        <f>S130</f>
        <v>46743</v>
      </c>
      <c r="I76" s="82" t="s">
        <v>760</v>
      </c>
      <c r="J76" s="83" t="s">
        <v>787</v>
      </c>
      <c r="K76" s="84"/>
      <c r="L76" s="84"/>
      <c r="M76" s="85">
        <f t="shared" si="8"/>
        <v>2114468.8</v>
      </c>
      <c r="N76" s="85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5"/>
      <c r="BB76" s="5"/>
      <c r="BC76" s="5"/>
      <c r="BD76" s="5"/>
      <c r="BE76" s="5"/>
      <c r="BF76" s="5"/>
      <c r="BG76" s="5"/>
      <c r="BH76" s="5"/>
    </row>
    <row r="77" spans="1:60">
      <c r="A77" s="76">
        <v>44.9</v>
      </c>
      <c r="B77" s="77" t="s">
        <v>788</v>
      </c>
      <c r="C77" s="79">
        <v>69835</v>
      </c>
      <c r="D77" s="79">
        <f t="shared" si="9"/>
        <v>69835</v>
      </c>
      <c r="E77" s="79">
        <f t="shared" si="10"/>
        <v>69835</v>
      </c>
      <c r="F77" s="80"/>
      <c r="G77" s="81" t="s">
        <v>73</v>
      </c>
      <c r="H77" s="79">
        <f>T130</f>
        <v>65954</v>
      </c>
      <c r="I77" s="82" t="s">
        <v>760</v>
      </c>
      <c r="J77" s="83" t="s">
        <v>789</v>
      </c>
      <c r="K77" s="84"/>
      <c r="L77" s="84"/>
      <c r="M77" s="85">
        <f t="shared" si="8"/>
        <v>3135591.5</v>
      </c>
      <c r="N77" s="85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5"/>
      <c r="BB77" s="5"/>
      <c r="BC77" s="5"/>
      <c r="BD77" s="5"/>
      <c r="BE77" s="5"/>
      <c r="BF77" s="5"/>
      <c r="BG77" s="5"/>
      <c r="BH77" s="5"/>
    </row>
    <row r="78" spans="1:60">
      <c r="A78" s="76"/>
      <c r="B78" s="77"/>
      <c r="C78" s="79"/>
      <c r="D78" s="79"/>
      <c r="E78" s="79"/>
      <c r="F78" s="80"/>
      <c r="G78" s="81"/>
      <c r="H78" s="79"/>
      <c r="I78" s="82"/>
      <c r="J78" s="83"/>
      <c r="K78" s="84"/>
      <c r="L78" s="84"/>
      <c r="M78" s="85">
        <f t="shared" si="8"/>
        <v>0</v>
      </c>
      <c r="N78" s="85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5"/>
      <c r="BB78" s="5"/>
      <c r="BC78" s="5"/>
      <c r="BD78" s="5"/>
      <c r="BE78" s="5"/>
      <c r="BF78" s="5"/>
      <c r="BG78" s="5"/>
      <c r="BH78" s="5"/>
    </row>
    <row r="79" spans="1:60">
      <c r="A79" s="76"/>
      <c r="B79" s="110"/>
      <c r="C79" s="87"/>
      <c r="D79" s="87"/>
      <c r="E79" s="87"/>
      <c r="F79" s="88"/>
      <c r="G79" s="89"/>
      <c r="H79" s="87"/>
      <c r="I79" s="82"/>
      <c r="J79" s="83"/>
      <c r="K79" s="84"/>
      <c r="L79" s="84"/>
      <c r="M79" s="85">
        <f t="shared" ref="M78:M80" si="11">+C79*A79</f>
        <v>0</v>
      </c>
      <c r="N79" s="85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5"/>
      <c r="BB79" s="5"/>
      <c r="BC79" s="5"/>
      <c r="BD79" s="5"/>
      <c r="BE79" s="5"/>
      <c r="BF79" s="5"/>
      <c r="BG79" s="5"/>
      <c r="BH79" s="5"/>
    </row>
    <row r="80" spans="1:60">
      <c r="A80" s="90"/>
      <c r="B80" s="22" t="s">
        <v>55</v>
      </c>
      <c r="C80" s="91">
        <f>SUM(C59:C79)</f>
        <v>909693</v>
      </c>
      <c r="D80" s="91">
        <f>SUM(D59:D79)</f>
        <v>909693</v>
      </c>
      <c r="E80" s="91">
        <f>SUM(E59:E79)</f>
        <v>868779</v>
      </c>
      <c r="F80" s="91"/>
      <c r="G80" s="92"/>
      <c r="H80" s="91">
        <f>SUM(H59:H79)</f>
        <v>840095</v>
      </c>
      <c r="I80" s="91"/>
      <c r="J80" s="93"/>
      <c r="K80" s="94"/>
      <c r="L80" s="4"/>
      <c r="M80" s="85">
        <f t="shared" si="11"/>
        <v>0</v>
      </c>
      <c r="N80" s="8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5"/>
      <c r="BB80" s="5"/>
      <c r="BC80" s="5"/>
      <c r="BD80" s="5"/>
      <c r="BE80" s="5"/>
      <c r="BF80" s="5"/>
      <c r="BG80" s="5"/>
      <c r="BH80" s="5"/>
    </row>
    <row r="81" spans="1:60">
      <c r="A81" s="90"/>
      <c r="B81" s="95" t="s">
        <v>118</v>
      </c>
      <c r="C81" s="96"/>
      <c r="D81" s="96"/>
      <c r="E81" s="96"/>
      <c r="F81" s="96"/>
      <c r="G81" s="97"/>
      <c r="H81" s="98"/>
      <c r="I81" s="99"/>
      <c r="J81" s="94"/>
      <c r="K81" s="94"/>
      <c r="L81" s="4"/>
      <c r="M81" s="85"/>
      <c r="N81" s="8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5"/>
      <c r="BB81" s="5"/>
      <c r="BC81" s="5"/>
      <c r="BD81" s="5"/>
      <c r="BE81" s="5"/>
      <c r="BF81" s="5"/>
      <c r="BG81" s="5"/>
      <c r="BH81" s="5"/>
    </row>
    <row r="82" spans="1:60">
      <c r="A82" s="90"/>
      <c r="B82" s="100"/>
      <c r="C82" s="101"/>
      <c r="D82" s="101"/>
      <c r="E82" s="101"/>
      <c r="F82" s="101"/>
      <c r="G82" s="102"/>
      <c r="H82" s="103"/>
      <c r="I82" s="104"/>
      <c r="J82" s="94"/>
      <c r="K82" s="94"/>
      <c r="L82" s="4"/>
      <c r="M82" s="85"/>
      <c r="N82" s="8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5"/>
      <c r="BB82" s="5"/>
      <c r="BC82" s="5"/>
      <c r="BD82" s="5"/>
      <c r="BE82" s="5"/>
      <c r="BF82" s="5"/>
      <c r="BG82" s="5"/>
      <c r="BH82" s="5"/>
    </row>
    <row r="83" spans="1:60">
      <c r="A83" s="90"/>
      <c r="B83" s="66" t="s">
        <v>119</v>
      </c>
      <c r="C83" s="66"/>
      <c r="D83" s="3"/>
      <c r="E83" s="3"/>
      <c r="F83" s="3"/>
      <c r="G83" s="3"/>
      <c r="H83" s="4"/>
      <c r="I83" s="104"/>
      <c r="J83" s="94"/>
      <c r="K83" s="94"/>
      <c r="L83" s="4"/>
      <c r="M83" s="85"/>
      <c r="N83" s="8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5"/>
      <c r="BB83" s="5"/>
      <c r="BC83" s="5"/>
      <c r="BD83" s="5"/>
      <c r="BE83" s="5"/>
      <c r="BF83" s="5"/>
      <c r="BG83" s="5"/>
      <c r="BH83" s="5"/>
    </row>
    <row r="84" spans="1:60">
      <c r="A84" s="90"/>
      <c r="B84" s="105"/>
      <c r="C84" s="105" t="s">
        <v>61</v>
      </c>
      <c r="D84" s="106"/>
      <c r="E84" s="106"/>
      <c r="F84" s="106"/>
      <c r="G84" s="107"/>
      <c r="H84" s="75" t="s">
        <v>62</v>
      </c>
      <c r="I84" s="104"/>
      <c r="J84" s="94"/>
      <c r="K84" s="94"/>
      <c r="L84" s="4"/>
      <c r="M84" s="85"/>
      <c r="N84" s="8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5"/>
      <c r="BB84" s="5"/>
      <c r="BC84" s="5"/>
      <c r="BD84" s="5"/>
      <c r="BE84" s="5"/>
      <c r="BF84" s="5"/>
      <c r="BG84" s="5"/>
      <c r="BH84" s="5"/>
    </row>
    <row r="85" spans="1:60">
      <c r="A85" s="90"/>
      <c r="B85" s="108"/>
      <c r="C85" s="71" t="s">
        <v>64</v>
      </c>
      <c r="D85" s="71" t="s">
        <v>65</v>
      </c>
      <c r="E85" s="109" t="s">
        <v>66</v>
      </c>
      <c r="F85" s="74" t="s">
        <v>68</v>
      </c>
      <c r="G85" s="71" t="s">
        <v>69</v>
      </c>
      <c r="H85" s="74" t="s">
        <v>70</v>
      </c>
      <c r="I85" s="104"/>
      <c r="J85" s="94"/>
      <c r="K85" s="94"/>
      <c r="L85" s="4"/>
      <c r="M85" s="85"/>
      <c r="N85" s="8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5"/>
      <c r="BB85" s="5"/>
      <c r="BC85" s="5"/>
      <c r="BD85" s="5"/>
      <c r="BE85" s="5"/>
      <c r="BF85" s="5"/>
      <c r="BG85" s="5"/>
      <c r="BH85" s="5"/>
    </row>
    <row r="86" spans="1:60">
      <c r="A86" s="90"/>
      <c r="B86" s="110"/>
      <c r="C86" s="111"/>
      <c r="D86" s="111"/>
      <c r="E86" s="112"/>
      <c r="F86" s="113"/>
      <c r="G86" s="112"/>
      <c r="H86" s="114"/>
      <c r="I86" s="104"/>
      <c r="J86" s="94"/>
      <c r="K86" s="94"/>
      <c r="L86" s="4"/>
      <c r="M86" s="85"/>
      <c r="N86" s="8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5"/>
      <c r="BB86" s="5"/>
      <c r="BC86" s="5"/>
      <c r="BD86" s="5"/>
      <c r="BE86" s="5"/>
      <c r="BF86" s="5"/>
      <c r="BG86" s="5"/>
      <c r="BH86" s="5"/>
    </row>
    <row r="87" spans="1:60">
      <c r="A87" s="90"/>
      <c r="B87" s="19"/>
      <c r="C87" s="115"/>
      <c r="D87" s="112"/>
      <c r="E87" s="112"/>
      <c r="F87" s="116"/>
      <c r="G87" s="112"/>
      <c r="H87" s="117"/>
      <c r="I87" s="104"/>
      <c r="J87" s="94"/>
      <c r="K87" s="94"/>
      <c r="L87" s="4"/>
      <c r="M87" s="85"/>
      <c r="N87" s="8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5"/>
      <c r="BB87" s="5"/>
      <c r="BC87" s="5"/>
      <c r="BD87" s="5"/>
      <c r="BE87" s="5"/>
      <c r="BF87" s="5"/>
      <c r="BG87" s="5"/>
      <c r="BH87" s="5"/>
    </row>
    <row r="88" spans="1:60">
      <c r="A88" s="90"/>
      <c r="B88" s="19"/>
      <c r="C88" s="115"/>
      <c r="D88" s="112"/>
      <c r="E88" s="112"/>
      <c r="F88" s="113"/>
      <c r="G88" s="112"/>
      <c r="H88" s="113"/>
      <c r="I88" s="104"/>
      <c r="J88" s="94"/>
      <c r="K88" s="94"/>
      <c r="L88" s="4"/>
      <c r="M88" s="85"/>
      <c r="N88" s="8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5"/>
      <c r="BB88" s="5"/>
      <c r="BC88" s="5"/>
      <c r="BD88" s="5"/>
      <c r="BE88" s="5"/>
      <c r="BF88" s="5"/>
      <c r="BG88" s="5"/>
      <c r="BH88" s="5"/>
    </row>
    <row r="89" spans="1:60">
      <c r="A89" s="90"/>
      <c r="B89" s="118"/>
      <c r="C89" s="115"/>
      <c r="D89" s="112"/>
      <c r="E89" s="112"/>
      <c r="F89" s="113"/>
      <c r="G89" s="112"/>
      <c r="H89" s="113"/>
      <c r="I89" s="104"/>
      <c r="J89" s="94"/>
      <c r="K89" s="94"/>
      <c r="L89" s="4"/>
      <c r="M89" s="85"/>
      <c r="N89" s="8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5"/>
      <c r="BB89" s="5"/>
      <c r="BC89" s="5"/>
      <c r="BD89" s="5"/>
      <c r="BE89" s="5"/>
      <c r="BF89" s="5"/>
      <c r="BG89" s="5"/>
      <c r="BH89" s="5"/>
    </row>
    <row r="90" spans="1:60">
      <c r="A90" s="90"/>
      <c r="B90" s="118"/>
      <c r="C90" s="115"/>
      <c r="D90" s="112"/>
      <c r="E90" s="112"/>
      <c r="F90" s="113"/>
      <c r="G90" s="112"/>
      <c r="H90" s="113"/>
      <c r="I90" s="104"/>
      <c r="J90" s="94"/>
      <c r="K90" s="94"/>
      <c r="L90" s="4"/>
      <c r="M90" s="85"/>
      <c r="N90" s="8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5"/>
      <c r="BB90" s="5"/>
      <c r="BC90" s="5"/>
      <c r="BD90" s="5"/>
      <c r="BE90" s="5"/>
      <c r="BF90" s="5"/>
      <c r="BG90" s="5"/>
      <c r="BH90" s="5"/>
    </row>
    <row r="91" spans="1:60">
      <c r="A91" s="90"/>
      <c r="B91" s="118"/>
      <c r="C91" s="115"/>
      <c r="D91" s="112"/>
      <c r="E91" s="112"/>
      <c r="F91" s="113"/>
      <c r="G91" s="112"/>
      <c r="H91" s="113"/>
      <c r="I91" s="104"/>
      <c r="J91" s="94"/>
      <c r="K91" s="94"/>
      <c r="L91" s="4"/>
      <c r="M91" s="85"/>
      <c r="N91" s="8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5"/>
      <c r="BB91" s="5"/>
      <c r="BC91" s="5"/>
      <c r="BD91" s="5"/>
      <c r="BE91" s="5"/>
      <c r="BF91" s="5"/>
      <c r="BG91" s="5"/>
      <c r="BH91" s="5"/>
    </row>
    <row r="92" spans="1:60">
      <c r="A92" s="65"/>
      <c r="B92" s="118"/>
      <c r="C92" s="115"/>
      <c r="D92" s="112"/>
      <c r="E92" s="112"/>
      <c r="F92" s="113"/>
      <c r="G92" s="112"/>
      <c r="H92" s="113"/>
      <c r="I92" s="94"/>
      <c r="J92" s="94"/>
      <c r="K92" s="4"/>
      <c r="L92" s="8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5"/>
      <c r="BB92" s="5"/>
      <c r="BC92" s="5"/>
      <c r="BD92" s="5"/>
      <c r="BE92" s="5"/>
      <c r="BF92" s="5"/>
      <c r="BG92" s="5"/>
      <c r="BH92" s="5"/>
    </row>
    <row r="93" ht="15.75" spans="1:60">
      <c r="A93" s="65"/>
      <c r="B93" s="19"/>
      <c r="C93" s="119"/>
      <c r="D93" s="119"/>
      <c r="E93" s="120"/>
      <c r="F93" s="121"/>
      <c r="G93" s="120"/>
      <c r="H93" s="122"/>
      <c r="I93" s="94"/>
      <c r="J93" s="94"/>
      <c r="K93" s="4"/>
      <c r="L93" s="8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5"/>
      <c r="BB93" s="5"/>
      <c r="BC93" s="5"/>
      <c r="BD93" s="5"/>
      <c r="BE93" s="5"/>
      <c r="BF93" s="5"/>
      <c r="BG93" s="5"/>
      <c r="BH93" s="5"/>
    </row>
    <row r="94" ht="15.75" spans="1:60">
      <c r="A94" s="65"/>
      <c r="B94" s="22" t="s">
        <v>55</v>
      </c>
      <c r="C94" s="91"/>
      <c r="D94" s="91"/>
      <c r="E94" s="123"/>
      <c r="F94" s="92"/>
      <c r="G94" s="123"/>
      <c r="H94" s="91">
        <v>0</v>
      </c>
      <c r="I94" s="94"/>
      <c r="J94" s="94"/>
      <c r="K94" s="4"/>
      <c r="L94" s="8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5"/>
      <c r="BB94" s="5"/>
      <c r="BC94" s="5"/>
      <c r="BD94" s="5"/>
      <c r="BE94" s="5"/>
      <c r="BF94" s="5"/>
      <c r="BG94" s="5"/>
      <c r="BH94" s="5"/>
    </row>
    <row r="95" spans="1:60">
      <c r="A95" s="65"/>
      <c r="B95" s="95" t="s">
        <v>118</v>
      </c>
      <c r="C95" s="96"/>
      <c r="D95" s="96"/>
      <c r="E95" s="96"/>
      <c r="F95" s="97"/>
      <c r="G95" s="98"/>
      <c r="H95" s="99"/>
      <c r="I95" s="94"/>
      <c r="J95" s="94"/>
      <c r="K95" s="4"/>
      <c r="L95" s="8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5"/>
      <c r="BB95" s="5"/>
      <c r="BC95" s="5"/>
      <c r="BD95" s="5"/>
      <c r="BE95" s="5"/>
      <c r="BF95" s="5"/>
      <c r="BG95" s="5"/>
      <c r="BH95" s="5"/>
    </row>
    <row r="96" spans="1:60">
      <c r="A96" s="65"/>
      <c r="B96" s="100"/>
      <c r="C96" s="101"/>
      <c r="D96" s="101"/>
      <c r="E96" s="101"/>
      <c r="F96" s="102"/>
      <c r="G96" s="103"/>
      <c r="H96" s="104"/>
      <c r="I96" s="94"/>
      <c r="J96" s="94"/>
      <c r="K96" s="4"/>
      <c r="L96" s="8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5"/>
      <c r="BB96" s="5"/>
      <c r="BC96" s="5"/>
      <c r="BD96" s="5"/>
      <c r="BE96" s="5"/>
      <c r="BF96" s="5"/>
      <c r="BG96" s="5"/>
      <c r="BH96" s="5"/>
    </row>
    <row r="97" spans="1:60">
      <c r="A97" s="65"/>
      <c r="B97" s="124" t="s">
        <v>120</v>
      </c>
      <c r="C97" s="125"/>
      <c r="D97" s="125"/>
      <c r="E97" s="125"/>
      <c r="F97" s="126"/>
      <c r="G97" s="127"/>
      <c r="H97" s="128"/>
      <c r="I97" s="94"/>
      <c r="J97" s="94"/>
      <c r="K97" s="4"/>
      <c r="L97" s="8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5"/>
      <c r="BB97" s="5"/>
      <c r="BC97" s="5"/>
      <c r="BD97" s="5"/>
      <c r="BE97" s="5"/>
      <c r="BF97" s="5"/>
      <c r="BG97" s="5"/>
      <c r="BH97" s="5"/>
    </row>
    <row r="98" spans="1:60">
      <c r="A98" s="65"/>
      <c r="B98" s="129" t="s">
        <v>121</v>
      </c>
      <c r="C98" s="101"/>
      <c r="D98" s="101"/>
      <c r="E98" s="101"/>
      <c r="F98" s="102"/>
      <c r="G98" s="103"/>
      <c r="H98" s="104"/>
      <c r="I98" s="94"/>
      <c r="J98" s="94"/>
      <c r="K98" s="4"/>
      <c r="L98" s="8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5"/>
      <c r="BB98" s="5"/>
      <c r="BC98" s="5"/>
      <c r="BD98" s="5"/>
      <c r="BE98" s="5"/>
      <c r="BF98" s="5"/>
      <c r="BG98" s="5"/>
      <c r="BH98" s="5"/>
    </row>
    <row r="99" spans="1:60">
      <c r="A99" s="65"/>
      <c r="B99" s="129" t="s">
        <v>122</v>
      </c>
      <c r="C99" s="101"/>
      <c r="D99" s="101"/>
      <c r="E99" s="130"/>
      <c r="F99" s="102"/>
      <c r="G99" s="103"/>
      <c r="H99" s="104"/>
      <c r="I99" s="94"/>
      <c r="J99" s="94"/>
      <c r="K99" s="4"/>
      <c r="L99" s="8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5"/>
      <c r="BB99" s="5"/>
      <c r="BC99" s="5"/>
      <c r="BD99" s="5"/>
      <c r="BE99" s="5"/>
      <c r="BF99" s="5"/>
      <c r="BG99" s="5"/>
      <c r="BH99" s="5"/>
    </row>
    <row r="100" spans="1:60">
      <c r="A100" s="4"/>
      <c r="B100" s="5"/>
      <c r="C100" s="5"/>
      <c r="D100" s="5"/>
      <c r="E100" s="5"/>
      <c r="F100" s="5"/>
      <c r="G100" s="5"/>
      <c r="H100" s="5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5"/>
      <c r="BB100" s="5"/>
      <c r="BC100" s="5"/>
      <c r="BD100" s="5"/>
      <c r="BE100" s="5"/>
      <c r="BF100" s="5"/>
      <c r="BG100" s="5"/>
      <c r="BH100" s="5"/>
    </row>
    <row r="101" spans="1:60">
      <c r="A101" s="62" t="s">
        <v>123</v>
      </c>
      <c r="B101" s="131" t="s">
        <v>124</v>
      </c>
      <c r="C101" s="131"/>
      <c r="D101" s="132"/>
      <c r="E101" s="132"/>
      <c r="F101" s="132"/>
      <c r="G101" s="132"/>
      <c r="H101" s="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5"/>
      <c r="BB101" s="5"/>
      <c r="BC101" s="5"/>
      <c r="BD101" s="5"/>
      <c r="BE101" s="5"/>
      <c r="BF101" s="5"/>
      <c r="BG101" s="5"/>
      <c r="BH101" s="5"/>
    </row>
    <row r="102" spans="1:60">
      <c r="A102" s="69" t="s">
        <v>1</v>
      </c>
      <c r="B102" s="133" t="s">
        <v>654</v>
      </c>
      <c r="C102" s="133" t="s">
        <v>790</v>
      </c>
      <c r="D102" s="133" t="str">
        <f>B61</f>
        <v>MAY 2026 BLOCK 11</v>
      </c>
      <c r="E102" s="133" t="str">
        <f>B62</f>
        <v>MAY 2026 BLOCK 10</v>
      </c>
      <c r="F102" s="133" t="str">
        <f>B63</f>
        <v>JUNE 2026 LLANTO FEEDING AREA 1</v>
      </c>
      <c r="G102" s="133" t="str">
        <f>B64</f>
        <v>JUNE 2026 TAG-AT FEEDING AREA 2</v>
      </c>
      <c r="H102" s="133" t="str">
        <f>B65</f>
        <v>MARCH 2026 BLOCK 5</v>
      </c>
      <c r="I102" s="133" t="str">
        <f>B66</f>
        <v>FEBRUARY 2026 BLOCK 28</v>
      </c>
      <c r="J102" s="133" t="str">
        <f>B67</f>
        <v>JUNE 2026 TAG-AT FEEDING AREA 3</v>
      </c>
      <c r="K102" s="133" t="str">
        <f>B68</f>
        <v>MARCH 2026 BLOCK 8</v>
      </c>
      <c r="L102" s="133" t="str">
        <f>B69</f>
        <v>FEBRUARY 2026 BLOCK 14</v>
      </c>
      <c r="M102" s="133" t="str">
        <f>B70</f>
        <v>JUNE 2026 TAG-AT FEEDING AREA 4</v>
      </c>
      <c r="N102" s="134" t="str">
        <f>B71</f>
        <v>MARCH 2026 BLOCK 9</v>
      </c>
      <c r="O102" s="133" t="str">
        <f>B72</f>
        <v>JUNE 2026 LLANTO FEEDING AREA 5</v>
      </c>
      <c r="P102" s="134" t="str">
        <f>B73</f>
        <v>MARCH 2026 BLOCK 26</v>
      </c>
      <c r="Q102" s="133" t="str">
        <f>B74</f>
        <v>JULY 2025 BLOCK 5</v>
      </c>
      <c r="R102" s="133" t="str">
        <f>B75</f>
        <v>JUNE 2026 TAG-AT FEEDING AREA 6</v>
      </c>
      <c r="S102" s="133" t="str">
        <f>B76</f>
        <v>MAY 2025 BLOCK 3</v>
      </c>
      <c r="T102" s="133" t="str">
        <f>B77</f>
        <v>NOVEMBER 2025 BLOCK 4</v>
      </c>
      <c r="U102" s="134" t="e">
        <f>#REF!</f>
        <v>#REF!</v>
      </c>
      <c r="V102" s="134" t="e">
        <f>#REF!</f>
        <v>#REF!</v>
      </c>
      <c r="W102" s="134"/>
      <c r="X102" s="135"/>
      <c r="Y102" s="136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60">
      <c r="A103" s="137"/>
      <c r="B103" s="138">
        <v>46728</v>
      </c>
      <c r="C103" s="138">
        <v>58575</v>
      </c>
      <c r="D103" s="138">
        <f>C61</f>
        <v>49870</v>
      </c>
      <c r="E103" s="138">
        <f>C62</f>
        <v>79210</v>
      </c>
      <c r="F103" s="138">
        <f>C63</f>
        <v>25640</v>
      </c>
      <c r="G103" s="138">
        <f>C64</f>
        <v>20730</v>
      </c>
      <c r="H103" s="156">
        <f>C65</f>
        <v>65763</v>
      </c>
      <c r="I103" s="138">
        <f>C66</f>
        <v>52730</v>
      </c>
      <c r="J103" s="138">
        <f>C67</f>
        <v>19245</v>
      </c>
      <c r="K103" s="138">
        <f>C68</f>
        <v>50834</v>
      </c>
      <c r="L103" s="138">
        <f>C69</f>
        <v>73010</v>
      </c>
      <c r="M103" s="138">
        <f>C70</f>
        <v>18575</v>
      </c>
      <c r="N103" s="139">
        <f>C71</f>
        <v>56223</v>
      </c>
      <c r="O103" s="138">
        <f>C72</f>
        <v>25990</v>
      </c>
      <c r="P103" s="139">
        <f>C73</f>
        <v>71635</v>
      </c>
      <c r="Q103" s="138">
        <f>C74</f>
        <v>59035</v>
      </c>
      <c r="R103" s="138">
        <f>C75</f>
        <v>19035</v>
      </c>
      <c r="S103" s="138">
        <f>C76</f>
        <v>47030</v>
      </c>
      <c r="T103" s="138">
        <f>C77</f>
        <v>69835</v>
      </c>
      <c r="U103" s="139" t="e">
        <f>#REF!</f>
        <v>#REF!</v>
      </c>
      <c r="V103" s="139" t="e">
        <f>#REF!</f>
        <v>#REF!</v>
      </c>
      <c r="W103" s="139"/>
      <c r="X103" s="140"/>
      <c r="Y103" s="141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60">
      <c r="A104" s="40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1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60">
      <c r="A105" s="44">
        <v>46171</v>
      </c>
      <c r="B105" s="142">
        <v>10600</v>
      </c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1">
        <f>SUM(B105:X105)</f>
        <v>10600</v>
      </c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60">
      <c r="A106" s="44">
        <v>46174</v>
      </c>
      <c r="B106" s="142">
        <v>21057</v>
      </c>
      <c r="C106" s="142">
        <v>13648</v>
      </c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1">
        <f t="shared" ref="Y106:Y119" si="12">SUM(B106:X106)</f>
        <v>34705</v>
      </c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60">
      <c r="A107" s="44">
        <v>46175</v>
      </c>
      <c r="B107" s="142">
        <v>12153</v>
      </c>
      <c r="C107" s="142">
        <v>19102</v>
      </c>
      <c r="D107" s="142">
        <v>4411</v>
      </c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1">
        <f t="shared" si="12"/>
        <v>35666</v>
      </c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customFormat="1" spans="1:60">
      <c r="A108" s="44">
        <v>46176</v>
      </c>
      <c r="B108" s="142"/>
      <c r="C108" s="142">
        <v>21677</v>
      </c>
      <c r="D108" s="142">
        <v>25694</v>
      </c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1">
        <f t="shared" si="12"/>
        <v>47371</v>
      </c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60">
      <c r="A109" s="44">
        <v>46177</v>
      </c>
      <c r="B109" s="142"/>
      <c r="C109" s="142"/>
      <c r="D109" s="142">
        <v>18129</v>
      </c>
      <c r="E109" s="142">
        <v>14437</v>
      </c>
      <c r="F109" s="142">
        <v>5000</v>
      </c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1">
        <f t="shared" si="12"/>
        <v>37566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60">
      <c r="A110" s="44">
        <v>46178</v>
      </c>
      <c r="B110" s="142"/>
      <c r="C110" s="142"/>
      <c r="D110" s="142"/>
      <c r="E110" s="142">
        <v>19450</v>
      </c>
      <c r="F110" s="142">
        <v>10000</v>
      </c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1">
        <f t="shared" si="12"/>
        <v>29450</v>
      </c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60">
      <c r="A111" s="44">
        <v>46182</v>
      </c>
      <c r="B111" s="142"/>
      <c r="C111" s="142"/>
      <c r="D111" s="142"/>
      <c r="E111" s="142">
        <v>23087</v>
      </c>
      <c r="F111" s="142">
        <v>10640</v>
      </c>
      <c r="G111" s="142">
        <v>800</v>
      </c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1">
        <f t="shared" si="12"/>
        <v>34527</v>
      </c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customFormat="1" spans="1:60">
      <c r="A112" s="44">
        <v>46183</v>
      </c>
      <c r="B112" s="142"/>
      <c r="C112" s="142"/>
      <c r="D112" s="142"/>
      <c r="E112" s="142">
        <v>19726</v>
      </c>
      <c r="F112" s="142"/>
      <c r="G112" s="142">
        <f>2930+3000</f>
        <v>5930</v>
      </c>
      <c r="H112" s="142">
        <f>10813+20932</f>
        <v>31745</v>
      </c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1">
        <f t="shared" si="12"/>
        <v>57401</v>
      </c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customFormat="1" spans="1:41">
      <c r="A113" s="44">
        <v>46184</v>
      </c>
      <c r="B113" s="142"/>
      <c r="C113" s="142"/>
      <c r="D113" s="142"/>
      <c r="E113" s="142"/>
      <c r="F113" s="142"/>
      <c r="G113" s="142">
        <v>14000</v>
      </c>
      <c r="H113" s="142">
        <v>29270</v>
      </c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1">
        <f t="shared" si="12"/>
        <v>43270</v>
      </c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customFormat="1" spans="1:41">
      <c r="A114" s="44">
        <v>46185</v>
      </c>
      <c r="B114" s="142"/>
      <c r="C114" s="142"/>
      <c r="D114" s="142"/>
      <c r="E114" s="142"/>
      <c r="F114" s="142"/>
      <c r="G114" s="142"/>
      <c r="H114" s="142"/>
      <c r="I114" s="142">
        <f>35204+13452</f>
        <v>48656</v>
      </c>
      <c r="J114" s="142">
        <f>9245+5000</f>
        <v>14245</v>
      </c>
      <c r="K114" s="142">
        <v>1022</v>
      </c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1">
        <f t="shared" si="12"/>
        <v>63923</v>
      </c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customFormat="1" spans="1:41">
      <c r="A115" s="44">
        <v>46188</v>
      </c>
      <c r="B115" s="142"/>
      <c r="C115" s="142"/>
      <c r="D115" s="142"/>
      <c r="E115" s="142"/>
      <c r="F115" s="142"/>
      <c r="G115" s="142"/>
      <c r="H115" s="142"/>
      <c r="I115" s="142"/>
      <c r="J115" s="142">
        <v>5000</v>
      </c>
      <c r="K115" s="142">
        <v>11816</v>
      </c>
      <c r="L115" s="142">
        <v>17147</v>
      </c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1">
        <f t="shared" si="12"/>
        <v>33963</v>
      </c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customFormat="1" spans="1:41">
      <c r="A116" s="44">
        <v>46189</v>
      </c>
      <c r="B116" s="142"/>
      <c r="C116" s="142"/>
      <c r="D116" s="142"/>
      <c r="E116" s="142"/>
      <c r="F116" s="142"/>
      <c r="G116" s="142"/>
      <c r="H116" s="142"/>
      <c r="I116" s="142"/>
      <c r="J116" s="142"/>
      <c r="K116" s="142">
        <v>16420</v>
      </c>
      <c r="L116" s="142">
        <v>10810</v>
      </c>
      <c r="M116" s="142">
        <v>6575</v>
      </c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1">
        <f t="shared" si="12"/>
        <v>33805</v>
      </c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customFormat="1" spans="1:41">
      <c r="A117" s="44">
        <v>46190</v>
      </c>
      <c r="B117" s="142"/>
      <c r="C117" s="142"/>
      <c r="D117" s="142"/>
      <c r="E117" s="142"/>
      <c r="F117" s="142"/>
      <c r="G117" s="142"/>
      <c r="H117" s="142"/>
      <c r="I117" s="142"/>
      <c r="J117" s="142"/>
      <c r="K117" s="142">
        <v>10365</v>
      </c>
      <c r="L117" s="142">
        <v>17532</v>
      </c>
      <c r="M117" s="142">
        <v>6000</v>
      </c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1">
        <f t="shared" si="12"/>
        <v>33897</v>
      </c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customFormat="1" spans="1:41">
      <c r="A118" s="44">
        <v>46191</v>
      </c>
      <c r="B118" s="142"/>
      <c r="C118" s="142"/>
      <c r="D118" s="142"/>
      <c r="E118" s="142"/>
      <c r="F118" s="142"/>
      <c r="G118" s="142"/>
      <c r="H118" s="142"/>
      <c r="I118" s="142"/>
      <c r="J118" s="142"/>
      <c r="K118" s="142">
        <v>10594</v>
      </c>
      <c r="L118" s="142">
        <v>12832</v>
      </c>
      <c r="M118" s="142">
        <v>6000</v>
      </c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1">
        <f t="shared" si="12"/>
        <v>29426</v>
      </c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customFormat="1" spans="1:41">
      <c r="A119" s="44">
        <v>46192</v>
      </c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>
        <v>5970</v>
      </c>
      <c r="M119" s="142"/>
      <c r="N119" s="142">
        <v>12934</v>
      </c>
      <c r="O119" s="142">
        <v>10990</v>
      </c>
      <c r="P119" s="142"/>
      <c r="Q119" s="142"/>
      <c r="R119" s="142"/>
      <c r="S119" s="142"/>
      <c r="T119" s="142"/>
      <c r="U119" s="142"/>
      <c r="V119" s="142"/>
      <c r="W119" s="142"/>
      <c r="X119" s="142"/>
      <c r="Y119" s="141">
        <f t="shared" si="12"/>
        <v>29894</v>
      </c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customFormat="1" spans="1:41">
      <c r="A120" s="44">
        <v>46193</v>
      </c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>
        <v>5343</v>
      </c>
      <c r="M120" s="142"/>
      <c r="N120" s="142">
        <v>7551</v>
      </c>
      <c r="O120" s="142">
        <v>8000</v>
      </c>
      <c r="P120" s="142">
        <v>5538</v>
      </c>
      <c r="Q120" s="142">
        <v>12310</v>
      </c>
      <c r="R120" s="142"/>
      <c r="S120" s="142"/>
      <c r="T120" s="142"/>
      <c r="U120" s="142"/>
      <c r="V120" s="142"/>
      <c r="W120" s="142"/>
      <c r="X120" s="142"/>
      <c r="Y120" s="141">
        <f t="shared" ref="Y120:Y127" si="13">SUM(B120:X120)</f>
        <v>38742</v>
      </c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customFormat="1" spans="1:41">
      <c r="A121" s="44">
        <v>46195</v>
      </c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>
        <v>7668</v>
      </c>
      <c r="O121" s="142">
        <v>7000</v>
      </c>
      <c r="P121" s="142">
        <v>5274</v>
      </c>
      <c r="Q121" s="142">
        <v>9697</v>
      </c>
      <c r="R121" s="142"/>
      <c r="S121" s="142"/>
      <c r="T121" s="142"/>
      <c r="U121" s="142"/>
      <c r="V121" s="142"/>
      <c r="W121" s="142"/>
      <c r="X121" s="142"/>
      <c r="Y121" s="141">
        <f t="shared" si="13"/>
        <v>29639</v>
      </c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customFormat="1" spans="1:41">
      <c r="A122" s="44">
        <v>46196</v>
      </c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>
        <v>6770</v>
      </c>
      <c r="O122" s="142"/>
      <c r="P122" s="142">
        <v>5137</v>
      </c>
      <c r="Q122" s="142">
        <v>15319</v>
      </c>
      <c r="R122" s="142">
        <v>10000</v>
      </c>
      <c r="S122" s="142"/>
      <c r="T122" s="142"/>
      <c r="U122" s="142"/>
      <c r="V122" s="142"/>
      <c r="W122" s="142"/>
      <c r="X122" s="142"/>
      <c r="Y122" s="141">
        <f t="shared" si="13"/>
        <v>37226</v>
      </c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customFormat="1" spans="1:41">
      <c r="A123" s="44">
        <v>46197</v>
      </c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>
        <v>3787</v>
      </c>
      <c r="O123" s="142"/>
      <c r="P123" s="142">
        <v>3757</v>
      </c>
      <c r="Q123" s="142">
        <v>21220</v>
      </c>
      <c r="R123" s="142">
        <v>9035</v>
      </c>
      <c r="S123" s="142">
        <v>2769</v>
      </c>
      <c r="T123" s="142"/>
      <c r="U123" s="142"/>
      <c r="V123" s="142"/>
      <c r="W123" s="142"/>
      <c r="X123" s="142"/>
      <c r="Y123" s="141">
        <f t="shared" si="13"/>
        <v>40568</v>
      </c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customFormat="1" spans="1:41">
      <c r="A124" s="44">
        <v>46198</v>
      </c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>
        <v>3482</v>
      </c>
      <c r="O124" s="142"/>
      <c r="P124" s="142">
        <v>3698</v>
      </c>
      <c r="Q124" s="142"/>
      <c r="R124" s="142"/>
      <c r="S124" s="142">
        <v>26274</v>
      </c>
      <c r="T124" s="142"/>
      <c r="U124" s="142"/>
      <c r="V124" s="142"/>
      <c r="W124" s="142"/>
      <c r="X124" s="142"/>
      <c r="Y124" s="141">
        <f t="shared" si="13"/>
        <v>33454</v>
      </c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>
      <c r="A125" s="44">
        <v>46199</v>
      </c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>
        <v>4733</v>
      </c>
      <c r="O125" s="142"/>
      <c r="P125" s="142">
        <v>5111</v>
      </c>
      <c r="Q125" s="142"/>
      <c r="R125" s="142"/>
      <c r="S125" s="142">
        <v>17700</v>
      </c>
      <c r="T125" s="142">
        <v>19246</v>
      </c>
      <c r="U125" s="142"/>
      <c r="V125" s="142"/>
      <c r="W125" s="142"/>
      <c r="X125" s="142"/>
      <c r="Y125" s="141">
        <f t="shared" si="13"/>
        <v>46790</v>
      </c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>
      <c r="A126" s="44">
        <v>46200</v>
      </c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>
        <v>2502</v>
      </c>
      <c r="O126" s="142"/>
      <c r="P126" s="142">
        <v>2364</v>
      </c>
      <c r="Q126" s="142"/>
      <c r="R126" s="142"/>
      <c r="S126" s="142"/>
      <c r="T126" s="142">
        <v>17519</v>
      </c>
      <c r="U126" s="142"/>
      <c r="V126" s="142"/>
      <c r="W126" s="142"/>
      <c r="X126" s="142"/>
      <c r="Y126" s="141">
        <f t="shared" si="13"/>
        <v>22385</v>
      </c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>
      <c r="A127" s="44">
        <v>46202</v>
      </c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>
        <v>3437</v>
      </c>
      <c r="O127" s="142"/>
      <c r="P127" s="142">
        <v>3201</v>
      </c>
      <c r="Q127" s="142"/>
      <c r="R127" s="142"/>
      <c r="S127" s="142"/>
      <c r="T127" s="142">
        <v>29189</v>
      </c>
      <c r="U127" s="142"/>
      <c r="V127" s="142"/>
      <c r="W127" s="142"/>
      <c r="X127" s="142"/>
      <c r="Y127" s="141">
        <f t="shared" si="13"/>
        <v>35827</v>
      </c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>
      <c r="A128" s="40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1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60">
      <c r="A129" s="143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1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60">
      <c r="A130" s="145"/>
      <c r="B130" s="146">
        <f t="shared" ref="B130:V130" si="14">SUM(B104:B129)</f>
        <v>43810</v>
      </c>
      <c r="C130" s="146">
        <f t="shared" si="14"/>
        <v>54427</v>
      </c>
      <c r="D130" s="146">
        <f t="shared" si="14"/>
        <v>48234</v>
      </c>
      <c r="E130" s="146">
        <f t="shared" si="14"/>
        <v>76700</v>
      </c>
      <c r="F130" s="146">
        <f t="shared" si="14"/>
        <v>25640</v>
      </c>
      <c r="G130" s="146">
        <f t="shared" si="14"/>
        <v>20730</v>
      </c>
      <c r="H130" s="146">
        <f t="shared" si="14"/>
        <v>61015</v>
      </c>
      <c r="I130" s="146">
        <f t="shared" si="14"/>
        <v>48656</v>
      </c>
      <c r="J130" s="146">
        <f t="shared" si="14"/>
        <v>19245</v>
      </c>
      <c r="K130" s="146">
        <f t="shared" si="14"/>
        <v>50217</v>
      </c>
      <c r="L130" s="146">
        <f t="shared" si="14"/>
        <v>69634</v>
      </c>
      <c r="M130" s="146">
        <f t="shared" si="14"/>
        <v>18575</v>
      </c>
      <c r="N130" s="146">
        <f t="shared" si="14"/>
        <v>52864</v>
      </c>
      <c r="O130" s="146">
        <f t="shared" si="14"/>
        <v>25990</v>
      </c>
      <c r="P130" s="146">
        <f t="shared" si="14"/>
        <v>34080</v>
      </c>
      <c r="Q130" s="146">
        <f t="shared" si="14"/>
        <v>58546</v>
      </c>
      <c r="R130" s="146">
        <f t="shared" si="14"/>
        <v>19035</v>
      </c>
      <c r="S130" s="146">
        <f t="shared" si="14"/>
        <v>46743</v>
      </c>
      <c r="T130" s="146">
        <f t="shared" si="14"/>
        <v>65954</v>
      </c>
      <c r="U130" s="146">
        <f t="shared" si="14"/>
        <v>0</v>
      </c>
      <c r="V130" s="146">
        <f t="shared" si="14"/>
        <v>0</v>
      </c>
      <c r="W130" s="147"/>
      <c r="X130" s="147"/>
      <c r="Y130" s="148">
        <f>SUM(B130:V130)</f>
        <v>840095</v>
      </c>
      <c r="Z130" s="58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60">
      <c r="A131" s="39"/>
      <c r="B131" s="149">
        <f t="shared" ref="B131:V131" si="15">+B103-B130</f>
        <v>2918</v>
      </c>
      <c r="C131" s="149">
        <f t="shared" si="15"/>
        <v>4148</v>
      </c>
      <c r="D131" s="149">
        <f t="shared" si="15"/>
        <v>1636</v>
      </c>
      <c r="E131" s="149">
        <f t="shared" si="15"/>
        <v>2510</v>
      </c>
      <c r="F131" s="149">
        <f t="shared" si="15"/>
        <v>0</v>
      </c>
      <c r="G131" s="149">
        <f t="shared" si="15"/>
        <v>0</v>
      </c>
      <c r="H131" s="149">
        <f t="shared" si="15"/>
        <v>4748</v>
      </c>
      <c r="I131" s="149">
        <f t="shared" si="15"/>
        <v>4074</v>
      </c>
      <c r="J131" s="149">
        <f t="shared" si="15"/>
        <v>0</v>
      </c>
      <c r="K131" s="149">
        <f t="shared" si="15"/>
        <v>617</v>
      </c>
      <c r="L131" s="149">
        <f t="shared" si="15"/>
        <v>3376</v>
      </c>
      <c r="M131" s="149">
        <f t="shared" si="15"/>
        <v>0</v>
      </c>
      <c r="N131" s="150">
        <f t="shared" si="15"/>
        <v>3359</v>
      </c>
      <c r="O131" s="149">
        <f t="shared" si="15"/>
        <v>0</v>
      </c>
      <c r="P131" s="150">
        <f t="shared" si="15"/>
        <v>37555</v>
      </c>
      <c r="Q131" s="149">
        <f t="shared" si="15"/>
        <v>489</v>
      </c>
      <c r="R131" s="149">
        <f t="shared" si="15"/>
        <v>0</v>
      </c>
      <c r="S131" s="149">
        <f t="shared" si="15"/>
        <v>287</v>
      </c>
      <c r="T131" s="149">
        <f t="shared" si="15"/>
        <v>3881</v>
      </c>
      <c r="U131" s="150" t="e">
        <f t="shared" si="15"/>
        <v>#REF!</v>
      </c>
      <c r="V131" s="150" t="e">
        <f t="shared" si="15"/>
        <v>#REF!</v>
      </c>
      <c r="W131" s="151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60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60">
      <c r="A133" s="2" t="s">
        <v>143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60">
      <c r="A134" s="157" t="s">
        <v>791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</row>
    <row r="135" spans="1:60">
      <c r="A135" s="158" t="s">
        <v>792</v>
      </c>
      <c r="B135" s="159"/>
      <c r="C135" s="159"/>
      <c r="D135" s="159"/>
    </row>
    <row r="136" spans="1:60">
      <c r="A136" s="159"/>
      <c r="B136" s="159"/>
      <c r="C136" s="159"/>
      <c r="D136" s="159"/>
    </row>
    <row r="137" spans="1:60">
      <c r="A137" s="243" t="s">
        <v>793</v>
      </c>
      <c r="B137" s="159"/>
      <c r="C137" s="159"/>
      <c r="D137" s="159"/>
    </row>
    <row r="138" customFormat="1" spans="1:60">
      <c r="A138" t="s">
        <v>794</v>
      </c>
    </row>
    <row r="139" customFormat="1" spans="1:60">
      <c r="A139" t="s">
        <v>795</v>
      </c>
    </row>
    <row r="140" customFormat="1" spans="1:60">
      <c r="A140" t="s">
        <v>156</v>
      </c>
    </row>
    <row r="141" customFormat="1" spans="1:60">
      <c r="A141" s="241" t="s">
        <v>796</v>
      </c>
    </row>
    <row r="142" customFormat="1" spans="1:60">
      <c r="A142" t="s">
        <v>797</v>
      </c>
    </row>
    <row r="143" customFormat="1" spans="1:60">
      <c r="A143" s="161">
        <v>62596</v>
      </c>
      <c r="B143" s="153" t="s">
        <v>798</v>
      </c>
    </row>
    <row r="144" customFormat="1" spans="1:60">
      <c r="A144" s="162"/>
      <c r="B144" s="163"/>
      <c r="C144" s="159"/>
      <c r="D144" s="159"/>
    </row>
    <row r="145" customFormat="1" spans="1:4">
      <c r="A145" s="243" t="s">
        <v>799</v>
      </c>
      <c r="B145" s="159"/>
      <c r="C145" s="159"/>
      <c r="D145" s="159"/>
    </row>
    <row r="146" customFormat="1" spans="1:4">
      <c r="A146" s="159" t="s">
        <v>800</v>
      </c>
      <c r="B146" s="159"/>
      <c r="C146" s="159"/>
      <c r="D146" s="159"/>
    </row>
    <row r="147" customFormat="1" spans="1:4">
      <c r="A147" s="164" t="s">
        <v>156</v>
      </c>
      <c r="B147" s="163"/>
      <c r="C147" s="159"/>
      <c r="D147" s="159"/>
    </row>
    <row r="148" customFormat="1" spans="1:4">
      <c r="A148" t="s">
        <v>801</v>
      </c>
    </row>
    <row r="149" customFormat="1" spans="1:4">
      <c r="A149" s="161">
        <v>58575</v>
      </c>
      <c r="B149" s="153" t="s">
        <v>802</v>
      </c>
    </row>
    <row r="150" spans="1:4">
      <c r="A150" s="159"/>
      <c r="B150" s="159"/>
      <c r="C150" s="159"/>
      <c r="D150" s="159"/>
    </row>
    <row r="151" spans="1:4">
      <c r="A151" s="243" t="s">
        <v>803</v>
      </c>
      <c r="B151" s="159"/>
      <c r="C151" s="159"/>
      <c r="D151" s="159"/>
    </row>
    <row r="152" spans="1:4">
      <c r="A152" s="159" t="s">
        <v>804</v>
      </c>
      <c r="B152" s="159"/>
      <c r="C152" s="159"/>
      <c r="D152" s="159"/>
    </row>
    <row r="153" customFormat="1" spans="1:4">
      <c r="A153" s="163" t="s">
        <v>805</v>
      </c>
      <c r="B153" s="159"/>
      <c r="C153" s="159"/>
      <c r="D153" s="159"/>
    </row>
    <row r="154" customFormat="1" spans="1:4">
      <c r="A154" s="163" t="s">
        <v>806</v>
      </c>
      <c r="B154" s="159"/>
      <c r="C154" s="159"/>
      <c r="D154" s="159"/>
    </row>
    <row r="155" customFormat="1" spans="1:4">
      <c r="A155" s="162"/>
      <c r="B155" s="163"/>
      <c r="C155" s="159"/>
      <c r="D155" s="159"/>
    </row>
    <row r="156" spans="1:4">
      <c r="A156" s="243" t="s">
        <v>807</v>
      </c>
      <c r="B156" s="159"/>
      <c r="C156" s="159"/>
      <c r="D156" s="159"/>
    </row>
    <row r="157" customFormat="1" spans="1:4">
      <c r="A157" s="163" t="s">
        <v>808</v>
      </c>
      <c r="B157" s="159"/>
      <c r="C157" s="159"/>
      <c r="D157" s="159"/>
    </row>
    <row r="158" customFormat="1" spans="1:4">
      <c r="A158" s="159" t="s">
        <v>809</v>
      </c>
      <c r="B158" s="159"/>
      <c r="C158" s="159"/>
      <c r="D158" s="159"/>
    </row>
    <row r="159" spans="1:4">
      <c r="A159" s="159"/>
      <c r="B159" s="159"/>
      <c r="C159" s="159"/>
      <c r="D159" s="159"/>
    </row>
    <row r="160" spans="1:4">
      <c r="A160" s="243" t="s">
        <v>810</v>
      </c>
      <c r="B160" s="159"/>
      <c r="C160" s="159"/>
      <c r="D160" s="159"/>
    </row>
    <row r="161" spans="1:4">
      <c r="A161" s="159" t="s">
        <v>811</v>
      </c>
      <c r="B161" s="159"/>
      <c r="C161" s="159"/>
      <c r="D161" s="159"/>
    </row>
    <row r="162" spans="1:4">
      <c r="A162" s="159" t="s">
        <v>812</v>
      </c>
      <c r="B162" s="159"/>
      <c r="C162" s="159"/>
      <c r="D162" s="159"/>
    </row>
    <row r="163" customFormat="1" spans="1:4">
      <c r="A163" s="163" t="s">
        <v>813</v>
      </c>
      <c r="B163" s="165"/>
      <c r="C163" s="159"/>
      <c r="D163" s="159"/>
    </row>
    <row r="164" customFormat="1" spans="1:4">
      <c r="A164" s="159"/>
      <c r="B164" s="159"/>
      <c r="C164" s="159"/>
      <c r="D164" s="159"/>
    </row>
    <row r="165" customFormat="1" spans="1:4">
      <c r="A165" s="243" t="s">
        <v>814</v>
      </c>
      <c r="B165" s="163"/>
      <c r="C165" s="159"/>
      <c r="D165" s="159"/>
    </row>
    <row r="166" customFormat="1" spans="1:4">
      <c r="A166" s="158" t="s">
        <v>815</v>
      </c>
      <c r="B166" s="159"/>
      <c r="C166" s="159"/>
      <c r="D166" s="159"/>
    </row>
    <row r="167" customFormat="1" spans="1:4">
      <c r="A167" s="159" t="s">
        <v>156</v>
      </c>
      <c r="B167" s="159"/>
      <c r="C167" s="159"/>
      <c r="D167" s="159"/>
    </row>
    <row r="168" customFormat="1" spans="1:4">
      <c r="A168" s="164" t="s">
        <v>816</v>
      </c>
      <c r="B168" s="163"/>
      <c r="C168" s="159"/>
      <c r="D168" s="159"/>
    </row>
    <row r="169" spans="1:4">
      <c r="A169" s="162">
        <v>65763</v>
      </c>
      <c r="B169" s="163" t="s">
        <v>817</v>
      </c>
      <c r="C169" s="159"/>
      <c r="D169" s="159"/>
    </row>
    <row r="170" spans="1:4">
      <c r="A170" s="159"/>
      <c r="B170" s="159"/>
      <c r="C170" s="159"/>
      <c r="D170" s="159"/>
    </row>
    <row r="171" spans="1:4">
      <c r="A171" s="243" t="s">
        <v>818</v>
      </c>
      <c r="B171" s="159"/>
      <c r="C171" s="159"/>
      <c r="D171" s="159"/>
    </row>
    <row r="172" spans="1:4">
      <c r="A172" s="159" t="s">
        <v>819</v>
      </c>
      <c r="B172" s="159"/>
      <c r="C172" s="159"/>
      <c r="D172" s="159"/>
    </row>
    <row r="173" spans="1:4">
      <c r="A173" s="159" t="s">
        <v>820</v>
      </c>
      <c r="B173" s="159"/>
      <c r="C173" s="159"/>
      <c r="D173" s="159"/>
    </row>
    <row r="174" spans="1:4">
      <c r="A174" s="163" t="s">
        <v>821</v>
      </c>
      <c r="B174" s="159"/>
      <c r="C174" s="159"/>
      <c r="D174" s="159"/>
    </row>
    <row r="175" spans="1:4">
      <c r="A175" s="159" t="s">
        <v>822</v>
      </c>
      <c r="B175" s="159"/>
      <c r="C175" s="159"/>
      <c r="D175" s="159"/>
    </row>
    <row r="176" spans="1:4">
      <c r="A176" s="166">
        <v>52730</v>
      </c>
      <c r="B176" s="163" t="s">
        <v>823</v>
      </c>
      <c r="C176" s="159"/>
      <c r="D176" s="159"/>
    </row>
    <row r="177" spans="1:4">
      <c r="A177" s="159"/>
      <c r="B177" s="159"/>
      <c r="C177" s="159"/>
      <c r="D177" s="159"/>
    </row>
    <row r="178" customFormat="1" spans="1:4">
      <c r="A178" s="243" t="s">
        <v>824</v>
      </c>
      <c r="B178" s="159"/>
      <c r="C178" s="159"/>
      <c r="D178" s="159"/>
    </row>
    <row r="179" customFormat="1" spans="1:4">
      <c r="A179" s="159"/>
      <c r="B179" s="159"/>
      <c r="C179" s="159"/>
      <c r="D179" s="159"/>
    </row>
    <row r="180" customFormat="1" spans="1:4">
      <c r="A180" s="164" t="s">
        <v>825</v>
      </c>
      <c r="B180" s="163"/>
      <c r="C180" s="159"/>
      <c r="D180" s="159"/>
    </row>
    <row r="181" customFormat="1" spans="1:4">
      <c r="A181" s="167" t="s">
        <v>826</v>
      </c>
      <c r="B181" s="159"/>
      <c r="C181" s="159"/>
      <c r="D181" s="159"/>
    </row>
    <row r="182" customFormat="1" spans="1:4">
      <c r="A182" s="158"/>
      <c r="B182" s="165"/>
      <c r="C182" s="159"/>
      <c r="D182" s="159"/>
    </row>
    <row r="183" customFormat="1" spans="1:4">
      <c r="A183" s="243" t="s">
        <v>827</v>
      </c>
      <c r="B183" s="159"/>
      <c r="C183" s="159"/>
      <c r="D183" s="159"/>
    </row>
    <row r="184" customFormat="1" spans="1:4">
      <c r="A184" s="164" t="s">
        <v>828</v>
      </c>
      <c r="B184" s="163"/>
      <c r="C184" s="159"/>
      <c r="D184" s="159"/>
    </row>
    <row r="185" customFormat="1" spans="1:4">
      <c r="A185" s="158" t="s">
        <v>829</v>
      </c>
      <c r="B185" s="159"/>
      <c r="C185" s="159"/>
      <c r="D185" s="159"/>
    </row>
    <row r="186" customFormat="1" spans="1:4">
      <c r="A186" s="159"/>
      <c r="B186" s="159"/>
      <c r="C186" s="159"/>
      <c r="D186" s="159"/>
    </row>
    <row r="187" customFormat="1" spans="1:4">
      <c r="A187" s="243" t="s">
        <v>830</v>
      </c>
      <c r="B187" s="163"/>
      <c r="C187" s="159"/>
      <c r="D187" s="159"/>
    </row>
    <row r="188" spans="1:4">
      <c r="A188" s="163" t="s">
        <v>831</v>
      </c>
      <c r="B188" s="159"/>
      <c r="C188" s="159"/>
      <c r="D188" s="159"/>
    </row>
    <row r="189" customFormat="1" spans="1:4">
      <c r="A189" s="158"/>
      <c r="B189" s="165"/>
      <c r="C189" s="159"/>
      <c r="D189" s="159"/>
    </row>
    <row r="190" customFormat="1" spans="1:4">
      <c r="A190" s="243" t="s">
        <v>832</v>
      </c>
      <c r="B190" s="159"/>
      <c r="C190" s="159"/>
      <c r="D190" s="159"/>
    </row>
    <row r="191" customFormat="1" spans="1:4">
      <c r="A191" s="163" t="s">
        <v>833</v>
      </c>
      <c r="B191" s="159"/>
      <c r="C191" s="159"/>
      <c r="D191" s="159"/>
    </row>
    <row r="192" customFormat="1" spans="1:4">
      <c r="A192" s="159" t="s">
        <v>834</v>
      </c>
      <c r="B192" s="159"/>
      <c r="C192" s="159"/>
      <c r="D192" s="159"/>
    </row>
    <row r="193" customFormat="1" spans="1:4">
      <c r="A193" s="164" t="s">
        <v>835</v>
      </c>
      <c r="B193" s="163"/>
      <c r="C193" s="159"/>
      <c r="D193" s="159"/>
    </row>
    <row r="194" spans="1:4">
      <c r="A194" s="159"/>
      <c r="B194" s="159"/>
      <c r="C194" s="159"/>
      <c r="D194" s="159"/>
    </row>
    <row r="195" spans="1:4">
      <c r="A195" s="243" t="s">
        <v>836</v>
      </c>
      <c r="B195" s="159"/>
      <c r="C195" s="159"/>
      <c r="D195" s="159"/>
    </row>
    <row r="196" spans="1:4">
      <c r="A196" s="159" t="s">
        <v>809</v>
      </c>
      <c r="B196" s="159"/>
      <c r="C196" s="159"/>
      <c r="D196" s="159"/>
    </row>
    <row r="197" spans="1:4">
      <c r="A197" s="159"/>
      <c r="B197" s="159"/>
      <c r="C197" s="159"/>
      <c r="D197" s="159"/>
    </row>
    <row r="198" spans="1:4">
      <c r="A198" s="243" t="s">
        <v>837</v>
      </c>
      <c r="B198" s="159"/>
      <c r="C198" s="159"/>
      <c r="D198" s="159"/>
    </row>
    <row r="199" customFormat="1" spans="1:4">
      <c r="A199" s="163" t="s">
        <v>838</v>
      </c>
      <c r="B199" s="159"/>
      <c r="C199" s="159"/>
      <c r="D199" s="159"/>
    </row>
    <row r="200" customFormat="1" spans="1:4">
      <c r="A200" s="158"/>
      <c r="B200" s="165"/>
      <c r="C200" s="159"/>
      <c r="D200" s="159"/>
    </row>
    <row r="201" customFormat="1" spans="1:4">
      <c r="A201" s="244" t="s">
        <v>839</v>
      </c>
      <c r="B201" s="159"/>
      <c r="C201" s="159"/>
      <c r="D201" s="159"/>
    </row>
    <row r="202" customFormat="1" spans="1:4">
      <c r="A202" s="164" t="s">
        <v>840</v>
      </c>
      <c r="B202" s="163"/>
      <c r="C202" s="159"/>
      <c r="D202" s="159"/>
    </row>
    <row r="203" customFormat="1" spans="1:4">
      <c r="A203" s="163" t="s">
        <v>841</v>
      </c>
      <c r="B203" s="159"/>
      <c r="C203" s="159"/>
      <c r="D203" s="159"/>
    </row>
    <row r="204" customFormat="1" spans="1:4">
      <c r="A204" s="159" t="s">
        <v>842</v>
      </c>
      <c r="B204" s="159"/>
      <c r="C204" s="159"/>
      <c r="D204" s="159"/>
    </row>
    <row r="205" customFormat="1" spans="1:4">
      <c r="A205" s="162"/>
      <c r="B205" s="163"/>
      <c r="C205" s="159"/>
      <c r="D205" s="159"/>
    </row>
    <row r="206" spans="1:4">
      <c r="A206" s="244" t="s">
        <v>843</v>
      </c>
      <c r="B206" s="159"/>
      <c r="C206" s="159"/>
      <c r="D206" s="159"/>
    </row>
    <row r="207" spans="1:4">
      <c r="A207" s="163" t="s">
        <v>844</v>
      </c>
      <c r="B207" s="159"/>
      <c r="C207" s="159"/>
      <c r="D207" s="159"/>
    </row>
    <row r="208" spans="1:4">
      <c r="A208" s="159" t="s">
        <v>845</v>
      </c>
      <c r="B208" s="159"/>
      <c r="C208" s="159"/>
      <c r="D208" s="159"/>
    </row>
    <row r="209" spans="1:4">
      <c r="A209" s="159" t="s">
        <v>846</v>
      </c>
      <c r="B209" s="159"/>
      <c r="C209" s="159"/>
      <c r="D209" s="159"/>
    </row>
    <row r="210" spans="1:4">
      <c r="A210" s="168"/>
      <c r="B210" s="159"/>
      <c r="C210" s="159"/>
      <c r="D210" s="159"/>
    </row>
    <row r="211" spans="1:4">
      <c r="A211" s="244" t="s">
        <v>847</v>
      </c>
      <c r="B211" s="159"/>
      <c r="C211" s="159"/>
      <c r="D211" s="159"/>
    </row>
    <row r="212" spans="1:4">
      <c r="A212" s="159" t="s">
        <v>848</v>
      </c>
      <c r="B212" s="159"/>
      <c r="C212" s="159"/>
      <c r="D212" s="159"/>
    </row>
    <row r="213" spans="1:4">
      <c r="A213" s="163" t="s">
        <v>849</v>
      </c>
      <c r="B213" s="159"/>
      <c r="C213" s="159"/>
      <c r="D213" s="159"/>
    </row>
    <row r="214" customFormat="1" spans="1:4">
      <c r="A214" s="163" t="s">
        <v>850</v>
      </c>
      <c r="B214" s="159"/>
      <c r="C214" s="159"/>
      <c r="D214" s="159"/>
    </row>
    <row r="215" customFormat="1" spans="1:4">
      <c r="A215" s="169">
        <v>69835</v>
      </c>
      <c r="B215" s="170" t="s">
        <v>851</v>
      </c>
    </row>
    <row r="217" customFormat="1" spans="1:4">
      <c r="A217" s="154"/>
      <c r="B217" s="153"/>
    </row>
    <row r="218" customFormat="1" spans="1:4">
      <c r="A218" s="171"/>
    </row>
    <row r="220" customFormat="1" spans="1:4">
      <c r="A220" s="161"/>
      <c r="B220" s="153"/>
    </row>
    <row r="222" spans="1:4">
      <c r="A222" s="160"/>
    </row>
    <row r="223" customFormat="1" spans="1:4">
      <c r="A223" s="159"/>
      <c r="B223" s="159"/>
    </row>
    <row r="224" customFormat="1" spans="1:4">
      <c r="A224" s="162"/>
      <c r="B224" s="163"/>
    </row>
    <row r="225" spans="1:2">
      <c r="A225" s="159"/>
      <c r="B225" s="159"/>
    </row>
    <row r="226" customFormat="1" spans="1:2">
      <c r="A226" s="159"/>
      <c r="B226" s="159"/>
    </row>
    <row r="227" customFormat="1" spans="1:2">
      <c r="A227" s="159"/>
      <c r="B227" s="159"/>
    </row>
    <row r="228" customFormat="1" spans="1:2">
      <c r="A228" s="159"/>
      <c r="B228" s="159"/>
    </row>
    <row r="229" customFormat="1" spans="1:2">
      <c r="A229" s="159"/>
      <c r="B229" s="159"/>
    </row>
    <row r="230" customFormat="1" spans="1:2">
      <c r="A230" s="159"/>
      <c r="B230" s="159"/>
    </row>
    <row r="231" customFormat="1" spans="1:2">
      <c r="A231" s="172"/>
      <c r="B231" s="159"/>
    </row>
    <row r="232" customFormat="1" spans="1:2">
      <c r="A232" s="158"/>
      <c r="B232" s="159"/>
    </row>
    <row r="233" customFormat="1" spans="1:2">
      <c r="A233" s="163"/>
      <c r="B233" s="159"/>
    </row>
    <row r="234" customFormat="1" spans="1:2">
      <c r="A234" s="173"/>
      <c r="B234" s="163"/>
    </row>
    <row r="235" spans="1:2">
      <c r="A235" s="159"/>
      <c r="B235" s="159"/>
    </row>
    <row r="236" customFormat="1" spans="1:2">
      <c r="A236" s="172"/>
      <c r="B236" s="159"/>
    </row>
    <row r="237" customFormat="1" spans="1:2">
      <c r="A237" s="158"/>
      <c r="B237" s="159"/>
    </row>
    <row r="238" customFormat="1" spans="1:2">
      <c r="A238" s="163"/>
      <c r="B238" s="159"/>
    </row>
    <row r="239" customFormat="1" spans="1:2">
      <c r="A239" s="173"/>
      <c r="B239" s="163"/>
    </row>
    <row r="240" customFormat="1" spans="1:2">
      <c r="A240" s="158"/>
      <c r="B240" s="159"/>
    </row>
    <row r="241" customFormat="1" spans="1:2">
      <c r="A241" s="163"/>
      <c r="B241" s="159"/>
    </row>
    <row r="242" customFormat="1" spans="1:2">
      <c r="A242" s="173"/>
      <c r="B242" s="163"/>
    </row>
    <row r="243" spans="1:2">
      <c r="A243" s="159"/>
      <c r="B243" s="159"/>
    </row>
    <row r="244" spans="1:2">
      <c r="A244" s="159"/>
      <c r="B244" s="159"/>
    </row>
    <row r="245" spans="1:2">
      <c r="A245" s="159"/>
      <c r="B245" s="159"/>
    </row>
    <row r="246" spans="1:2">
      <c r="A246" s="159"/>
      <c r="B246" s="159"/>
    </row>
    <row r="247" spans="1:2">
      <c r="A247" s="163"/>
      <c r="B247" s="159"/>
    </row>
    <row r="248" spans="1:2">
      <c r="A248" s="159"/>
      <c r="B248" s="159"/>
    </row>
    <row r="249" spans="1:2">
      <c r="A249" s="159"/>
      <c r="B249" s="159"/>
    </row>
    <row r="250" spans="1:2">
      <c r="A250" s="159"/>
      <c r="B250" s="159"/>
    </row>
    <row r="251" spans="1:2">
      <c r="A251" s="172"/>
      <c r="B251" s="172"/>
    </row>
    <row r="252" spans="1:2">
      <c r="A252" s="158"/>
      <c r="B252" s="159"/>
    </row>
    <row r="253" spans="1:2">
      <c r="A253" s="163"/>
      <c r="B253" s="159"/>
    </row>
    <row r="254" spans="1:2">
      <c r="A254" s="173"/>
      <c r="B254" s="163"/>
    </row>
    <row r="255" spans="1:2">
      <c r="A255" s="159"/>
      <c r="B255" s="159"/>
    </row>
    <row r="256" spans="1:2">
      <c r="A256" s="159"/>
      <c r="B256" s="159"/>
    </row>
    <row r="257" spans="1:2">
      <c r="A257" s="163"/>
      <c r="B257" s="159"/>
    </row>
    <row r="258" spans="1:2">
      <c r="A258" s="159"/>
      <c r="B258" s="159"/>
    </row>
    <row r="259" spans="1:2">
      <c r="A259" s="159"/>
      <c r="B259" s="159"/>
    </row>
    <row r="260" spans="1:2">
      <c r="A260" s="159"/>
      <c r="B260" s="159"/>
    </row>
    <row r="261" spans="1:2">
      <c r="A261" s="159"/>
      <c r="B261" s="159"/>
    </row>
    <row r="262" spans="1:2">
      <c r="A262" s="159"/>
      <c r="B262" s="159"/>
    </row>
    <row r="263" spans="1:2">
      <c r="A263" s="163"/>
      <c r="B263" s="159"/>
    </row>
    <row r="264" spans="1:2">
      <c r="A264" s="172"/>
      <c r="B264" s="159"/>
    </row>
    <row r="265" spans="1:2">
      <c r="A265" s="158"/>
      <c r="B265" s="159"/>
    </row>
    <row r="266" spans="1:2">
      <c r="A266" s="163"/>
      <c r="B266" s="159"/>
    </row>
    <row r="267" spans="1:2">
      <c r="A267" s="173"/>
      <c r="B267" s="163"/>
    </row>
    <row r="268" spans="1:2">
      <c r="A268" s="172"/>
      <c r="B268" s="159"/>
    </row>
    <row r="269" spans="1:2">
      <c r="A269" s="158"/>
      <c r="B269" s="159"/>
    </row>
    <row r="270" spans="1:2">
      <c r="A270" s="163"/>
      <c r="B270" s="159"/>
    </row>
    <row r="271" spans="1:2">
      <c r="A271" s="173"/>
      <c r="B271" s="163"/>
    </row>
    <row r="272" spans="1:2">
      <c r="A272" s="159"/>
      <c r="B272" s="159"/>
    </row>
    <row r="273" spans="1:2">
      <c r="A273" s="159"/>
      <c r="B273" s="159"/>
    </row>
    <row r="274" spans="1:2">
      <c r="A274" s="159"/>
      <c r="B274" s="159"/>
    </row>
    <row r="275" spans="1:2">
      <c r="A275" s="159"/>
      <c r="B275" s="159"/>
    </row>
    <row r="276" spans="1:2">
      <c r="A276" s="172"/>
      <c r="B276" s="159"/>
    </row>
    <row r="277" spans="1:2">
      <c r="A277" s="158"/>
      <c r="B277" s="159"/>
    </row>
    <row r="278" spans="1:2">
      <c r="A278" s="159"/>
      <c r="B278" s="159"/>
    </row>
    <row r="279" spans="1:2">
      <c r="A279" s="173"/>
      <c r="B279" s="163"/>
    </row>
    <row r="280" spans="1:2">
      <c r="A280" s="172"/>
      <c r="B280" s="159"/>
    </row>
    <row r="281" spans="1:2">
      <c r="A281" s="158"/>
      <c r="B281" s="159"/>
    </row>
    <row r="282" spans="1:2">
      <c r="A282" s="159"/>
      <c r="B282" s="159"/>
    </row>
    <row r="283" spans="1:2">
      <c r="A283" s="173"/>
      <c r="B283" s="163"/>
    </row>
    <row r="284" spans="1:2">
      <c r="A284" s="159"/>
      <c r="B284" s="159"/>
    </row>
    <row r="285" spans="1:2">
      <c r="A285" s="159"/>
      <c r="B285" s="159"/>
    </row>
    <row r="286" spans="1:2">
      <c r="A286" s="163"/>
      <c r="B286" s="159"/>
    </row>
    <row r="287" spans="1:2">
      <c r="A287" s="172"/>
      <c r="B287" s="159"/>
    </row>
    <row r="288" spans="1:2">
      <c r="A288" s="171"/>
    </row>
    <row r="290" spans="1:2">
      <c r="A290" s="174"/>
      <c r="B290" s="153"/>
    </row>
    <row r="291" spans="1:2">
      <c r="A291" s="160"/>
    </row>
    <row r="292" spans="1:2">
      <c r="A292" s="171"/>
    </row>
    <row r="293" spans="1:2">
      <c r="A293" s="153"/>
      <c r="B293" s="175"/>
    </row>
    <row r="294" spans="1:2">
      <c r="A294" s="174"/>
      <c r="B294" s="153"/>
    </row>
    <row r="295" spans="1:2">
      <c r="A295" s="171"/>
    </row>
    <row r="296" spans="1:2">
      <c r="A296" s="153"/>
    </row>
    <row r="297" spans="1:2">
      <c r="A297" s="174"/>
      <c r="B297" s="153"/>
    </row>
  </sheetData>
  <mergeCells count="13">
    <mergeCell ref="X102:X103"/>
    <mergeCell ref="AC13:AC14"/>
    <mergeCell ref="AC15:AC16"/>
    <mergeCell ref="AC17:AC18"/>
    <mergeCell ref="AC19:AC20"/>
    <mergeCell ref="AC27:AC28"/>
    <mergeCell ref="AC29:AC30"/>
    <mergeCell ref="AC31:AC32"/>
    <mergeCell ref="AC33:AC34"/>
    <mergeCell ref="AC35:AC36"/>
    <mergeCell ref="AC37:AC38"/>
    <mergeCell ref="AC39:AC40"/>
    <mergeCell ref="AC41:AC42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02"/>
  <sheetViews>
    <sheetView tabSelected="1" workbookViewId="0">
      <selection activeCell="AV1" sqref="AV$1:AX$1048576"/>
    </sheetView>
  </sheetViews>
  <sheetFormatPr defaultColWidth="9.14285714285714" defaultRowHeight="15"/>
  <cols>
    <col min="1" max="1" width="14.4285714285714" customWidth="1"/>
    <col min="2" max="2" width="25.2857142857143" customWidth="1"/>
    <col min="3" max="3" width="17.1428571428571" customWidth="1"/>
    <col min="4" max="4" width="15.2857142857143" customWidth="1"/>
    <col min="5" max="5" width="17.8571428571429" customWidth="1"/>
    <col min="6" max="6" width="18.8571428571429" customWidth="1"/>
    <col min="7" max="7" width="13.8571428571429" customWidth="1"/>
    <col min="8" max="8" width="11.8571428571429" customWidth="1"/>
    <col min="9" max="9" width="11.5714285714286" customWidth="1"/>
    <col min="10" max="10" width="15.2857142857143" customWidth="1"/>
    <col min="13" max="13" width="12.5714285714286" customWidth="1"/>
    <col min="48" max="50" width="9.14285714285714" hidden="1" customWidth="1"/>
  </cols>
  <sheetData>
    <row r="1" spans="1:60">
      <c r="A1" s="235" t="s">
        <v>852</v>
      </c>
      <c r="B1" s="2"/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5"/>
      <c r="BB1" s="5" t="s">
        <v>458</v>
      </c>
      <c r="BC1" s="5"/>
      <c r="BD1" s="5"/>
      <c r="BE1" s="5"/>
      <c r="BF1" s="5"/>
      <c r="BG1" s="5"/>
      <c r="BH1" s="5"/>
    </row>
    <row r="2" spans="1:60">
      <c r="A2" s="1"/>
      <c r="B2" s="2"/>
      <c r="C2" s="2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5"/>
      <c r="BB2" s="5"/>
      <c r="BC2" s="5"/>
      <c r="BD2" s="5"/>
      <c r="BE2" s="5"/>
      <c r="BF2" s="5"/>
      <c r="BG2" s="5"/>
      <c r="BH2" s="5"/>
    </row>
    <row r="3" spans="1:60">
      <c r="A3" s="6" t="s">
        <v>1</v>
      </c>
      <c r="B3" s="7" t="s">
        <v>2</v>
      </c>
      <c r="C3" s="8"/>
      <c r="D3" s="8" t="s">
        <v>3</v>
      </c>
      <c r="E3" s="8" t="s">
        <v>3</v>
      </c>
      <c r="F3" s="9" t="s">
        <v>4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9" t="s">
        <v>9</v>
      </c>
      <c r="N3" s="10" t="s">
        <v>10</v>
      </c>
      <c r="O3" s="10" t="s">
        <v>10</v>
      </c>
      <c r="P3" s="10" t="s">
        <v>10</v>
      </c>
      <c r="Q3" s="10" t="s">
        <v>10</v>
      </c>
      <c r="R3" s="10" t="s">
        <v>10</v>
      </c>
      <c r="S3" s="10" t="s">
        <v>10</v>
      </c>
      <c r="T3" s="10" t="s">
        <v>10</v>
      </c>
      <c r="U3" s="10" t="s">
        <v>10</v>
      </c>
      <c r="V3" s="10" t="s">
        <v>10</v>
      </c>
      <c r="W3" s="10" t="s">
        <v>10</v>
      </c>
      <c r="X3" s="10" t="s">
        <v>10</v>
      </c>
      <c r="Y3" s="10"/>
      <c r="Z3" s="10" t="s">
        <v>10</v>
      </c>
      <c r="AA3" s="7" t="s">
        <v>11</v>
      </c>
      <c r="AB3" s="7" t="s">
        <v>10</v>
      </c>
      <c r="AC3" s="7" t="s">
        <v>12</v>
      </c>
      <c r="AD3" s="7" t="s">
        <v>13</v>
      </c>
      <c r="AE3" s="7" t="s">
        <v>13</v>
      </c>
      <c r="AF3" s="7" t="s">
        <v>14</v>
      </c>
      <c r="AG3" s="7" t="s">
        <v>15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2"/>
      <c r="AV3" s="4"/>
      <c r="AW3" s="5"/>
      <c r="AX3" s="5"/>
      <c r="AY3" s="5"/>
      <c r="AZ3" s="5"/>
      <c r="BA3" s="5"/>
      <c r="BB3" s="5"/>
    </row>
    <row r="4" spans="1:60">
      <c r="A4" s="13"/>
      <c r="B4" s="14" t="s">
        <v>3</v>
      </c>
      <c r="C4" s="15" t="s">
        <v>16</v>
      </c>
      <c r="D4" s="15" t="s">
        <v>17</v>
      </c>
      <c r="E4" s="15" t="s">
        <v>18</v>
      </c>
      <c r="F4" s="16" t="s">
        <v>19</v>
      </c>
      <c r="G4" s="16" t="s">
        <v>19</v>
      </c>
      <c r="H4" s="16" t="s">
        <v>20</v>
      </c>
      <c r="I4" s="16" t="s">
        <v>21</v>
      </c>
      <c r="J4" s="16" t="s">
        <v>21</v>
      </c>
      <c r="K4" s="16" t="s">
        <v>21</v>
      </c>
      <c r="L4" s="16" t="s">
        <v>22</v>
      </c>
      <c r="M4" s="16" t="s">
        <v>23</v>
      </c>
      <c r="N4" s="17" t="s">
        <v>24</v>
      </c>
      <c r="O4" s="17" t="s">
        <v>25</v>
      </c>
      <c r="P4" s="18" t="s">
        <v>26</v>
      </c>
      <c r="Q4" s="17" t="s">
        <v>27</v>
      </c>
      <c r="R4" s="17" t="s">
        <v>28</v>
      </c>
      <c r="S4" s="17" t="s">
        <v>29</v>
      </c>
      <c r="T4" s="17" t="s">
        <v>30</v>
      </c>
      <c r="U4" s="17" t="s">
        <v>31</v>
      </c>
      <c r="V4" s="17" t="s">
        <v>32</v>
      </c>
      <c r="W4" s="17" t="s">
        <v>33</v>
      </c>
      <c r="X4" s="17" t="s">
        <v>758</v>
      </c>
      <c r="Y4" s="17"/>
      <c r="Z4" s="17" t="s">
        <v>31</v>
      </c>
      <c r="AA4" s="14" t="s">
        <v>35</v>
      </c>
      <c r="AB4" s="14"/>
      <c r="AC4" s="14" t="s">
        <v>10</v>
      </c>
      <c r="AD4" s="14" t="s">
        <v>10</v>
      </c>
      <c r="AE4" s="14" t="s">
        <v>36</v>
      </c>
      <c r="AF4" s="14" t="s">
        <v>37</v>
      </c>
      <c r="AG4" s="19" t="s">
        <v>38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1"/>
      <c r="AU4" s="21"/>
      <c r="AV4" s="4"/>
      <c r="AW4" s="5"/>
      <c r="AX4" s="5"/>
      <c r="AY4" s="5"/>
      <c r="AZ4" s="5"/>
      <c r="BA4" s="5"/>
      <c r="BB4" s="5"/>
    </row>
    <row r="5" spans="1:60">
      <c r="A5" s="22"/>
      <c r="B5" s="23" t="s">
        <v>39</v>
      </c>
      <c r="C5" s="24"/>
      <c r="D5" s="24"/>
      <c r="E5" s="24"/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6" t="s">
        <v>48</v>
      </c>
      <c r="O5" s="26" t="s">
        <v>48</v>
      </c>
      <c r="P5" s="26" t="s">
        <v>48</v>
      </c>
      <c r="Q5" s="26" t="s">
        <v>48</v>
      </c>
      <c r="R5" s="26" t="s">
        <v>48</v>
      </c>
      <c r="S5" s="26" t="s">
        <v>48</v>
      </c>
      <c r="T5" s="26" t="s">
        <v>49</v>
      </c>
      <c r="U5" s="26" t="s">
        <v>48</v>
      </c>
      <c r="V5" s="26" t="s">
        <v>48</v>
      </c>
      <c r="W5" s="26" t="s">
        <v>48</v>
      </c>
      <c r="X5" s="26" t="s">
        <v>48</v>
      </c>
      <c r="Y5" s="26"/>
      <c r="Z5" s="26" t="s">
        <v>50</v>
      </c>
      <c r="AA5" s="23" t="s">
        <v>51</v>
      </c>
      <c r="AB5" s="23" t="s">
        <v>52</v>
      </c>
      <c r="AC5" s="23" t="s">
        <v>52</v>
      </c>
      <c r="AD5" s="27"/>
      <c r="AE5" s="27"/>
      <c r="AF5" s="23" t="s">
        <v>53</v>
      </c>
      <c r="AG5" s="27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9"/>
      <c r="AU5" s="29"/>
      <c r="AV5" s="4"/>
      <c r="AW5" s="5"/>
      <c r="AX5" s="5"/>
      <c r="AY5" s="5"/>
      <c r="AZ5" s="5"/>
      <c r="BA5" s="5"/>
      <c r="BB5" s="5"/>
    </row>
    <row r="6" spans="1:60">
      <c r="A6" s="30"/>
      <c r="B6" s="31"/>
      <c r="C6" s="32"/>
      <c r="D6" s="33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5"/>
      <c r="AB6" s="33"/>
      <c r="AC6" s="34"/>
      <c r="AD6" s="36"/>
      <c r="AE6" s="37"/>
      <c r="AF6" s="38"/>
      <c r="AG6" s="36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"/>
      <c r="AU6" s="3"/>
      <c r="AV6" s="4"/>
      <c r="AW6" s="5"/>
      <c r="AX6" s="5"/>
      <c r="AY6" s="5"/>
      <c r="AZ6" s="5"/>
      <c r="BA6" s="5"/>
      <c r="BB6" s="5"/>
    </row>
    <row r="7" spans="1:60">
      <c r="A7" s="40">
        <v>46203</v>
      </c>
      <c r="B7" s="41">
        <v>18963</v>
      </c>
      <c r="C7" s="34"/>
      <c r="D7" s="34"/>
      <c r="E7" s="33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>
        <v>210</v>
      </c>
      <c r="AA7" s="35">
        <v>26</v>
      </c>
      <c r="AB7" s="42">
        <f t="shared" ref="AB7:AB11" si="0">Z7*AA7</f>
        <v>5460</v>
      </c>
      <c r="AC7" s="43">
        <v>2146</v>
      </c>
      <c r="AD7" s="36"/>
      <c r="AE7" s="37"/>
      <c r="AF7" s="38"/>
      <c r="AG7" s="36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"/>
      <c r="AU7" s="3"/>
      <c r="AV7" s="4"/>
      <c r="AW7" s="5"/>
      <c r="AX7" s="5"/>
      <c r="AY7" s="5"/>
      <c r="AZ7" s="5"/>
      <c r="BA7" s="5"/>
      <c r="BB7" s="5"/>
    </row>
    <row r="8" spans="1:60">
      <c r="A8" s="44"/>
      <c r="B8" s="41"/>
      <c r="C8" s="34"/>
      <c r="D8" s="34"/>
      <c r="E8" s="33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>
        <v>4</v>
      </c>
      <c r="Y8" s="34"/>
      <c r="Z8" s="34"/>
      <c r="AA8" s="35">
        <v>575</v>
      </c>
      <c r="AB8" s="42">
        <f t="shared" ref="AB8:AB12" si="1">X8*AA8</f>
        <v>2300</v>
      </c>
      <c r="AC8" s="43"/>
      <c r="AD8" s="36"/>
      <c r="AE8" s="37"/>
      <c r="AF8" s="38"/>
      <c r="AG8" s="36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"/>
      <c r="AU8" s="3"/>
      <c r="AV8" s="4"/>
      <c r="AW8" s="5"/>
      <c r="AX8" s="5"/>
      <c r="AY8" s="5"/>
      <c r="AZ8" s="5"/>
      <c r="BA8" s="5"/>
      <c r="BB8" s="5"/>
    </row>
    <row r="9" spans="1:60">
      <c r="A9" s="44">
        <v>46204</v>
      </c>
      <c r="B9" s="41">
        <v>36226</v>
      </c>
      <c r="C9" s="34"/>
      <c r="D9" s="34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>
        <f>630+218</f>
        <v>848</v>
      </c>
      <c r="AA9" s="35">
        <v>26</v>
      </c>
      <c r="AB9" s="42">
        <f t="shared" si="0"/>
        <v>22048</v>
      </c>
      <c r="AC9" s="43">
        <v>6153</v>
      </c>
      <c r="AD9" s="36"/>
      <c r="AE9" s="37"/>
      <c r="AF9" s="38"/>
      <c r="AG9" s="36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"/>
      <c r="AU9" s="3"/>
      <c r="AV9" s="4"/>
      <c r="AW9" s="5"/>
      <c r="AX9" s="5"/>
      <c r="AY9" s="5"/>
      <c r="AZ9" s="5"/>
      <c r="BA9" s="5"/>
      <c r="BB9" s="5"/>
    </row>
    <row r="10" spans="1:60">
      <c r="A10" s="44"/>
      <c r="B10" s="41"/>
      <c r="C10" s="34"/>
      <c r="D10" s="34"/>
      <c r="E10" s="33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>
        <f>11+3</f>
        <v>14</v>
      </c>
      <c r="Y10" s="34"/>
      <c r="Z10" s="34"/>
      <c r="AA10" s="35">
        <v>575</v>
      </c>
      <c r="AB10" s="42">
        <f t="shared" si="1"/>
        <v>8050</v>
      </c>
      <c r="AC10" s="43"/>
      <c r="AD10" s="36"/>
      <c r="AE10" s="37"/>
      <c r="AF10" s="38"/>
      <c r="AG10" s="36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"/>
      <c r="AU10" s="3"/>
      <c r="AV10" s="4"/>
      <c r="AW10" s="5"/>
      <c r="AX10" s="5"/>
      <c r="AY10" s="5"/>
      <c r="AZ10" s="5"/>
      <c r="BA10" s="5"/>
      <c r="BB10" s="5"/>
    </row>
    <row r="11" spans="1:60">
      <c r="A11" s="44">
        <v>46205</v>
      </c>
      <c r="B11" s="41">
        <v>30992</v>
      </c>
      <c r="C11" s="34"/>
      <c r="D11" s="34"/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>
        <f>660+217</f>
        <v>877</v>
      </c>
      <c r="AA11" s="35">
        <v>26</v>
      </c>
      <c r="AB11" s="42">
        <f t="shared" si="0"/>
        <v>22802</v>
      </c>
      <c r="AC11" s="43">
        <v>4675</v>
      </c>
      <c r="AD11" s="36"/>
      <c r="AE11" s="37"/>
      <c r="AF11" s="38"/>
      <c r="AG11" s="36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"/>
      <c r="AU11" s="3"/>
      <c r="AV11" s="4"/>
      <c r="AW11" s="5"/>
      <c r="AX11" s="5"/>
      <c r="AY11" s="5"/>
      <c r="AZ11" s="5"/>
      <c r="BA11" s="5"/>
      <c r="BB11" s="5"/>
    </row>
    <row r="12" spans="1:60">
      <c r="A12" s="44"/>
      <c r="B12" s="41"/>
      <c r="C12" s="34"/>
      <c r="D12" s="34"/>
      <c r="E12" s="33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>
        <f>10+4</f>
        <v>14</v>
      </c>
      <c r="Y12" s="34"/>
      <c r="Z12" s="34"/>
      <c r="AA12" s="35">
        <v>575</v>
      </c>
      <c r="AB12" s="42">
        <f t="shared" si="1"/>
        <v>8050</v>
      </c>
      <c r="AC12" s="43"/>
      <c r="AD12" s="36"/>
      <c r="AE12" s="37"/>
      <c r="AF12" s="38"/>
      <c r="AG12" s="36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"/>
      <c r="AU12" s="3"/>
      <c r="AV12" s="4"/>
      <c r="AW12" s="5"/>
      <c r="AX12" s="5"/>
      <c r="AY12" s="5"/>
      <c r="AZ12" s="5"/>
      <c r="BA12" s="5"/>
      <c r="BB12" s="5"/>
    </row>
    <row r="13" spans="1:60">
      <c r="A13" s="44"/>
      <c r="B13" s="41"/>
      <c r="C13" s="34"/>
      <c r="D13" s="34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  <c r="AB13" s="42"/>
      <c r="AC13" s="43"/>
      <c r="AD13" s="36"/>
      <c r="AE13" s="37"/>
      <c r="AF13" s="38"/>
      <c r="AG13" s="36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"/>
      <c r="AU13" s="3"/>
      <c r="AV13" s="4"/>
      <c r="AW13" s="5"/>
      <c r="AX13" s="5"/>
      <c r="AY13" s="5"/>
      <c r="AZ13" s="5"/>
      <c r="BA13" s="5"/>
      <c r="BB13" s="5"/>
    </row>
    <row r="14" spans="1:60">
      <c r="A14" s="44"/>
      <c r="B14" s="41"/>
      <c r="C14" s="34"/>
      <c r="D14" s="34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B14" s="42"/>
      <c r="AC14" s="43"/>
      <c r="AD14" s="36"/>
      <c r="AE14" s="37"/>
      <c r="AF14" s="38"/>
      <c r="AG14" s="36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"/>
      <c r="AU14" s="3"/>
      <c r="AV14" s="4"/>
      <c r="AW14" s="5"/>
      <c r="AX14" s="5"/>
      <c r="AY14" s="5"/>
      <c r="AZ14" s="5"/>
      <c r="BA14" s="5"/>
      <c r="BB14" s="5"/>
    </row>
    <row r="15" customFormat="1" spans="1:60">
      <c r="A15" s="44"/>
      <c r="B15" s="41"/>
      <c r="C15" s="34"/>
      <c r="D15" s="34"/>
      <c r="E15" s="33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5"/>
      <c r="AB15" s="42"/>
      <c r="AC15" s="43"/>
      <c r="AD15" s="36"/>
      <c r="AE15" s="37"/>
      <c r="AF15" s="38"/>
      <c r="AG15" s="36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"/>
      <c r="AU15" s="3"/>
      <c r="AV15" s="4"/>
      <c r="AW15" s="5"/>
      <c r="AX15" s="5"/>
      <c r="AY15" s="5"/>
      <c r="AZ15" s="5"/>
      <c r="BA15" s="5"/>
      <c r="BB15" s="5"/>
    </row>
    <row r="16" customFormat="1" spans="1:60">
      <c r="A16" s="44"/>
      <c r="B16" s="41"/>
      <c r="C16" s="34"/>
      <c r="D16" s="34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  <c r="AB16" s="42"/>
      <c r="AC16" s="43"/>
      <c r="AD16" s="36"/>
      <c r="AE16" s="37"/>
      <c r="AF16" s="38"/>
      <c r="AG16" s="36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"/>
      <c r="AU16" s="3"/>
      <c r="AV16" s="4"/>
      <c r="AW16" s="5"/>
      <c r="AX16" s="5"/>
      <c r="AY16" s="5"/>
      <c r="AZ16" s="5"/>
      <c r="BA16" s="5"/>
      <c r="BB16" s="5"/>
    </row>
    <row r="17" customFormat="1" spans="1:60">
      <c r="A17" s="44"/>
      <c r="B17" s="41"/>
      <c r="C17" s="34"/>
      <c r="D17" s="34"/>
      <c r="E17" s="33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  <c r="AB17" s="42"/>
      <c r="AC17" s="43"/>
      <c r="AD17" s="36"/>
      <c r="AE17" s="37"/>
      <c r="AF17" s="38"/>
      <c r="AG17" s="36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"/>
      <c r="AU17" s="3"/>
      <c r="AV17" s="4"/>
      <c r="AW17" s="5"/>
      <c r="AX17" s="5"/>
      <c r="AY17" s="5"/>
      <c r="AZ17" s="5"/>
      <c r="BA17" s="5"/>
      <c r="BB17" s="5"/>
    </row>
    <row r="18" customFormat="1" spans="1:60">
      <c r="A18" s="44"/>
      <c r="B18" s="41"/>
      <c r="C18" s="34"/>
      <c r="D18" s="34"/>
      <c r="E18" s="33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42"/>
      <c r="AC18" s="43"/>
      <c r="AD18" s="36"/>
      <c r="AE18" s="37"/>
      <c r="AF18" s="38"/>
      <c r="AG18" s="36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"/>
      <c r="AU18" s="3"/>
      <c r="AV18" s="4"/>
      <c r="AW18" s="5"/>
      <c r="AX18" s="5"/>
      <c r="AY18" s="5"/>
      <c r="AZ18" s="5"/>
      <c r="BA18" s="5"/>
      <c r="BB18" s="5"/>
    </row>
    <row r="19" customFormat="1" spans="1:60">
      <c r="A19" s="44"/>
      <c r="B19" s="41"/>
      <c r="C19" s="34"/>
      <c r="D19" s="34"/>
      <c r="E19" s="33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  <c r="AB19" s="33"/>
      <c r="AC19" s="43"/>
      <c r="AD19" s="36"/>
      <c r="AE19" s="37"/>
      <c r="AF19" s="38"/>
      <c r="AG19" s="36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"/>
      <c r="AU19" s="3"/>
      <c r="AV19" s="4"/>
      <c r="AW19" s="5"/>
      <c r="AX19" s="5"/>
      <c r="AY19" s="5"/>
      <c r="AZ19" s="5"/>
      <c r="BA19" s="5"/>
      <c r="BB19" s="5"/>
    </row>
    <row r="20" spans="1:60">
      <c r="A20" s="44"/>
      <c r="B20" s="41"/>
      <c r="C20" s="34"/>
      <c r="D20" s="34"/>
      <c r="E20" s="33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  <c r="AB20" s="42"/>
      <c r="AC20" s="43"/>
      <c r="AD20" s="36"/>
      <c r="AE20" s="37"/>
      <c r="AF20" s="38"/>
      <c r="AG20" s="36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"/>
      <c r="AU20" s="3"/>
      <c r="AV20" s="4"/>
      <c r="AW20" s="5"/>
      <c r="AX20" s="5"/>
      <c r="AY20" s="5"/>
      <c r="AZ20" s="5"/>
      <c r="BA20" s="5"/>
      <c r="BB20" s="5"/>
    </row>
    <row r="21" spans="1:60">
      <c r="A21" s="44"/>
      <c r="B21" s="41"/>
      <c r="C21" s="34"/>
      <c r="D21" s="34"/>
      <c r="E21" s="33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  <c r="AB21" s="42"/>
      <c r="AC21" s="43"/>
      <c r="AD21" s="36"/>
      <c r="AE21" s="37"/>
      <c r="AF21" s="38"/>
      <c r="AG21" s="36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"/>
      <c r="AU21" s="3"/>
      <c r="AV21" s="4"/>
      <c r="AW21" s="5"/>
      <c r="AX21" s="5"/>
      <c r="AY21" s="5"/>
      <c r="AZ21" s="5"/>
      <c r="BA21" s="5"/>
      <c r="BB21" s="5"/>
    </row>
    <row r="22" spans="1:60">
      <c r="A22" s="44"/>
      <c r="B22" s="41"/>
      <c r="C22" s="34"/>
      <c r="D22" s="34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  <c r="AB22" s="33"/>
      <c r="AC22" s="43"/>
      <c r="AD22" s="36"/>
      <c r="AE22" s="37"/>
      <c r="AF22" s="38"/>
      <c r="AG22" s="36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"/>
      <c r="AU22" s="3"/>
      <c r="AV22" s="4"/>
      <c r="AW22" s="5"/>
      <c r="AX22" s="5"/>
      <c r="AY22" s="5"/>
      <c r="AZ22" s="5"/>
      <c r="BA22" s="5"/>
      <c r="BB22" s="5"/>
    </row>
    <row r="23" ht="15.75" spans="1:60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39"/>
      <c r="AE23" s="47"/>
      <c r="AF23" s="48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49"/>
      <c r="AW23" s="50"/>
      <c r="AX23" s="50"/>
      <c r="AY23" s="50"/>
      <c r="AZ23" s="50"/>
      <c r="BA23" s="50"/>
      <c r="BB23" s="50"/>
    </row>
    <row r="24" ht="15.75" spans="1:60">
      <c r="A24" s="51" t="s">
        <v>55</v>
      </c>
      <c r="B24" s="52">
        <f t="shared" ref="B24:N24" si="2">SUM(B6:B22)</f>
        <v>86181</v>
      </c>
      <c r="C24" s="52">
        <f t="shared" si="2"/>
        <v>0</v>
      </c>
      <c r="D24" s="52">
        <f>SUM(D6:D23)</f>
        <v>0</v>
      </c>
      <c r="E24" s="52">
        <f t="shared" si="2"/>
        <v>0</v>
      </c>
      <c r="F24" s="52">
        <f t="shared" si="2"/>
        <v>0</v>
      </c>
      <c r="G24" s="52">
        <f t="shared" si="2"/>
        <v>0</v>
      </c>
      <c r="H24" s="52">
        <f t="shared" si="2"/>
        <v>0</v>
      </c>
      <c r="I24" s="52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2">
        <f t="shared" si="2"/>
        <v>0</v>
      </c>
      <c r="O24" s="52">
        <f>SUM(O6:O23)</f>
        <v>0</v>
      </c>
      <c r="P24" s="52">
        <f>SUM(P6:P22)</f>
        <v>0</v>
      </c>
      <c r="Q24" s="52">
        <f>SUM(Q6:Q23)</f>
        <v>0</v>
      </c>
      <c r="R24" s="52">
        <f>SUM(R6:R23)</f>
        <v>0</v>
      </c>
      <c r="S24" s="52">
        <f>SUM(S6:S23)</f>
        <v>0</v>
      </c>
      <c r="T24" s="52">
        <f>SUM(T6:T22)</f>
        <v>0</v>
      </c>
      <c r="U24" s="52">
        <f>SUM(U6:U22)</f>
        <v>0</v>
      </c>
      <c r="V24" s="52">
        <f>SUM(V6:V22)</f>
        <v>0</v>
      </c>
      <c r="W24" s="52"/>
      <c r="X24" s="52">
        <f>SUM(X6:X22)</f>
        <v>32</v>
      </c>
      <c r="Y24" s="52">
        <f>SUM(Y6:Y22)</f>
        <v>0</v>
      </c>
      <c r="Z24" s="52">
        <f>SUM(Z6:Z23)</f>
        <v>1935</v>
      </c>
      <c r="AA24" s="52">
        <f>SUM(AA6:AA23)</f>
        <v>1803</v>
      </c>
      <c r="AB24" s="53">
        <f>SUM(AB6:AB23)</f>
        <v>68710</v>
      </c>
      <c r="AC24" s="53">
        <f>SUM(AC6:AC23)</f>
        <v>12974</v>
      </c>
      <c r="AD24" s="54">
        <v>79.73</v>
      </c>
      <c r="AE24" s="54">
        <f>100-AD24</f>
        <v>20.27</v>
      </c>
      <c r="AF24" s="54">
        <v>15.05</v>
      </c>
      <c r="AG24" s="55">
        <f>AE24-AF24</f>
        <v>5.22</v>
      </c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7"/>
      <c r="AU24" s="57"/>
      <c r="AV24" s="58">
        <f>SUM(B24:E24)</f>
        <v>86181</v>
      </c>
      <c r="AW24" s="59">
        <f>AB24/AV24*100</f>
        <v>79.7275501560669</v>
      </c>
      <c r="AX24" s="59">
        <f>AC24/AV24*100</f>
        <v>15.0543623304441</v>
      </c>
      <c r="AY24" s="5"/>
      <c r="AZ24" s="5"/>
      <c r="BA24" s="5"/>
      <c r="BB24" s="5"/>
    </row>
    <row r="25" spans="1:6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5"/>
      <c r="AV25" s="5"/>
      <c r="AW25" s="5"/>
      <c r="AX25" s="5"/>
      <c r="AY25" s="5"/>
      <c r="AZ25" s="5"/>
      <c r="BA25" s="5"/>
      <c r="BB25" s="5"/>
    </row>
    <row r="26" spans="1:60">
      <c r="A26" s="4"/>
      <c r="B26" s="58"/>
      <c r="C26" s="58"/>
      <c r="D26" s="5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8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8"/>
      <c r="AE26" s="60"/>
      <c r="AF26" s="61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5"/>
      <c r="BB26" s="5"/>
      <c r="BC26" s="5"/>
      <c r="BD26" s="5"/>
      <c r="BE26" s="5"/>
      <c r="BF26" s="5"/>
      <c r="BG26" s="5"/>
      <c r="BH26" s="5"/>
    </row>
    <row r="27" spans="1:60">
      <c r="A27" s="62" t="s">
        <v>56</v>
      </c>
      <c r="B27" s="3"/>
      <c r="C27" s="3"/>
      <c r="D27" s="63"/>
      <c r="E27" s="3"/>
      <c r="F27" s="3"/>
      <c r="G27" s="3"/>
      <c r="H27" s="3"/>
      <c r="I27" s="3"/>
      <c r="J27" s="3"/>
      <c r="K27" s="4"/>
      <c r="L27" s="4"/>
      <c r="M27" s="4"/>
      <c r="N27" s="4"/>
      <c r="O27" s="4"/>
      <c r="P27" s="4"/>
      <c r="Q27" s="4"/>
      <c r="R27" s="58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58"/>
      <c r="AE27" s="4"/>
      <c r="AF27" s="58"/>
      <c r="AG27" s="5"/>
      <c r="AH27" s="4"/>
      <c r="AI27" s="64"/>
      <c r="AJ27" s="64"/>
      <c r="AK27" s="64"/>
      <c r="AL27" s="6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5"/>
      <c r="BB27" s="5"/>
      <c r="BC27" s="5"/>
      <c r="BD27" s="5"/>
      <c r="BE27" s="5"/>
      <c r="BF27" s="5"/>
      <c r="BG27" s="5"/>
      <c r="BH27" s="5"/>
    </row>
    <row r="28" spans="1:60">
      <c r="A28" s="62" t="s">
        <v>57</v>
      </c>
      <c r="B28" s="3"/>
      <c r="C28" s="3"/>
      <c r="D28" s="3"/>
      <c r="E28" s="65"/>
      <c r="F28" s="3"/>
      <c r="G28" s="3"/>
      <c r="H28" s="3"/>
      <c r="I28" s="3"/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 t="s">
        <v>58</v>
      </c>
      <c r="W28" s="4"/>
      <c r="X28" s="4"/>
      <c r="Y28" s="4"/>
      <c r="Z28" s="4"/>
      <c r="AA28" s="4"/>
      <c r="AB28" s="4"/>
      <c r="AC28" s="4"/>
      <c r="AD28" s="58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5"/>
      <c r="BB28" s="5"/>
      <c r="BC28" s="5"/>
      <c r="BD28" s="5"/>
      <c r="BE28" s="5"/>
      <c r="BF28" s="5"/>
      <c r="BG28" s="5"/>
      <c r="BH28" s="5"/>
    </row>
    <row r="29" spans="1:60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4"/>
      <c r="M29" s="4"/>
      <c r="N29" s="4"/>
      <c r="O29" s="4"/>
      <c r="P29" s="4"/>
      <c r="Q29" s="4"/>
      <c r="R29" s="58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5"/>
      <c r="BB29" s="5"/>
      <c r="BC29" s="5"/>
      <c r="BD29" s="5"/>
      <c r="BE29" s="5"/>
      <c r="BF29" s="5"/>
      <c r="BG29" s="5"/>
      <c r="BH29" s="5"/>
    </row>
    <row r="30" spans="1:60">
      <c r="A30" s="62" t="s">
        <v>59</v>
      </c>
      <c r="B30" s="3"/>
      <c r="C30" s="3"/>
      <c r="D30" s="3"/>
      <c r="E30" s="3"/>
      <c r="F30" s="3"/>
      <c r="G30" s="3"/>
      <c r="H30" s="3"/>
      <c r="I30" s="3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5"/>
      <c r="BB30" s="5"/>
      <c r="BC30" s="5"/>
      <c r="BD30" s="5"/>
      <c r="BE30" s="5"/>
      <c r="BF30" s="5"/>
      <c r="BG30" s="5"/>
      <c r="BH30" s="5"/>
    </row>
    <row r="31" spans="1:60">
      <c r="A31" s="3"/>
      <c r="B31" s="4" t="s">
        <v>759</v>
      </c>
      <c r="C31" s="4"/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5"/>
      <c r="BB31" s="5"/>
      <c r="BC31" s="5"/>
      <c r="BD31" s="5"/>
      <c r="BE31" s="5"/>
      <c r="BF31" s="5"/>
      <c r="BG31" s="5"/>
      <c r="BH31" s="5"/>
    </row>
    <row r="32" spans="1:60">
      <c r="A32" s="3"/>
      <c r="B32" s="66"/>
      <c r="C32" s="66"/>
      <c r="D32" s="3"/>
      <c r="E32" s="3"/>
      <c r="F32" s="3"/>
      <c r="G32" s="3"/>
      <c r="H32" s="4"/>
      <c r="I32" s="3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5"/>
      <c r="BB32" s="5"/>
      <c r="BC32" s="5"/>
      <c r="BD32" s="5"/>
      <c r="BE32" s="5"/>
      <c r="BF32" s="5"/>
      <c r="BG32" s="5"/>
      <c r="BH32" s="5"/>
    </row>
    <row r="33" spans="1:60">
      <c r="A33" s="3"/>
      <c r="B33" s="67"/>
      <c r="C33" s="67" t="s">
        <v>61</v>
      </c>
      <c r="D33" s="68"/>
      <c r="E33" s="68"/>
      <c r="F33" s="68"/>
      <c r="G33" s="68"/>
      <c r="H33" s="69"/>
      <c r="I33" s="70" t="s">
        <v>62</v>
      </c>
      <c r="J33" s="70" t="s">
        <v>63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5"/>
      <c r="BB33" s="5"/>
      <c r="BC33" s="5"/>
      <c r="BD33" s="5"/>
      <c r="BE33" s="5"/>
      <c r="BF33" s="5"/>
      <c r="BG33" s="5"/>
      <c r="BH33" s="5"/>
    </row>
    <row r="34" spans="1:60">
      <c r="A34" s="3"/>
      <c r="B34" s="71"/>
      <c r="C34" s="71" t="s">
        <v>64</v>
      </c>
      <c r="D34" s="71" t="s">
        <v>65</v>
      </c>
      <c r="E34" s="72" t="s">
        <v>66</v>
      </c>
      <c r="F34" s="73" t="s">
        <v>67</v>
      </c>
      <c r="G34" s="74" t="s">
        <v>68</v>
      </c>
      <c r="H34" s="71" t="s">
        <v>69</v>
      </c>
      <c r="I34" s="74" t="s">
        <v>70</v>
      </c>
      <c r="J34" s="75" t="s">
        <v>71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5"/>
      <c r="BB34" s="5"/>
      <c r="BC34" s="5"/>
      <c r="BD34" s="5"/>
      <c r="BE34" s="5"/>
      <c r="BF34" s="5"/>
      <c r="BG34" s="5"/>
      <c r="BH34" s="5"/>
    </row>
    <row r="35" spans="1:60">
      <c r="A35" s="76"/>
      <c r="B35" s="77"/>
      <c r="C35" s="78"/>
      <c r="D35" s="79"/>
      <c r="E35" s="79"/>
      <c r="F35" s="80"/>
      <c r="G35" s="81"/>
      <c r="H35" s="79"/>
      <c r="I35" s="82"/>
      <c r="J35" s="83"/>
      <c r="K35" s="84"/>
      <c r="L35" s="84"/>
      <c r="M35" s="85"/>
      <c r="N35" s="85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5"/>
      <c r="BB35" s="5"/>
      <c r="BC35" s="5"/>
      <c r="BD35" s="5"/>
      <c r="BE35" s="5"/>
      <c r="BF35" s="5"/>
      <c r="BG35" s="5"/>
      <c r="BH35" s="5"/>
    </row>
    <row r="36" spans="1:60">
      <c r="A36" s="76">
        <v>48.28</v>
      </c>
      <c r="B36" s="77" t="s">
        <v>777</v>
      </c>
      <c r="C36" s="78">
        <v>3359</v>
      </c>
      <c r="D36" s="79">
        <f t="shared" ref="D36:D41" si="3">C36</f>
        <v>3359</v>
      </c>
      <c r="E36" s="79">
        <f>D36</f>
        <v>3359</v>
      </c>
      <c r="F36" s="80"/>
      <c r="G36" s="81" t="s">
        <v>73</v>
      </c>
      <c r="H36" s="79">
        <f>B90</f>
        <v>1414</v>
      </c>
      <c r="I36" s="82" t="s">
        <v>73</v>
      </c>
      <c r="J36" s="83" t="s">
        <v>779</v>
      </c>
      <c r="K36" s="84"/>
      <c r="L36" s="84"/>
      <c r="M36" s="85">
        <f t="shared" ref="M36:M50" si="4">+C36*A36</f>
        <v>162172.52</v>
      </c>
      <c r="N36" s="85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5"/>
      <c r="BB36" s="5"/>
      <c r="BC36" s="5"/>
      <c r="BD36" s="5"/>
      <c r="BE36" s="5"/>
      <c r="BF36" s="5"/>
      <c r="BG36" s="5"/>
      <c r="BH36" s="5"/>
    </row>
    <row r="37" spans="1:60">
      <c r="A37" s="76">
        <v>48.28</v>
      </c>
      <c r="B37" s="77" t="s">
        <v>781</v>
      </c>
      <c r="C37" s="78">
        <v>37555</v>
      </c>
      <c r="D37" s="79">
        <f t="shared" si="3"/>
        <v>37555</v>
      </c>
      <c r="E37" s="79"/>
      <c r="F37" s="80"/>
      <c r="G37" s="81"/>
      <c r="H37" s="79"/>
      <c r="I37" s="82"/>
      <c r="J37" s="83" t="s">
        <v>782</v>
      </c>
      <c r="K37" s="84"/>
      <c r="L37" s="84"/>
      <c r="M37" s="85">
        <f t="shared" si="4"/>
        <v>1813155.4</v>
      </c>
      <c r="N37" s="85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5"/>
      <c r="BB37" s="5"/>
      <c r="BC37" s="5"/>
      <c r="BD37" s="5"/>
      <c r="BE37" s="5"/>
      <c r="BF37" s="5"/>
      <c r="BG37" s="5"/>
      <c r="BH37" s="5"/>
    </row>
    <row r="38" spans="1:60">
      <c r="A38" s="76">
        <v>39.93</v>
      </c>
      <c r="B38" s="77" t="s">
        <v>853</v>
      </c>
      <c r="C38" s="78">
        <v>59365</v>
      </c>
      <c r="D38" s="79">
        <f t="shared" si="3"/>
        <v>59365</v>
      </c>
      <c r="E38" s="79"/>
      <c r="F38" s="80"/>
      <c r="G38" s="81"/>
      <c r="H38" s="79"/>
      <c r="I38" s="82"/>
      <c r="J38" s="83" t="s">
        <v>854</v>
      </c>
      <c r="K38" s="84"/>
      <c r="L38" s="84"/>
      <c r="M38" s="85">
        <f t="shared" si="4"/>
        <v>2370444.45</v>
      </c>
      <c r="N38" s="85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5"/>
      <c r="BB38" s="5"/>
      <c r="BC38" s="5"/>
      <c r="BD38" s="5"/>
      <c r="BE38" s="5"/>
      <c r="BF38" s="5"/>
      <c r="BG38" s="5"/>
      <c r="BH38" s="5"/>
    </row>
    <row r="39" spans="1:60">
      <c r="A39" s="76">
        <v>44.84</v>
      </c>
      <c r="B39" s="77" t="s">
        <v>855</v>
      </c>
      <c r="C39" s="78">
        <v>69675</v>
      </c>
      <c r="D39" s="79">
        <f t="shared" si="3"/>
        <v>69675</v>
      </c>
      <c r="E39" s="79"/>
      <c r="F39" s="80"/>
      <c r="G39" s="81"/>
      <c r="H39" s="79"/>
      <c r="I39" s="82"/>
      <c r="J39" s="83" t="s">
        <v>856</v>
      </c>
      <c r="K39" s="84"/>
      <c r="L39" s="84"/>
      <c r="M39" s="85">
        <f t="shared" si="4"/>
        <v>3124227</v>
      </c>
      <c r="N39" s="85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5"/>
      <c r="BB39" s="5"/>
      <c r="BC39" s="5"/>
      <c r="BD39" s="5"/>
      <c r="BE39" s="5"/>
      <c r="BF39" s="5"/>
      <c r="BG39" s="5"/>
      <c r="BH39" s="5"/>
    </row>
    <row r="40" spans="1:60">
      <c r="A40" s="76">
        <v>48.28</v>
      </c>
      <c r="B40" s="77" t="s">
        <v>857</v>
      </c>
      <c r="C40" s="78">
        <v>65820</v>
      </c>
      <c r="D40" s="79">
        <f t="shared" si="3"/>
        <v>65820</v>
      </c>
      <c r="E40" s="79"/>
      <c r="F40" s="80"/>
      <c r="G40" s="81"/>
      <c r="H40" s="79"/>
      <c r="I40" s="82"/>
      <c r="J40" s="83" t="s">
        <v>858</v>
      </c>
      <c r="K40" s="84"/>
      <c r="L40" s="84"/>
      <c r="M40" s="85">
        <f t="shared" si="4"/>
        <v>3177789.6</v>
      </c>
      <c r="N40" s="85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5"/>
      <c r="BB40" s="5"/>
      <c r="BC40" s="5"/>
      <c r="BD40" s="5"/>
      <c r="BE40" s="5"/>
      <c r="BF40" s="5"/>
      <c r="BG40" s="5"/>
      <c r="BH40" s="5"/>
    </row>
    <row r="41" spans="1:60">
      <c r="A41" s="76"/>
      <c r="B41" s="77" t="s">
        <v>859</v>
      </c>
      <c r="C41" s="78">
        <v>19425</v>
      </c>
      <c r="D41" s="79">
        <f t="shared" si="3"/>
        <v>19425</v>
      </c>
      <c r="E41" s="79"/>
      <c r="F41" s="80"/>
      <c r="G41" s="81"/>
      <c r="H41" s="79"/>
      <c r="I41" s="82"/>
      <c r="J41" s="83" t="s">
        <v>91</v>
      </c>
      <c r="K41" s="84"/>
      <c r="L41" s="84"/>
      <c r="M41" s="85">
        <f t="shared" si="4"/>
        <v>0</v>
      </c>
      <c r="N41" s="85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5"/>
      <c r="BB41" s="5"/>
      <c r="BC41" s="5"/>
      <c r="BD41" s="5"/>
      <c r="BE41" s="5"/>
      <c r="BF41" s="5"/>
      <c r="BG41" s="5"/>
      <c r="BH41" s="5"/>
    </row>
    <row r="42" spans="1:60">
      <c r="A42" s="76"/>
      <c r="B42" s="77"/>
      <c r="C42" s="78"/>
      <c r="D42" s="79"/>
      <c r="E42" s="79"/>
      <c r="F42" s="80"/>
      <c r="G42" s="81"/>
      <c r="H42" s="79"/>
      <c r="I42" s="82"/>
      <c r="J42" s="83"/>
      <c r="K42" s="84"/>
      <c r="L42" s="84"/>
      <c r="M42" s="85">
        <f t="shared" si="4"/>
        <v>0</v>
      </c>
      <c r="N42" s="85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5"/>
      <c r="BB42" s="5"/>
      <c r="BC42" s="5"/>
      <c r="BD42" s="5"/>
      <c r="BE42" s="5"/>
      <c r="BF42" s="5"/>
      <c r="BG42" s="5"/>
      <c r="BH42" s="5"/>
    </row>
    <row r="43" spans="1:60">
      <c r="A43" s="76"/>
      <c r="B43" s="77"/>
      <c r="C43" s="78"/>
      <c r="D43" s="79"/>
      <c r="E43" s="79"/>
      <c r="F43" s="80"/>
      <c r="G43" s="81"/>
      <c r="H43" s="79"/>
      <c r="I43" s="82"/>
      <c r="J43" s="83"/>
      <c r="K43" s="84"/>
      <c r="L43" s="84"/>
      <c r="M43" s="85">
        <f t="shared" si="4"/>
        <v>0</v>
      </c>
      <c r="N43" s="85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5"/>
      <c r="BB43" s="5"/>
      <c r="BC43" s="5"/>
      <c r="BD43" s="5"/>
      <c r="BE43" s="5"/>
      <c r="BF43" s="5"/>
      <c r="BG43" s="5"/>
      <c r="BH43" s="5"/>
    </row>
    <row r="44" spans="1:60">
      <c r="A44" s="76"/>
      <c r="B44" s="77"/>
      <c r="C44" s="78"/>
      <c r="D44" s="79"/>
      <c r="E44" s="79"/>
      <c r="F44" s="80"/>
      <c r="G44" s="81"/>
      <c r="H44" s="79"/>
      <c r="I44" s="82"/>
      <c r="J44" s="83"/>
      <c r="K44" s="84"/>
      <c r="L44" s="84"/>
      <c r="M44" s="85">
        <f t="shared" si="4"/>
        <v>0</v>
      </c>
      <c r="N44" s="85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5"/>
      <c r="BB44" s="5"/>
      <c r="BC44" s="5"/>
      <c r="BD44" s="5"/>
      <c r="BE44" s="5"/>
      <c r="BF44" s="5"/>
      <c r="BG44" s="5"/>
      <c r="BH44" s="5"/>
    </row>
    <row r="45" spans="1:60">
      <c r="A45" s="76"/>
      <c r="B45" s="77"/>
      <c r="C45" s="78"/>
      <c r="D45" s="79"/>
      <c r="E45" s="79"/>
      <c r="F45" s="80"/>
      <c r="G45" s="81"/>
      <c r="H45" s="79"/>
      <c r="I45" s="82"/>
      <c r="J45" s="83"/>
      <c r="K45" s="84"/>
      <c r="L45" s="84"/>
      <c r="M45" s="85">
        <f t="shared" si="4"/>
        <v>0</v>
      </c>
      <c r="N45" s="85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5"/>
      <c r="BB45" s="5"/>
      <c r="BC45" s="5"/>
      <c r="BD45" s="5"/>
      <c r="BE45" s="5"/>
      <c r="BF45" s="5"/>
      <c r="BG45" s="5"/>
      <c r="BH45" s="5"/>
    </row>
    <row r="46" spans="1:60">
      <c r="A46" s="76"/>
      <c r="B46" s="77"/>
      <c r="C46" s="78"/>
      <c r="D46" s="79"/>
      <c r="E46" s="79"/>
      <c r="F46" s="80"/>
      <c r="G46" s="81"/>
      <c r="H46" s="79"/>
      <c r="I46" s="82"/>
      <c r="J46" s="83"/>
      <c r="K46" s="84"/>
      <c r="L46" s="84"/>
      <c r="M46" s="85">
        <f t="shared" si="4"/>
        <v>0</v>
      </c>
      <c r="N46" s="85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5"/>
      <c r="BB46" s="5"/>
      <c r="BC46" s="5"/>
      <c r="BD46" s="5"/>
      <c r="BE46" s="5"/>
      <c r="BF46" s="5"/>
      <c r="BG46" s="5"/>
      <c r="BH46" s="5"/>
    </row>
    <row r="47" spans="1:60">
      <c r="A47" s="76"/>
      <c r="B47" s="77"/>
      <c r="C47" s="78"/>
      <c r="D47" s="79"/>
      <c r="E47" s="79"/>
      <c r="F47" s="80"/>
      <c r="G47" s="81"/>
      <c r="H47" s="79"/>
      <c r="I47" s="82"/>
      <c r="J47" s="83"/>
      <c r="K47" s="84"/>
      <c r="L47" s="84"/>
      <c r="M47" s="85">
        <f t="shared" si="4"/>
        <v>0</v>
      </c>
      <c r="N47" s="85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5"/>
      <c r="BB47" s="5"/>
      <c r="BC47" s="5"/>
      <c r="BD47" s="5"/>
      <c r="BE47" s="5"/>
      <c r="BF47" s="5"/>
      <c r="BG47" s="5"/>
      <c r="BH47" s="5"/>
    </row>
    <row r="48" spans="1:60">
      <c r="A48" s="76"/>
      <c r="B48" s="77"/>
      <c r="C48" s="78"/>
      <c r="D48" s="79"/>
      <c r="E48" s="79"/>
      <c r="F48" s="80"/>
      <c r="G48" s="81"/>
      <c r="H48" s="79"/>
      <c r="I48" s="82"/>
      <c r="J48" s="83"/>
      <c r="K48" s="84"/>
      <c r="L48" s="84"/>
      <c r="M48" s="85">
        <f t="shared" si="4"/>
        <v>0</v>
      </c>
      <c r="N48" s="85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5"/>
      <c r="BB48" s="5"/>
      <c r="BC48" s="5"/>
      <c r="BD48" s="5"/>
      <c r="BE48" s="5"/>
      <c r="BF48" s="5"/>
      <c r="BG48" s="5"/>
      <c r="BH48" s="5"/>
    </row>
    <row r="49" spans="1:60">
      <c r="A49" s="76"/>
      <c r="B49" s="77"/>
      <c r="C49" s="86"/>
      <c r="D49" s="87"/>
      <c r="E49" s="87"/>
      <c r="F49" s="88"/>
      <c r="G49" s="89"/>
      <c r="H49" s="87"/>
      <c r="I49" s="82"/>
      <c r="J49" s="83"/>
      <c r="K49" s="84"/>
      <c r="L49" s="84"/>
      <c r="M49" s="85">
        <f t="shared" si="4"/>
        <v>0</v>
      </c>
      <c r="N49" s="85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5"/>
      <c r="BB49" s="5"/>
      <c r="BC49" s="5"/>
      <c r="BD49" s="5"/>
      <c r="BE49" s="5"/>
      <c r="BF49" s="5"/>
      <c r="BG49" s="5"/>
      <c r="BH49" s="5"/>
    </row>
    <row r="50" spans="1:60">
      <c r="A50" s="90"/>
      <c r="B50" s="22" t="s">
        <v>55</v>
      </c>
      <c r="C50" s="91">
        <f>SUM(C35:C49)</f>
        <v>255199</v>
      </c>
      <c r="D50" s="91">
        <f>SUM(D35:D49)</f>
        <v>255199</v>
      </c>
      <c r="E50" s="91">
        <f>SUM(E35:E49)</f>
        <v>3359</v>
      </c>
      <c r="F50" s="91"/>
      <c r="G50" s="92"/>
      <c r="H50" s="91">
        <f>SUM(H35:H49)</f>
        <v>1414</v>
      </c>
      <c r="I50" s="91"/>
      <c r="J50" s="93"/>
      <c r="K50" s="94"/>
      <c r="L50" s="4"/>
      <c r="M50" s="85">
        <f t="shared" si="4"/>
        <v>0</v>
      </c>
      <c r="N50" s="8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5"/>
      <c r="BB50" s="5"/>
      <c r="BC50" s="5"/>
      <c r="BD50" s="5"/>
      <c r="BE50" s="5"/>
      <c r="BF50" s="5"/>
      <c r="BG50" s="5"/>
      <c r="BH50" s="5"/>
    </row>
    <row r="51" spans="1:60">
      <c r="A51" s="90"/>
      <c r="B51" s="95" t="s">
        <v>118</v>
      </c>
      <c r="C51" s="96"/>
      <c r="D51" s="96"/>
      <c r="E51" s="96"/>
      <c r="F51" s="96"/>
      <c r="G51" s="97"/>
      <c r="H51" s="98"/>
      <c r="I51" s="99"/>
      <c r="J51" s="94"/>
      <c r="K51" s="94"/>
      <c r="L51" s="4"/>
      <c r="M51" s="85"/>
      <c r="N51" s="8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5"/>
      <c r="BB51" s="5"/>
      <c r="BC51" s="5"/>
      <c r="BD51" s="5"/>
      <c r="BE51" s="5"/>
      <c r="BF51" s="5"/>
      <c r="BG51" s="5"/>
      <c r="BH51" s="5"/>
    </row>
    <row r="52" spans="1:60">
      <c r="A52" s="90"/>
      <c r="B52" s="100"/>
      <c r="C52" s="101"/>
      <c r="D52" s="101"/>
      <c r="E52" s="101"/>
      <c r="F52" s="101"/>
      <c r="G52" s="102"/>
      <c r="H52" s="103"/>
      <c r="I52" s="104"/>
      <c r="J52" s="94"/>
      <c r="K52" s="94"/>
      <c r="L52" s="4"/>
      <c r="M52" s="85"/>
      <c r="N52" s="8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5"/>
      <c r="BB52" s="5"/>
      <c r="BC52" s="5"/>
      <c r="BD52" s="5"/>
      <c r="BE52" s="5"/>
      <c r="BF52" s="5"/>
      <c r="BG52" s="5"/>
      <c r="BH52" s="5"/>
    </row>
    <row r="53" spans="1:60">
      <c r="A53" s="90"/>
      <c r="B53" s="66" t="s">
        <v>119</v>
      </c>
      <c r="C53" s="66"/>
      <c r="D53" s="3"/>
      <c r="E53" s="3"/>
      <c r="F53" s="3"/>
      <c r="G53" s="3"/>
      <c r="H53" s="4"/>
      <c r="I53" s="104"/>
      <c r="J53" s="94"/>
      <c r="K53" s="94"/>
      <c r="L53" s="4"/>
      <c r="M53" s="85"/>
      <c r="N53" s="8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5"/>
      <c r="BB53" s="5"/>
      <c r="BC53" s="5"/>
      <c r="BD53" s="5"/>
      <c r="BE53" s="5"/>
      <c r="BF53" s="5"/>
      <c r="BG53" s="5"/>
      <c r="BH53" s="5"/>
    </row>
    <row r="54" spans="1:60">
      <c r="A54" s="90"/>
      <c r="B54" s="105"/>
      <c r="C54" s="105" t="s">
        <v>61</v>
      </c>
      <c r="D54" s="106"/>
      <c r="E54" s="106"/>
      <c r="F54" s="106"/>
      <c r="G54" s="107"/>
      <c r="H54" s="75" t="s">
        <v>62</v>
      </c>
      <c r="I54" s="104"/>
      <c r="J54" s="94"/>
      <c r="K54" s="94"/>
      <c r="L54" s="4"/>
      <c r="M54" s="85"/>
      <c r="N54" s="8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5"/>
      <c r="BB54" s="5"/>
      <c r="BC54" s="5"/>
      <c r="BD54" s="5"/>
      <c r="BE54" s="5"/>
      <c r="BF54" s="5"/>
      <c r="BG54" s="5"/>
      <c r="BH54" s="5"/>
    </row>
    <row r="55" spans="1:60">
      <c r="A55" s="90"/>
      <c r="B55" s="108"/>
      <c r="C55" s="71" t="s">
        <v>64</v>
      </c>
      <c r="D55" s="71" t="s">
        <v>65</v>
      </c>
      <c r="E55" s="109" t="s">
        <v>66</v>
      </c>
      <c r="F55" s="74" t="s">
        <v>68</v>
      </c>
      <c r="G55" s="71" t="s">
        <v>69</v>
      </c>
      <c r="H55" s="74" t="s">
        <v>70</v>
      </c>
      <c r="I55" s="104"/>
      <c r="J55" s="94"/>
      <c r="K55" s="94"/>
      <c r="L55" s="4"/>
      <c r="M55" s="85"/>
      <c r="N55" s="8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5"/>
      <c r="BB55" s="5"/>
      <c r="BC55" s="5"/>
      <c r="BD55" s="5"/>
      <c r="BE55" s="5"/>
      <c r="BF55" s="5"/>
      <c r="BG55" s="5"/>
      <c r="BH55" s="5"/>
    </row>
    <row r="56" spans="1:60">
      <c r="A56" s="90"/>
      <c r="B56" s="110"/>
      <c r="C56" s="111"/>
      <c r="D56" s="111"/>
      <c r="E56" s="112"/>
      <c r="F56" s="113"/>
      <c r="G56" s="112"/>
      <c r="H56" s="114"/>
      <c r="I56" s="104"/>
      <c r="J56" s="94"/>
      <c r="K56" s="94"/>
      <c r="L56" s="4"/>
      <c r="M56" s="85"/>
      <c r="N56" s="8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5"/>
      <c r="BB56" s="5"/>
      <c r="BC56" s="5"/>
      <c r="BD56" s="5"/>
      <c r="BE56" s="5"/>
      <c r="BF56" s="5"/>
      <c r="BG56" s="5"/>
      <c r="BH56" s="5"/>
    </row>
    <row r="57" spans="1:60">
      <c r="A57" s="90"/>
      <c r="B57" s="19"/>
      <c r="C57" s="115"/>
      <c r="D57" s="112"/>
      <c r="E57" s="112"/>
      <c r="F57" s="116"/>
      <c r="G57" s="112"/>
      <c r="H57" s="117"/>
      <c r="I57" s="104"/>
      <c r="J57" s="94"/>
      <c r="K57" s="94"/>
      <c r="L57" s="4"/>
      <c r="M57" s="85"/>
      <c r="N57" s="8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5"/>
      <c r="BB57" s="5"/>
      <c r="BC57" s="5"/>
      <c r="BD57" s="5"/>
      <c r="BE57" s="5"/>
      <c r="BF57" s="5"/>
      <c r="BG57" s="5"/>
      <c r="BH57" s="5"/>
    </row>
    <row r="58" spans="1:60">
      <c r="A58" s="90"/>
      <c r="B58" s="19"/>
      <c r="C58" s="115"/>
      <c r="D58" s="112"/>
      <c r="E58" s="112"/>
      <c r="F58" s="113"/>
      <c r="G58" s="112"/>
      <c r="H58" s="113"/>
      <c r="I58" s="104"/>
      <c r="J58" s="94"/>
      <c r="K58" s="94"/>
      <c r="L58" s="4"/>
      <c r="M58" s="85"/>
      <c r="N58" s="8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5"/>
      <c r="BB58" s="5"/>
      <c r="BC58" s="5"/>
      <c r="BD58" s="5"/>
      <c r="BE58" s="5"/>
      <c r="BF58" s="5"/>
      <c r="BG58" s="5"/>
      <c r="BH58" s="5"/>
    </row>
    <row r="59" spans="1:60">
      <c r="A59" s="90"/>
      <c r="B59" s="118"/>
      <c r="C59" s="115"/>
      <c r="D59" s="112"/>
      <c r="E59" s="112"/>
      <c r="F59" s="113"/>
      <c r="G59" s="112"/>
      <c r="H59" s="113"/>
      <c r="I59" s="104"/>
      <c r="J59" s="94"/>
      <c r="K59" s="94"/>
      <c r="L59" s="4"/>
      <c r="M59" s="85"/>
      <c r="N59" s="8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5"/>
      <c r="BB59" s="5"/>
      <c r="BC59" s="5"/>
      <c r="BD59" s="5"/>
      <c r="BE59" s="5"/>
      <c r="BF59" s="5"/>
      <c r="BG59" s="5"/>
      <c r="BH59" s="5"/>
    </row>
    <row r="60" spans="1:60">
      <c r="A60" s="90"/>
      <c r="B60" s="118"/>
      <c r="C60" s="115"/>
      <c r="D60" s="112"/>
      <c r="E60" s="112"/>
      <c r="F60" s="113"/>
      <c r="G60" s="112"/>
      <c r="H60" s="113"/>
      <c r="I60" s="104"/>
      <c r="J60" s="94"/>
      <c r="K60" s="94"/>
      <c r="L60" s="4"/>
      <c r="M60" s="85"/>
      <c r="N60" s="8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5"/>
      <c r="BB60" s="5"/>
      <c r="BC60" s="5"/>
      <c r="BD60" s="5"/>
      <c r="BE60" s="5"/>
      <c r="BF60" s="5"/>
      <c r="BG60" s="5"/>
      <c r="BH60" s="5"/>
    </row>
    <row r="61" spans="1:60">
      <c r="A61" s="90"/>
      <c r="B61" s="118"/>
      <c r="C61" s="115"/>
      <c r="D61" s="112"/>
      <c r="E61" s="112"/>
      <c r="F61" s="113"/>
      <c r="G61" s="112"/>
      <c r="H61" s="113"/>
      <c r="I61" s="104"/>
      <c r="J61" s="94"/>
      <c r="K61" s="94"/>
      <c r="L61" s="4"/>
      <c r="M61" s="85"/>
      <c r="N61" s="8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5"/>
      <c r="BB61" s="5"/>
      <c r="BC61" s="5"/>
      <c r="BD61" s="5"/>
      <c r="BE61" s="5"/>
      <c r="BF61" s="5"/>
      <c r="BG61" s="5"/>
      <c r="BH61" s="5"/>
    </row>
    <row r="62" spans="1:60">
      <c r="A62" s="65"/>
      <c r="B62" s="118"/>
      <c r="C62" s="115"/>
      <c r="D62" s="112"/>
      <c r="E62" s="112"/>
      <c r="F62" s="113"/>
      <c r="G62" s="112"/>
      <c r="H62" s="113"/>
      <c r="I62" s="94"/>
      <c r="J62" s="94"/>
      <c r="K62" s="4"/>
      <c r="L62" s="85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5"/>
      <c r="BB62" s="5"/>
      <c r="BC62" s="5"/>
      <c r="BD62" s="5"/>
      <c r="BE62" s="5"/>
      <c r="BF62" s="5"/>
      <c r="BG62" s="5"/>
      <c r="BH62" s="5"/>
    </row>
    <row r="63" ht="15.75" spans="1:60">
      <c r="A63" s="65"/>
      <c r="B63" s="19"/>
      <c r="C63" s="119"/>
      <c r="D63" s="119"/>
      <c r="E63" s="120"/>
      <c r="F63" s="121"/>
      <c r="G63" s="120"/>
      <c r="H63" s="122"/>
      <c r="I63" s="94"/>
      <c r="J63" s="94"/>
      <c r="K63" s="4"/>
      <c r="L63" s="85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5"/>
      <c r="BB63" s="5"/>
      <c r="BC63" s="5"/>
      <c r="BD63" s="5"/>
      <c r="BE63" s="5"/>
      <c r="BF63" s="5"/>
      <c r="BG63" s="5"/>
      <c r="BH63" s="5"/>
    </row>
    <row r="64" ht="15.75" spans="1:60">
      <c r="A64" s="65"/>
      <c r="B64" s="22" t="s">
        <v>55</v>
      </c>
      <c r="C64" s="91"/>
      <c r="D64" s="91"/>
      <c r="E64" s="123"/>
      <c r="F64" s="92"/>
      <c r="G64" s="123"/>
      <c r="H64" s="91">
        <v>0</v>
      </c>
      <c r="I64" s="94"/>
      <c r="J64" s="94"/>
      <c r="K64" s="4"/>
      <c r="L64" s="85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5"/>
      <c r="BB64" s="5"/>
      <c r="BC64" s="5"/>
      <c r="BD64" s="5"/>
      <c r="BE64" s="5"/>
      <c r="BF64" s="5"/>
      <c r="BG64" s="5"/>
      <c r="BH64" s="5"/>
    </row>
    <row r="65" spans="1:60">
      <c r="A65" s="65"/>
      <c r="B65" s="95" t="s">
        <v>118</v>
      </c>
      <c r="C65" s="96"/>
      <c r="D65" s="96"/>
      <c r="E65" s="96"/>
      <c r="F65" s="97"/>
      <c r="G65" s="98"/>
      <c r="H65" s="99"/>
      <c r="I65" s="94"/>
      <c r="J65" s="94"/>
      <c r="K65" s="4"/>
      <c r="L65" s="85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5"/>
      <c r="BB65" s="5"/>
      <c r="BC65" s="5"/>
      <c r="BD65" s="5"/>
      <c r="BE65" s="5"/>
      <c r="BF65" s="5"/>
      <c r="BG65" s="5"/>
      <c r="BH65" s="5"/>
    </row>
    <row r="66" spans="1:60">
      <c r="A66" s="65"/>
      <c r="B66" s="100"/>
      <c r="C66" s="101"/>
      <c r="D66" s="101"/>
      <c r="E66" s="101"/>
      <c r="F66" s="102"/>
      <c r="G66" s="103"/>
      <c r="H66" s="104"/>
      <c r="I66" s="94"/>
      <c r="J66" s="94"/>
      <c r="K66" s="4"/>
      <c r="L66" s="85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5"/>
      <c r="BB66" s="5"/>
      <c r="BC66" s="5"/>
      <c r="BD66" s="5"/>
      <c r="BE66" s="5"/>
      <c r="BF66" s="5"/>
      <c r="BG66" s="5"/>
      <c r="BH66" s="5"/>
    </row>
    <row r="67" spans="1:60">
      <c r="A67" s="65"/>
      <c r="B67" s="124" t="s">
        <v>120</v>
      </c>
      <c r="C67" s="125"/>
      <c r="D67" s="125"/>
      <c r="E67" s="125"/>
      <c r="F67" s="126"/>
      <c r="G67" s="127"/>
      <c r="H67" s="128"/>
      <c r="I67" s="94"/>
      <c r="J67" s="94"/>
      <c r="K67" s="4"/>
      <c r="L67" s="85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5"/>
      <c r="BB67" s="5"/>
      <c r="BC67" s="5"/>
      <c r="BD67" s="5"/>
      <c r="BE67" s="5"/>
      <c r="BF67" s="5"/>
      <c r="BG67" s="5"/>
      <c r="BH67" s="5"/>
    </row>
    <row r="68" spans="1:60">
      <c r="A68" s="65"/>
      <c r="B68" s="129" t="s">
        <v>121</v>
      </c>
      <c r="C68" s="101"/>
      <c r="D68" s="101"/>
      <c r="E68" s="101"/>
      <c r="F68" s="102"/>
      <c r="G68" s="103"/>
      <c r="H68" s="104"/>
      <c r="I68" s="94"/>
      <c r="J68" s="94"/>
      <c r="K68" s="4"/>
      <c r="L68" s="85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5"/>
      <c r="BB68" s="5"/>
      <c r="BC68" s="5"/>
      <c r="BD68" s="5"/>
      <c r="BE68" s="5"/>
      <c r="BF68" s="5"/>
      <c r="BG68" s="5"/>
      <c r="BH68" s="5"/>
    </row>
    <row r="69" spans="1:60">
      <c r="A69" s="65"/>
      <c r="B69" s="129" t="s">
        <v>122</v>
      </c>
      <c r="C69" s="101"/>
      <c r="D69" s="101"/>
      <c r="E69" s="130"/>
      <c r="F69" s="102"/>
      <c r="G69" s="103"/>
      <c r="H69" s="104"/>
      <c r="I69" s="94"/>
      <c r="J69" s="94"/>
      <c r="K69" s="4"/>
      <c r="L69" s="8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5"/>
      <c r="BB69" s="5"/>
      <c r="BC69" s="5"/>
      <c r="BD69" s="5"/>
      <c r="BE69" s="5"/>
      <c r="BF69" s="5"/>
      <c r="BG69" s="5"/>
      <c r="BH69" s="5"/>
    </row>
    <row r="70" spans="1:60">
      <c r="A70" s="4"/>
      <c r="B70" s="5"/>
      <c r="C70" s="5"/>
      <c r="D70" s="5"/>
      <c r="E70" s="5"/>
      <c r="F70" s="5"/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5"/>
      <c r="BB70" s="5"/>
      <c r="BC70" s="5"/>
      <c r="BD70" s="5"/>
      <c r="BE70" s="5"/>
      <c r="BF70" s="5"/>
      <c r="BG70" s="5"/>
      <c r="BH70" s="5"/>
    </row>
    <row r="71" spans="1:60">
      <c r="A71" s="62" t="s">
        <v>123</v>
      </c>
      <c r="B71" s="131" t="s">
        <v>124</v>
      </c>
      <c r="C71" s="131"/>
      <c r="D71" s="132"/>
      <c r="E71" s="132"/>
      <c r="F71" s="132"/>
      <c r="G71" s="132"/>
      <c r="H71" s="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5"/>
      <c r="BB71" s="5"/>
      <c r="BC71" s="5"/>
      <c r="BD71" s="5"/>
      <c r="BE71" s="5"/>
      <c r="BF71" s="5"/>
      <c r="BG71" s="5"/>
      <c r="BH71" s="5"/>
    </row>
    <row r="72" spans="1:60">
      <c r="A72" s="69" t="s">
        <v>1</v>
      </c>
      <c r="B72" s="133" t="str">
        <f>B36</f>
        <v>MARCH 2026 BLOCK 9</v>
      </c>
      <c r="C72" s="134" t="str">
        <f>B37</f>
        <v>MARCH 2026 BLOCK 26</v>
      </c>
      <c r="D72" s="134" t="str">
        <f>B38</f>
        <v>JULY 2025 BLOCK 9</v>
      </c>
      <c r="E72" s="134" t="str">
        <f>B39</f>
        <v>OCTOBER 2025 BLOCK 25</v>
      </c>
      <c r="F72" s="134" t="str">
        <f>B40</f>
        <v>FEBRUARY 2026 BLOCK 4</v>
      </c>
      <c r="G72" s="134" t="str">
        <f>B41</f>
        <v>JUNE 2026  TAG-AT  FEEDING AREA </v>
      </c>
      <c r="H72" s="134"/>
      <c r="I72" s="134"/>
      <c r="J72" s="134"/>
      <c r="K72" s="135"/>
      <c r="L72" s="13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60">
      <c r="A73" s="137"/>
      <c r="B73" s="138">
        <f>C36</f>
        <v>3359</v>
      </c>
      <c r="C73" s="139">
        <f>C37</f>
        <v>37555</v>
      </c>
      <c r="D73" s="139">
        <f>C38</f>
        <v>59365</v>
      </c>
      <c r="E73" s="139">
        <f>C39</f>
        <v>69675</v>
      </c>
      <c r="F73" s="139">
        <f>C40</f>
        <v>65820</v>
      </c>
      <c r="G73" s="139">
        <f>C41</f>
        <v>19425</v>
      </c>
      <c r="H73" s="139"/>
      <c r="I73" s="139"/>
      <c r="J73" s="139"/>
      <c r="K73" s="140"/>
      <c r="L73" s="14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60">
      <c r="A74" s="40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60">
      <c r="A75" s="44">
        <v>46203</v>
      </c>
      <c r="B75" s="142">
        <v>1414</v>
      </c>
      <c r="C75" s="142">
        <v>1203</v>
      </c>
      <c r="D75" s="142">
        <v>11384</v>
      </c>
      <c r="E75" s="142">
        <v>2455</v>
      </c>
      <c r="F75" s="142">
        <v>2507</v>
      </c>
      <c r="G75" s="142"/>
      <c r="H75" s="142"/>
      <c r="I75" s="142"/>
      <c r="J75" s="142"/>
      <c r="K75" s="142"/>
      <c r="L75" s="141">
        <f t="shared" ref="L75:L97" si="5">SUM(B75:K75)</f>
        <v>18963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60">
      <c r="A76" s="44">
        <v>46204</v>
      </c>
      <c r="B76" s="142"/>
      <c r="C76" s="142">
        <v>2576</v>
      </c>
      <c r="D76" s="142">
        <v>12473</v>
      </c>
      <c r="E76" s="142">
        <v>5519</v>
      </c>
      <c r="F76" s="142">
        <v>5658</v>
      </c>
      <c r="G76" s="142">
        <v>10000</v>
      </c>
      <c r="H76" s="142"/>
      <c r="I76" s="142"/>
      <c r="J76" s="142"/>
      <c r="K76" s="142"/>
      <c r="L76" s="141">
        <f t="shared" si="5"/>
        <v>36226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60">
      <c r="A77" s="44">
        <v>46205</v>
      </c>
      <c r="B77" s="142"/>
      <c r="C77" s="142">
        <v>2754</v>
      </c>
      <c r="D77" s="142">
        <v>11831</v>
      </c>
      <c r="E77" s="142">
        <v>4977</v>
      </c>
      <c r="F77" s="142">
        <v>5430</v>
      </c>
      <c r="G77" s="142">
        <v>6000</v>
      </c>
      <c r="H77" s="142"/>
      <c r="I77" s="142"/>
      <c r="J77" s="142"/>
      <c r="K77" s="142"/>
      <c r="L77" s="141">
        <f t="shared" si="5"/>
        <v>30992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customFormat="1" spans="1:60">
      <c r="A78" s="44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1">
        <f t="shared" si="5"/>
        <v>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60">
      <c r="A79" s="44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1">
        <f t="shared" si="5"/>
        <v>0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60">
      <c r="A80" s="44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1">
        <f t="shared" si="5"/>
        <v>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31">
      <c r="A81" s="44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1">
        <f t="shared" si="5"/>
        <v>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Format="1" spans="1:31">
      <c r="A82" s="44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1">
        <f t="shared" si="5"/>
        <v>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Format="1" spans="1:31">
      <c r="A83" s="44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1">
        <f t="shared" si="5"/>
        <v>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customFormat="1" spans="1:31">
      <c r="A84" s="44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1">
        <f t="shared" si="5"/>
        <v>0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31">
      <c r="A85" s="44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1">
        <f t="shared" si="5"/>
        <v>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31">
      <c r="A86" s="44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1">
        <f t="shared" si="5"/>
        <v>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31">
      <c r="A87" s="44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1">
        <f t="shared" si="5"/>
        <v>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31">
      <c r="A88" s="40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31">
      <c r="A89" s="143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31">
      <c r="A90" s="145"/>
      <c r="B90" s="146">
        <f>SUM(B74:B89)</f>
        <v>1414</v>
      </c>
      <c r="C90" s="146">
        <f t="shared" ref="C90:I90" si="6">SUM(C74:C89)</f>
        <v>6533</v>
      </c>
      <c r="D90" s="146">
        <f t="shared" si="6"/>
        <v>35688</v>
      </c>
      <c r="E90" s="146">
        <f t="shared" si="6"/>
        <v>12951</v>
      </c>
      <c r="F90" s="146">
        <f t="shared" si="6"/>
        <v>13595</v>
      </c>
      <c r="G90" s="146">
        <f t="shared" si="6"/>
        <v>16000</v>
      </c>
      <c r="H90" s="146">
        <f t="shared" si="6"/>
        <v>0</v>
      </c>
      <c r="I90" s="146">
        <f t="shared" si="6"/>
        <v>0</v>
      </c>
      <c r="J90" s="147"/>
      <c r="K90" s="147"/>
      <c r="L90" s="148">
        <f>SUM(B90:I90)</f>
        <v>86181</v>
      </c>
      <c r="M90" s="58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31">
      <c r="A91" s="39"/>
      <c r="B91" s="149">
        <f>+B73-B90</f>
        <v>1945</v>
      </c>
      <c r="C91" s="150">
        <f t="shared" ref="C91:I91" si="7">+C73-C90</f>
        <v>31022</v>
      </c>
      <c r="D91" s="150">
        <f t="shared" si="7"/>
        <v>23677</v>
      </c>
      <c r="E91" s="150">
        <f t="shared" si="7"/>
        <v>56724</v>
      </c>
      <c r="F91" s="150">
        <f t="shared" si="7"/>
        <v>52225</v>
      </c>
      <c r="G91" s="150">
        <f t="shared" si="7"/>
        <v>3425</v>
      </c>
      <c r="H91" s="150">
        <f t="shared" si="7"/>
        <v>0</v>
      </c>
      <c r="I91" s="150">
        <f t="shared" si="7"/>
        <v>0</v>
      </c>
      <c r="J91" s="151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3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31">
      <c r="A93" s="2" t="s">
        <v>143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spans="1:31">
      <c r="A94" s="244" t="s">
        <v>860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spans="1:31">
      <c r="A95" t="s">
        <v>861</v>
      </c>
    </row>
    <row r="96" spans="1:31">
      <c r="A96" t="s">
        <v>862</v>
      </c>
    </row>
    <row r="97" spans="1:2">
      <c r="A97" s="153" t="s">
        <v>863</v>
      </c>
    </row>
    <row r="98" spans="1:2">
      <c r="A98" t="s">
        <v>864</v>
      </c>
    </row>
    <row r="99" spans="1:2">
      <c r="A99" s="154">
        <v>56223</v>
      </c>
      <c r="B99" s="153" t="s">
        <v>865</v>
      </c>
    </row>
    <row r="101" spans="1:2">
      <c r="A101" s="244" t="s">
        <v>866</v>
      </c>
    </row>
    <row r="102" spans="1:2">
      <c r="A102" t="s">
        <v>867</v>
      </c>
    </row>
  </sheetData>
  <mergeCells count="7">
    <mergeCell ref="K72:K73"/>
    <mergeCell ref="AC7:AC8"/>
    <mergeCell ref="AC9:AC10"/>
    <mergeCell ref="AC11:AC12"/>
    <mergeCell ref="AC13:AC14"/>
    <mergeCell ref="AC15:AC16"/>
    <mergeCell ref="AC17:A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JANUARY 2026</vt:lpstr>
      <vt:lpstr>FEBRUARY 2026</vt:lpstr>
      <vt:lpstr>MARCH 2026</vt:lpstr>
      <vt:lpstr>APRIL 2026</vt:lpstr>
      <vt:lpstr>MAY 2026</vt:lpstr>
      <vt:lpstr>JUNE 2026</vt:lpstr>
      <vt:lpstr>JULY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WPS_1684995436</cp:lastModifiedBy>
  <dcterms:created xsi:type="dcterms:W3CDTF">2026-01-03T01:56:00Z</dcterms:created>
  <dcterms:modified xsi:type="dcterms:W3CDTF">2026-07-03T03:20:20Z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5EFF15B761C045DF960A8FD356943BB2_11</vt:lpwstr>
  </property>
  <property fmtid="{D5CDD505-2E9C-101B-9397-08002B2CF9AE}" pid="3" name="KSOProductBuildVer">
    <vt:lpwstr>1033-12.1.0.26880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