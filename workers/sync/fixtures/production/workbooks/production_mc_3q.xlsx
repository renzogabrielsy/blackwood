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22f8a496a7d2bc/Documents/ICTC Files/DAILY REPORTS/"/>
    </mc:Choice>
  </mc:AlternateContent>
  <xr:revisionPtr revIDLastSave="919" documentId="8_{50B8539C-3445-40C1-953A-974412AA7A05}" xr6:coauthVersionLast="47" xr6:coauthVersionMax="47" xr10:uidLastSave="{FC907191-7141-4B82-A482-6EEA4D3445C4}"/>
  <bookViews>
    <workbookView xWindow="-120" yWindow="-120" windowWidth="24240" windowHeight="13020" firstSheet="3" activeTab="10" xr2:uid="{F0DEE0CA-DA03-4881-8971-AD1482D941BE}"/>
  </bookViews>
  <sheets>
    <sheet name="07-01-26 " sheetId="1" r:id="rId1"/>
    <sheet name="07-02-26 " sheetId="2" r:id="rId2"/>
    <sheet name="07-03-26  " sheetId="3" r:id="rId3"/>
    <sheet name="07-04-26 " sheetId="4" r:id="rId4"/>
    <sheet name="07-06-26 " sheetId="5" r:id="rId5"/>
    <sheet name="07-07-26 " sheetId="6" r:id="rId6"/>
    <sheet name="07-08-26 " sheetId="7" r:id="rId7"/>
    <sheet name="07-09-26 " sheetId="8" r:id="rId8"/>
    <sheet name="07-10-26  " sheetId="9" r:id="rId9"/>
    <sheet name="07-11-26  " sheetId="10" r:id="rId10"/>
    <sheet name="07-13-26   " sheetId="11" r:id="rId11"/>
  </sheets>
  <definedNames>
    <definedName name="_xlnm.Print_Area" localSheetId="0">'07-01-26 '!$A$59:$G$75</definedName>
    <definedName name="_xlnm.Print_Area" localSheetId="1">'07-02-26 '!$A$59:$G$75</definedName>
    <definedName name="_xlnm.Print_Area" localSheetId="2">'07-03-26  '!$A$59:$G$75</definedName>
    <definedName name="_xlnm.Print_Area" localSheetId="3">'07-04-26 '!$A$59:$G$75</definedName>
    <definedName name="_xlnm.Print_Area" localSheetId="4">'07-06-26 '!$A$59:$G$75</definedName>
    <definedName name="_xlnm.Print_Area" localSheetId="5">'07-07-26 '!$A$59:$G$75</definedName>
    <definedName name="_xlnm.Print_Area" localSheetId="6">'07-08-26 '!$A$59:$G$75</definedName>
    <definedName name="_xlnm.Print_Area" localSheetId="7">'07-09-26 '!$A$59:$G$75</definedName>
    <definedName name="_xlnm.Print_Area" localSheetId="8">'07-10-26  '!$A$59:$G$75</definedName>
    <definedName name="_xlnm.Print_Area" localSheetId="9">'07-11-26  '!$A$59:$G$75</definedName>
    <definedName name="_xlnm.Print_Area" localSheetId="10">'07-13-26   '!$A$59:$G$75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13" i="11" l="1"/>
  <c r="K113" i="11"/>
  <c r="J113" i="11"/>
  <c r="O103" i="11"/>
  <c r="K103" i="11"/>
  <c r="J103" i="11"/>
  <c r="F55" i="11"/>
  <c r="D61" i="11" s="1"/>
  <c r="F61" i="11" s="1"/>
  <c r="F50" i="11"/>
  <c r="F48" i="11"/>
  <c r="Q27" i="11"/>
  <c r="O27" i="11"/>
  <c r="M27" i="11"/>
  <c r="K27" i="11"/>
  <c r="G8" i="11"/>
  <c r="G14" i="11" s="1"/>
  <c r="O113" i="10" l="1"/>
  <c r="K113" i="10"/>
  <c r="J113" i="10"/>
  <c r="O103" i="10"/>
  <c r="K103" i="10"/>
  <c r="J103" i="10"/>
  <c r="F55" i="10"/>
  <c r="D61" i="10" s="1"/>
  <c r="F61" i="10" s="1"/>
  <c r="F50" i="10"/>
  <c r="F48" i="10"/>
  <c r="Q27" i="10"/>
  <c r="O27" i="10"/>
  <c r="M27" i="10"/>
  <c r="K27" i="10"/>
  <c r="G11" i="10"/>
  <c r="G10" i="10"/>
  <c r="G9" i="10"/>
  <c r="G8" i="10"/>
  <c r="O113" i="9"/>
  <c r="K113" i="9"/>
  <c r="J113" i="9"/>
  <c r="O103" i="9"/>
  <c r="K103" i="9"/>
  <c r="J103" i="9"/>
  <c r="F55" i="9"/>
  <c r="D61" i="9" s="1"/>
  <c r="F61" i="9" s="1"/>
  <c r="F50" i="9"/>
  <c r="F48" i="9"/>
  <c r="Q27" i="9"/>
  <c r="O27" i="9"/>
  <c r="M27" i="9"/>
  <c r="K27" i="9"/>
  <c r="G11" i="9"/>
  <c r="G10" i="9"/>
  <c r="G9" i="9"/>
  <c r="G8" i="9"/>
  <c r="G14" i="10" l="1"/>
  <c r="G14" i="9"/>
  <c r="O113" i="8" l="1"/>
  <c r="K113" i="8"/>
  <c r="J113" i="8"/>
  <c r="O103" i="8"/>
  <c r="K103" i="8"/>
  <c r="J103" i="8"/>
  <c r="F55" i="8"/>
  <c r="D61" i="8" s="1"/>
  <c r="F61" i="8" s="1"/>
  <c r="F50" i="8"/>
  <c r="F48" i="8"/>
  <c r="Q27" i="8"/>
  <c r="O27" i="8"/>
  <c r="M27" i="8"/>
  <c r="K27" i="8"/>
  <c r="G11" i="8"/>
  <c r="G10" i="8"/>
  <c r="G9" i="8"/>
  <c r="G8" i="8"/>
  <c r="G14" i="8" l="1"/>
  <c r="O113" i="7" l="1"/>
  <c r="K113" i="7"/>
  <c r="J113" i="7"/>
  <c r="O103" i="7"/>
  <c r="K103" i="7"/>
  <c r="J103" i="7"/>
  <c r="F55" i="7"/>
  <c r="D61" i="7" s="1"/>
  <c r="F61" i="7" s="1"/>
  <c r="F50" i="7"/>
  <c r="F48" i="7"/>
  <c r="Q27" i="7"/>
  <c r="O27" i="7"/>
  <c r="M27" i="7"/>
  <c r="K27" i="7"/>
  <c r="G11" i="7"/>
  <c r="G10" i="7"/>
  <c r="G9" i="7"/>
  <c r="G8" i="7"/>
  <c r="O113" i="6"/>
  <c r="K113" i="6"/>
  <c r="J113" i="6"/>
  <c r="O103" i="6"/>
  <c r="K103" i="6"/>
  <c r="J103" i="6"/>
  <c r="F55" i="6"/>
  <c r="D61" i="6" s="1"/>
  <c r="F61" i="6" s="1"/>
  <c r="F50" i="6"/>
  <c r="F48" i="6"/>
  <c r="Q27" i="6"/>
  <c r="O27" i="6"/>
  <c r="M27" i="6"/>
  <c r="K27" i="6"/>
  <c r="G11" i="6"/>
  <c r="G10" i="6"/>
  <c r="G9" i="6"/>
  <c r="G8" i="6"/>
  <c r="O113" i="5"/>
  <c r="K113" i="5"/>
  <c r="J113" i="5"/>
  <c r="O103" i="5"/>
  <c r="K103" i="5"/>
  <c r="J103" i="5"/>
  <c r="F55" i="5"/>
  <c r="D61" i="5" s="1"/>
  <c r="F61" i="5" s="1"/>
  <c r="F50" i="5"/>
  <c r="F48" i="5"/>
  <c r="Q27" i="5"/>
  <c r="O27" i="5"/>
  <c r="M27" i="5"/>
  <c r="K27" i="5"/>
  <c r="G11" i="5"/>
  <c r="G10" i="5"/>
  <c r="G9" i="5"/>
  <c r="G8" i="5"/>
  <c r="G9" i="4"/>
  <c r="G10" i="4"/>
  <c r="G11" i="4"/>
  <c r="O113" i="4"/>
  <c r="K113" i="4"/>
  <c r="J113" i="4"/>
  <c r="O103" i="4"/>
  <c r="K103" i="4"/>
  <c r="J103" i="4"/>
  <c r="F55" i="4"/>
  <c r="D61" i="4" s="1"/>
  <c r="F61" i="4" s="1"/>
  <c r="F50" i="4"/>
  <c r="F48" i="4"/>
  <c r="Q27" i="4"/>
  <c r="O27" i="4"/>
  <c r="M27" i="4"/>
  <c r="K27" i="4"/>
  <c r="G8" i="4"/>
  <c r="G14" i="7" l="1"/>
  <c r="G14" i="6"/>
  <c r="G14" i="5"/>
  <c r="G14" i="4"/>
  <c r="O113" i="3" l="1"/>
  <c r="K113" i="3"/>
  <c r="J113" i="3"/>
  <c r="O103" i="3"/>
  <c r="K103" i="3"/>
  <c r="J103" i="3"/>
  <c r="F55" i="3"/>
  <c r="D61" i="3" s="1"/>
  <c r="F61" i="3" s="1"/>
  <c r="F50" i="3"/>
  <c r="F48" i="3"/>
  <c r="Q27" i="3"/>
  <c r="O27" i="3"/>
  <c r="M27" i="3"/>
  <c r="K27" i="3"/>
  <c r="G11" i="3"/>
  <c r="G10" i="3"/>
  <c r="G9" i="3"/>
  <c r="G8" i="3"/>
  <c r="G14" i="3" l="1"/>
  <c r="O113" i="2" l="1"/>
  <c r="K113" i="2"/>
  <c r="J113" i="2"/>
  <c r="O103" i="2"/>
  <c r="K103" i="2"/>
  <c r="J103" i="2"/>
  <c r="F55" i="2"/>
  <c r="D61" i="2" s="1"/>
  <c r="F61" i="2" s="1"/>
  <c r="F50" i="2"/>
  <c r="F48" i="2"/>
  <c r="Q27" i="2"/>
  <c r="O27" i="2"/>
  <c r="M27" i="2"/>
  <c r="K27" i="2"/>
  <c r="G11" i="2"/>
  <c r="G10" i="2"/>
  <c r="G9" i="2"/>
  <c r="G8" i="2"/>
  <c r="G14" i="2" s="1"/>
  <c r="O113" i="1"/>
  <c r="K113" i="1"/>
  <c r="J113" i="1"/>
  <c r="O103" i="1"/>
  <c r="K103" i="1"/>
  <c r="J103" i="1"/>
  <c r="F55" i="1"/>
  <c r="D61" i="1" s="1"/>
  <c r="F61" i="1" s="1"/>
  <c r="F50" i="1"/>
  <c r="F48" i="1"/>
  <c r="Q27" i="1"/>
  <c r="O27" i="1"/>
  <c r="M27" i="1"/>
  <c r="K27" i="1"/>
  <c r="G11" i="1"/>
  <c r="G10" i="1"/>
  <c r="G9" i="1"/>
  <c r="G8" i="1"/>
  <c r="G14" i="1" l="1"/>
</calcChain>
</file>

<file path=xl/sharedStrings.xml><?xml version="1.0" encoding="utf-8"?>
<sst xmlns="http://schemas.openxmlformats.org/spreadsheetml/2006/main" count="2754" uniqueCount="262">
  <si>
    <t>DAILY PRODUCTION AND OPERATION</t>
  </si>
  <si>
    <t xml:space="preserve">
</t>
  </si>
  <si>
    <t>SHIFT</t>
  </si>
  <si>
    <t>MESH SIZES</t>
  </si>
  <si>
    <t>#SACKS/BAGS</t>
  </si>
  <si>
    <t>#KILOS</t>
  </si>
  <si>
    <t>TOTAL</t>
  </si>
  <si>
    <t>COMPLETELY LOADED VAN (CEBU 3X50)</t>
  </si>
  <si>
    <t xml:space="preserve">VAN NO.
</t>
  </si>
  <si>
    <t xml:space="preserve">VAN NO.
</t>
  </si>
  <si>
    <t>CEBU 3X50</t>
  </si>
  <si>
    <t>LOADED KOREA POWDER</t>
  </si>
  <si>
    <t xml:space="preserve">LOADERS:
</t>
  </si>
  <si>
    <t>4X8</t>
  </si>
  <si>
    <t>KOREA POWDER (BAGGED)</t>
  </si>
  <si>
    <t xml:space="preserve">  </t>
  </si>
  <si>
    <t>NOTE:</t>
  </si>
  <si>
    <t>INVERTER: 29:29</t>
  </si>
  <si>
    <t xml:space="preserve"> </t>
  </si>
  <si>
    <t>CHARCOAL FED</t>
  </si>
  <si>
    <t>RC</t>
  </si>
  <si>
    <t>PC</t>
  </si>
  <si>
    <t>1ST SHIFT</t>
  </si>
  <si>
    <t>SACKS</t>
  </si>
  <si>
    <t>BAGS</t>
  </si>
  <si>
    <t>OLD STOCK 3X50 KURARAY (BAGS)</t>
  </si>
  <si>
    <t>2X6 (BAGS)</t>
  </si>
  <si>
    <t>REPAIR</t>
  </si>
  <si>
    <t>DURATION</t>
  </si>
  <si>
    <t>OVERTIME</t>
  </si>
  <si>
    <t>Total</t>
  </si>
  <si>
    <t xml:space="preserve">10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</si>
  <si>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DAILY PC STOCKPILE</t>
  </si>
  <si>
    <t>BLOCK #</t>
  </si>
  <si>
    <t>STOCKPILE #</t>
  </si>
  <si>
    <t>BLOCK 8</t>
  </si>
  <si>
    <t>RC(TANK LEVEL)</t>
  </si>
  <si>
    <t>STOCKPILE ADDED</t>
  </si>
  <si>
    <t>ESTIMATED REMAINING RC STOCK</t>
  </si>
  <si>
    <t>9 TON(S) ESTIMATED</t>
  </si>
  <si>
    <t>DUMP TRUCK</t>
  </si>
  <si>
    <t>ABOG</t>
  </si>
  <si>
    <t>SOIL/STONES</t>
  </si>
  <si>
    <t>TUBIG</t>
  </si>
  <si>
    <t>BASURA</t>
  </si>
  <si>
    <t>SACK</t>
  </si>
  <si>
    <t>DELIVERIES</t>
  </si>
  <si>
    <t>Truck Plate No.</t>
  </si>
  <si>
    <t xml:space="preserve">Departure Date:
Meter Reading (kwh) </t>
  </si>
  <si>
    <t>Arrival Date:
Meter Reading (kwh)</t>
  </si>
  <si>
    <t>Total distance traveled</t>
  </si>
  <si>
    <t>Liters issued</t>
  </si>
  <si>
    <t>Starting fuel</t>
  </si>
  <si>
    <t>Arriving fuel</t>
  </si>
  <si>
    <t>Weekly Fuel Issued (Liters)</t>
  </si>
  <si>
    <t>AAV 6111</t>
  </si>
  <si>
    <t>more than 1/2</t>
  </si>
  <si>
    <t>less than 1/8</t>
  </si>
  <si>
    <t>KCA 378</t>
  </si>
  <si>
    <t>Current Consumption (Kwh)</t>
  </si>
  <si>
    <t>PREVIOUS READING</t>
  </si>
  <si>
    <t>PRESENT READING</t>
  </si>
  <si>
    <t>KWH DIFFERENCE</t>
  </si>
  <si>
    <t>KWH READING DIFFERENCE</t>
  </si>
  <si>
    <t>METER MULTIPLIER SET BY DAVAO LIGHT</t>
  </si>
  <si>
    <t>CONSUMPTION (KWH)</t>
  </si>
  <si>
    <t>.</t>
  </si>
  <si>
    <t>BUNK HOUSE &amp; WATER PUMP</t>
  </si>
  <si>
    <t>CURRENT READING</t>
  </si>
  <si>
    <t>BUNKHOUSE</t>
  </si>
  <si>
    <t>PUMP</t>
  </si>
  <si>
    <t>SUNDRY</t>
  </si>
  <si>
    <t>REMARKS:</t>
  </si>
  <si>
    <r>
      <t>COMPLETELY DRIED</t>
    </r>
    <r>
      <rPr>
        <b/>
        <sz val="11"/>
        <color rgb="FFFF0000"/>
        <rFont val="Aptos Narrow"/>
        <family val="2"/>
        <scheme val="minor"/>
      </rPr>
      <t>//</t>
    </r>
    <r>
      <rPr>
        <b/>
        <sz val="11"/>
        <color theme="1"/>
        <rFont val="Aptos Narrow"/>
        <family val="2"/>
        <scheme val="minor"/>
      </rPr>
      <t>RE-DRIED</t>
    </r>
  </si>
  <si>
    <t xml:space="preserve">MAGNET </t>
  </si>
  <si>
    <t>DAY SHIFT (1ST SHIFT)</t>
  </si>
  <si>
    <t>NIGHT SHIFT (2ND SHIFT)</t>
  </si>
  <si>
    <t>BAG NO.</t>
  </si>
  <si>
    <t>Bags</t>
  </si>
  <si>
    <t>Waste</t>
  </si>
  <si>
    <t>Unit</t>
  </si>
  <si>
    <t>(Magnet #1)</t>
  </si>
  <si>
    <t xml:space="preserve">kgs </t>
  </si>
  <si>
    <t>kgs</t>
  </si>
  <si>
    <r>
      <t xml:space="preserve">(Magnet #2) </t>
    </r>
    <r>
      <rPr>
        <b/>
        <sz val="11"/>
        <color rgb="FFFF0000"/>
        <rFont val="Aptos Narrow"/>
        <family val="2"/>
        <scheme val="minor"/>
      </rPr>
      <t xml:space="preserve"> </t>
    </r>
  </si>
  <si>
    <t xml:space="preserve">(Magnet #2) </t>
  </si>
  <si>
    <t>(Magnet #3)</t>
  </si>
  <si>
    <t xml:space="preserve"> 2X6</t>
  </si>
  <si>
    <t>AYAG</t>
  </si>
  <si>
    <t>DAY SHIFT</t>
  </si>
  <si>
    <t>under</t>
  </si>
  <si>
    <t>unit</t>
  </si>
  <si>
    <t>over</t>
  </si>
  <si>
    <r>
      <t xml:space="preserve">RS ST-2 
</t>
    </r>
    <r>
      <rPr>
        <b/>
        <sz val="11"/>
        <color rgb="FFFF0000"/>
        <rFont val="Aptos Narrow"/>
        <family val="2"/>
        <scheme val="minor"/>
      </rPr>
      <t>4X8</t>
    </r>
    <r>
      <rPr>
        <sz val="11"/>
        <rFont val="Aptos Narrow"/>
        <family val="2"/>
        <scheme val="minor"/>
      </rPr>
      <t xml:space="preserve">
</t>
    </r>
  </si>
  <si>
    <t>TOTAL UNDERSIZE</t>
  </si>
  <si>
    <t>TOTAL OVERSIZE</t>
  </si>
  <si>
    <t>TOTAL BAGS</t>
  </si>
  <si>
    <r>
      <t xml:space="preserve">RS ST-5 
</t>
    </r>
    <r>
      <rPr>
        <b/>
        <sz val="11"/>
        <color rgb="FFFF0000"/>
        <rFont val="Aptos Narrow"/>
        <family val="2"/>
        <scheme val="minor"/>
      </rPr>
      <t>4X8</t>
    </r>
    <r>
      <rPr>
        <sz val="11"/>
        <rFont val="Aptos Narrow"/>
        <family val="2"/>
        <scheme val="minor"/>
      </rPr>
      <t xml:space="preserve">
</t>
    </r>
  </si>
  <si>
    <t xml:space="preserve">AYAG </t>
  </si>
  <si>
    <t xml:space="preserve">   </t>
  </si>
  <si>
    <r>
      <t xml:space="preserve">RS ST-2 
</t>
    </r>
    <r>
      <rPr>
        <b/>
        <sz val="11"/>
        <color rgb="FFFF0000"/>
        <rFont val="Aptos Narrow"/>
        <family val="2"/>
        <scheme val="minor"/>
      </rPr>
      <t>2X6</t>
    </r>
  </si>
  <si>
    <r>
      <t xml:space="preserve">RS ST-5 
</t>
    </r>
    <r>
      <rPr>
        <b/>
        <sz val="11"/>
        <color rgb="FFFF0000"/>
        <rFont val="Aptos Narrow"/>
        <family val="2"/>
        <scheme val="minor"/>
      </rPr>
      <t>2X6</t>
    </r>
  </si>
  <si>
    <t>RE-CLASSIFY</t>
  </si>
  <si>
    <t>UNDER (KG)</t>
  </si>
  <si>
    <t>OVER (KG)</t>
  </si>
  <si>
    <t>CHARCOAL GRADE</t>
  </si>
  <si>
    <t>QUANTITY (SACKS/BAGS)</t>
  </si>
  <si>
    <t>WEIGHT</t>
  </si>
  <si>
    <t>FROM</t>
  </si>
  <si>
    <t>9X50</t>
  </si>
  <si>
    <t>TO</t>
  </si>
  <si>
    <t>RC 7x70</t>
  </si>
  <si>
    <t>BLENDING</t>
  </si>
  <si>
    <t>BLENDED WITH 5 SACKS OF FILTER DUST.</t>
  </si>
  <si>
    <t>RE-BAGGING</t>
  </si>
  <si>
    <t xml:space="preserve">2X6 &amp; 2X5 (3:1) BLENDING </t>
  </si>
  <si>
    <t>QUANTITY</t>
  </si>
  <si>
    <t>6X50 BLENDING</t>
  </si>
  <si>
    <t xml:space="preserve">BAG NO.
</t>
  </si>
  <si>
    <t>3X50</t>
  </si>
  <si>
    <t>3X50 FLECON BAGS TO SACKS</t>
  </si>
  <si>
    <t>LOCAL POWDER (PCG)</t>
  </si>
  <si>
    <t>LOCAL POWDER (BUNAWAN)</t>
  </si>
  <si>
    <t>LOCAL POWDER (ZAMBOANGA)</t>
  </si>
  <si>
    <t>RS EQUIPMENT</t>
  </si>
  <si>
    <t>BAGS CONTAMINATED WITH PLASTIC STRIPS</t>
  </si>
  <si>
    <t>RS 1</t>
  </si>
  <si>
    <t>BLOWERED BAGS/CLEANED BAGS (3X50)</t>
  </si>
  <si>
    <t>WASTE</t>
  </si>
  <si>
    <t>RE-SACKING</t>
  </si>
  <si>
    <t>WEIGHT ADJUSTMENT</t>
  </si>
  <si>
    <t>3x50</t>
  </si>
  <si>
    <t>FROM 20 KG TO 25 KG</t>
  </si>
  <si>
    <t xml:space="preserve">GRADE </t>
  </si>
  <si>
    <t>BAG QUANTITY</t>
  </si>
  <si>
    <t>RC 9X50</t>
  </si>
  <si>
    <t>JULY 2, 2026</t>
  </si>
  <si>
    <t>DETAILS:
GSSU-202421-4 - 705 SACKS WITH 1 SACK COCONUT HUSK
GSSU-203370-4 - 690 SACKS WITH 1 SACK COCONUT HUSK
WFHU-145463-0 - 706 SACKS WITH 1 SACK COCONUT HUSK</t>
  </si>
  <si>
    <t>#45, 55, 77</t>
  </si>
  <si>
    <t>#59</t>
  </si>
  <si>
    <t>#62</t>
  </si>
  <si>
    <t>#61</t>
  </si>
  <si>
    <t xml:space="preserve">VAN NO.
GSSU-203370-4 </t>
  </si>
  <si>
    <t>LOADERS: 
BANTAYAN, NESTOR
ABUCAY, MICHAEL
TOMAS, JULITO</t>
  </si>
  <si>
    <t>LOADERS:
SULTAN, ROBEN
GARCIA, ARNOLD
BANTAYAN, NESTOR</t>
  </si>
  <si>
    <t xml:space="preserve">CLEANED SCREENS RS 2A, RS 2B, AND TANK 4X8; CHECK ROLLER MILL #1 GAP 2.3 MM
</t>
  </si>
  <si>
    <t>15 (FULL), 16 (HALF)</t>
  </si>
  <si>
    <t>#73, 72</t>
  </si>
  <si>
    <t>#79, 71</t>
  </si>
  <si>
    <t>#78, 74</t>
  </si>
  <si>
    <t>VAN NO.: WFHU-145463-0
                        GSSU-202421-4</t>
  </si>
  <si>
    <t xml:space="preserve">8:00 AM-8:10 AM
</t>
  </si>
  <si>
    <t>JULY 3, 2026</t>
  </si>
  <si>
    <t xml:space="preserve">DETAILS:
</t>
  </si>
  <si>
    <t xml:space="preserve">LOADERS: 
</t>
  </si>
  <si>
    <t xml:space="preserve">VAN NO.
</t>
  </si>
  <si>
    <t xml:space="preserve">VAN NO.: </t>
  </si>
  <si>
    <t>16 (FULL), 17 (HALF)</t>
  </si>
  <si>
    <t>#48, 53, 52</t>
  </si>
  <si>
    <t>#80, 75</t>
  </si>
  <si>
    <t>#77, 79</t>
  </si>
  <si>
    <t>#78, 73</t>
  </si>
  <si>
    <t>#47, 50, 76</t>
  </si>
  <si>
    <t>#51, 63 (RE-AYAG)
#49</t>
  </si>
  <si>
    <t xml:space="preserve">CLEANED SCREENS RS 2A, RS 2B, AND TANK 4X8
</t>
  </si>
  <si>
    <t>4 TON(S) ESTIMATED</t>
  </si>
  <si>
    <t>#64, 65 (RE-AYAG)</t>
  </si>
  <si>
    <t>#56</t>
  </si>
  <si>
    <t>#101, 46</t>
  </si>
  <si>
    <t>#100, 67</t>
  </si>
  <si>
    <t>#92</t>
  </si>
  <si>
    <t>#93</t>
  </si>
  <si>
    <t>BLOCK 8
BLOCK 5</t>
  </si>
  <si>
    <t>17 (FULL)
1 (FULL) &amp; 2 (1/4)</t>
  </si>
  <si>
    <t>JULY 4, 2026</t>
  </si>
  <si>
    <t>MATI</t>
  </si>
  <si>
    <t>6 TON(S) ESTIMATED</t>
  </si>
  <si>
    <t xml:space="preserve">8:00 AM-9:40 AM
</t>
  </si>
  <si>
    <t xml:space="preserve">1 HOUR &amp; 40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</si>
  <si>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MONTHLY MASS; CLEANED SCREENS RS 2A, RS 2B, AND TANK 4X8
</t>
  </si>
  <si>
    <t>BLOCK 5</t>
  </si>
  <si>
    <t>2 (FULL) &amp; 3 (HALF)</t>
  </si>
  <si>
    <t>#68, 62, 70, 66
(RE-AYAG)</t>
  </si>
  <si>
    <t>#113, 61</t>
  </si>
  <si>
    <t>#96, 75</t>
  </si>
  <si>
    <t>#97, 115, 105</t>
  </si>
  <si>
    <t>7 TON(S) ESTIMATED</t>
  </si>
  <si>
    <t xml:space="preserve">7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</si>
  <si>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8:00 AM-8:07 AM
12:20 PM-1:30 PM</t>
  </si>
  <si>
    <t>CLEANED SCREENS RS 2A, RS 2B
REPAIR SCREEN 1 PC CONNECTED TO FRAME 3</t>
  </si>
  <si>
    <t>5:10-5:58 PM</t>
  </si>
  <si>
    <t>STOP HAMMER MILL 2; CHANGED PILLOW BLOCK BEARING 1 PC CONNECTED TO RS 2B</t>
  </si>
  <si>
    <t>JULY 6, 2026</t>
  </si>
  <si>
    <t>JULY 7, 2026</t>
  </si>
  <si>
    <t>3 (FULL) &amp; 4 (HALF)</t>
  </si>
  <si>
    <t xml:space="preserve">8:00 AM-8:07 AM
</t>
  </si>
  <si>
    <t>JULY 8, 2026</t>
  </si>
  <si>
    <t xml:space="preserve">12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</si>
  <si>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8:00 AM-8:12 AM
</t>
  </si>
  <si>
    <t>7:00 PM-7:10 PM</t>
  </si>
  <si>
    <t>STOP RS 2A CHANGED 2 PCS SPRING</t>
  </si>
  <si>
    <t>4 (FULL) &amp; 5 (HALF)</t>
  </si>
  <si>
    <t>#139</t>
  </si>
  <si>
    <t>#126</t>
  </si>
  <si>
    <t>#124</t>
  </si>
  <si>
    <t>10 TON(S) ESTIMATED</t>
  </si>
  <si>
    <t>JULY 9, 2026</t>
  </si>
  <si>
    <t>5 (FULL) &amp; 6 (3/4)</t>
  </si>
  <si>
    <t>#157</t>
  </si>
  <si>
    <t>#162</t>
  </si>
  <si>
    <t>#159, 161</t>
  </si>
  <si>
    <t>#131</t>
  </si>
  <si>
    <t>#125</t>
  </si>
  <si>
    <t>#133</t>
  </si>
  <si>
    <t>MANIKLING</t>
  </si>
  <si>
    <t xml:space="preserve">28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</si>
  <si>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8:00 AM-8:28 AM
8:50 AM-9:00 AM
12:08 PM-1:55 PM</t>
  </si>
  <si>
    <t xml:space="preserve">CLEANED SCREENS RS 2A, RS 2B, AND RS CHANGED SPRING 1 PC AND CHECK THE GAP OF THE ROLLER MILL #1 (2.3 MM)
CHANGED RUBBER TUBE SMALL 1 PC
SINGLE FEEDER SC #9 ADJUST INVERTER TO 45; STOPPED TROMMEL 2A CHANGED WHEEL 2 PCS CONNECTED TO SC #8 AND BACK TO NORMAL OPERATION INVERTER 29:29
</t>
  </si>
  <si>
    <t>14 TON(S) ESTIMATED</t>
  </si>
  <si>
    <t>JULY 10, 2026</t>
  </si>
  <si>
    <t>#175</t>
  </si>
  <si>
    <t>#174</t>
  </si>
  <si>
    <t>#176</t>
  </si>
  <si>
    <t xml:space="preserve">8:00 AM-8:15 AM
</t>
  </si>
  <si>
    <t xml:space="preserve">15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</si>
  <si>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CLEANED SCREENS RS 2A, RS 2B, CHANGED SPRING RS 2 1 PC</t>
  </si>
  <si>
    <t>6 (FULL) &amp; 7 (FULL)</t>
  </si>
  <si>
    <t>18 TON(S) ESTIMATED</t>
  </si>
  <si>
    <t>SULOP</t>
  </si>
  <si>
    <t>JULY 11, 2026</t>
  </si>
  <si>
    <t>8 (FULL) &amp; 9 (1/4)</t>
  </si>
  <si>
    <t>20 TON(S) ESTIMATED</t>
  </si>
  <si>
    <t xml:space="preserve">8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</si>
  <si>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8:00 AM-8:08 AM
3:50 PM-4:21 PM
</t>
  </si>
  <si>
    <t>CLEANED SCREENS RS 2A, RS 2B, CHANGED SPRING RS 2A 1 PC
SINGLE FEEDER SC #8 ADJUST INVERTER TO 45, STOPPED TROMMEL 2A REMOVED WHEEL 1 PC CONNECTED TO SC #9 THEN BACK TO 29:29 INVERTER</t>
  </si>
  <si>
    <t>JULY 13, 2026</t>
  </si>
  <si>
    <t>DETAILS:
NCLU-201125-0 - 685 SACKS
NCLU-201236-4 - 687 SACKS</t>
  </si>
  <si>
    <t>#184, 183</t>
  </si>
  <si>
    <t>#195, 200</t>
  </si>
  <si>
    <t>#194, 189, 196</t>
  </si>
  <si>
    <t>9 (FULL) &amp; 10 (3/4)</t>
  </si>
  <si>
    <t>VAN NO.: 
NCLU-201125-0</t>
  </si>
  <si>
    <t>LOADERS: 
NORADA, MARLON
LEBRIRO, ANGELO
MONTAÑES, RONARD</t>
  </si>
  <si>
    <t>VAN NO.
NCLU-201236-4</t>
  </si>
  <si>
    <t xml:space="preserve">LOADERS:
SARONA, JONATHAN
LACAY, MERO
GARCIA, ARNOLD
BANTAYAN, NESTOR </t>
  </si>
  <si>
    <t>21 TON(S) ESTIMATED</t>
  </si>
  <si>
    <t xml:space="preserve">CLEANED SCREENS RS 2A, RS 2B
</t>
  </si>
  <si>
    <t>JULY 14, 2026</t>
  </si>
  <si>
    <t>DETAILS:
WFHU-134629-7 - 682 SACKS (GOTHONG)
GSSU-205027-6 - 685 SACKS (GOTHONG)
NCLU-201266-2 - 686 SACKS (LORENZO)</t>
  </si>
  <si>
    <t>10 (FULL) &amp; 11 (3/4)</t>
  </si>
  <si>
    <t>#202, 198</t>
  </si>
  <si>
    <t>#206, 197</t>
  </si>
  <si>
    <t>#203, 207</t>
  </si>
  <si>
    <t>#196</t>
  </si>
  <si>
    <t>VAN NO.: 
WFHU-134629-7
GSSU-205027-6</t>
  </si>
  <si>
    <t>LOADERS: 
SARONA, JONATHAN
LIBRIRO, ANGELO
MONTAÑES, RONARD
LACAY, MERO
GARCIA, ARNOLD
NORADA, MARLON
SULTAN, ROBEN
DUROPAN, ARIEL</t>
  </si>
  <si>
    <t>VAN NO.
NCLU-201266-2</t>
  </si>
  <si>
    <t>LOADERS:
SARONA, JONATHAN
LIBRIRO, ANGELO
MONTAÑES, RONARD
LACAY, MERO
NORADA, MARLON</t>
  </si>
  <si>
    <t xml:space="preserve">2 HOURS &amp; 3 MINUTES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</si>
  <si>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8:00 AM-10:03 AM
3:22 PM</t>
  </si>
  <si>
    <t>CLEANED SCREENS RS 1A, RS 1B, RS 2A, RS 2B, AND RS 3 AND CHANGED RS 5 SCREENS 4 PCS
SINGLE FEEDER SC #8 ADJUST INVERTER TO 45; STOPPED TROMMEL 2A CHANGED WHEEL 1 PC CONNECTED TO SC #9 THEN BACK TO NORMAL OPERATION</t>
  </si>
  <si>
    <t>28 TON(S) 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</si>
</sst>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.0_-;\-* #,##0.0_-;_-* &quot;-&quot;?_-;_-@_-"/>
    <numFmt numFmtId="166" formatCode="#,##0.0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19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1"/>
    <xf numFmtId="0" fontId="5" fillId="0" borderId="0" xfId="1" applyFont="1"/>
    <xf numFmtId="0" fontId="5" fillId="0" borderId="0" xfId="1" applyFont="1" applyAlignment="1">
      <alignment wrapText="1"/>
    </xf>
    <xf numFmtId="0" fontId="3" fillId="0" borderId="13" xfId="1" applyFont="1" applyBorder="1" applyAlignment="1">
      <alignment horizontal="center" vertical="center"/>
    </xf>
    <xf numFmtId="0" fontId="9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/>
    </xf>
    <xf numFmtId="0" fontId="3" fillId="0" borderId="16" xfId="1" applyFont="1" applyBorder="1" applyAlignment="1">
      <alignment horizontal="center" vertical="center"/>
    </xf>
    <xf numFmtId="3" fontId="1" fillId="0" borderId="16" xfId="1" applyNumberForma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3" fontId="1" fillId="0" borderId="17" xfId="1" applyNumberForma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/>
    <xf numFmtId="0" fontId="12" fillId="0" borderId="18" xfId="1" applyFont="1" applyBorder="1" applyAlignment="1">
      <alignment horizontal="center" vertical="center"/>
    </xf>
    <xf numFmtId="0" fontId="14" fillId="0" borderId="0" xfId="1" applyFont="1" applyAlignment="1">
      <alignment vertical="top" wrapText="1"/>
    </xf>
    <xf numFmtId="0" fontId="8" fillId="0" borderId="0" xfId="1" applyFont="1" applyAlignment="1">
      <alignment vertical="top"/>
    </xf>
    <xf numFmtId="0" fontId="8" fillId="0" borderId="0" xfId="1" applyFont="1" applyAlignment="1">
      <alignment vertical="top" wrapText="1"/>
    </xf>
    <xf numFmtId="0" fontId="11" fillId="0" borderId="0" xfId="1" applyFont="1" applyAlignment="1">
      <alignment horizontal="center" vertical="center"/>
    </xf>
    <xf numFmtId="0" fontId="12" fillId="2" borderId="20" xfId="1" applyFont="1" applyFill="1" applyBorder="1" applyAlignment="1">
      <alignment horizontal="left" vertical="center"/>
    </xf>
    <xf numFmtId="0" fontId="12" fillId="0" borderId="20" xfId="1" applyFont="1" applyBorder="1" applyAlignment="1">
      <alignment horizontal="left" vertical="center"/>
    </xf>
    <xf numFmtId="0" fontId="14" fillId="0" borderId="0" xfId="1" applyFont="1" applyAlignment="1">
      <alignment vertical="top"/>
    </xf>
    <xf numFmtId="0" fontId="12" fillId="0" borderId="20" xfId="1" applyFont="1" applyBorder="1" applyAlignment="1">
      <alignment vertical="center"/>
    </xf>
    <xf numFmtId="0" fontId="1" fillId="0" borderId="24" xfId="1" applyBorder="1"/>
    <xf numFmtId="3" fontId="1" fillId="0" borderId="25" xfId="1" applyNumberFormat="1" applyBorder="1"/>
    <xf numFmtId="0" fontId="11" fillId="0" borderId="0" xfId="1" applyFont="1" applyAlignment="1">
      <alignment horizontal="center" vertical="center" wrapText="1"/>
    </xf>
    <xf numFmtId="0" fontId="10" fillId="0" borderId="0" xfId="1" applyFont="1" applyAlignment="1">
      <alignment wrapText="1"/>
    </xf>
    <xf numFmtId="0" fontId="15" fillId="0" borderId="0" xfId="1" applyFon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0" fontId="3" fillId="0" borderId="0" xfId="1" applyFont="1" applyAlignment="1">
      <alignment horizontal="center" vertical="center"/>
    </xf>
    <xf numFmtId="46" fontId="16" fillId="0" borderId="0" xfId="1" applyNumberFormat="1" applyFont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17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13" xfId="1" applyBorder="1"/>
    <xf numFmtId="0" fontId="1" fillId="0" borderId="40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3" fontId="1" fillId="0" borderId="18" xfId="2" applyNumberFormat="1" applyBorder="1" applyAlignment="1">
      <alignment horizontal="center" vertical="center"/>
    </xf>
    <xf numFmtId="0" fontId="1" fillId="0" borderId="24" xfId="1" applyBorder="1" applyAlignment="1">
      <alignment horizontal="center" wrapText="1"/>
    </xf>
    <xf numFmtId="0" fontId="1" fillId="0" borderId="42" xfId="1" applyBorder="1" applyAlignment="1">
      <alignment horizontal="center" vertical="center"/>
    </xf>
    <xf numFmtId="3" fontId="3" fillId="0" borderId="29" xfId="2" applyNumberFormat="1" applyFont="1" applyBorder="1" applyAlignment="1">
      <alignment horizontal="center" vertical="center"/>
    </xf>
    <xf numFmtId="14" fontId="2" fillId="0" borderId="0" xfId="2" applyNumberFormat="1" applyFont="1" applyAlignment="1">
      <alignment horizontal="center" vertical="center"/>
    </xf>
    <xf numFmtId="20" fontId="19" fillId="0" borderId="0" xfId="2" applyNumberFormat="1" applyFont="1" applyAlignment="1">
      <alignment horizontal="center" vertical="center"/>
    </xf>
    <xf numFmtId="0" fontId="1" fillId="0" borderId="0" xfId="2" applyAlignment="1">
      <alignment horizontal="center" vertical="center"/>
    </xf>
    <xf numFmtId="18" fontId="1" fillId="0" borderId="0" xfId="2" applyNumberFormat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3" fillId="0" borderId="5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58" xfId="1" applyFont="1" applyBorder="1" applyAlignment="1">
      <alignment horizontal="center" vertical="center" wrapText="1"/>
    </xf>
    <xf numFmtId="0" fontId="3" fillId="0" borderId="59" xfId="1" applyFont="1" applyBorder="1" applyAlignment="1">
      <alignment horizontal="center" vertical="center" wrapText="1"/>
    </xf>
    <xf numFmtId="0" fontId="3" fillId="0" borderId="62" xfId="1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165" fontId="1" fillId="0" borderId="0" xfId="1" applyNumberForma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43" fontId="1" fillId="0" borderId="0" xfId="1" applyNumberFormat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" fillId="0" borderId="0" xfId="1" applyFont="1"/>
    <xf numFmtId="0" fontId="3" fillId="3" borderId="18" xfId="1" applyFont="1" applyFill="1" applyBorder="1" applyAlignment="1">
      <alignment horizontal="center" vertical="center" wrapText="1"/>
    </xf>
    <xf numFmtId="4" fontId="3" fillId="0" borderId="29" xfId="1" applyNumberFormat="1" applyFont="1" applyBorder="1" applyAlignment="1">
      <alignment horizontal="right" vertical="center"/>
    </xf>
    <xf numFmtId="4" fontId="3" fillId="0" borderId="32" xfId="1" applyNumberFormat="1" applyFont="1" applyBorder="1" applyAlignment="1">
      <alignment horizontal="right" vertical="center"/>
    </xf>
    <xf numFmtId="0" fontId="21" fillId="0" borderId="0" xfId="1" applyFont="1" applyAlignment="1">
      <alignment vertical="center" wrapText="1"/>
    </xf>
    <xf numFmtId="0" fontId="1" fillId="0" borderId="49" xfId="1" applyBorder="1" applyAlignment="1">
      <alignment horizontal="center" vertical="center" wrapText="1"/>
    </xf>
    <xf numFmtId="0" fontId="1" fillId="0" borderId="71" xfId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" fillId="0" borderId="54" xfId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1" fillId="0" borderId="64" xfId="1" applyBorder="1" applyAlignment="1">
      <alignment horizontal="center" vertical="center" wrapText="1"/>
    </xf>
    <xf numFmtId="0" fontId="3" fillId="0" borderId="66" xfId="1" applyFont="1" applyBorder="1" applyAlignment="1">
      <alignment horizontal="center" vertical="center"/>
    </xf>
    <xf numFmtId="0" fontId="29" fillId="0" borderId="15" xfId="1" applyFont="1" applyBorder="1" applyAlignment="1">
      <alignment horizontal="center" vertical="center" wrapText="1"/>
    </xf>
    <xf numFmtId="0" fontId="3" fillId="0" borderId="74" xfId="1" applyFont="1" applyBorder="1" applyAlignment="1">
      <alignment horizontal="center" vertical="center"/>
    </xf>
    <xf numFmtId="166" fontId="1" fillId="0" borderId="0" xfId="1" applyNumberFormat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0" fontId="11" fillId="0" borderId="5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" fillId="0" borderId="54" xfId="1" applyBorder="1" applyAlignment="1">
      <alignment horizontal="center" vertical="center"/>
    </xf>
    <xf numFmtId="0" fontId="3" fillId="0" borderId="52" xfId="1" applyFont="1" applyBorder="1" applyAlignment="1">
      <alignment horizontal="center" vertical="center"/>
    </xf>
    <xf numFmtId="0" fontId="30" fillId="0" borderId="52" xfId="1" applyFont="1" applyBorder="1" applyAlignment="1">
      <alignment horizontal="center" vertical="center"/>
    </xf>
    <xf numFmtId="0" fontId="30" fillId="0" borderId="74" xfId="1" applyFont="1" applyBorder="1" applyAlignment="1">
      <alignment horizontal="center" vertical="center"/>
    </xf>
    <xf numFmtId="0" fontId="30" fillId="0" borderId="75" xfId="1" applyFont="1" applyBorder="1" applyAlignment="1">
      <alignment horizontal="center" vertical="center"/>
    </xf>
    <xf numFmtId="0" fontId="31" fillId="0" borderId="0" xfId="1" applyFont="1" applyAlignment="1">
      <alignment horizontal="center" vertical="center"/>
    </xf>
    <xf numFmtId="14" fontId="11" fillId="0" borderId="0" xfId="1" applyNumberFormat="1" applyFont="1" applyAlignment="1">
      <alignment vertical="center" wrapText="1"/>
    </xf>
    <xf numFmtId="164" fontId="2" fillId="0" borderId="66" xfId="1" applyNumberFormat="1" applyFont="1" applyBorder="1" applyAlignment="1">
      <alignment horizontal="center" vertical="center"/>
    </xf>
    <xf numFmtId="0" fontId="19" fillId="0" borderId="66" xfId="1" applyFont="1" applyBorder="1" applyAlignment="1">
      <alignment horizontal="center" vertical="center"/>
    </xf>
    <xf numFmtId="0" fontId="19" fillId="0" borderId="67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164" fontId="1" fillId="0" borderId="23" xfId="1" applyNumberForma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3" fillId="0" borderId="74" xfId="1" applyNumberFormat="1" applyFont="1" applyBorder="1" applyAlignment="1">
      <alignment horizontal="center" vertical="center"/>
    </xf>
    <xf numFmtId="0" fontId="3" fillId="0" borderId="75" xfId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164" fontId="2" fillId="0" borderId="24" xfId="1" applyNumberFormat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" fillId="0" borderId="0" xfId="1" applyAlignment="1">
      <alignment wrapText="1"/>
    </xf>
    <xf numFmtId="0" fontId="21" fillId="0" borderId="0" xfId="1" applyFont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3" fillId="0" borderId="0" xfId="1" applyFont="1" applyAlignment="1">
      <alignment horizontal="left" wrapText="1"/>
    </xf>
    <xf numFmtId="0" fontId="1" fillId="0" borderId="0" xfId="1" applyAlignment="1">
      <alignment vertical="center"/>
    </xf>
    <xf numFmtId="0" fontId="33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35" fillId="0" borderId="65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3" fillId="0" borderId="18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18" xfId="1" quotePrefix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0" fontId="1" fillId="0" borderId="18" xfId="1" quotePrefix="1" applyBorder="1" applyAlignment="1">
      <alignment horizontal="center" vertical="center" wrapText="1"/>
    </xf>
    <xf numFmtId="0" fontId="11" fillId="0" borderId="0" xfId="1" applyFont="1" applyAlignment="1">
      <alignment wrapText="1"/>
    </xf>
    <xf numFmtId="0" fontId="3" fillId="0" borderId="77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2" fillId="0" borderId="18" xfId="1" applyFont="1" applyBorder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35" fillId="3" borderId="65" xfId="1" applyFont="1" applyFill="1" applyBorder="1" applyAlignment="1">
      <alignment horizontal="center" wrapText="1"/>
    </xf>
    <xf numFmtId="0" fontId="1" fillId="0" borderId="78" xfId="1" applyBorder="1" applyAlignment="1">
      <alignment horizontal="center" vertical="center"/>
    </xf>
    <xf numFmtId="0" fontId="11" fillId="0" borderId="0" xfId="1" applyFont="1" applyAlignment="1">
      <alignment vertical="top" wrapText="1"/>
    </xf>
    <xf numFmtId="0" fontId="1" fillId="3" borderId="23" xfId="1" applyFill="1" applyBorder="1" applyAlignment="1">
      <alignment horizontal="center"/>
    </xf>
    <xf numFmtId="0" fontId="1" fillId="0" borderId="18" xfId="1" applyBorder="1" applyAlignment="1">
      <alignment horizontal="center" vertical="center"/>
    </xf>
    <xf numFmtId="0" fontId="1" fillId="0" borderId="74" xfId="1" applyBorder="1" applyAlignment="1">
      <alignment horizontal="center"/>
    </xf>
    <xf numFmtId="0" fontId="3" fillId="4" borderId="10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26" xfId="1" applyFont="1" applyFill="1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3" fontId="1" fillId="4" borderId="27" xfId="1" applyNumberFormat="1" applyFill="1" applyBorder="1" applyAlignment="1">
      <alignment horizontal="center" vertical="center"/>
    </xf>
    <xf numFmtId="3" fontId="3" fillId="4" borderId="28" xfId="1" applyNumberFormat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left" vertical="center" wrapText="1"/>
    </xf>
    <xf numFmtId="0" fontId="12" fillId="4" borderId="18" xfId="1" applyFont="1" applyFill="1" applyBorder="1" applyAlignment="1">
      <alignment horizontal="left" vertical="center"/>
    </xf>
    <xf numFmtId="0" fontId="3" fillId="4" borderId="10" xfId="1" applyFont="1" applyFill="1" applyBorder="1" applyAlignment="1">
      <alignment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44" xfId="1" applyFont="1" applyFill="1" applyBorder="1" applyAlignment="1">
      <alignment horizontal="center" vertical="center" wrapText="1"/>
    </xf>
    <xf numFmtId="0" fontId="3" fillId="4" borderId="45" xfId="1" applyFont="1" applyFill="1" applyBorder="1" applyAlignment="1">
      <alignment horizontal="center" vertical="center" wrapText="1"/>
    </xf>
    <xf numFmtId="0" fontId="3" fillId="4" borderId="43" xfId="1" applyFont="1" applyFill="1" applyBorder="1" applyAlignment="1">
      <alignment horizontal="center" vertical="center" wrapText="1"/>
    </xf>
    <xf numFmtId="43" fontId="23" fillId="4" borderId="18" xfId="1" applyNumberFormat="1" applyFont="1" applyFill="1" applyBorder="1" applyAlignment="1">
      <alignment horizontal="center" vertical="center"/>
    </xf>
    <xf numFmtId="43" fontId="23" fillId="4" borderId="14" xfId="1" applyNumberFormat="1" applyFont="1" applyFill="1" applyBorder="1" applyAlignment="1">
      <alignment horizontal="center" vertical="center"/>
    </xf>
    <xf numFmtId="0" fontId="23" fillId="4" borderId="18" xfId="1" applyFont="1" applyFill="1" applyBorder="1" applyAlignment="1">
      <alignment horizontal="center" vertical="center"/>
    </xf>
    <xf numFmtId="43" fontId="20" fillId="4" borderId="18" xfId="1" applyNumberFormat="1" applyFont="1" applyFill="1" applyBorder="1" applyAlignment="1">
      <alignment horizontal="center" vertical="center"/>
    </xf>
    <xf numFmtId="43" fontId="20" fillId="4" borderId="21" xfId="1" applyNumberFormat="1" applyFont="1" applyFill="1" applyBorder="1" applyAlignment="1">
      <alignment horizontal="center" vertical="center"/>
    </xf>
    <xf numFmtId="0" fontId="24" fillId="4" borderId="21" xfId="1" applyFont="1" applyFill="1" applyBorder="1" applyAlignment="1">
      <alignment horizontal="center" vertical="center"/>
    </xf>
    <xf numFmtId="43" fontId="26" fillId="4" borderId="18" xfId="1" applyNumberFormat="1" applyFont="1" applyFill="1" applyBorder="1" applyAlignment="1">
      <alignment horizontal="center" vertical="center"/>
    </xf>
    <xf numFmtId="0" fontId="26" fillId="4" borderId="14" xfId="1" applyFont="1" applyFill="1" applyBorder="1" applyAlignment="1">
      <alignment horizontal="center" vertical="center"/>
    </xf>
    <xf numFmtId="0" fontId="1" fillId="4" borderId="15" xfId="1" applyFill="1" applyBorder="1" applyAlignment="1">
      <alignment horizontal="center" vertical="center"/>
    </xf>
    <xf numFmtId="0" fontId="1" fillId="4" borderId="41" xfId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 wrapText="1"/>
    </xf>
    <xf numFmtId="0" fontId="3" fillId="4" borderId="44" xfId="1" applyFont="1" applyFill="1" applyBorder="1" applyAlignment="1">
      <alignment horizontal="center" vertical="center"/>
    </xf>
    <xf numFmtId="0" fontId="32" fillId="4" borderId="12" xfId="1" applyFont="1" applyFill="1" applyBorder="1" applyAlignment="1">
      <alignment horizontal="center" vertical="center"/>
    </xf>
    <xf numFmtId="0" fontId="3" fillId="4" borderId="29" xfId="1" applyFont="1" applyFill="1" applyBorder="1" applyAlignment="1">
      <alignment horizontal="center" vertical="center" wrapText="1"/>
    </xf>
    <xf numFmtId="0" fontId="3" fillId="4" borderId="18" xfId="1" applyFont="1" applyFill="1" applyBorder="1" applyAlignment="1">
      <alignment horizontal="center"/>
    </xf>
    <xf numFmtId="0" fontId="3" fillId="4" borderId="77" xfId="1" applyFont="1" applyFill="1" applyBorder="1" applyAlignment="1">
      <alignment horizontal="center"/>
    </xf>
    <xf numFmtId="0" fontId="3" fillId="4" borderId="79" xfId="1" applyFont="1" applyFill="1" applyBorder="1" applyAlignment="1">
      <alignment horizontal="center"/>
    </xf>
    <xf numFmtId="0" fontId="3" fillId="4" borderId="35" xfId="1" applyFont="1" applyFill="1" applyBorder="1" applyAlignment="1">
      <alignment horizontal="center"/>
    </xf>
    <xf numFmtId="3" fontId="1" fillId="0" borderId="66" xfId="1" applyNumberFormat="1" applyBorder="1" applyAlignment="1">
      <alignment horizontal="center" vertical="center"/>
    </xf>
    <xf numFmtId="0" fontId="1" fillId="0" borderId="66" xfId="1" applyBorder="1"/>
    <xf numFmtId="3" fontId="1" fillId="0" borderId="67" xfId="1" applyNumberFormat="1" applyBorder="1"/>
    <xf numFmtId="0" fontId="3" fillId="4" borderId="77" xfId="1" applyFont="1" applyFill="1" applyBorder="1" applyAlignment="1">
      <alignment horizontal="center" vertical="center"/>
    </xf>
    <xf numFmtId="0" fontId="1" fillId="4" borderId="79" xfId="1" applyFill="1" applyBorder="1" applyAlignment="1">
      <alignment horizontal="center" vertical="center"/>
    </xf>
    <xf numFmtId="3" fontId="1" fillId="4" borderId="79" xfId="1" applyNumberFormat="1" applyFill="1" applyBorder="1" applyAlignment="1">
      <alignment horizontal="center" vertical="center"/>
    </xf>
    <xf numFmtId="3" fontId="3" fillId="4" borderId="35" xfId="1" applyNumberFormat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8" fillId="4" borderId="3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3" fillId="4" borderId="13" xfId="1" applyFont="1" applyFill="1" applyBorder="1" applyAlignment="1">
      <alignment horizontal="center"/>
    </xf>
    <xf numFmtId="0" fontId="3" fillId="4" borderId="33" xfId="1" applyFont="1" applyFill="1" applyBorder="1" applyAlignment="1">
      <alignment horizontal="center"/>
    </xf>
    <xf numFmtId="0" fontId="3" fillId="4" borderId="14" xfId="1" applyFont="1" applyFill="1" applyBorder="1" applyAlignment="1">
      <alignment horizont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3" fillId="4" borderId="13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3" fillId="4" borderId="13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" fillId="0" borderId="49" xfId="1" applyBorder="1" applyAlignment="1">
      <alignment horizontal="center" vertical="center" wrapText="1"/>
    </xf>
    <xf numFmtId="0" fontId="1" fillId="0" borderId="64" xfId="1" applyBorder="1" applyAlignment="1">
      <alignment horizontal="center" vertical="center" wrapText="1"/>
    </xf>
    <xf numFmtId="0" fontId="1" fillId="0" borderId="26" xfId="1" applyBorder="1" applyAlignment="1">
      <alignment horizontal="center" vertical="center" wrapText="1"/>
    </xf>
    <xf numFmtId="0" fontId="32" fillId="0" borderId="46" xfId="1" applyFont="1" applyBorder="1" applyAlignment="1">
      <alignment horizontal="center" vertical="center"/>
    </xf>
    <xf numFmtId="0" fontId="32" fillId="0" borderId="51" xfId="1" applyFont="1" applyBorder="1" applyAlignment="1">
      <alignment horizontal="center" vertical="center"/>
    </xf>
    <xf numFmtId="0" fontId="32" fillId="0" borderId="47" xfId="1" applyFont="1" applyBorder="1" applyAlignment="1">
      <alignment horizontal="center" vertical="center"/>
    </xf>
    <xf numFmtId="0" fontId="32" fillId="0" borderId="60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2" fillId="0" borderId="20" xfId="1" applyFont="1" applyBorder="1" applyAlignment="1">
      <alignment horizontal="center" vertical="center"/>
    </xf>
    <xf numFmtId="0" fontId="32" fillId="0" borderId="63" xfId="1" applyFont="1" applyBorder="1" applyAlignment="1">
      <alignment horizontal="center" vertical="center"/>
    </xf>
    <xf numFmtId="0" fontId="32" fillId="0" borderId="31" xfId="1" applyFont="1" applyBorder="1" applyAlignment="1">
      <alignment horizontal="center" vertical="center"/>
    </xf>
    <xf numFmtId="0" fontId="32" fillId="0" borderId="3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1" fillId="0" borderId="33" xfId="1" applyBorder="1" applyAlignment="1">
      <alignment horizontal="center" vertic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39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30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19" fillId="0" borderId="32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3" fillId="4" borderId="33" xfId="1" applyFont="1" applyFill="1" applyBorder="1" applyAlignment="1">
      <alignment horizontal="center" vertical="center" wrapText="1"/>
    </xf>
    <xf numFmtId="1" fontId="34" fillId="0" borderId="0" xfId="1" applyNumberFormat="1" applyFont="1" applyAlignment="1">
      <alignment horizontal="left" vertical="center" wrapText="1"/>
    </xf>
    <xf numFmtId="0" fontId="32" fillId="0" borderId="44" xfId="1" applyFont="1" applyBorder="1" applyAlignment="1">
      <alignment horizontal="center" vertical="center" wrapText="1"/>
    </xf>
    <xf numFmtId="0" fontId="32" fillId="0" borderId="37" xfId="1" applyFont="1" applyBorder="1" applyAlignment="1">
      <alignment horizontal="center" vertical="center" wrapText="1"/>
    </xf>
    <xf numFmtId="0" fontId="32" fillId="0" borderId="38" xfId="1" applyFont="1" applyBorder="1" applyAlignment="1">
      <alignment horizontal="center" vertical="center" wrapText="1"/>
    </xf>
    <xf numFmtId="0" fontId="19" fillId="0" borderId="67" xfId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3" fillId="4" borderId="44" xfId="1" applyFont="1" applyFill="1" applyBorder="1" applyAlignment="1">
      <alignment horizontal="center" vertical="center"/>
    </xf>
    <xf numFmtId="0" fontId="3" fillId="4" borderId="43" xfId="1" applyFont="1" applyFill="1" applyBorder="1" applyAlignment="1">
      <alignment horizontal="center" vertical="center"/>
    </xf>
    <xf numFmtId="164" fontId="1" fillId="0" borderId="42" xfId="1" applyNumberFormat="1" applyBorder="1" applyAlignment="1">
      <alignment horizontal="center" vertical="center"/>
    </xf>
    <xf numFmtId="164" fontId="1" fillId="0" borderId="41" xfId="1" applyNumberFormat="1" applyBorder="1" applyAlignment="1">
      <alignment horizontal="center" vertical="center"/>
    </xf>
    <xf numFmtId="0" fontId="13" fillId="4" borderId="13" xfId="1" applyFont="1" applyFill="1" applyBorder="1" applyAlignment="1">
      <alignment horizontal="center" vertical="center"/>
    </xf>
    <xf numFmtId="0" fontId="13" fillId="4" borderId="33" xfId="1" applyFont="1" applyFill="1" applyBorder="1" applyAlignment="1">
      <alignment horizontal="center" vertical="center"/>
    </xf>
    <xf numFmtId="0" fontId="13" fillId="4" borderId="14" xfId="1" applyFont="1" applyFill="1" applyBorder="1" applyAlignment="1">
      <alignment horizontal="center" vertical="center"/>
    </xf>
    <xf numFmtId="0" fontId="21" fillId="4" borderId="21" xfId="1" applyFont="1" applyFill="1" applyBorder="1" applyAlignment="1">
      <alignment horizontal="center" vertical="center"/>
    </xf>
    <xf numFmtId="0" fontId="21" fillId="4" borderId="32" xfId="1" applyFont="1" applyFill="1" applyBorder="1" applyAlignment="1">
      <alignment horizontal="center" vertical="center"/>
    </xf>
    <xf numFmtId="0" fontId="21" fillId="4" borderId="1" xfId="1" applyFont="1" applyFill="1" applyBorder="1" applyAlignment="1">
      <alignment horizontal="center" vertical="center"/>
    </xf>
    <xf numFmtId="0" fontId="21" fillId="4" borderId="2" xfId="1" applyFont="1" applyFill="1" applyBorder="1" applyAlignment="1">
      <alignment horizontal="center" vertical="center"/>
    </xf>
    <xf numFmtId="0" fontId="21" fillId="4" borderId="3" xfId="1" applyFont="1" applyFill="1" applyBorder="1" applyAlignment="1">
      <alignment horizontal="center" vertical="center"/>
    </xf>
    <xf numFmtId="0" fontId="21" fillId="4" borderId="30" xfId="1" applyFont="1" applyFill="1" applyBorder="1" applyAlignment="1">
      <alignment horizontal="center" vertical="center"/>
    </xf>
    <xf numFmtId="0" fontId="21" fillId="4" borderId="31" xfId="1" applyFont="1" applyFill="1" applyBorder="1" applyAlignment="1">
      <alignment horizontal="center" vertical="center"/>
    </xf>
    <xf numFmtId="0" fontId="13" fillId="0" borderId="36" xfId="1" applyFont="1" applyBorder="1" applyAlignment="1">
      <alignment horizontal="center" vertical="center"/>
    </xf>
    <xf numFmtId="0" fontId="13" fillId="0" borderId="43" xfId="1" applyFont="1" applyBorder="1" applyAlignment="1">
      <alignment horizontal="center" vertical="center"/>
    </xf>
    <xf numFmtId="14" fontId="11" fillId="0" borderId="20" xfId="1" applyNumberFormat="1" applyFont="1" applyBorder="1" applyAlignment="1">
      <alignment horizontal="center" vertical="center" wrapText="1"/>
    </xf>
    <xf numFmtId="0" fontId="19" fillId="0" borderId="49" xfId="1" applyFont="1" applyBorder="1" applyAlignment="1">
      <alignment horizontal="center" vertical="center" wrapText="1"/>
    </xf>
    <xf numFmtId="0" fontId="19" fillId="0" borderId="54" xfId="1" applyFont="1" applyBorder="1" applyAlignment="1">
      <alignment horizontal="center" vertical="center" wrapText="1"/>
    </xf>
    <xf numFmtId="0" fontId="3" fillId="0" borderId="66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164" fontId="2" fillId="0" borderId="66" xfId="1" applyNumberFormat="1" applyFont="1" applyBorder="1" applyAlignment="1">
      <alignment horizontal="center" vertical="center"/>
    </xf>
    <xf numFmtId="164" fontId="2" fillId="0" borderId="27" xfId="1" applyNumberFormat="1" applyFont="1" applyBorder="1" applyAlignment="1">
      <alignment horizontal="center" vertical="center"/>
    </xf>
    <xf numFmtId="0" fontId="19" fillId="0" borderId="66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164" fontId="2" fillId="0" borderId="74" xfId="1" applyNumberFormat="1" applyFont="1" applyBorder="1" applyAlignment="1">
      <alignment horizontal="center" vertical="center"/>
    </xf>
    <xf numFmtId="0" fontId="19" fillId="0" borderId="75" xfId="1" applyFont="1" applyBorder="1" applyAlignment="1">
      <alignment horizontal="center" vertical="center"/>
    </xf>
    <xf numFmtId="0" fontId="3" fillId="0" borderId="73" xfId="1" applyFont="1" applyBorder="1" applyAlignment="1">
      <alignment horizontal="center" vertical="center"/>
    </xf>
    <xf numFmtId="164" fontId="2" fillId="0" borderId="73" xfId="1" applyNumberFormat="1" applyFont="1" applyBorder="1" applyAlignment="1">
      <alignment horizontal="center" vertical="center"/>
    </xf>
    <xf numFmtId="0" fontId="19" fillId="0" borderId="73" xfId="1" applyFont="1" applyBorder="1" applyAlignment="1">
      <alignment horizontal="center" vertical="center"/>
    </xf>
    <xf numFmtId="0" fontId="19" fillId="0" borderId="76" xfId="1" applyFont="1" applyBorder="1" applyAlignment="1">
      <alignment horizontal="center" vertical="center"/>
    </xf>
    <xf numFmtId="0" fontId="19" fillId="0" borderId="74" xfId="1" applyFont="1" applyBorder="1" applyAlignment="1">
      <alignment horizontal="center" vertical="center"/>
    </xf>
    <xf numFmtId="0" fontId="3" fillId="0" borderId="74" xfId="1" applyFont="1" applyBorder="1" applyAlignment="1">
      <alignment horizontal="center" vertical="center"/>
    </xf>
    <xf numFmtId="2" fontId="2" fillId="0" borderId="66" xfId="1" applyNumberFormat="1" applyFont="1" applyBorder="1" applyAlignment="1">
      <alignment horizontal="center" vertical="center"/>
    </xf>
    <xf numFmtId="2" fontId="2" fillId="0" borderId="27" xfId="1" applyNumberFormat="1" applyFont="1" applyBorder="1" applyAlignment="1">
      <alignment horizontal="center" vertical="center"/>
    </xf>
    <xf numFmtId="0" fontId="1" fillId="0" borderId="67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3" fillId="4" borderId="33" xfId="1" applyFont="1" applyFill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14" fontId="18" fillId="0" borderId="0" xfId="1" applyNumberFormat="1" applyFont="1" applyAlignment="1">
      <alignment horizontal="center" vertical="center" wrapText="1"/>
    </xf>
    <xf numFmtId="2" fontId="2" fillId="0" borderId="74" xfId="1" applyNumberFormat="1" applyFont="1" applyBorder="1" applyAlignment="1">
      <alignment horizontal="center" vertical="center"/>
    </xf>
    <xf numFmtId="0" fontId="1" fillId="0" borderId="75" xfId="1" applyBorder="1" applyAlignment="1">
      <alignment horizontal="center" vertical="center"/>
    </xf>
    <xf numFmtId="0" fontId="1" fillId="0" borderId="66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66" xfId="1" applyBorder="1" applyAlignment="1">
      <alignment horizontal="center" vertical="center" wrapText="1"/>
    </xf>
    <xf numFmtId="0" fontId="1" fillId="0" borderId="27" xfId="1" applyBorder="1" applyAlignment="1">
      <alignment horizontal="center" vertical="center" wrapText="1"/>
    </xf>
    <xf numFmtId="0" fontId="1" fillId="0" borderId="74" xfId="1" applyBorder="1" applyAlignment="1">
      <alignment horizontal="center" vertical="center"/>
    </xf>
    <xf numFmtId="14" fontId="11" fillId="0" borderId="0" xfId="1" applyNumberFormat="1" applyFont="1" applyAlignment="1">
      <alignment horizontal="center" vertical="center" wrapText="1"/>
    </xf>
    <xf numFmtId="0" fontId="3" fillId="0" borderId="58" xfId="1" applyFont="1" applyBorder="1" applyAlignment="1">
      <alignment horizontal="center" vertical="center"/>
    </xf>
    <xf numFmtId="0" fontId="1" fillId="0" borderId="74" xfId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37" xfId="1" applyFont="1" applyFill="1" applyBorder="1" applyAlignment="1">
      <alignment horizontal="center" vertical="center"/>
    </xf>
    <xf numFmtId="0" fontId="3" fillId="4" borderId="38" xfId="1" applyFont="1" applyFill="1" applyBorder="1" applyAlignment="1">
      <alignment horizontal="center" vertical="center"/>
    </xf>
    <xf numFmtId="0" fontId="1" fillId="0" borderId="54" xfId="1" applyBorder="1" applyAlignment="1">
      <alignment horizontal="center" vertical="center" wrapText="1"/>
    </xf>
    <xf numFmtId="0" fontId="1" fillId="0" borderId="56" xfId="1" applyBorder="1" applyAlignment="1">
      <alignment horizontal="center" vertical="center"/>
    </xf>
    <xf numFmtId="0" fontId="1" fillId="0" borderId="69" xfId="1" applyBorder="1" applyAlignment="1">
      <alignment horizontal="center" vertical="center"/>
    </xf>
    <xf numFmtId="0" fontId="1" fillId="0" borderId="70" xfId="1" applyBorder="1" applyAlignment="1">
      <alignment horizontal="center" vertical="center"/>
    </xf>
    <xf numFmtId="0" fontId="1" fillId="0" borderId="72" xfId="1" applyBorder="1" applyAlignment="1">
      <alignment horizontal="center" vertical="center" wrapText="1"/>
    </xf>
    <xf numFmtId="0" fontId="1" fillId="0" borderId="73" xfId="1" applyBorder="1" applyAlignment="1">
      <alignment horizontal="center" vertical="center" wrapText="1"/>
    </xf>
    <xf numFmtId="0" fontId="3" fillId="0" borderId="55" xfId="1" applyFont="1" applyBorder="1" applyAlignment="1">
      <alignment horizontal="center" vertical="center"/>
    </xf>
    <xf numFmtId="0" fontId="11" fillId="0" borderId="66" xfId="1" applyFont="1" applyBorder="1" applyAlignment="1">
      <alignment horizontal="center" vertical="center"/>
    </xf>
    <xf numFmtId="0" fontId="11" fillId="0" borderId="74" xfId="1" applyFont="1" applyBorder="1" applyAlignment="1">
      <alignment horizontal="center" vertical="center"/>
    </xf>
    <xf numFmtId="0" fontId="28" fillId="0" borderId="20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7" fillId="0" borderId="2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3" fillId="4" borderId="36" xfId="1" applyFont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20" xfId="1" applyBorder="1" applyAlignment="1">
      <alignment horizontal="center"/>
    </xf>
    <xf numFmtId="0" fontId="12" fillId="4" borderId="36" xfId="1" applyFont="1" applyFill="1" applyBorder="1" applyAlignment="1">
      <alignment horizontal="center" vertical="center"/>
    </xf>
    <xf numFmtId="0" fontId="12" fillId="4" borderId="37" xfId="1" applyFont="1" applyFill="1" applyBorder="1" applyAlignment="1">
      <alignment horizontal="center" vertical="center"/>
    </xf>
    <xf numFmtId="0" fontId="12" fillId="4" borderId="43" xfId="1" applyFont="1" applyFill="1" applyBorder="1" applyAlignment="1">
      <alignment horizontal="center" vertical="center"/>
    </xf>
    <xf numFmtId="0" fontId="19" fillId="4" borderId="68" xfId="1" applyFont="1" applyFill="1" applyBorder="1" applyAlignment="1">
      <alignment horizontal="center" vertical="center"/>
    </xf>
    <xf numFmtId="0" fontId="19" fillId="4" borderId="2" xfId="1" applyFont="1" applyFill="1" applyBorder="1" applyAlignment="1">
      <alignment horizontal="center" vertical="center"/>
    </xf>
    <xf numFmtId="0" fontId="19" fillId="4" borderId="3" xfId="1" applyFont="1" applyFill="1" applyBorder="1" applyAlignment="1">
      <alignment horizontal="center" vertical="center"/>
    </xf>
    <xf numFmtId="0" fontId="19" fillId="4" borderId="52" xfId="1" applyFont="1" applyFill="1" applyBorder="1" applyAlignment="1">
      <alignment horizontal="center" vertical="center"/>
    </xf>
    <xf numFmtId="0" fontId="19" fillId="4" borderId="5" xfId="1" applyFont="1" applyFill="1" applyBorder="1" applyAlignment="1">
      <alignment horizontal="center" vertical="center"/>
    </xf>
    <xf numFmtId="0" fontId="19" fillId="4" borderId="6" xfId="1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0" fontId="1" fillId="4" borderId="2" xfId="1" applyFill="1" applyBorder="1" applyAlignment="1">
      <alignment horizontal="center" vertical="center" wrapText="1"/>
    </xf>
    <xf numFmtId="0" fontId="1" fillId="4" borderId="3" xfId="1" applyFill="1" applyBorder="1" applyAlignment="1">
      <alignment horizontal="center" vertical="center" wrapText="1"/>
    </xf>
    <xf numFmtId="0" fontId="1" fillId="4" borderId="19" xfId="1" applyFill="1" applyBorder="1" applyAlignment="1">
      <alignment horizontal="center" vertical="center" wrapText="1"/>
    </xf>
    <xf numFmtId="0" fontId="1" fillId="4" borderId="0" xfId="1" applyFill="1" applyAlignment="1">
      <alignment horizontal="center" vertical="center" wrapText="1"/>
    </xf>
    <xf numFmtId="0" fontId="1" fillId="4" borderId="20" xfId="1" applyFill="1" applyBorder="1" applyAlignment="1">
      <alignment horizontal="center" vertical="center" wrapText="1"/>
    </xf>
    <xf numFmtId="0" fontId="1" fillId="4" borderId="30" xfId="1" applyFill="1" applyBorder="1" applyAlignment="1">
      <alignment horizontal="center" vertical="center" wrapText="1"/>
    </xf>
    <xf numFmtId="0" fontId="1" fillId="4" borderId="31" xfId="1" applyFill="1" applyBorder="1" applyAlignment="1">
      <alignment horizontal="center" vertical="center" wrapText="1"/>
    </xf>
    <xf numFmtId="0" fontId="1" fillId="4" borderId="32" xfId="1" applyFill="1" applyBorder="1" applyAlignment="1">
      <alignment horizontal="center" vertical="center" wrapText="1"/>
    </xf>
    <xf numFmtId="0" fontId="3" fillId="4" borderId="69" xfId="1" applyFont="1" applyFill="1" applyBorder="1" applyAlignment="1">
      <alignment horizontal="center" vertical="center"/>
    </xf>
    <xf numFmtId="0" fontId="1" fillId="4" borderId="56" xfId="1" applyFill="1" applyBorder="1" applyAlignment="1">
      <alignment horizontal="center" vertical="center"/>
    </xf>
    <xf numFmtId="0" fontId="1" fillId="4" borderId="40" xfId="1" applyFill="1" applyBorder="1" applyAlignment="1">
      <alignment horizontal="center" vertical="center"/>
    </xf>
    <xf numFmtId="0" fontId="1" fillId="4" borderId="13" xfId="1" applyFill="1" applyBorder="1" applyAlignment="1">
      <alignment horizontal="center" vertical="center"/>
    </xf>
    <xf numFmtId="0" fontId="1" fillId="4" borderId="14" xfId="1" applyFill="1" applyBorder="1" applyAlignment="1">
      <alignment horizontal="center" vertical="center"/>
    </xf>
    <xf numFmtId="3" fontId="3" fillId="0" borderId="69" xfId="1" applyNumberFormat="1" applyFont="1" applyBorder="1" applyAlignment="1">
      <alignment horizontal="center" vertical="center" wrapText="1"/>
    </xf>
    <xf numFmtId="3" fontId="3" fillId="0" borderId="56" xfId="1" applyNumberFormat="1" applyFont="1" applyBorder="1" applyAlignment="1">
      <alignment horizontal="center" vertical="center" wrapText="1"/>
    </xf>
    <xf numFmtId="3" fontId="3" fillId="0" borderId="40" xfId="1" applyNumberFormat="1" applyFont="1" applyBorder="1" applyAlignment="1">
      <alignment horizontal="center" vertical="center" wrapText="1"/>
    </xf>
    <xf numFmtId="0" fontId="27" fillId="0" borderId="69" xfId="1" applyFont="1" applyBorder="1" applyAlignment="1">
      <alignment horizontal="center" vertical="center" wrapText="1"/>
    </xf>
    <xf numFmtId="0" fontId="27" fillId="0" borderId="56" xfId="1" applyFont="1" applyBorder="1" applyAlignment="1">
      <alignment horizontal="center" vertical="center" wrapText="1"/>
    </xf>
    <xf numFmtId="0" fontId="27" fillId="0" borderId="70" xfId="1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/>
    </xf>
    <xf numFmtId="0" fontId="12" fillId="0" borderId="41" xfId="1" applyFont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0" xfId="1" applyFont="1" applyFill="1" applyBorder="1" applyAlignment="1">
      <alignment horizontal="center" vertical="center" wrapText="1"/>
    </xf>
    <xf numFmtId="0" fontId="3" fillId="4" borderId="31" xfId="1" applyFont="1" applyFill="1" applyBorder="1" applyAlignment="1">
      <alignment horizontal="center" vertical="center" wrapText="1"/>
    </xf>
    <xf numFmtId="4" fontId="1" fillId="0" borderId="21" xfId="1" applyNumberFormat="1" applyBorder="1" applyAlignment="1">
      <alignment horizontal="right" vertical="center"/>
    </xf>
    <xf numFmtId="4" fontId="1" fillId="0" borderId="29" xfId="1" applyNumberFormat="1" applyBorder="1" applyAlignment="1">
      <alignment horizontal="right" vertical="center"/>
    </xf>
    <xf numFmtId="4" fontId="1" fillId="0" borderId="53" xfId="1" applyNumberFormat="1" applyBorder="1" applyAlignment="1">
      <alignment horizontal="right" vertical="center"/>
    </xf>
    <xf numFmtId="2" fontId="11" fillId="0" borderId="45" xfId="0" applyNumberFormat="1" applyFont="1" applyBorder="1" applyAlignment="1">
      <alignment horizontal="center" vertical="center"/>
    </xf>
    <xf numFmtId="2" fontId="11" fillId="0" borderId="61" xfId="0" applyNumberFormat="1" applyFont="1" applyBorder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center" vertical="center"/>
    </xf>
    <xf numFmtId="0" fontId="3" fillId="4" borderId="31" xfId="1" applyFont="1" applyFill="1" applyBorder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2" fontId="11" fillId="0" borderId="65" xfId="1" applyNumberFormat="1" applyFont="1" applyBorder="1" applyAlignment="1">
      <alignment horizontal="center" vertical="center"/>
    </xf>
    <xf numFmtId="2" fontId="11" fillId="0" borderId="26" xfId="1" applyNumberFormat="1" applyFont="1" applyBorder="1" applyAlignment="1">
      <alignment horizontal="center" vertical="center"/>
    </xf>
    <xf numFmtId="2" fontId="1" fillId="0" borderId="6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1" fillId="0" borderId="67" xfId="0" applyNumberFormat="1" applyFont="1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0" fontId="25" fillId="4" borderId="21" xfId="1" applyFont="1" applyFill="1" applyBorder="1" applyAlignment="1">
      <alignment horizontal="center" vertical="center"/>
    </xf>
    <xf numFmtId="0" fontId="25" fillId="4" borderId="22" xfId="1" applyFont="1" applyFill="1" applyBorder="1" applyAlignment="1">
      <alignment horizontal="center" vertical="center"/>
    </xf>
    <xf numFmtId="0" fontId="1" fillId="4" borderId="21" xfId="1" applyFill="1" applyBorder="1" applyAlignment="1">
      <alignment horizontal="center" vertical="center" wrapText="1"/>
    </xf>
    <xf numFmtId="0" fontId="1" fillId="4" borderId="22" xfId="1" applyFill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3" fillId="0" borderId="60" xfId="1" applyFont="1" applyBorder="1" applyAlignment="1">
      <alignment horizontal="center" vertical="center" wrapText="1"/>
    </xf>
    <xf numFmtId="0" fontId="3" fillId="0" borderId="63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4" borderId="19" xfId="1" applyFont="1" applyFill="1" applyBorder="1" applyAlignment="1">
      <alignment horizontal="center" vertical="center" wrapText="1"/>
    </xf>
    <xf numFmtId="0" fontId="3" fillId="4" borderId="64" xfId="1" applyFont="1" applyFill="1" applyBorder="1" applyAlignment="1">
      <alignment horizontal="center" vertical="center" wrapText="1"/>
    </xf>
    <xf numFmtId="0" fontId="3" fillId="4" borderId="26" xfId="1" applyFont="1" applyFill="1" applyBorder="1" applyAlignment="1">
      <alignment horizontal="center" vertical="center" wrapText="1"/>
    </xf>
    <xf numFmtId="165" fontId="1" fillId="0" borderId="21" xfId="1" applyNumberFormat="1" applyBorder="1" applyAlignment="1">
      <alignment horizontal="center" vertical="center"/>
    </xf>
    <xf numFmtId="165" fontId="1" fillId="0" borderId="22" xfId="1" applyNumberFormat="1" applyBorder="1" applyAlignment="1">
      <alignment horizontal="center" vertical="center"/>
    </xf>
    <xf numFmtId="165" fontId="1" fillId="0" borderId="29" xfId="1" applyNumberForma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3" fillId="0" borderId="48" xfId="1" applyFont="1" applyBorder="1" applyAlignment="1">
      <alignment horizontal="center" vertical="center" wrapText="1"/>
    </xf>
    <xf numFmtId="0" fontId="3" fillId="0" borderId="53" xfId="1" applyFont="1" applyBorder="1" applyAlignment="1">
      <alignment horizontal="center" vertical="center" wrapText="1"/>
    </xf>
    <xf numFmtId="0" fontId="3" fillId="0" borderId="56" xfId="1" applyFont="1" applyBorder="1" applyAlignment="1">
      <alignment horizontal="center" vertical="center" wrapText="1"/>
    </xf>
    <xf numFmtId="0" fontId="3" fillId="0" borderId="57" xfId="1" applyFont="1" applyBorder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43" fontId="22" fillId="0" borderId="45" xfId="1" applyNumberFormat="1" applyFont="1" applyBorder="1" applyAlignment="1">
      <alignment horizontal="center" vertical="center" wrapText="1"/>
    </xf>
    <xf numFmtId="43" fontId="1" fillId="0" borderId="61" xfId="1" applyNumberFormat="1" applyBorder="1" applyAlignment="1">
      <alignment horizontal="center" vertical="center" wrapText="1"/>
    </xf>
    <xf numFmtId="43" fontId="10" fillId="0" borderId="45" xfId="1" applyNumberFormat="1" applyFont="1" applyBorder="1" applyAlignment="1">
      <alignment horizontal="center" vertical="center" wrapText="1"/>
    </xf>
    <xf numFmtId="43" fontId="10" fillId="0" borderId="61" xfId="1" applyNumberFormat="1" applyFont="1" applyBorder="1" applyAlignment="1">
      <alignment horizontal="center" vertical="center" wrapText="1"/>
    </xf>
    <xf numFmtId="164" fontId="1" fillId="0" borderId="0" xfId="1" applyNumberFormat="1" applyAlignment="1">
      <alignment horizontal="center" vertical="center"/>
    </xf>
    <xf numFmtId="164" fontId="1" fillId="0" borderId="20" xfId="1" applyNumberFormat="1" applyBorder="1" applyAlignment="1">
      <alignment horizontal="center" vertical="center"/>
    </xf>
    <xf numFmtId="164" fontId="1" fillId="0" borderId="31" xfId="1" applyNumberFormat="1" applyBorder="1" applyAlignment="1">
      <alignment horizontal="center" vertical="center"/>
    </xf>
    <xf numFmtId="164" fontId="1" fillId="0" borderId="32" xfId="1" applyNumberFormat="1" applyBorder="1" applyAlignment="1">
      <alignment horizontal="center" vertical="center"/>
    </xf>
    <xf numFmtId="0" fontId="3" fillId="0" borderId="49" xfId="1" applyFont="1" applyBorder="1" applyAlignment="1">
      <alignment horizontal="center" vertical="center" wrapText="1"/>
    </xf>
    <xf numFmtId="0" fontId="3" fillId="0" borderId="54" xfId="1" applyFont="1" applyBorder="1" applyAlignment="1">
      <alignment horizontal="center" vertical="center" wrapText="1"/>
    </xf>
    <xf numFmtId="0" fontId="3" fillId="0" borderId="46" xfId="1" applyFont="1" applyBorder="1" applyAlignment="1">
      <alignment horizontal="center" vertical="center" wrapText="1"/>
    </xf>
    <xf numFmtId="0" fontId="3" fillId="0" borderId="52" xfId="1" applyFont="1" applyBorder="1" applyAlignment="1">
      <alignment horizontal="center" vertical="center" wrapText="1"/>
    </xf>
    <xf numFmtId="0" fontId="1" fillId="0" borderId="50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0" borderId="15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43" fontId="1" fillId="0" borderId="16" xfId="1" applyNumberFormat="1" applyBorder="1" applyAlignment="1">
      <alignment horizontal="center" vertical="center"/>
    </xf>
    <xf numFmtId="43" fontId="1" fillId="0" borderId="24" xfId="1" applyNumberFormat="1" applyBorder="1" applyAlignment="1">
      <alignment horizontal="center" vertical="center"/>
    </xf>
    <xf numFmtId="164" fontId="1" fillId="0" borderId="46" xfId="1" applyNumberFormat="1" applyBorder="1" applyAlignment="1">
      <alignment horizontal="center" vertical="center"/>
    </xf>
    <xf numFmtId="164" fontId="1" fillId="0" borderId="47" xfId="1" applyNumberFormat="1" applyBorder="1" applyAlignment="1">
      <alignment horizontal="center" vertical="center"/>
    </xf>
    <xf numFmtId="164" fontId="1" fillId="0" borderId="52" xfId="1" applyNumberFormat="1" applyBorder="1" applyAlignment="1">
      <alignment horizontal="center" vertical="center"/>
    </xf>
    <xf numFmtId="164" fontId="1" fillId="0" borderId="6" xfId="1" applyNumberFormat="1" applyBorder="1" applyAlignment="1">
      <alignment horizontal="center" vertical="center"/>
    </xf>
    <xf numFmtId="43" fontId="1" fillId="0" borderId="16" xfId="3" applyFont="1" applyFill="1" applyBorder="1" applyAlignment="1">
      <alignment horizontal="center" vertical="center"/>
    </xf>
    <xf numFmtId="0" fontId="3" fillId="0" borderId="48" xfId="1" applyFont="1" applyBorder="1" applyAlignment="1">
      <alignment horizontal="center" vertical="center"/>
    </xf>
    <xf numFmtId="0" fontId="3" fillId="0" borderId="53" xfId="1" applyFont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32" xfId="1" applyFont="1" applyFill="1" applyBorder="1" applyAlignment="1">
      <alignment horizontal="center" vertical="center"/>
    </xf>
    <xf numFmtId="0" fontId="21" fillId="0" borderId="2" xfId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3" fillId="4" borderId="44" xfId="1" applyFont="1" applyFill="1" applyBorder="1" applyAlignment="1">
      <alignment horizontal="center" vertical="center" wrapText="1"/>
    </xf>
    <xf numFmtId="0" fontId="3" fillId="4" borderId="38" xfId="1" applyFont="1" applyFill="1" applyBorder="1" applyAlignment="1">
      <alignment horizontal="center" vertical="center" wrapText="1"/>
    </xf>
    <xf numFmtId="0" fontId="3" fillId="4" borderId="36" xfId="1" applyFont="1" applyFill="1" applyBorder="1" applyAlignment="1">
      <alignment horizontal="center" vertical="center" wrapText="1"/>
    </xf>
    <xf numFmtId="0" fontId="3" fillId="4" borderId="37" xfId="1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36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44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41" xfId="1" applyBorder="1" applyAlignment="1">
      <alignment horizontal="center"/>
    </xf>
    <xf numFmtId="0" fontId="0" fillId="0" borderId="42" xfId="1" applyFont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9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16" fontId="12" fillId="0" borderId="1" xfId="1" applyNumberFormat="1" applyFont="1" applyBorder="1" applyAlignment="1">
      <alignment horizontal="center" vertical="center" wrapText="1"/>
    </xf>
    <xf numFmtId="16" fontId="1" fillId="0" borderId="2" xfId="1" applyNumberFormat="1" applyBorder="1" applyAlignment="1">
      <alignment horizontal="center" vertical="center"/>
    </xf>
    <xf numFmtId="20" fontId="18" fillId="0" borderId="2" xfId="1" applyNumberFormat="1" applyFont="1" applyBorder="1" applyAlignment="1">
      <alignment horizontal="left" vertical="top" wrapText="1"/>
    </xf>
    <xf numFmtId="20" fontId="18" fillId="0" borderId="0" xfId="1" applyNumberFormat="1" applyFont="1" applyAlignment="1">
      <alignment horizontal="left" vertical="top" wrapText="1"/>
    </xf>
    <xf numFmtId="0" fontId="18" fillId="0" borderId="2" xfId="1" applyFont="1" applyBorder="1" applyAlignment="1">
      <alignment horizontal="left" vertical="top" wrapText="1"/>
    </xf>
    <xf numFmtId="0" fontId="18" fillId="0" borderId="0" xfId="1" applyFont="1" applyAlignment="1">
      <alignment horizontal="left" vertical="top" wrapText="1"/>
    </xf>
    <xf numFmtId="18" fontId="20" fillId="0" borderId="0" xfId="1" applyNumberFormat="1" applyFont="1" applyAlignment="1">
      <alignment horizontal="left" vertical="top" wrapText="1"/>
    </xf>
    <xf numFmtId="18" fontId="20" fillId="0" borderId="31" xfId="1" applyNumberFormat="1" applyFont="1" applyBorder="1" applyAlignment="1">
      <alignment horizontal="left" vertical="top" wrapText="1"/>
    </xf>
    <xf numFmtId="0" fontId="20" fillId="0" borderId="0" xfId="1" applyFont="1" applyAlignment="1">
      <alignment horizontal="left" vertical="top" wrapText="1"/>
    </xf>
    <xf numFmtId="0" fontId="20" fillId="0" borderId="31" xfId="1" applyFont="1" applyBorder="1" applyAlignment="1">
      <alignment horizontal="left" vertical="top" wrapText="1"/>
    </xf>
    <xf numFmtId="3" fontId="3" fillId="0" borderId="33" xfId="2" applyNumberFormat="1" applyFont="1" applyBorder="1" applyAlignment="1">
      <alignment horizontal="center" vertical="center"/>
    </xf>
    <xf numFmtId="3" fontId="3" fillId="0" borderId="14" xfId="2" applyNumberFormat="1" applyFont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3" fontId="3" fillId="0" borderId="13" xfId="2" applyNumberFormat="1" applyFont="1" applyBorder="1" applyAlignment="1">
      <alignment horizontal="center" vertical="center"/>
    </xf>
    <xf numFmtId="3" fontId="3" fillId="0" borderId="31" xfId="2" applyNumberFormat="1" applyFont="1" applyBorder="1" applyAlignment="1">
      <alignment horizontal="center" vertical="center"/>
    </xf>
    <xf numFmtId="3" fontId="3" fillId="0" borderId="32" xfId="2" applyNumberFormat="1" applyFont="1" applyBorder="1" applyAlignment="1">
      <alignment horizontal="center" vertical="center"/>
    </xf>
    <xf numFmtId="3" fontId="3" fillId="0" borderId="13" xfId="2" applyNumberFormat="1" applyFont="1" applyBorder="1" applyAlignment="1">
      <alignment horizontal="center" vertical="center" wrapText="1"/>
    </xf>
    <xf numFmtId="3" fontId="3" fillId="0" borderId="14" xfId="2" applyNumberFormat="1" applyFont="1" applyBorder="1" applyAlignment="1">
      <alignment horizontal="center" vertical="center" wrapText="1"/>
    </xf>
    <xf numFmtId="3" fontId="12" fillId="0" borderId="13" xfId="2" applyNumberFormat="1" applyFont="1" applyBorder="1" applyAlignment="1">
      <alignment horizontal="center" vertical="center"/>
    </xf>
    <xf numFmtId="3" fontId="12" fillId="0" borderId="14" xfId="2" applyNumberFormat="1" applyFont="1" applyBorder="1" applyAlignment="1">
      <alignment horizontal="center" vertical="center"/>
    </xf>
    <xf numFmtId="3" fontId="12" fillId="0" borderId="2" xfId="2" applyNumberFormat="1" applyFont="1" applyBorder="1" applyAlignment="1">
      <alignment horizontal="center" vertical="center"/>
    </xf>
    <xf numFmtId="3" fontId="12" fillId="0" borderId="3" xfId="2" applyNumberFormat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3" fillId="0" borderId="13" xfId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0" fontId="3" fillId="0" borderId="35" xfId="1" applyFont="1" applyBorder="1" applyAlignment="1">
      <alignment horizontal="center"/>
    </xf>
    <xf numFmtId="0" fontId="1" fillId="0" borderId="21" xfId="2" applyBorder="1" applyAlignment="1">
      <alignment horizontal="center" vertical="center"/>
    </xf>
    <xf numFmtId="0" fontId="1" fillId="0" borderId="22" xfId="2" applyBorder="1" applyAlignment="1">
      <alignment horizontal="center" vertical="center"/>
    </xf>
    <xf numFmtId="0" fontId="3" fillId="0" borderId="13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/>
    </xf>
    <xf numFmtId="0" fontId="9" fillId="0" borderId="13" xfId="1" applyFont="1" applyBorder="1" applyAlignment="1">
      <alignment horizontal="left" vertical="top" wrapText="1"/>
    </xf>
    <xf numFmtId="0" fontId="9" fillId="0" borderId="14" xfId="1" applyFont="1" applyBorder="1" applyAlignment="1">
      <alignment horizontal="left" vertical="top"/>
    </xf>
    <xf numFmtId="0" fontId="13" fillId="0" borderId="1" xfId="1" applyFont="1" applyBorder="1" applyAlignment="1">
      <alignment horizontal="left" vertical="top" wrapText="1"/>
    </xf>
    <xf numFmtId="0" fontId="13" fillId="0" borderId="3" xfId="1" applyFont="1" applyBorder="1" applyAlignment="1">
      <alignment horizontal="left" vertical="top" wrapText="1"/>
    </xf>
    <xf numFmtId="0" fontId="13" fillId="0" borderId="19" xfId="1" applyFont="1" applyBorder="1" applyAlignment="1">
      <alignment horizontal="left" vertical="top" wrapText="1"/>
    </xf>
    <xf numFmtId="0" fontId="13" fillId="0" borderId="20" xfId="1" applyFont="1" applyBorder="1" applyAlignment="1">
      <alignment horizontal="left" vertical="top" wrapText="1"/>
    </xf>
    <xf numFmtId="0" fontId="13" fillId="0" borderId="30" xfId="1" applyFont="1" applyBorder="1" applyAlignment="1">
      <alignment horizontal="left" vertical="top" wrapText="1"/>
    </xf>
    <xf numFmtId="0" fontId="13" fillId="0" borderId="32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left" vertical="top" wrapText="1"/>
    </xf>
    <xf numFmtId="0" fontId="8" fillId="0" borderId="3" xfId="1" applyFont="1" applyBorder="1" applyAlignment="1">
      <alignment horizontal="left" vertical="top" wrapText="1"/>
    </xf>
    <xf numFmtId="0" fontId="8" fillId="0" borderId="19" xfId="1" applyFont="1" applyBorder="1" applyAlignment="1">
      <alignment horizontal="left" vertical="top" wrapText="1"/>
    </xf>
    <xf numFmtId="0" fontId="8" fillId="0" borderId="20" xfId="1" applyFont="1" applyBorder="1" applyAlignment="1">
      <alignment horizontal="left" vertical="top" wrapText="1"/>
    </xf>
    <xf numFmtId="0" fontId="8" fillId="0" borderId="30" xfId="1" applyFont="1" applyBorder="1" applyAlignment="1">
      <alignment horizontal="left" vertical="top" wrapText="1"/>
    </xf>
    <xf numFmtId="0" fontId="8" fillId="0" borderId="32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3" xfId="1" applyFont="1" applyBorder="1" applyAlignment="1">
      <alignment horizontal="left" vertical="top" wrapText="1"/>
    </xf>
    <xf numFmtId="0" fontId="14" fillId="0" borderId="19" xfId="1" applyFont="1" applyBorder="1" applyAlignment="1">
      <alignment horizontal="left" vertical="top" wrapText="1"/>
    </xf>
    <xf numFmtId="0" fontId="14" fillId="0" borderId="20" xfId="1" applyFont="1" applyBorder="1" applyAlignment="1">
      <alignment horizontal="left" vertical="top" wrapText="1"/>
    </xf>
    <xf numFmtId="0" fontId="14" fillId="0" borderId="30" xfId="1" applyFont="1" applyBorder="1" applyAlignment="1">
      <alignment horizontal="left" vertical="top" wrapText="1"/>
    </xf>
    <xf numFmtId="0" fontId="14" fillId="0" borderId="32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1" fillId="4" borderId="5" xfId="1" applyFill="1" applyBorder="1" applyAlignment="1">
      <alignment horizontal="center" vertical="center"/>
    </xf>
    <xf numFmtId="0" fontId="1" fillId="4" borderId="6" xfId="1" applyFill="1" applyBorder="1" applyAlignment="1">
      <alignment horizontal="center" vertical="center"/>
    </xf>
    <xf numFmtId="15" fontId="7" fillId="0" borderId="7" xfId="1" quotePrefix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4" borderId="49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8" fillId="0" borderId="31" xfId="1" applyFont="1" applyBorder="1" applyAlignment="1">
      <alignment horizontal="left" vertical="top" wrapText="1"/>
    </xf>
    <xf numFmtId="0" fontId="12" fillId="0" borderId="21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46" fontId="16" fillId="0" borderId="2" xfId="1" quotePrefix="1" applyNumberFormat="1" applyFont="1" applyBorder="1" applyAlignment="1">
      <alignment horizontal="left" vertical="center" wrapText="1"/>
    </xf>
    <xf numFmtId="46" fontId="16" fillId="0" borderId="2" xfId="1" applyNumberFormat="1" applyFont="1" applyBorder="1" applyAlignment="1">
      <alignment horizontal="left" vertical="center" wrapText="1"/>
    </xf>
    <xf numFmtId="0" fontId="3" fillId="4" borderId="23" xfId="1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top" wrapText="1"/>
    </xf>
    <xf numFmtId="0" fontId="18" fillId="0" borderId="31" xfId="1" applyFont="1" applyBorder="1" applyAlignment="1">
      <alignment horizontal="center" vertical="top" wrapText="1"/>
    </xf>
    <xf numFmtId="0" fontId="1" fillId="0" borderId="42" xfId="1" applyBorder="1" applyAlignment="1">
      <alignment horizontal="center"/>
    </xf>
  </cellXfs>
  <cellStyles count="4">
    <cellStyle name="Comma 4 2" xfId="3" xr:uid="{E92B0535-5C2E-494E-AFEA-2572F1A8A595}"/>
    <cellStyle name="Normal" xfId="0" builtinId="0"/>
    <cellStyle name="Normal 2 2 2 2" xfId="2" xr:uid="{00A90D8F-F966-4779-BA57-79BC789D1A29}"/>
    <cellStyle name="Normal 2 3 2" xfId="1" xr:uid="{5F5BC70A-8857-4BD6-991C-210481ADEB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274E55-9EA5-42E1-97EE-64013E8F4C02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EF521-CA74-42D2-AB41-C9EE1570D0B8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50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60CD52-A022-4233-BD56-F1F818CA44C0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474CA1-7DE5-4B4C-9DB3-1FD446C93724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380C76-53EB-4F62-B90E-06228F9F3197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D6C8DA-3DF4-435B-9A42-691BF75E789D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520CEE-0D06-4569-BCB5-011D69B472E9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9F2C5-5D85-4D9F-A028-063ADDE22350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50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EE0A93-F47E-4A36-B037-AC7487D2DA27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F9CD43-45B7-4089-B475-8F8F2D2C28F3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F94A83A-489D-4549-BC27-A2893255620B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D622229-79D2-4FAA-A97F-EDD898461D72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E45D1D-5851-460A-A40B-4472B8F814B6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092B15-D30A-439D-B703-3BDBAA153D9D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10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20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D61A6D-D110-4235-917F-9A46E988B7A7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C5CCAB-96CD-4EC7-A45B-27C847127C8F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DBF332-9B44-4181-B3DB-B258C2E62D58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C4F3FE9-D75D-4D80-B495-F3D5BA2C7E55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76149C-A4C1-4650-898A-C112B3457F75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DF9066-2015-46F9-9505-FDC0CE7C11B6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53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3E08F0-A445-4B65-9700-C627479EB2C5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82EE1C-ACB9-4826-8C68-300302DDA47B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919FBC-D6F2-4D25-A25E-CE33D7FF035C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A74265-D31C-4FDC-BE84-73E084BBF6BD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158E1A-0FC0-400F-AFD0-15D76F7818BF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E0B6EB-2C32-4334-AF20-A333BFA5D532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53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420B4D-0194-4703-AE82-905AF5FAEE96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82AA1E-C145-4AAB-9E70-D5AA6C8469BB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31CFFB-7FD8-468F-A416-74B1B77E2338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F5CD7A-01F1-457B-9DDB-383A2427BBFB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BFA4E-2AA9-4B14-A75F-44324EA4CC2E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B7F09F-D5FE-4C7A-BEF0-2F51524C77B0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48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422BAF-4573-41D3-AAFA-055FFDE5D373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C3C460D-466A-4234-A664-0AB7988FD525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B36E71-CFE7-46E4-8645-8CE1F488A32E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A6950D5-8DCB-464E-AFA4-4DC8A92D04A6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76AC60-839D-480C-A1E6-AD295CD8839B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B81A52-A55C-4FAB-9BAE-555B0C2F3CDB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32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5D32A8-69C8-4FDB-8790-030F57B76AE9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640C7A7-357C-4193-8226-E40227716295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4EC82C-83E7-4BC6-BB08-B08D1A515210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B12A0A-174F-4F74-9F6E-035049AB98C0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3A99E3-BE68-4BBB-8098-6C6D18D9B94C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F6A778-7E2D-42AD-878E-0CD16FD26D38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45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422C58-F9E8-4EE3-9466-AFA16E58AC7C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946D8C-9A40-46A9-85E9-AE46777737A7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088822-9BDB-4AA0-BDF7-4FB9A0490B35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0C87ED-FE2E-427C-BA17-D2D9446DD104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7DE7CD-8993-4313-89EF-23BE85B958FB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086AA9-105F-493A-9C69-D48CEA26E541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52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F8B5DE-7B81-4E47-BECC-013764B5D1AC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61D74D-D125-46E7-A4D9-7915AE6F21B8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C7D00D-4DC7-4733-AFA3-CA2E18B160E4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57F559-B762-4EFD-90B8-18D44EB4AFC7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C8587A-1055-4240-A976-F4264372F8BC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FED798-B19D-4ACB-A111-058097A59ED1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50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9401B2-2DC0-43E8-BF52-92088E7416B3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5AD144-7A57-4B74-8343-35DDC658C28C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3FD803-1552-42BC-9BC5-E5CDD6F94EC3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0C8C12C-C421-42CF-AF88-D7BBB0F83E24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26</xdr:row>
      <xdr:rowOff>47624</xdr:rowOff>
    </xdr:from>
    <xdr:to>
      <xdr:col>3</xdr:col>
      <xdr:colOff>876300</xdr:colOff>
      <xdr:row>26</xdr:row>
      <xdr:rowOff>314325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F8750B-7E39-4689-B160-A305BEFA3153}"/>
            </a:ext>
          </a:extLst>
        </xdr:cNvPr>
        <xdr:cNvSpPr txBox="1"/>
      </xdr:nvSpPr>
      <xdr:spPr>
        <a:xfrm>
          <a:off x="2762250" y="7610474"/>
          <a:ext cx="1666875" cy="266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PH" sz="1000"/>
            <a:t>TIME</a:t>
          </a:r>
          <a:r>
            <a:rPr lang="en-PH" sz="1000" baseline="0"/>
            <a:t> (DAY SHIFT)</a:t>
          </a:r>
          <a:endParaRPr lang="en-PH" sz="1000"/>
        </a:p>
      </xdr:txBody>
    </xdr:sp>
    <xdr:clientData/>
  </xdr:twoCellAnchor>
  <xdr:twoCellAnchor>
    <xdr:from>
      <xdr:col>4</xdr:col>
      <xdr:colOff>771525</xdr:colOff>
      <xdr:row>26</xdr:row>
      <xdr:rowOff>38100</xdr:rowOff>
    </xdr:from>
    <xdr:to>
      <xdr:col>4</xdr:col>
      <xdr:colOff>2418080</xdr:colOff>
      <xdr:row>26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D68AD1-6746-45BD-B714-563B5BE886D8}"/>
            </a:ext>
          </a:extLst>
        </xdr:cNvPr>
        <xdr:cNvSpPr txBox="1"/>
      </xdr:nvSpPr>
      <xdr:spPr>
        <a:xfrm>
          <a:off x="6562725" y="7600950"/>
          <a:ext cx="1646555" cy="3429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11 HOURS &amp;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50 </a:t>
          </a: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+mn-ea"/>
              <a:cs typeface="+mn-cs"/>
            </a:rPr>
            <a:t>MINUTES</a:t>
          </a:r>
        </a:p>
      </xdr:txBody>
    </xdr:sp>
    <xdr:clientData/>
  </xdr:twoCellAnchor>
  <xdr:twoCellAnchor>
    <xdr:from>
      <xdr:col>5</xdr:col>
      <xdr:colOff>561975</xdr:colOff>
      <xdr:row>26</xdr:row>
      <xdr:rowOff>95250</xdr:rowOff>
    </xdr:from>
    <xdr:to>
      <xdr:col>6</xdr:col>
      <xdr:colOff>1152525</xdr:colOff>
      <xdr:row>26</xdr:row>
      <xdr:rowOff>361951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F17513-C085-40C5-B9D9-A864E73F721E}"/>
            </a:ext>
          </a:extLst>
        </xdr:cNvPr>
        <xdr:cNvSpPr txBox="1"/>
      </xdr:nvSpPr>
      <xdr:spPr>
        <a:xfrm>
          <a:off x="9324975" y="7658100"/>
          <a:ext cx="257175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P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0B0004020202020204" pitchFamily="34" charset="0"/>
              <a:ea typeface="Calibri" panose="020F0502020204030204" pitchFamily="34" charset="0"/>
              <a:cs typeface="Calibri" panose="020F0502020204030204" pitchFamily="34" charset="0"/>
            </a:rPr>
            <a:t>8:00 AM - 8:00 PM</a:t>
          </a:r>
        </a:p>
      </xdr:txBody>
    </xdr:sp>
    <xdr:clientData/>
  </xdr:twoCellAnchor>
  <xdr:twoCellAnchor>
    <xdr:from>
      <xdr:col>2</xdr:col>
      <xdr:colOff>438150</xdr:colOff>
      <xdr:row>26</xdr:row>
      <xdr:rowOff>352425</xdr:rowOff>
    </xdr:from>
    <xdr:to>
      <xdr:col>3</xdr:col>
      <xdr:colOff>1095375</xdr:colOff>
      <xdr:row>26</xdr:row>
      <xdr:rowOff>619126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B0B61B-0447-40E9-931B-6A51B397FD91}"/>
            </a:ext>
          </a:extLst>
        </xdr:cNvPr>
        <xdr:cNvSpPr txBox="1"/>
      </xdr:nvSpPr>
      <xdr:spPr>
        <a:xfrm>
          <a:off x="2743200" y="7915275"/>
          <a:ext cx="1905000" cy="26670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407019</xdr:colOff>
      <xdr:row>26</xdr:row>
      <xdr:rowOff>373567</xdr:rowOff>
    </xdr:from>
    <xdr:to>
      <xdr:col>4</xdr:col>
      <xdr:colOff>2067622</xdr:colOff>
      <xdr:row>26</xdr:row>
      <xdr:rowOff>646340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0307C5-ADC6-4585-9138-AFA3A2B58A7A}"/>
            </a:ext>
          </a:extLst>
        </xdr:cNvPr>
        <xdr:cNvSpPr txBox="1"/>
      </xdr:nvSpPr>
      <xdr:spPr>
        <a:xfrm>
          <a:off x="6198219" y="7936417"/>
          <a:ext cx="1660603" cy="27277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467654</xdr:colOff>
      <xdr:row>26</xdr:row>
      <xdr:rowOff>371475</xdr:rowOff>
    </xdr:from>
    <xdr:to>
      <xdr:col>6</xdr:col>
      <xdr:colOff>1305854</xdr:colOff>
      <xdr:row>26</xdr:row>
      <xdr:rowOff>647700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82361C-D891-4D18-B507-D70413799DC2}"/>
            </a:ext>
          </a:extLst>
        </xdr:cNvPr>
        <xdr:cNvSpPr txBox="1"/>
      </xdr:nvSpPr>
      <xdr:spPr>
        <a:xfrm>
          <a:off x="9230654" y="7934325"/>
          <a:ext cx="2819400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PH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528D-51E1-4260-841D-9B5937C67594}">
  <sheetPr codeName="Sheet1">
    <pageSetUpPr fitToPage="1"/>
  </sheetPr>
  <dimension ref="A1:AE153"/>
  <sheetViews>
    <sheetView topLeftCell="A21" zoomScale="82" zoomScaleNormal="82" workbookViewId="0">
      <selection activeCell="C28" sqref="C28:D30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136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3</v>
      </c>
      <c r="L7" s="483" t="s">
        <v>137</v>
      </c>
      <c r="M7" s="507"/>
      <c r="N7" s="507"/>
      <c r="O7" s="484"/>
      <c r="P7" s="473" t="s">
        <v>150</v>
      </c>
      <c r="Q7" s="474"/>
      <c r="R7" s="473" t="s">
        <v>142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630</v>
      </c>
      <c r="F8" s="12">
        <v>26</v>
      </c>
      <c r="G8" s="13">
        <f>PRODUCT(E8:F8)</f>
        <v>16380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143</v>
      </c>
      <c r="Q8" s="478"/>
      <c r="R8" s="483" t="s">
        <v>144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218</v>
      </c>
      <c r="F9" s="12">
        <v>26</v>
      </c>
      <c r="G9" s="13">
        <f>PRODUCT(E9:F9)</f>
        <v>5668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11</v>
      </c>
      <c r="F10" s="12">
        <v>575</v>
      </c>
      <c r="G10" s="13">
        <f>E10*F10</f>
        <v>6325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3</v>
      </c>
      <c r="F11" s="12">
        <v>575</v>
      </c>
      <c r="G11" s="13">
        <f>E11*F11</f>
        <v>1725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2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15"/>
      <c r="D13" s="10"/>
      <c r="E13" s="11"/>
      <c r="F13" s="25"/>
      <c r="G13" s="26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39" t="s">
        <v>6</v>
      </c>
      <c r="D14" s="140"/>
      <c r="E14" s="141"/>
      <c r="F14" s="140"/>
      <c r="G14" s="142">
        <f>SUM(G8:G11)</f>
        <v>30098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1050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1050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151</v>
      </c>
      <c r="D28" s="443"/>
      <c r="E28" s="445" t="s">
        <v>31</v>
      </c>
      <c r="F28" s="445" t="s">
        <v>145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516"/>
      <c r="G31" s="516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516"/>
      <c r="G32" s="516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516"/>
      <c r="G33" s="516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516"/>
      <c r="G34" s="516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516"/>
      <c r="G35" s="516"/>
      <c r="J35" s="440" t="s">
        <v>35</v>
      </c>
      <c r="K35" s="219"/>
      <c r="L35" s="441" t="s">
        <v>146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516"/>
      <c r="G36" s="516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517"/>
      <c r="G37" s="517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518" t="s">
        <v>39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/>
      <c r="B48" s="194"/>
      <c r="C48" s="406" t="s">
        <v>55</v>
      </c>
      <c r="D48" s="414"/>
      <c r="E48" s="414"/>
      <c r="F48" s="410">
        <f>E48-D48</f>
        <v>0</v>
      </c>
      <c r="G48" s="411"/>
      <c r="H48" s="415"/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/>
      <c r="B50" s="194"/>
      <c r="C50" s="406" t="s">
        <v>58</v>
      </c>
      <c r="D50" s="408"/>
      <c r="E50" s="408"/>
      <c r="F50" s="410">
        <f>E50-D50</f>
        <v>0</v>
      </c>
      <c r="G50" s="411"/>
      <c r="H50" s="384"/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601.9</v>
      </c>
      <c r="E55" s="378">
        <v>609.20000000000005</v>
      </c>
      <c r="F55" s="381">
        <f>E55-D55</f>
        <v>7.3000000000000682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7.3000000000000682</v>
      </c>
      <c r="E61" s="357">
        <v>120</v>
      </c>
      <c r="F61" s="359">
        <f>D61*E61</f>
        <v>876.00000000000819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 t="s">
        <v>139</v>
      </c>
      <c r="C82" s="75" t="s">
        <v>81</v>
      </c>
      <c r="D82" s="255">
        <v>1</v>
      </c>
      <c r="E82" s="269">
        <v>2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 t="s">
        <v>140</v>
      </c>
      <c r="C84" s="70" t="s">
        <v>84</v>
      </c>
      <c r="D84" s="255">
        <v>1</v>
      </c>
      <c r="E84" s="269">
        <v>2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 t="s">
        <v>141</v>
      </c>
      <c r="C86" s="70" t="s">
        <v>86</v>
      </c>
      <c r="D86" s="255">
        <v>1</v>
      </c>
      <c r="E86" s="269">
        <v>1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 t="s">
        <v>18</v>
      </c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91"/>
      <c r="B102" s="252" t="s">
        <v>147</v>
      </c>
      <c r="C102" s="253" t="s">
        <v>93</v>
      </c>
      <c r="D102" s="255">
        <v>2</v>
      </c>
      <c r="E102" s="257">
        <v>35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91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170</v>
      </c>
      <c r="K103" s="238">
        <f>G102+G104+G108</f>
        <v>0</v>
      </c>
      <c r="L103" s="239"/>
      <c r="M103" s="42"/>
      <c r="N103" s="42"/>
      <c r="O103" s="50">
        <f>D102+D104+D108+D106</f>
        <v>9</v>
      </c>
      <c r="X103" s="4"/>
      <c r="Y103" s="4"/>
      <c r="Z103" s="4"/>
    </row>
    <row r="104" spans="1:26" s="3" customFormat="1" ht="15" customHeight="1" x14ac:dyDescent="0.25">
      <c r="A104" s="91"/>
      <c r="B104" s="252" t="s">
        <v>149</v>
      </c>
      <c r="C104" s="253" t="s">
        <v>93</v>
      </c>
      <c r="D104" s="255">
        <v>2</v>
      </c>
      <c r="E104" s="257">
        <v>35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148</v>
      </c>
      <c r="C106" s="253" t="s">
        <v>97</v>
      </c>
      <c r="D106" s="255">
        <v>2</v>
      </c>
      <c r="E106" s="257">
        <v>40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138</v>
      </c>
      <c r="C108" s="253" t="s">
        <v>97</v>
      </c>
      <c r="D108" s="255">
        <v>3</v>
      </c>
      <c r="E108" s="257">
        <v>60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3</v>
      </c>
      <c r="I131" s="128">
        <v>3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1"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G102:G103"/>
    <mergeCell ref="H102:H103"/>
    <mergeCell ref="B96:B97"/>
    <mergeCell ref="D96:D97"/>
    <mergeCell ref="E96:E97"/>
    <mergeCell ref="F96:F97"/>
    <mergeCell ref="G96:G97"/>
    <mergeCell ref="H96:H97"/>
    <mergeCell ref="K102:L102"/>
    <mergeCell ref="K103:L103"/>
    <mergeCell ref="B104:B105"/>
    <mergeCell ref="C104:C105"/>
    <mergeCell ref="D104:D105"/>
    <mergeCell ref="E104:E105"/>
    <mergeCell ref="F104:F105"/>
    <mergeCell ref="G104:G105"/>
    <mergeCell ref="I96:I97"/>
    <mergeCell ref="J96:J97"/>
    <mergeCell ref="K96:K97"/>
    <mergeCell ref="C100:H100"/>
    <mergeCell ref="J101:K101"/>
    <mergeCell ref="B102:B103"/>
    <mergeCell ref="C102:C103"/>
    <mergeCell ref="D102:D103"/>
    <mergeCell ref="E102:E103"/>
    <mergeCell ref="F102:F103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4BCA-7AA3-47F1-A415-69B39E0DD0D5}">
  <sheetPr codeName="Sheet2">
    <pageSetUpPr fitToPage="1"/>
  </sheetPr>
  <dimension ref="A1:AE153"/>
  <sheetViews>
    <sheetView topLeftCell="A77" zoomScale="82" zoomScaleNormal="82" workbookViewId="0">
      <selection activeCell="C27" sqref="C27:D27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152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483" t="s">
        <v>153</v>
      </c>
      <c r="M7" s="507"/>
      <c r="N7" s="507"/>
      <c r="O7" s="484"/>
      <c r="P7" s="473" t="s">
        <v>156</v>
      </c>
      <c r="Q7" s="474"/>
      <c r="R7" s="473" t="s">
        <v>155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660</v>
      </c>
      <c r="F8" s="12">
        <v>26</v>
      </c>
      <c r="G8" s="13">
        <f>PRODUCT(E8:F8)</f>
        <v>17160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154</v>
      </c>
      <c r="Q8" s="478"/>
      <c r="R8" s="483" t="s">
        <v>12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217</v>
      </c>
      <c r="F9" s="12">
        <v>26</v>
      </c>
      <c r="G9" s="13">
        <f>PRODUCT(E9:F9)</f>
        <v>5642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10</v>
      </c>
      <c r="F10" s="12">
        <v>575</v>
      </c>
      <c r="G10" s="13">
        <f>E10*F10</f>
        <v>5750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4</v>
      </c>
      <c r="F11" s="12">
        <v>575</v>
      </c>
      <c r="G11" s="13">
        <f>E11*F11</f>
        <v>2300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1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15"/>
      <c r="D13" s="10"/>
      <c r="E13" s="11"/>
      <c r="F13" s="25"/>
      <c r="G13" s="26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39" t="s">
        <v>6</v>
      </c>
      <c r="D14" s="140"/>
      <c r="E14" s="141"/>
      <c r="F14" s="140"/>
      <c r="G14" s="142">
        <f>SUM(G8:G11)</f>
        <v>30852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1125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1125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151</v>
      </c>
      <c r="D28" s="443"/>
      <c r="E28" s="445" t="s">
        <v>31</v>
      </c>
      <c r="F28" s="445" t="s">
        <v>164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516"/>
      <c r="G31" s="516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516"/>
      <c r="G32" s="516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516"/>
      <c r="G33" s="516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516"/>
      <c r="G34" s="516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516"/>
      <c r="G35" s="516"/>
      <c r="J35" s="440" t="s">
        <v>35</v>
      </c>
      <c r="K35" s="219"/>
      <c r="L35" s="441" t="s">
        <v>157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516"/>
      <c r="G36" s="516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517"/>
      <c r="G37" s="517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165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/>
      <c r="B48" s="194"/>
      <c r="C48" s="406" t="s">
        <v>55</v>
      </c>
      <c r="D48" s="414"/>
      <c r="E48" s="414"/>
      <c r="F48" s="410">
        <f>E48-D48</f>
        <v>0</v>
      </c>
      <c r="G48" s="411"/>
      <c r="H48" s="415"/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/>
      <c r="B50" s="194"/>
      <c r="C50" s="406" t="s">
        <v>58</v>
      </c>
      <c r="D50" s="408"/>
      <c r="E50" s="408"/>
      <c r="F50" s="410">
        <f>E50-D50</f>
        <v>0</v>
      </c>
      <c r="G50" s="411"/>
      <c r="H50" s="384"/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609.20000000000005</v>
      </c>
      <c r="E55" s="378">
        <v>616.29999999999995</v>
      </c>
      <c r="F55" s="381">
        <f>E55-D55</f>
        <v>7.0999999999999091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7.0999999999999091</v>
      </c>
      <c r="E61" s="357">
        <v>120</v>
      </c>
      <c r="F61" s="359">
        <f>D61*E61</f>
        <v>851.99999999998909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 t="s">
        <v>159</v>
      </c>
      <c r="C82" s="75" t="s">
        <v>81</v>
      </c>
      <c r="D82" s="255">
        <v>2</v>
      </c>
      <c r="E82" s="269">
        <v>3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 t="s">
        <v>160</v>
      </c>
      <c r="C84" s="70" t="s">
        <v>84</v>
      </c>
      <c r="D84" s="255">
        <v>2</v>
      </c>
      <c r="E84" s="269">
        <v>3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 t="s">
        <v>161</v>
      </c>
      <c r="C86" s="70" t="s">
        <v>86</v>
      </c>
      <c r="D86" s="255">
        <v>2</v>
      </c>
      <c r="E86" s="269">
        <v>4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91"/>
      <c r="B102" s="252"/>
      <c r="C102" s="253" t="s">
        <v>93</v>
      </c>
      <c r="D102" s="255">
        <v>0</v>
      </c>
      <c r="E102" s="257">
        <v>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91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150</v>
      </c>
      <c r="K103" s="238">
        <f>G102+G104+G108</f>
        <v>0</v>
      </c>
      <c r="L103" s="239"/>
      <c r="M103" s="42"/>
      <c r="N103" s="42"/>
      <c r="O103" s="50">
        <f>D102+D104+D108+D106</f>
        <v>9</v>
      </c>
      <c r="X103" s="4"/>
      <c r="Y103" s="4"/>
      <c r="Z103" s="4"/>
    </row>
    <row r="104" spans="1:26" s="3" customFormat="1" ht="15" customHeight="1" x14ac:dyDescent="0.25">
      <c r="A104" s="91"/>
      <c r="B104" s="252" t="s">
        <v>163</v>
      </c>
      <c r="C104" s="253" t="s">
        <v>93</v>
      </c>
      <c r="D104" s="255">
        <v>3</v>
      </c>
      <c r="E104" s="257">
        <v>30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162</v>
      </c>
      <c r="C106" s="253" t="s">
        <v>97</v>
      </c>
      <c r="D106" s="255">
        <v>3</v>
      </c>
      <c r="E106" s="257">
        <v>60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158</v>
      </c>
      <c r="C108" s="253" t="s">
        <v>97</v>
      </c>
      <c r="D108" s="255">
        <v>3</v>
      </c>
      <c r="E108" s="257">
        <v>60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1</v>
      </c>
      <c r="I131" s="128">
        <v>1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1"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G102:G103"/>
    <mergeCell ref="H102:H103"/>
    <mergeCell ref="B96:B97"/>
    <mergeCell ref="D96:D97"/>
    <mergeCell ref="E96:E97"/>
    <mergeCell ref="F96:F97"/>
    <mergeCell ref="G96:G97"/>
    <mergeCell ref="H96:H97"/>
    <mergeCell ref="K102:L102"/>
    <mergeCell ref="K103:L103"/>
    <mergeCell ref="B104:B105"/>
    <mergeCell ref="C104:C105"/>
    <mergeCell ref="D104:D105"/>
    <mergeCell ref="E104:E105"/>
    <mergeCell ref="F104:F105"/>
    <mergeCell ref="G104:G105"/>
    <mergeCell ref="I96:I97"/>
    <mergeCell ref="J96:J97"/>
    <mergeCell ref="K96:K97"/>
    <mergeCell ref="C100:H100"/>
    <mergeCell ref="J101:K101"/>
    <mergeCell ref="B102:B103"/>
    <mergeCell ref="C102:C103"/>
    <mergeCell ref="D102:D103"/>
    <mergeCell ref="E102:E103"/>
    <mergeCell ref="F102:F103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8FEC-8FD6-4A44-B11C-7C2193D5AB05}">
  <sheetPr codeName="Sheet3">
    <pageSetUpPr fitToPage="1"/>
  </sheetPr>
  <dimension ref="A1:AE153"/>
  <sheetViews>
    <sheetView zoomScale="82" zoomScaleNormal="82" workbookViewId="0">
      <selection activeCell="E28" sqref="E28:E30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174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483" t="s">
        <v>153</v>
      </c>
      <c r="M7" s="507"/>
      <c r="N7" s="507"/>
      <c r="O7" s="484"/>
      <c r="P7" s="473" t="s">
        <v>156</v>
      </c>
      <c r="Q7" s="474"/>
      <c r="R7" s="473" t="s">
        <v>155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510</v>
      </c>
      <c r="F8" s="12">
        <v>26</v>
      </c>
      <c r="G8" s="13">
        <f>PRODUCT(E8:F8)</f>
        <v>13260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154</v>
      </c>
      <c r="Q8" s="478"/>
      <c r="R8" s="483" t="s">
        <v>12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217</v>
      </c>
      <c r="F9" s="12">
        <v>26</v>
      </c>
      <c r="G9" s="13">
        <f>PRODUCT(E9:F9)</f>
        <v>5642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9</v>
      </c>
      <c r="F10" s="12">
        <v>575</v>
      </c>
      <c r="G10" s="13">
        <f>E10*F10</f>
        <v>5175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4</v>
      </c>
      <c r="F11" s="12">
        <v>575</v>
      </c>
      <c r="G11" s="13">
        <f>E11*F11</f>
        <v>2300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1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15"/>
      <c r="D13" s="10"/>
      <c r="E13" s="11"/>
      <c r="F13" s="25"/>
      <c r="G13" s="26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39" t="s">
        <v>6</v>
      </c>
      <c r="D14" s="140"/>
      <c r="E14" s="141"/>
      <c r="F14" s="140"/>
      <c r="G14" s="142">
        <f>SUM(G8:G11)</f>
        <v>26377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975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975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177</v>
      </c>
      <c r="D28" s="443"/>
      <c r="E28" s="445" t="s">
        <v>178</v>
      </c>
      <c r="F28" s="445" t="s">
        <v>179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516"/>
      <c r="G31" s="516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516"/>
      <c r="G32" s="516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516"/>
      <c r="G33" s="516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516"/>
      <c r="G34" s="516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516"/>
      <c r="G35" s="516"/>
      <c r="J35" s="440" t="s">
        <v>172</v>
      </c>
      <c r="K35" s="219"/>
      <c r="L35" s="441" t="s">
        <v>173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516"/>
      <c r="G36" s="516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517"/>
      <c r="G37" s="517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176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/>
      <c r="B48" s="194"/>
      <c r="C48" s="406" t="s">
        <v>55</v>
      </c>
      <c r="D48" s="414"/>
      <c r="E48" s="414"/>
      <c r="F48" s="410">
        <f>E48-D48</f>
        <v>0</v>
      </c>
      <c r="G48" s="411"/>
      <c r="H48" s="415"/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 t="s">
        <v>175</v>
      </c>
      <c r="B50" s="194"/>
      <c r="C50" s="406" t="s">
        <v>58</v>
      </c>
      <c r="D50" s="408">
        <v>35482.699999999997</v>
      </c>
      <c r="E50" s="408">
        <v>35791.1</v>
      </c>
      <c r="F50" s="410">
        <f>E50-D50</f>
        <v>308.40000000000146</v>
      </c>
      <c r="G50" s="411"/>
      <c r="H50" s="384">
        <v>160</v>
      </c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616.29999999999995</v>
      </c>
      <c r="E55" s="378">
        <v>623</v>
      </c>
      <c r="F55" s="381">
        <f>E55-D55</f>
        <v>6.7000000000000455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6.7000000000000455</v>
      </c>
      <c r="E61" s="357">
        <v>120</v>
      </c>
      <c r="F61" s="359">
        <f>D61*E61</f>
        <v>804.00000000000546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 t="s">
        <v>170</v>
      </c>
      <c r="C82" s="75" t="s">
        <v>81</v>
      </c>
      <c r="D82" s="255">
        <v>1</v>
      </c>
      <c r="E82" s="269">
        <v>2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 t="s">
        <v>171</v>
      </c>
      <c r="C84" s="70" t="s">
        <v>84</v>
      </c>
      <c r="D84" s="255">
        <v>1</v>
      </c>
      <c r="E84" s="269">
        <v>2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/>
      <c r="C86" s="70" t="s">
        <v>86</v>
      </c>
      <c r="D86" s="255">
        <v>0</v>
      </c>
      <c r="E86" s="269">
        <v>0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 t="s">
        <v>167</v>
      </c>
      <c r="C102" s="253" t="s">
        <v>93</v>
      </c>
      <c r="D102" s="255">
        <v>1</v>
      </c>
      <c r="E102" s="257">
        <v>10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108</v>
      </c>
      <c r="K103" s="238">
        <f>G102+G104+G108</f>
        <v>0</v>
      </c>
      <c r="L103" s="239"/>
      <c r="M103" s="42"/>
      <c r="N103" s="42"/>
      <c r="O103" s="50">
        <f>D102+D104+D108+D106</f>
        <v>7</v>
      </c>
      <c r="X103" s="4"/>
      <c r="Y103" s="4"/>
      <c r="Z103" s="4"/>
    </row>
    <row r="104" spans="1:26" s="3" customFormat="1" ht="15" customHeight="1" x14ac:dyDescent="0.25">
      <c r="A104" s="91"/>
      <c r="B104" s="252" t="s">
        <v>166</v>
      </c>
      <c r="C104" s="253" t="s">
        <v>93</v>
      </c>
      <c r="D104" s="255">
        <v>2</v>
      </c>
      <c r="E104" s="257">
        <v>30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168</v>
      </c>
      <c r="C106" s="253" t="s">
        <v>97</v>
      </c>
      <c r="D106" s="255">
        <v>2</v>
      </c>
      <c r="E106" s="257">
        <v>34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169</v>
      </c>
      <c r="C108" s="253" t="s">
        <v>97</v>
      </c>
      <c r="D108" s="255">
        <v>2</v>
      </c>
      <c r="E108" s="257">
        <v>34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4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C100:H100"/>
    <mergeCell ref="J101:K101"/>
    <mergeCell ref="B102:B103"/>
    <mergeCell ref="C102:C103"/>
    <mergeCell ref="D102:D103"/>
    <mergeCell ref="E102:E103"/>
    <mergeCell ref="F102:F103"/>
    <mergeCell ref="G102:G103"/>
    <mergeCell ref="H102:H103"/>
    <mergeCell ref="K102:L102"/>
    <mergeCell ref="K103:L103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H121:J122"/>
    <mergeCell ref="C122:D122"/>
    <mergeCell ref="B104:B105"/>
    <mergeCell ref="C104:C105"/>
    <mergeCell ref="D104:D105"/>
    <mergeCell ref="E104:E105"/>
    <mergeCell ref="F104:F105"/>
    <mergeCell ref="G104:G105"/>
    <mergeCell ref="B108:B109"/>
    <mergeCell ref="C108:C109"/>
    <mergeCell ref="D108:D109"/>
    <mergeCell ref="E108:E109"/>
    <mergeCell ref="F108:F109"/>
    <mergeCell ref="G108:G109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A102:A103"/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A786-BDFB-41AA-B161-392A4552BA4B}">
  <sheetPr codeName="Sheet4">
    <pageSetUpPr fitToPage="1"/>
  </sheetPr>
  <dimension ref="A1:AE153"/>
  <sheetViews>
    <sheetView topLeftCell="A86" zoomScale="82" zoomScaleNormal="82" workbookViewId="0">
      <selection activeCell="D5" sqref="D5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192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483" t="s">
        <v>153</v>
      </c>
      <c r="M7" s="507"/>
      <c r="N7" s="507"/>
      <c r="O7" s="484"/>
      <c r="P7" s="473" t="s">
        <v>156</v>
      </c>
      <c r="Q7" s="474"/>
      <c r="R7" s="473" t="s">
        <v>155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561</v>
      </c>
      <c r="F8" s="12">
        <v>26</v>
      </c>
      <c r="G8" s="13">
        <f>PRODUCT(E8:F8)</f>
        <v>14586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154</v>
      </c>
      <c r="Q8" s="478"/>
      <c r="R8" s="483" t="s">
        <v>12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200</v>
      </c>
      <c r="F9" s="12">
        <v>26</v>
      </c>
      <c r="G9" s="13">
        <f t="shared" ref="G9:G11" si="0">PRODUCT(E9:F9)</f>
        <v>5200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10</v>
      </c>
      <c r="F10" s="12">
        <v>575</v>
      </c>
      <c r="G10" s="13">
        <f t="shared" si="0"/>
        <v>5750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5</v>
      </c>
      <c r="F11" s="12">
        <v>575</v>
      </c>
      <c r="G11" s="13">
        <f t="shared" si="0"/>
        <v>2875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1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15"/>
      <c r="D13" s="10"/>
      <c r="E13" s="11"/>
      <c r="F13" s="25"/>
      <c r="G13" s="26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39" t="s">
        <v>6</v>
      </c>
      <c r="D14" s="140"/>
      <c r="E14" s="141"/>
      <c r="F14" s="140"/>
      <c r="G14" s="142">
        <f>SUM(G8:G11)</f>
        <v>28411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1025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1025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188</v>
      </c>
      <c r="D28" s="443"/>
      <c r="E28" s="445" t="s">
        <v>187</v>
      </c>
      <c r="F28" s="445" t="s">
        <v>189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 t="s">
        <v>190</v>
      </c>
      <c r="D31" s="447"/>
      <c r="E31" s="449"/>
      <c r="F31" s="449" t="s">
        <v>191</v>
      </c>
      <c r="G31" s="449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449"/>
      <c r="G32" s="449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449"/>
      <c r="G33" s="449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449"/>
      <c r="G34" s="449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449"/>
      <c r="G35" s="449"/>
      <c r="J35" s="440" t="s">
        <v>180</v>
      </c>
      <c r="K35" s="219"/>
      <c r="L35" s="441" t="s">
        <v>181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449"/>
      <c r="G36" s="449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450"/>
      <c r="G37" s="450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186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 t="s">
        <v>175</v>
      </c>
      <c r="B48" s="194"/>
      <c r="C48" s="406" t="s">
        <v>55</v>
      </c>
      <c r="D48" s="414">
        <v>15072.4</v>
      </c>
      <c r="E48" s="414">
        <v>15388.4</v>
      </c>
      <c r="F48" s="410">
        <f>E48-D48</f>
        <v>316</v>
      </c>
      <c r="G48" s="411"/>
      <c r="H48" s="415">
        <v>155</v>
      </c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/>
      <c r="B50" s="194"/>
      <c r="C50" s="406" t="s">
        <v>58</v>
      </c>
      <c r="D50" s="408"/>
      <c r="E50" s="408"/>
      <c r="F50" s="410">
        <f>E50-D50</f>
        <v>0</v>
      </c>
      <c r="G50" s="411"/>
      <c r="H50" s="384"/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623</v>
      </c>
      <c r="E55" s="378">
        <v>630.9</v>
      </c>
      <c r="F55" s="381">
        <f>E55-D55</f>
        <v>7.8999999999999773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7.8999999999999773</v>
      </c>
      <c r="E61" s="357">
        <v>120</v>
      </c>
      <c r="F61" s="359">
        <f>D61*E61</f>
        <v>947.99999999999727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/>
      <c r="C82" s="75" t="s">
        <v>81</v>
      </c>
      <c r="D82" s="255">
        <v>0</v>
      </c>
      <c r="E82" s="269">
        <v>2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/>
      <c r="C84" s="70" t="s">
        <v>84</v>
      </c>
      <c r="D84" s="255">
        <v>0</v>
      </c>
      <c r="E84" s="269">
        <v>2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/>
      <c r="C86" s="70" t="s">
        <v>86</v>
      </c>
      <c r="D86" s="255">
        <v>0</v>
      </c>
      <c r="E86" s="269">
        <v>0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 t="s">
        <v>184</v>
      </c>
      <c r="C102" s="253" t="s">
        <v>93</v>
      </c>
      <c r="D102" s="255">
        <v>2</v>
      </c>
      <c r="E102" s="257">
        <v>20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114</v>
      </c>
      <c r="K103" s="238">
        <f>G102+G104+G108</f>
        <v>0</v>
      </c>
      <c r="L103" s="239"/>
      <c r="M103" s="42"/>
      <c r="N103" s="42"/>
      <c r="O103" s="50">
        <f>D102+D104+D108+D106</f>
        <v>11</v>
      </c>
      <c r="X103" s="4"/>
      <c r="Y103" s="4"/>
      <c r="Z103" s="4"/>
    </row>
    <row r="104" spans="1:26" s="3" customFormat="1" ht="15" customHeight="1" x14ac:dyDescent="0.25">
      <c r="A104" s="91"/>
      <c r="B104" s="252" t="s">
        <v>183</v>
      </c>
      <c r="C104" s="253" t="s">
        <v>93</v>
      </c>
      <c r="D104" s="255">
        <v>2</v>
      </c>
      <c r="E104" s="257">
        <v>20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185</v>
      </c>
      <c r="C106" s="253" t="s">
        <v>97</v>
      </c>
      <c r="D106" s="255">
        <v>3</v>
      </c>
      <c r="E106" s="257">
        <v>34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182</v>
      </c>
      <c r="C108" s="253" t="s">
        <v>97</v>
      </c>
      <c r="D108" s="255">
        <v>4</v>
      </c>
      <c r="E108" s="257">
        <v>40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4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C100:H100"/>
    <mergeCell ref="J101:K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K102:L102"/>
    <mergeCell ref="K103:L103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1D8B-941B-49D4-BD69-EA032497D8F4}">
  <sheetPr codeName="Sheet5">
    <pageSetUpPr fitToPage="1"/>
  </sheetPr>
  <dimension ref="A1:AE153"/>
  <sheetViews>
    <sheetView topLeftCell="A86" zoomScale="82" zoomScaleNormal="82" workbookViewId="0">
      <selection activeCell="H20" sqref="H20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193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483" t="s">
        <v>153</v>
      </c>
      <c r="M7" s="507"/>
      <c r="N7" s="507"/>
      <c r="O7" s="484"/>
      <c r="P7" s="473" t="s">
        <v>156</v>
      </c>
      <c r="Q7" s="474"/>
      <c r="R7" s="473" t="s">
        <v>155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600</v>
      </c>
      <c r="F8" s="12">
        <v>26</v>
      </c>
      <c r="G8" s="13">
        <f>PRODUCT(E8:F8)</f>
        <v>15600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154</v>
      </c>
      <c r="Q8" s="478"/>
      <c r="R8" s="483" t="s">
        <v>12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178</v>
      </c>
      <c r="F9" s="12">
        <v>26</v>
      </c>
      <c r="G9" s="13">
        <f t="shared" ref="G9:G11" si="0">PRODUCT(E9:F9)</f>
        <v>4628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10</v>
      </c>
      <c r="F10" s="12">
        <v>575</v>
      </c>
      <c r="G10" s="13">
        <f t="shared" si="0"/>
        <v>5750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4</v>
      </c>
      <c r="F11" s="12">
        <v>575</v>
      </c>
      <c r="G11" s="13">
        <f t="shared" si="0"/>
        <v>2300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2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15"/>
      <c r="D13" s="10"/>
      <c r="E13" s="11"/>
      <c r="F13" s="25"/>
      <c r="G13" s="26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39" t="s">
        <v>6</v>
      </c>
      <c r="D14" s="140"/>
      <c r="E14" s="141"/>
      <c r="F14" s="140"/>
      <c r="G14" s="142">
        <f>SUM(G8:G11)</f>
        <v>28278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1075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1075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195</v>
      </c>
      <c r="D28" s="443"/>
      <c r="E28" s="445" t="s">
        <v>187</v>
      </c>
      <c r="F28" s="445" t="s">
        <v>164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449"/>
      <c r="G31" s="449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449"/>
      <c r="G32" s="449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449"/>
      <c r="G33" s="449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449"/>
      <c r="G34" s="449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449"/>
      <c r="G35" s="449"/>
      <c r="J35" s="440" t="s">
        <v>180</v>
      </c>
      <c r="K35" s="219"/>
      <c r="L35" s="441" t="s">
        <v>194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449"/>
      <c r="G36" s="449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450"/>
      <c r="G37" s="450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39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/>
      <c r="B48" s="194"/>
      <c r="C48" s="406" t="s">
        <v>55</v>
      </c>
      <c r="D48" s="414"/>
      <c r="E48" s="414"/>
      <c r="F48" s="410">
        <f>E48-D48</f>
        <v>0</v>
      </c>
      <c r="G48" s="411"/>
      <c r="H48" s="415"/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 t="s">
        <v>175</v>
      </c>
      <c r="B50" s="194"/>
      <c r="C50" s="406" t="s">
        <v>58</v>
      </c>
      <c r="D50" s="408">
        <v>35791.1</v>
      </c>
      <c r="E50" s="408">
        <v>36099.4</v>
      </c>
      <c r="F50" s="410">
        <f>E50-D50</f>
        <v>308.30000000000291</v>
      </c>
      <c r="G50" s="411"/>
      <c r="H50" s="384">
        <v>160</v>
      </c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630.9</v>
      </c>
      <c r="E55" s="378">
        <v>638.1</v>
      </c>
      <c r="F55" s="381">
        <f>E55-D55</f>
        <v>7.2000000000000455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7.2000000000000455</v>
      </c>
      <c r="E61" s="357">
        <v>120</v>
      </c>
      <c r="F61" s="359">
        <f>D61*E61</f>
        <v>864.00000000000546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/>
      <c r="C82" s="75" t="s">
        <v>81</v>
      </c>
      <c r="D82" s="255">
        <v>0</v>
      </c>
      <c r="E82" s="269">
        <v>0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/>
      <c r="C84" s="70" t="s">
        <v>84</v>
      </c>
      <c r="D84" s="255">
        <v>0</v>
      </c>
      <c r="E84" s="269">
        <v>0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/>
      <c r="C86" s="70" t="s">
        <v>86</v>
      </c>
      <c r="D86" s="255">
        <v>0</v>
      </c>
      <c r="E86" s="269">
        <v>0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/>
      <c r="C102" s="253" t="s">
        <v>93</v>
      </c>
      <c r="D102" s="255">
        <v>0</v>
      </c>
      <c r="E102" s="257">
        <v>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0</v>
      </c>
      <c r="K103" s="238">
        <f>G102+G104+G108</f>
        <v>0</v>
      </c>
      <c r="L103" s="239"/>
      <c r="M103" s="42"/>
      <c r="N103" s="42"/>
      <c r="O103" s="50">
        <f>D102+D104+D108+D106</f>
        <v>0</v>
      </c>
      <c r="X103" s="4"/>
      <c r="Y103" s="4"/>
      <c r="Z103" s="4"/>
    </row>
    <row r="104" spans="1:26" s="3" customFormat="1" ht="15" customHeight="1" x14ac:dyDescent="0.25">
      <c r="A104" s="91"/>
      <c r="B104" s="252"/>
      <c r="C104" s="253" t="s">
        <v>93</v>
      </c>
      <c r="D104" s="255">
        <v>0</v>
      </c>
      <c r="E104" s="257">
        <v>0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/>
      <c r="C106" s="253" t="s">
        <v>97</v>
      </c>
      <c r="D106" s="255">
        <v>0</v>
      </c>
      <c r="E106" s="257">
        <v>0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/>
      <c r="C108" s="253" t="s">
        <v>97</v>
      </c>
      <c r="D108" s="255">
        <v>0</v>
      </c>
      <c r="E108" s="257">
        <v>0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2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C100:H100"/>
    <mergeCell ref="J101:K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K102:L102"/>
    <mergeCell ref="K103:L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2DE2-110A-4BF5-8AC2-248610C3FA38}">
  <sheetPr codeName="Sheet6">
    <pageSetUpPr fitToPage="1"/>
  </sheetPr>
  <dimension ref="A1:AE153"/>
  <sheetViews>
    <sheetView topLeftCell="A115" zoomScale="82" zoomScaleNormal="82" workbookViewId="0">
      <selection activeCell="I30" sqref="I30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196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483" t="s">
        <v>153</v>
      </c>
      <c r="M7" s="507"/>
      <c r="N7" s="507"/>
      <c r="O7" s="484"/>
      <c r="P7" s="473" t="s">
        <v>156</v>
      </c>
      <c r="Q7" s="474"/>
      <c r="R7" s="473" t="s">
        <v>155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644</v>
      </c>
      <c r="F8" s="12">
        <v>26</v>
      </c>
      <c r="G8" s="13">
        <f>PRODUCT(E8:F8)</f>
        <v>16744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154</v>
      </c>
      <c r="Q8" s="478"/>
      <c r="R8" s="483" t="s">
        <v>12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157</v>
      </c>
      <c r="F9" s="12">
        <v>26</v>
      </c>
      <c r="G9" s="13">
        <f t="shared" ref="G9:G11" si="0">PRODUCT(E9:F9)</f>
        <v>4082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9</v>
      </c>
      <c r="F10" s="12">
        <v>575</v>
      </c>
      <c r="G10" s="13">
        <f t="shared" si="0"/>
        <v>5175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2</v>
      </c>
      <c r="F11" s="12">
        <v>575</v>
      </c>
      <c r="G11" s="13">
        <f t="shared" si="0"/>
        <v>1150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2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15"/>
      <c r="D13" s="10"/>
      <c r="E13" s="11"/>
      <c r="F13" s="25"/>
      <c r="G13" s="26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39" t="s">
        <v>6</v>
      </c>
      <c r="D14" s="140"/>
      <c r="E14" s="141"/>
      <c r="F14" s="140"/>
      <c r="G14" s="142">
        <f>SUM(G8:G11)</f>
        <v>27151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950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950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198</v>
      </c>
      <c r="D28" s="443"/>
      <c r="E28" s="445" t="s">
        <v>197</v>
      </c>
      <c r="F28" s="445" t="s">
        <v>164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 t="s">
        <v>199</v>
      </c>
      <c r="D31" s="447"/>
      <c r="E31" s="449"/>
      <c r="F31" s="449" t="s">
        <v>200</v>
      </c>
      <c r="G31" s="449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449"/>
      <c r="G32" s="449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449"/>
      <c r="G33" s="449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449"/>
      <c r="G34" s="449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449"/>
      <c r="G35" s="449"/>
      <c r="J35" s="440" t="s">
        <v>180</v>
      </c>
      <c r="K35" s="219"/>
      <c r="L35" s="441" t="s">
        <v>201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449"/>
      <c r="G36" s="449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450"/>
      <c r="G37" s="450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205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 t="s">
        <v>175</v>
      </c>
      <c r="B48" s="194"/>
      <c r="C48" s="406" t="s">
        <v>55</v>
      </c>
      <c r="D48" s="414">
        <v>15388.4</v>
      </c>
      <c r="E48" s="414">
        <v>15704.6</v>
      </c>
      <c r="F48" s="410">
        <f>E48-D48</f>
        <v>316.20000000000073</v>
      </c>
      <c r="G48" s="411"/>
      <c r="H48" s="415">
        <v>155</v>
      </c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/>
      <c r="B50" s="194"/>
      <c r="C50" s="406" t="s">
        <v>58</v>
      </c>
      <c r="D50" s="408"/>
      <c r="E50" s="408"/>
      <c r="F50" s="410">
        <f>E50-D50</f>
        <v>0</v>
      </c>
      <c r="G50" s="411"/>
      <c r="H50" s="384"/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638.1</v>
      </c>
      <c r="E55" s="378">
        <v>645.20000000000005</v>
      </c>
      <c r="F55" s="381">
        <f>E55-D55</f>
        <v>7.1000000000000227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7.1000000000000227</v>
      </c>
      <c r="E61" s="357">
        <v>120</v>
      </c>
      <c r="F61" s="359">
        <f>D61*E61</f>
        <v>852.00000000000273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/>
      <c r="C82" s="75" t="s">
        <v>81</v>
      </c>
      <c r="D82" s="255">
        <v>0</v>
      </c>
      <c r="E82" s="269">
        <v>0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/>
      <c r="C84" s="70" t="s">
        <v>84</v>
      </c>
      <c r="D84" s="255">
        <v>0</v>
      </c>
      <c r="E84" s="269">
        <v>0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/>
      <c r="C86" s="70" t="s">
        <v>86</v>
      </c>
      <c r="D86" s="255">
        <v>0</v>
      </c>
      <c r="E86" s="269">
        <v>0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/>
      <c r="C102" s="253" t="s">
        <v>93</v>
      </c>
      <c r="D102" s="255">
        <v>0</v>
      </c>
      <c r="E102" s="257">
        <v>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65</v>
      </c>
      <c r="K103" s="238">
        <f>G102+G104+G108</f>
        <v>0</v>
      </c>
      <c r="L103" s="239"/>
      <c r="M103" s="42"/>
      <c r="N103" s="42"/>
      <c r="O103" s="50">
        <f>D102+D104+D108+D106</f>
        <v>3</v>
      </c>
      <c r="X103" s="4"/>
      <c r="Y103" s="4"/>
      <c r="Z103" s="4"/>
    </row>
    <row r="104" spans="1:26" s="3" customFormat="1" ht="15" customHeight="1" x14ac:dyDescent="0.25">
      <c r="A104" s="91"/>
      <c r="B104" s="252" t="s">
        <v>202</v>
      </c>
      <c r="C104" s="253" t="s">
        <v>93</v>
      </c>
      <c r="D104" s="255">
        <v>1</v>
      </c>
      <c r="E104" s="257">
        <v>22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203</v>
      </c>
      <c r="C106" s="253" t="s">
        <v>97</v>
      </c>
      <c r="D106" s="255">
        <v>1</v>
      </c>
      <c r="E106" s="257">
        <v>22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204</v>
      </c>
      <c r="C108" s="253" t="s">
        <v>97</v>
      </c>
      <c r="D108" s="255">
        <v>1</v>
      </c>
      <c r="E108" s="257">
        <v>21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2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C100:H100"/>
    <mergeCell ref="J101:K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K102:L102"/>
    <mergeCell ref="K103:L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C5CD-8BF3-4695-AFC4-628ECEFABA39}">
  <sheetPr codeName="Sheet7">
    <pageSetUpPr fitToPage="1"/>
  </sheetPr>
  <dimension ref="A1:AE153"/>
  <sheetViews>
    <sheetView topLeftCell="A45" zoomScale="82" zoomScaleNormal="82" workbookViewId="0">
      <selection activeCell="E40" sqref="E40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206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483" t="s">
        <v>153</v>
      </c>
      <c r="M7" s="507"/>
      <c r="N7" s="507"/>
      <c r="O7" s="484"/>
      <c r="P7" s="473" t="s">
        <v>156</v>
      </c>
      <c r="Q7" s="474"/>
      <c r="R7" s="473" t="s">
        <v>155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550</v>
      </c>
      <c r="F8" s="12">
        <v>26</v>
      </c>
      <c r="G8" s="13">
        <f>PRODUCT(E8:F8)</f>
        <v>14300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154</v>
      </c>
      <c r="Q8" s="478"/>
      <c r="R8" s="483" t="s">
        <v>12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213</v>
      </c>
      <c r="F9" s="12">
        <v>26</v>
      </c>
      <c r="G9" s="13">
        <f t="shared" ref="G9:G11" si="0">PRODUCT(E9:F9)</f>
        <v>5538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9</v>
      </c>
      <c r="F10" s="12">
        <v>575</v>
      </c>
      <c r="G10" s="13">
        <f t="shared" si="0"/>
        <v>5175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3</v>
      </c>
      <c r="F11" s="12">
        <v>575</v>
      </c>
      <c r="G11" s="13">
        <f t="shared" si="0"/>
        <v>1725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1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06"/>
      <c r="D13" s="76"/>
      <c r="E13" s="168"/>
      <c r="F13" s="169"/>
      <c r="G13" s="170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71" t="s">
        <v>6</v>
      </c>
      <c r="D14" s="172"/>
      <c r="E14" s="173"/>
      <c r="F14" s="172"/>
      <c r="G14" s="174">
        <f>SUM(G8:G11)</f>
        <v>26738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1075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1075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216</v>
      </c>
      <c r="D28" s="443"/>
      <c r="E28" s="445" t="s">
        <v>215</v>
      </c>
      <c r="F28" s="445" t="s">
        <v>217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449"/>
      <c r="G31" s="449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449"/>
      <c r="G32" s="449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449"/>
      <c r="G33" s="449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449"/>
      <c r="G34" s="449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449"/>
      <c r="G35" s="449"/>
      <c r="J35" s="440" t="s">
        <v>180</v>
      </c>
      <c r="K35" s="219"/>
      <c r="L35" s="441" t="s">
        <v>207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449"/>
      <c r="G36" s="449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450"/>
      <c r="G37" s="450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218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 t="s">
        <v>175</v>
      </c>
      <c r="B48" s="194"/>
      <c r="C48" s="406" t="s">
        <v>55</v>
      </c>
      <c r="D48" s="414">
        <v>15704.6</v>
      </c>
      <c r="E48" s="414">
        <v>16020.5</v>
      </c>
      <c r="F48" s="410">
        <f>E48-D48</f>
        <v>315.89999999999964</v>
      </c>
      <c r="G48" s="411"/>
      <c r="H48" s="415">
        <v>155</v>
      </c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 t="s">
        <v>214</v>
      </c>
      <c r="B50" s="194"/>
      <c r="C50" s="406" t="s">
        <v>58</v>
      </c>
      <c r="D50" s="408">
        <v>36099.4</v>
      </c>
      <c r="E50" s="408">
        <v>36340.6</v>
      </c>
      <c r="F50" s="410">
        <f>E50-D50</f>
        <v>241.19999999999709</v>
      </c>
      <c r="G50" s="411"/>
      <c r="H50" s="384">
        <v>140</v>
      </c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645.20000000000005</v>
      </c>
      <c r="E55" s="378">
        <v>652.20000000000005</v>
      </c>
      <c r="F55" s="381">
        <f>E55-D55</f>
        <v>7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7</v>
      </c>
      <c r="E61" s="357">
        <v>120</v>
      </c>
      <c r="F61" s="359">
        <f>D61*E61</f>
        <v>840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 t="s">
        <v>211</v>
      </c>
      <c r="C82" s="75" t="s">
        <v>81</v>
      </c>
      <c r="D82" s="255">
        <v>1</v>
      </c>
      <c r="E82" s="269">
        <v>2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 t="s">
        <v>212</v>
      </c>
      <c r="C84" s="70" t="s">
        <v>84</v>
      </c>
      <c r="D84" s="255">
        <v>1</v>
      </c>
      <c r="E84" s="269">
        <v>2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 t="s">
        <v>213</v>
      </c>
      <c r="C86" s="70" t="s">
        <v>86</v>
      </c>
      <c r="D86" s="255">
        <v>1</v>
      </c>
      <c r="E86" s="269">
        <v>1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/>
      <c r="C102" s="253" t="s">
        <v>93</v>
      </c>
      <c r="D102" s="255">
        <v>0</v>
      </c>
      <c r="E102" s="257">
        <v>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100</v>
      </c>
      <c r="K103" s="238">
        <f>G102+G104+G108</f>
        <v>0</v>
      </c>
      <c r="L103" s="239"/>
      <c r="M103" s="42"/>
      <c r="N103" s="42"/>
      <c r="O103" s="50">
        <f>D102+D104+D108+D106</f>
        <v>4</v>
      </c>
      <c r="X103" s="4"/>
      <c r="Y103" s="4"/>
      <c r="Z103" s="4"/>
    </row>
    <row r="104" spans="1:26" s="3" customFormat="1" ht="15" customHeight="1" x14ac:dyDescent="0.25">
      <c r="A104" s="91"/>
      <c r="B104" s="252" t="s">
        <v>208</v>
      </c>
      <c r="C104" s="253" t="s">
        <v>93</v>
      </c>
      <c r="D104" s="255">
        <v>1</v>
      </c>
      <c r="E104" s="257">
        <v>25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209</v>
      </c>
      <c r="C106" s="253" t="s">
        <v>97</v>
      </c>
      <c r="D106" s="255">
        <v>1</v>
      </c>
      <c r="E106" s="257">
        <v>25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210</v>
      </c>
      <c r="C108" s="253" t="s">
        <v>97</v>
      </c>
      <c r="D108" s="255">
        <v>2</v>
      </c>
      <c r="E108" s="257">
        <v>50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3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C100:H100"/>
    <mergeCell ref="J101:K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K102:L102"/>
    <mergeCell ref="K103:L103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AA48-98F5-4F4C-899B-8E41B0B918BE}">
  <sheetPr>
    <pageSetUpPr fitToPage="1"/>
  </sheetPr>
  <dimension ref="A1:AE153"/>
  <sheetViews>
    <sheetView topLeftCell="A128" zoomScale="82" zoomScaleNormal="82" workbookViewId="0">
      <selection activeCell="B54" sqref="B54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219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483" t="s">
        <v>153</v>
      </c>
      <c r="M7" s="507"/>
      <c r="N7" s="507"/>
      <c r="O7" s="484"/>
      <c r="P7" s="473" t="s">
        <v>156</v>
      </c>
      <c r="Q7" s="474"/>
      <c r="R7" s="473" t="s">
        <v>155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680</v>
      </c>
      <c r="F8" s="12">
        <v>26</v>
      </c>
      <c r="G8" s="13">
        <f>PRODUCT(E8:F8)</f>
        <v>17680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154</v>
      </c>
      <c r="Q8" s="478"/>
      <c r="R8" s="483" t="s">
        <v>12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196</v>
      </c>
      <c r="F9" s="12">
        <v>26</v>
      </c>
      <c r="G9" s="13">
        <f t="shared" ref="G9:G11" si="0">PRODUCT(E9:F9)</f>
        <v>5096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9</v>
      </c>
      <c r="F10" s="12">
        <v>575</v>
      </c>
      <c r="G10" s="13">
        <f t="shared" si="0"/>
        <v>5175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3</v>
      </c>
      <c r="F11" s="12">
        <v>575</v>
      </c>
      <c r="G11" s="13">
        <f t="shared" si="0"/>
        <v>1725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2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06"/>
      <c r="D13" s="76"/>
      <c r="E13" s="168"/>
      <c r="F13" s="169"/>
      <c r="G13" s="170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71" t="s">
        <v>6</v>
      </c>
      <c r="D14" s="172"/>
      <c r="E14" s="173"/>
      <c r="F14" s="172"/>
      <c r="G14" s="174">
        <f>SUM(G8:G11)</f>
        <v>29676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1150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1150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223</v>
      </c>
      <c r="D28" s="443"/>
      <c r="E28" s="445" t="s">
        <v>224</v>
      </c>
      <c r="F28" s="445" t="s">
        <v>225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449"/>
      <c r="G31" s="449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449"/>
      <c r="G32" s="449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449"/>
      <c r="G33" s="449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449"/>
      <c r="G34" s="449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449"/>
      <c r="G35" s="449"/>
      <c r="J35" s="440" t="s">
        <v>180</v>
      </c>
      <c r="K35" s="219"/>
      <c r="L35" s="441" t="s">
        <v>226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449"/>
      <c r="G36" s="449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450"/>
      <c r="G37" s="450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227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 t="s">
        <v>228</v>
      </c>
      <c r="B48" s="194"/>
      <c r="C48" s="406" t="s">
        <v>55</v>
      </c>
      <c r="D48" s="414">
        <v>16020.5</v>
      </c>
      <c r="E48" s="414">
        <v>16199.9</v>
      </c>
      <c r="F48" s="410">
        <f>E48-D48</f>
        <v>179.39999999999964</v>
      </c>
      <c r="G48" s="411"/>
      <c r="H48" s="415">
        <v>125</v>
      </c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 t="s">
        <v>175</v>
      </c>
      <c r="B50" s="194"/>
      <c r="C50" s="406" t="s">
        <v>58</v>
      </c>
      <c r="D50" s="408">
        <v>36340.6</v>
      </c>
      <c r="E50" s="408">
        <v>36649</v>
      </c>
      <c r="F50" s="410">
        <f>E50-D50</f>
        <v>308.40000000000146</v>
      </c>
      <c r="G50" s="411"/>
      <c r="H50" s="384">
        <v>160</v>
      </c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652.20000000000005</v>
      </c>
      <c r="E55" s="378">
        <v>659.3</v>
      </c>
      <c r="F55" s="381">
        <f>E55-D55</f>
        <v>7.0999999999999091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7.0999999999999091</v>
      </c>
      <c r="E61" s="357">
        <v>120</v>
      </c>
      <c r="F61" s="359">
        <f>D61*E61</f>
        <v>851.99999999998909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/>
      <c r="C82" s="75" t="s">
        <v>81</v>
      </c>
      <c r="D82" s="255">
        <v>0</v>
      </c>
      <c r="E82" s="269">
        <v>0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/>
      <c r="C84" s="70" t="s">
        <v>84</v>
      </c>
      <c r="D84" s="255">
        <v>0</v>
      </c>
      <c r="E84" s="269">
        <v>0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/>
      <c r="C86" s="70" t="s">
        <v>86</v>
      </c>
      <c r="D86" s="255">
        <v>0</v>
      </c>
      <c r="E86" s="269">
        <v>0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/>
      <c r="C102" s="253" t="s">
        <v>93</v>
      </c>
      <c r="D102" s="255">
        <v>0</v>
      </c>
      <c r="E102" s="257">
        <v>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60</v>
      </c>
      <c r="K103" s="238">
        <f>G102+G104+G108</f>
        <v>0</v>
      </c>
      <c r="L103" s="239"/>
      <c r="M103" s="42"/>
      <c r="N103" s="42"/>
      <c r="O103" s="50">
        <f>D102+D104+D108+D106</f>
        <v>3</v>
      </c>
      <c r="X103" s="4"/>
      <c r="Y103" s="4"/>
      <c r="Z103" s="4"/>
    </row>
    <row r="104" spans="1:26" s="3" customFormat="1" ht="15" customHeight="1" x14ac:dyDescent="0.25">
      <c r="A104" s="91"/>
      <c r="B104" s="252" t="s">
        <v>220</v>
      </c>
      <c r="C104" s="253" t="s">
        <v>93</v>
      </c>
      <c r="D104" s="255">
        <v>1</v>
      </c>
      <c r="E104" s="257">
        <v>20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221</v>
      </c>
      <c r="C106" s="253" t="s">
        <v>97</v>
      </c>
      <c r="D106" s="255">
        <v>1</v>
      </c>
      <c r="E106" s="257">
        <v>20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222</v>
      </c>
      <c r="C108" s="253" t="s">
        <v>97</v>
      </c>
      <c r="D108" s="255">
        <v>1</v>
      </c>
      <c r="E108" s="257">
        <v>20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3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C100:H100"/>
    <mergeCell ref="J101:K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K102:L102"/>
    <mergeCell ref="K103:L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A43B-CACC-432E-9786-DC7B003C9615}">
  <sheetPr>
    <pageSetUpPr fitToPage="1"/>
  </sheetPr>
  <dimension ref="A1:AE153"/>
  <sheetViews>
    <sheetView topLeftCell="D1" zoomScale="82" zoomScaleNormal="82" workbookViewId="0">
      <selection activeCell="I12" sqref="I12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229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0</v>
      </c>
      <c r="L7" s="483" t="s">
        <v>153</v>
      </c>
      <c r="M7" s="507"/>
      <c r="N7" s="507"/>
      <c r="O7" s="484"/>
      <c r="P7" s="473" t="s">
        <v>156</v>
      </c>
      <c r="Q7" s="474"/>
      <c r="R7" s="473" t="s">
        <v>155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597</v>
      </c>
      <c r="F8" s="12">
        <v>26</v>
      </c>
      <c r="G8" s="13">
        <f>PRODUCT(E8:F8)</f>
        <v>15522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154</v>
      </c>
      <c r="Q8" s="478"/>
      <c r="R8" s="483" t="s">
        <v>12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214</v>
      </c>
      <c r="F9" s="12">
        <v>26</v>
      </c>
      <c r="G9" s="13">
        <f t="shared" ref="G9:G11" si="0">PRODUCT(E9:F9)</f>
        <v>5564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11</v>
      </c>
      <c r="F10" s="12">
        <v>575</v>
      </c>
      <c r="G10" s="13">
        <f t="shared" si="0"/>
        <v>6325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4</v>
      </c>
      <c r="F11" s="12">
        <v>575</v>
      </c>
      <c r="G11" s="13">
        <f t="shared" si="0"/>
        <v>2300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2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06"/>
      <c r="D13" s="76"/>
      <c r="E13" s="168"/>
      <c r="F13" s="169"/>
      <c r="G13" s="170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71" t="s">
        <v>6</v>
      </c>
      <c r="D14" s="172"/>
      <c r="E14" s="173"/>
      <c r="F14" s="172"/>
      <c r="G14" s="174">
        <f>SUM(G8:G11)</f>
        <v>29711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1200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1200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233</v>
      </c>
      <c r="D28" s="443"/>
      <c r="E28" s="445" t="s">
        <v>232</v>
      </c>
      <c r="F28" s="445" t="s">
        <v>234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449"/>
      <c r="G31" s="449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449"/>
      <c r="G32" s="449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449"/>
      <c r="G33" s="449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449"/>
      <c r="G34" s="449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449"/>
      <c r="G35" s="449"/>
      <c r="J35" s="440" t="s">
        <v>180</v>
      </c>
      <c r="K35" s="219"/>
      <c r="L35" s="441" t="s">
        <v>230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449"/>
      <c r="G36" s="449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450"/>
      <c r="G37" s="450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231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/>
      <c r="B48" s="194"/>
      <c r="C48" s="406" t="s">
        <v>55</v>
      </c>
      <c r="D48" s="414"/>
      <c r="E48" s="414"/>
      <c r="F48" s="410">
        <f>E48-D48</f>
        <v>0</v>
      </c>
      <c r="G48" s="411"/>
      <c r="H48" s="415"/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/>
      <c r="B50" s="194"/>
      <c r="C50" s="406" t="s">
        <v>58</v>
      </c>
      <c r="D50" s="408"/>
      <c r="E50" s="408"/>
      <c r="F50" s="410">
        <f>E50-D50</f>
        <v>0</v>
      </c>
      <c r="G50" s="411"/>
      <c r="H50" s="384"/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659.3</v>
      </c>
      <c r="E55" s="378">
        <v>666.5</v>
      </c>
      <c r="F55" s="381">
        <f>E55-D55</f>
        <v>7.2000000000000455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7.2000000000000455</v>
      </c>
      <c r="E61" s="357">
        <v>120</v>
      </c>
      <c r="F61" s="359">
        <f>D61*E61</f>
        <v>864.00000000000546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/>
      <c r="C82" s="75" t="s">
        <v>81</v>
      </c>
      <c r="D82" s="255">
        <v>0</v>
      </c>
      <c r="E82" s="269">
        <v>0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/>
      <c r="C84" s="70" t="s">
        <v>84</v>
      </c>
      <c r="D84" s="255">
        <v>0</v>
      </c>
      <c r="E84" s="269">
        <v>0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/>
      <c r="C86" s="70" t="s">
        <v>86</v>
      </c>
      <c r="D86" s="255">
        <v>0</v>
      </c>
      <c r="E86" s="269">
        <v>0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/>
      <c r="C102" s="253" t="s">
        <v>93</v>
      </c>
      <c r="D102" s="255">
        <v>0</v>
      </c>
      <c r="E102" s="257">
        <v>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60</v>
      </c>
      <c r="K103" s="238">
        <f>G102+G104+G108</f>
        <v>0</v>
      </c>
      <c r="L103" s="239"/>
      <c r="M103" s="42"/>
      <c r="N103" s="42"/>
      <c r="O103" s="50">
        <f>D102+D104+D108+D106</f>
        <v>0</v>
      </c>
      <c r="X103" s="4"/>
      <c r="Y103" s="4"/>
      <c r="Z103" s="4"/>
    </row>
    <row r="104" spans="1:26" s="3" customFormat="1" ht="15" customHeight="1" x14ac:dyDescent="0.25">
      <c r="A104" s="91"/>
      <c r="B104" s="252"/>
      <c r="C104" s="253" t="s">
        <v>93</v>
      </c>
      <c r="D104" s="255">
        <v>0</v>
      </c>
      <c r="E104" s="257">
        <v>20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/>
      <c r="C106" s="253" t="s">
        <v>97</v>
      </c>
      <c r="D106" s="255">
        <v>0</v>
      </c>
      <c r="E106" s="257">
        <v>20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/>
      <c r="C108" s="253" t="s">
        <v>97</v>
      </c>
      <c r="D108" s="255">
        <v>0</v>
      </c>
      <c r="E108" s="257">
        <v>20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3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C100:H100"/>
    <mergeCell ref="J101:K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K102:L102"/>
    <mergeCell ref="K103:L103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387B-FD00-4EC9-A7DB-ABB30B8EF1E5}">
  <sheetPr>
    <pageSetUpPr fitToPage="1"/>
  </sheetPr>
  <dimension ref="A1:AE153"/>
  <sheetViews>
    <sheetView zoomScale="82" zoomScaleNormal="82" workbookViewId="0">
      <selection activeCell="H30" sqref="H30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235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2</v>
      </c>
      <c r="L7" s="483" t="s">
        <v>236</v>
      </c>
      <c r="M7" s="507"/>
      <c r="N7" s="507"/>
      <c r="O7" s="484"/>
      <c r="P7" s="473" t="s">
        <v>241</v>
      </c>
      <c r="Q7" s="474"/>
      <c r="R7" s="473" t="s">
        <v>243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600</v>
      </c>
      <c r="F8" s="12">
        <v>26</v>
      </c>
      <c r="G8" s="13">
        <f>PRODUCT(E8:F8)</f>
        <v>15600</v>
      </c>
      <c r="H8" s="14" t="s">
        <v>89</v>
      </c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242</v>
      </c>
      <c r="Q8" s="478"/>
      <c r="R8" s="483" t="s">
        <v>244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 t="s">
        <v>10</v>
      </c>
      <c r="E9" s="11">
        <v>201</v>
      </c>
      <c r="F9" s="12">
        <v>26</v>
      </c>
      <c r="G9" s="13">
        <f t="shared" ref="G9:G11" si="0">PRODUCT(E9:F9)</f>
        <v>5226</v>
      </c>
      <c r="H9" s="20" t="s">
        <v>29</v>
      </c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 t="s">
        <v>13</v>
      </c>
      <c r="E10" s="11">
        <v>9</v>
      </c>
      <c r="F10" s="12">
        <v>575</v>
      </c>
      <c r="G10" s="13">
        <f t="shared" si="0"/>
        <v>5175</v>
      </c>
      <c r="H10" s="14" t="s">
        <v>89</v>
      </c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 t="s">
        <v>13</v>
      </c>
      <c r="E11" s="12">
        <v>4</v>
      </c>
      <c r="F11" s="12">
        <v>575</v>
      </c>
      <c r="G11" s="13">
        <f t="shared" si="0"/>
        <v>2300</v>
      </c>
      <c r="H11" s="20" t="s">
        <v>29</v>
      </c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2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06"/>
      <c r="D13" s="76"/>
      <c r="E13" s="168"/>
      <c r="F13" s="169"/>
      <c r="G13" s="170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71" t="s">
        <v>6</v>
      </c>
      <c r="D14" s="172"/>
      <c r="E14" s="173"/>
      <c r="F14" s="172"/>
      <c r="G14" s="174">
        <f>SUM(G8:G11)</f>
        <v>28301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950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950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151</v>
      </c>
      <c r="D28" s="443"/>
      <c r="E28" s="445" t="s">
        <v>31</v>
      </c>
      <c r="F28" s="445" t="s">
        <v>246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449"/>
      <c r="G31" s="449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449"/>
      <c r="G32" s="449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449"/>
      <c r="G33" s="449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449"/>
      <c r="G34" s="449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449"/>
      <c r="G35" s="449"/>
      <c r="J35" s="440" t="s">
        <v>180</v>
      </c>
      <c r="K35" s="219"/>
      <c r="L35" s="441" t="s">
        <v>240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449"/>
      <c r="G36" s="449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450"/>
      <c r="G37" s="450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245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/>
      <c r="B48" s="194"/>
      <c r="C48" s="406" t="s">
        <v>55</v>
      </c>
      <c r="D48" s="414"/>
      <c r="E48" s="414"/>
      <c r="F48" s="410">
        <f>E48-D48</f>
        <v>0</v>
      </c>
      <c r="G48" s="411"/>
      <c r="H48" s="415"/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/>
      <c r="B50" s="194"/>
      <c r="C50" s="406" t="s">
        <v>58</v>
      </c>
      <c r="D50" s="408"/>
      <c r="E50" s="408"/>
      <c r="F50" s="410">
        <f>E50-D50</f>
        <v>0</v>
      </c>
      <c r="G50" s="411"/>
      <c r="H50" s="384"/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666.5</v>
      </c>
      <c r="E55" s="378">
        <v>674.6</v>
      </c>
      <c r="F55" s="381">
        <f>E55-D55</f>
        <v>8.1000000000000227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8.1000000000000227</v>
      </c>
      <c r="E61" s="357">
        <v>120</v>
      </c>
      <c r="F61" s="359">
        <f>D61*E61</f>
        <v>972.00000000000273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/>
      <c r="C82" s="75" t="s">
        <v>81</v>
      </c>
      <c r="D82" s="255">
        <v>0</v>
      </c>
      <c r="E82" s="269">
        <v>0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/>
      <c r="C84" s="70" t="s">
        <v>84</v>
      </c>
      <c r="D84" s="255">
        <v>0</v>
      </c>
      <c r="E84" s="269">
        <v>0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/>
      <c r="C86" s="70" t="s">
        <v>86</v>
      </c>
      <c r="D86" s="255">
        <v>0</v>
      </c>
      <c r="E86" s="269">
        <v>0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/>
      <c r="C102" s="253" t="s">
        <v>93</v>
      </c>
      <c r="D102" s="255">
        <v>0</v>
      </c>
      <c r="E102" s="257">
        <v>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140</v>
      </c>
      <c r="K103" s="238">
        <f>G102+G104+G108</f>
        <v>0</v>
      </c>
      <c r="L103" s="239"/>
      <c r="M103" s="42"/>
      <c r="N103" s="42"/>
      <c r="O103" s="50">
        <f>D102+D104+D108+D106</f>
        <v>7</v>
      </c>
      <c r="X103" s="4"/>
      <c r="Y103" s="4"/>
      <c r="Z103" s="4"/>
    </row>
    <row r="104" spans="1:26" s="3" customFormat="1" ht="15" customHeight="1" x14ac:dyDescent="0.25">
      <c r="A104" s="91"/>
      <c r="B104" s="252" t="s">
        <v>237</v>
      </c>
      <c r="C104" s="253" t="s">
        <v>93</v>
      </c>
      <c r="D104" s="255">
        <v>2</v>
      </c>
      <c r="E104" s="257">
        <v>30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238</v>
      </c>
      <c r="C106" s="253" t="s">
        <v>97</v>
      </c>
      <c r="D106" s="255">
        <v>2</v>
      </c>
      <c r="E106" s="257">
        <v>30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239</v>
      </c>
      <c r="C108" s="253" t="s">
        <v>97</v>
      </c>
      <c r="D108" s="255">
        <v>3</v>
      </c>
      <c r="E108" s="257">
        <v>80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3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C7:C13"/>
    <mergeCell ref="L7:O20"/>
    <mergeCell ref="P7:Q7"/>
    <mergeCell ref="R7:S7"/>
    <mergeCell ref="K9:K20"/>
    <mergeCell ref="D15:F15"/>
    <mergeCell ref="T7:U7"/>
    <mergeCell ref="V7:W7"/>
    <mergeCell ref="X7:Y7"/>
    <mergeCell ref="P8:Q20"/>
    <mergeCell ref="R8:S20"/>
    <mergeCell ref="T8:U20"/>
    <mergeCell ref="V8:W20"/>
    <mergeCell ref="X8:Y20"/>
    <mergeCell ref="D2:O3"/>
    <mergeCell ref="D4:O4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L52:P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J86:J87"/>
    <mergeCell ref="K86:K87"/>
    <mergeCell ref="C89:K89"/>
    <mergeCell ref="B90:B93"/>
    <mergeCell ref="C90:C92"/>
    <mergeCell ref="D90:F90"/>
    <mergeCell ref="H90:K90"/>
    <mergeCell ref="G91:G93"/>
    <mergeCell ref="D92:D93"/>
    <mergeCell ref="E92:E93"/>
    <mergeCell ref="F92:F93"/>
    <mergeCell ref="H92:H93"/>
    <mergeCell ref="I92:I93"/>
    <mergeCell ref="J92:J93"/>
    <mergeCell ref="K92:K93"/>
    <mergeCell ref="B94:B95"/>
    <mergeCell ref="D94:D95"/>
    <mergeCell ref="E94:E95"/>
    <mergeCell ref="F94:F95"/>
    <mergeCell ref="G94:G95"/>
    <mergeCell ref="H94:H95"/>
    <mergeCell ref="I94:I95"/>
    <mergeCell ref="J94:J95"/>
    <mergeCell ref="K94:K95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C100:H100"/>
    <mergeCell ref="J101:K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K102:L102"/>
    <mergeCell ref="K103:L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</mergeCells>
  <pageMargins left="0.75" right="0.75" top="1" bottom="1" header="0.5" footer="0.5"/>
  <pageSetup paperSize="9" scale="77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2FE7-35CD-4305-AD0B-44AF4E5BB28B}">
  <sheetPr>
    <pageSetUpPr fitToPage="1"/>
  </sheetPr>
  <dimension ref="A1:AE153"/>
  <sheetViews>
    <sheetView tabSelected="1" topLeftCell="A126" zoomScale="82" zoomScaleNormal="82" workbookViewId="0">
      <selection activeCell="E14" sqref="E14"/>
    </sheetView>
  </sheetViews>
  <sheetFormatPr defaultColWidth="10.42578125" defaultRowHeight="15" x14ac:dyDescent="0.25"/>
  <cols>
    <col min="2" max="2" width="24.140625" customWidth="1"/>
    <col min="3" max="3" width="18.7109375" customWidth="1"/>
    <col min="4" max="4" width="33.5703125" customWidth="1"/>
    <col min="5" max="5" width="44.5703125" customWidth="1"/>
    <col min="6" max="6" width="29.7109375" customWidth="1"/>
    <col min="7" max="7" width="32.140625" customWidth="1"/>
    <col min="8" max="9" width="18.140625" customWidth="1"/>
    <col min="10" max="10" width="26.140625" customWidth="1"/>
    <col min="11" max="11" width="15.140625" customWidth="1"/>
    <col min="12" max="14" width="11.85546875" customWidth="1"/>
    <col min="15" max="15" width="22.85546875" customWidth="1"/>
    <col min="16" max="16" width="14.140625" customWidth="1"/>
    <col min="17" max="18" width="12.5703125" customWidth="1"/>
    <col min="20" max="20" width="11.5703125" customWidth="1"/>
    <col min="21" max="21" width="13.7109375" customWidth="1"/>
    <col min="23" max="23" width="12.7109375" customWidth="1"/>
    <col min="25" max="25" width="13.140625" customWidth="1"/>
  </cols>
  <sheetData>
    <row r="1" spans="1:3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31" s="3" customFormat="1" x14ac:dyDescent="0.25">
      <c r="D2" s="495" t="s">
        <v>0</v>
      </c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7"/>
      <c r="X2" s="4"/>
      <c r="Y2" s="4"/>
      <c r="Z2" s="4"/>
    </row>
    <row r="3" spans="1:31" s="3" customFormat="1" x14ac:dyDescent="0.25">
      <c r="D3" s="498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  <c r="X3" s="4"/>
      <c r="Y3" s="4"/>
      <c r="Z3" s="4"/>
    </row>
    <row r="4" spans="1:31" s="3" customFormat="1" ht="19.5" thickBot="1" x14ac:dyDescent="0.3">
      <c r="D4" s="501" t="s">
        <v>247</v>
      </c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/>
      <c r="X4" s="4"/>
      <c r="Y4" s="4"/>
      <c r="Z4" s="4"/>
    </row>
    <row r="5" spans="1:31" s="3" customFormat="1" x14ac:dyDescent="0.25">
      <c r="X5" s="4"/>
      <c r="Y5" s="4"/>
      <c r="Z5" s="4"/>
    </row>
    <row r="6" spans="1:31" s="3" customFormat="1" ht="30.75" thickBot="1" x14ac:dyDescent="0.3">
      <c r="X6" s="5" t="s">
        <v>1</v>
      </c>
      <c r="Y6" s="4"/>
      <c r="Z6" s="4"/>
    </row>
    <row r="7" spans="1:31" s="3" customFormat="1" ht="45.75" customHeight="1" thickBot="1" x14ac:dyDescent="0.3">
      <c r="C7" s="504" t="s">
        <v>2</v>
      </c>
      <c r="D7" s="137" t="s">
        <v>3</v>
      </c>
      <c r="E7" s="137" t="s">
        <v>4</v>
      </c>
      <c r="F7" s="137" t="s">
        <v>5</v>
      </c>
      <c r="G7" s="138" t="s">
        <v>6</v>
      </c>
      <c r="J7" s="143" t="s">
        <v>7</v>
      </c>
      <c r="K7" s="6">
        <v>3</v>
      </c>
      <c r="L7" s="483" t="s">
        <v>248</v>
      </c>
      <c r="M7" s="507"/>
      <c r="N7" s="507"/>
      <c r="O7" s="484"/>
      <c r="P7" s="473" t="s">
        <v>254</v>
      </c>
      <c r="Q7" s="474"/>
      <c r="R7" s="473" t="s">
        <v>256</v>
      </c>
      <c r="S7" s="474"/>
      <c r="T7" s="473" t="s">
        <v>8</v>
      </c>
      <c r="U7" s="474"/>
      <c r="V7" s="473" t="s">
        <v>9</v>
      </c>
      <c r="W7" s="474"/>
      <c r="X7" s="475" t="s">
        <v>8</v>
      </c>
      <c r="Y7" s="476"/>
      <c r="Z7" s="7"/>
      <c r="AA7" s="8"/>
      <c r="AB7" s="9"/>
      <c r="AC7" s="8"/>
      <c r="AD7" s="9"/>
      <c r="AE7" s="8"/>
    </row>
    <row r="8" spans="1:31" s="3" customFormat="1" ht="30.75" customHeight="1" thickBot="1" x14ac:dyDescent="0.3">
      <c r="C8" s="505"/>
      <c r="D8" s="10" t="s">
        <v>10</v>
      </c>
      <c r="E8" s="11">
        <v>605</v>
      </c>
      <c r="F8" s="12">
        <v>26</v>
      </c>
      <c r="G8" s="13">
        <f>PRODUCT(E8:F8)</f>
        <v>15730</v>
      </c>
      <c r="H8" s="14"/>
      <c r="I8" s="15"/>
      <c r="J8" s="144" t="s">
        <v>11</v>
      </c>
      <c r="K8" s="16">
        <v>0</v>
      </c>
      <c r="L8" s="485"/>
      <c r="M8" s="508"/>
      <c r="N8" s="508"/>
      <c r="O8" s="486"/>
      <c r="P8" s="477" t="s">
        <v>255</v>
      </c>
      <c r="Q8" s="478"/>
      <c r="R8" s="483" t="s">
        <v>257</v>
      </c>
      <c r="S8" s="484"/>
      <c r="T8" s="483" t="s">
        <v>12</v>
      </c>
      <c r="U8" s="484"/>
      <c r="V8" s="483" t="s">
        <v>12</v>
      </c>
      <c r="W8" s="484"/>
      <c r="X8" s="489" t="s">
        <v>12</v>
      </c>
      <c r="Y8" s="490"/>
      <c r="Z8" s="17"/>
      <c r="AA8" s="18"/>
      <c r="AB8" s="19"/>
      <c r="AC8" s="18"/>
      <c r="AD8" s="19"/>
      <c r="AE8" s="18"/>
    </row>
    <row r="9" spans="1:31" s="3" customFormat="1" ht="30.75" customHeight="1" x14ac:dyDescent="0.25">
      <c r="C9" s="505"/>
      <c r="D9" s="10"/>
      <c r="E9" s="11"/>
      <c r="F9" s="12"/>
      <c r="G9" s="13"/>
      <c r="H9" s="20"/>
      <c r="I9" s="15"/>
      <c r="J9" s="21"/>
      <c r="K9" s="510"/>
      <c r="L9" s="485"/>
      <c r="M9" s="508"/>
      <c r="N9" s="508"/>
      <c r="O9" s="486"/>
      <c r="P9" s="479"/>
      <c r="Q9" s="480"/>
      <c r="R9" s="485"/>
      <c r="S9" s="486"/>
      <c r="T9" s="485"/>
      <c r="U9" s="486"/>
      <c r="V9" s="485"/>
      <c r="W9" s="486"/>
      <c r="X9" s="491"/>
      <c r="Y9" s="492"/>
      <c r="Z9" s="17"/>
      <c r="AA9" s="18"/>
      <c r="AB9" s="19"/>
      <c r="AC9" s="18"/>
      <c r="AD9" s="19"/>
      <c r="AE9" s="18"/>
    </row>
    <row r="10" spans="1:31" s="3" customFormat="1" ht="30.75" customHeight="1" x14ac:dyDescent="0.25">
      <c r="C10" s="505"/>
      <c r="D10" s="10"/>
      <c r="E10" s="11"/>
      <c r="F10" s="12"/>
      <c r="G10" s="13"/>
      <c r="H10" s="14"/>
      <c r="I10" s="15"/>
      <c r="J10" s="22"/>
      <c r="K10" s="511"/>
      <c r="L10" s="485"/>
      <c r="M10" s="508"/>
      <c r="N10" s="508"/>
      <c r="O10" s="486"/>
      <c r="P10" s="479"/>
      <c r="Q10" s="480"/>
      <c r="R10" s="485"/>
      <c r="S10" s="486"/>
      <c r="T10" s="485"/>
      <c r="U10" s="486"/>
      <c r="V10" s="485"/>
      <c r="W10" s="486"/>
      <c r="X10" s="491"/>
      <c r="Y10" s="492"/>
      <c r="Z10" s="23"/>
      <c r="AA10" s="18"/>
      <c r="AB10" s="18"/>
      <c r="AC10" s="18"/>
      <c r="AD10" s="18"/>
      <c r="AE10" s="18"/>
    </row>
    <row r="11" spans="1:31" s="3" customFormat="1" ht="30.75" customHeight="1" x14ac:dyDescent="0.25">
      <c r="C11" s="505"/>
      <c r="D11" s="10"/>
      <c r="E11" s="12"/>
      <c r="F11" s="12"/>
      <c r="G11" s="13"/>
      <c r="H11" s="20"/>
      <c r="I11" s="15"/>
      <c r="J11" s="24"/>
      <c r="K11" s="511"/>
      <c r="L11" s="485"/>
      <c r="M11" s="508"/>
      <c r="N11" s="508"/>
      <c r="O11" s="486"/>
      <c r="P11" s="479"/>
      <c r="Q11" s="480"/>
      <c r="R11" s="485"/>
      <c r="S11" s="486"/>
      <c r="T11" s="485"/>
      <c r="U11" s="486"/>
      <c r="V11" s="485"/>
      <c r="W11" s="486"/>
      <c r="X11" s="491"/>
      <c r="Y11" s="492"/>
      <c r="Z11" s="23"/>
      <c r="AA11" s="18"/>
      <c r="AB11" s="18"/>
      <c r="AC11" s="18"/>
      <c r="AD11" s="18"/>
      <c r="AE11" s="18"/>
    </row>
    <row r="12" spans="1:31" s="3" customFormat="1" ht="15" customHeight="1" x14ac:dyDescent="0.25">
      <c r="C12" s="505"/>
      <c r="D12" s="10" t="s">
        <v>14</v>
      </c>
      <c r="E12" s="11">
        <v>0</v>
      </c>
      <c r="F12" s="12"/>
      <c r="G12" s="13"/>
      <c r="H12" s="14"/>
      <c r="I12" s="15"/>
      <c r="J12" s="24"/>
      <c r="K12" s="511"/>
      <c r="L12" s="485"/>
      <c r="M12" s="508"/>
      <c r="N12" s="508"/>
      <c r="O12" s="486"/>
      <c r="P12" s="479"/>
      <c r="Q12" s="480"/>
      <c r="R12" s="485"/>
      <c r="S12" s="486"/>
      <c r="T12" s="485"/>
      <c r="U12" s="486"/>
      <c r="V12" s="485"/>
      <c r="W12" s="486"/>
      <c r="X12" s="491"/>
      <c r="Y12" s="492"/>
      <c r="Z12" s="23"/>
      <c r="AA12" s="18"/>
      <c r="AB12" s="18"/>
      <c r="AC12" s="18"/>
      <c r="AD12" s="18"/>
      <c r="AE12" s="18"/>
    </row>
    <row r="13" spans="1:31" s="3" customFormat="1" ht="15.75" thickBot="1" x14ac:dyDescent="0.3">
      <c r="C13" s="506"/>
      <c r="D13" s="76"/>
      <c r="E13" s="168"/>
      <c r="F13" s="169"/>
      <c r="G13" s="170"/>
      <c r="H13" s="27"/>
      <c r="I13" s="28"/>
      <c r="K13" s="511"/>
      <c r="L13" s="485"/>
      <c r="M13" s="508"/>
      <c r="N13" s="508"/>
      <c r="O13" s="486"/>
      <c r="P13" s="479"/>
      <c r="Q13" s="480"/>
      <c r="R13" s="485"/>
      <c r="S13" s="486"/>
      <c r="T13" s="485"/>
      <c r="U13" s="486"/>
      <c r="V13" s="485"/>
      <c r="W13" s="486"/>
      <c r="X13" s="491"/>
      <c r="Y13" s="492"/>
      <c r="Z13" s="23"/>
      <c r="AA13" s="18"/>
      <c r="AB13" s="18"/>
      <c r="AC13" s="18"/>
      <c r="AD13" s="18"/>
      <c r="AE13" s="18"/>
    </row>
    <row r="14" spans="1:31" s="3" customFormat="1" ht="15.75" thickBot="1" x14ac:dyDescent="0.3">
      <c r="C14" s="171" t="s">
        <v>6</v>
      </c>
      <c r="D14" s="172"/>
      <c r="E14" s="173"/>
      <c r="F14" s="172"/>
      <c r="G14" s="174">
        <f>SUM(G8:G11)</f>
        <v>15730</v>
      </c>
      <c r="I14" s="3" t="s">
        <v>15</v>
      </c>
      <c r="K14" s="511"/>
      <c r="L14" s="485"/>
      <c r="M14" s="508"/>
      <c r="N14" s="508"/>
      <c r="O14" s="486"/>
      <c r="P14" s="479"/>
      <c r="Q14" s="480"/>
      <c r="R14" s="485"/>
      <c r="S14" s="486"/>
      <c r="T14" s="485"/>
      <c r="U14" s="486"/>
      <c r="V14" s="485"/>
      <c r="W14" s="486"/>
      <c r="X14" s="491"/>
      <c r="Y14" s="492"/>
      <c r="Z14" s="23"/>
      <c r="AA14" s="18"/>
      <c r="AB14" s="18"/>
      <c r="AC14" s="18"/>
      <c r="AD14" s="18"/>
      <c r="AE14" s="18"/>
    </row>
    <row r="15" spans="1:31" s="3" customFormat="1" ht="18.75" x14ac:dyDescent="0.25">
      <c r="C15" s="29" t="s">
        <v>16</v>
      </c>
      <c r="D15" s="513" t="s">
        <v>17</v>
      </c>
      <c r="E15" s="514"/>
      <c r="F15" s="514"/>
      <c r="G15" s="30"/>
      <c r="K15" s="511"/>
      <c r="L15" s="485"/>
      <c r="M15" s="508"/>
      <c r="N15" s="508"/>
      <c r="O15" s="486"/>
      <c r="P15" s="479"/>
      <c r="Q15" s="480"/>
      <c r="R15" s="485"/>
      <c r="S15" s="486"/>
      <c r="T15" s="485"/>
      <c r="U15" s="486"/>
      <c r="V15" s="485"/>
      <c r="W15" s="486"/>
      <c r="X15" s="491"/>
      <c r="Y15" s="492"/>
      <c r="Z15" s="23"/>
      <c r="AA15" s="18"/>
      <c r="AB15" s="18"/>
      <c r="AC15" s="18"/>
      <c r="AD15" s="18"/>
      <c r="AE15" s="18"/>
    </row>
    <row r="16" spans="1:31" s="3" customFormat="1" ht="18.75" x14ac:dyDescent="0.25">
      <c r="C16" s="31"/>
      <c r="D16" s="32"/>
      <c r="E16" s="30" t="s">
        <v>18</v>
      </c>
      <c r="F16" s="33"/>
      <c r="G16" s="30"/>
      <c r="K16" s="511"/>
      <c r="L16" s="485"/>
      <c r="M16" s="508"/>
      <c r="N16" s="508"/>
      <c r="O16" s="486"/>
      <c r="P16" s="479"/>
      <c r="Q16" s="480"/>
      <c r="R16" s="485"/>
      <c r="S16" s="486"/>
      <c r="T16" s="485"/>
      <c r="U16" s="486"/>
      <c r="V16" s="485"/>
      <c r="W16" s="486"/>
      <c r="X16" s="491"/>
      <c r="Y16" s="492"/>
      <c r="Z16" s="23"/>
      <c r="AA16" s="18"/>
      <c r="AB16" s="18"/>
      <c r="AC16" s="18"/>
      <c r="AD16" s="18"/>
      <c r="AE16" s="18"/>
    </row>
    <row r="17" spans="3:31" s="3" customFormat="1" x14ac:dyDescent="0.25">
      <c r="C17" s="31"/>
      <c r="D17" s="31"/>
      <c r="E17" s="31"/>
      <c r="F17" s="31"/>
      <c r="G17" s="31"/>
      <c r="K17" s="511"/>
      <c r="L17" s="485"/>
      <c r="M17" s="508"/>
      <c r="N17" s="508"/>
      <c r="O17" s="486"/>
      <c r="P17" s="479"/>
      <c r="Q17" s="480"/>
      <c r="R17" s="485"/>
      <c r="S17" s="486"/>
      <c r="T17" s="485"/>
      <c r="U17" s="486"/>
      <c r="V17" s="485"/>
      <c r="W17" s="486"/>
      <c r="X17" s="491"/>
      <c r="Y17" s="492"/>
      <c r="Z17" s="23"/>
      <c r="AA17" s="18"/>
      <c r="AB17" s="18"/>
      <c r="AC17" s="18"/>
      <c r="AD17" s="18"/>
      <c r="AE17" s="18"/>
    </row>
    <row r="18" spans="3:31" s="3" customFormat="1" x14ac:dyDescent="0.25">
      <c r="C18" s="31"/>
      <c r="D18" s="31"/>
      <c r="E18" s="31"/>
      <c r="F18" s="31"/>
      <c r="G18" s="31"/>
      <c r="K18" s="511"/>
      <c r="L18" s="485"/>
      <c r="M18" s="508"/>
      <c r="N18" s="508"/>
      <c r="O18" s="486"/>
      <c r="P18" s="479"/>
      <c r="Q18" s="480"/>
      <c r="R18" s="485"/>
      <c r="S18" s="486"/>
      <c r="T18" s="485"/>
      <c r="U18" s="486"/>
      <c r="V18" s="485"/>
      <c r="W18" s="486"/>
      <c r="X18" s="491"/>
      <c r="Y18" s="492"/>
      <c r="Z18" s="23"/>
      <c r="AA18" s="18"/>
      <c r="AB18" s="18"/>
      <c r="AC18" s="18"/>
      <c r="AD18" s="18"/>
      <c r="AE18" s="18"/>
    </row>
    <row r="19" spans="3:31" s="3" customFormat="1" x14ac:dyDescent="0.25">
      <c r="C19" s="31"/>
      <c r="D19" s="33"/>
      <c r="E19" s="30"/>
      <c r="F19" s="33"/>
      <c r="G19" s="30"/>
      <c r="K19" s="511"/>
      <c r="L19" s="485"/>
      <c r="M19" s="508"/>
      <c r="N19" s="508"/>
      <c r="O19" s="486"/>
      <c r="P19" s="479"/>
      <c r="Q19" s="480"/>
      <c r="R19" s="485"/>
      <c r="S19" s="486"/>
      <c r="T19" s="485"/>
      <c r="U19" s="486"/>
      <c r="V19" s="485"/>
      <c r="W19" s="486"/>
      <c r="X19" s="491"/>
      <c r="Y19" s="492"/>
      <c r="Z19" s="23"/>
      <c r="AA19" s="18"/>
      <c r="AB19" s="18"/>
      <c r="AC19" s="18"/>
      <c r="AD19" s="18"/>
      <c r="AE19" s="18"/>
    </row>
    <row r="20" spans="3:31" s="3" customFormat="1" ht="15.75" thickBot="1" x14ac:dyDescent="0.3">
      <c r="C20" s="31"/>
      <c r="D20" s="33"/>
      <c r="E20" s="30"/>
      <c r="F20" s="33"/>
      <c r="G20" s="30"/>
      <c r="K20" s="512"/>
      <c r="L20" s="487"/>
      <c r="M20" s="509"/>
      <c r="N20" s="509"/>
      <c r="O20" s="488"/>
      <c r="P20" s="481"/>
      <c r="Q20" s="482"/>
      <c r="R20" s="487"/>
      <c r="S20" s="488"/>
      <c r="T20" s="487"/>
      <c r="U20" s="488"/>
      <c r="V20" s="487"/>
      <c r="W20" s="488"/>
      <c r="X20" s="493"/>
      <c r="Y20" s="494"/>
      <c r="Z20" s="23"/>
      <c r="AA20" s="18"/>
      <c r="AB20" s="18"/>
      <c r="AC20" s="18"/>
      <c r="AD20" s="18"/>
      <c r="AE20" s="18"/>
    </row>
    <row r="21" spans="3:31" s="3" customFormat="1" ht="39.75" customHeight="1" thickBot="1" x14ac:dyDescent="0.3">
      <c r="E21" s="34"/>
      <c r="F21" s="35"/>
      <c r="G21" s="35"/>
      <c r="X21" s="4"/>
      <c r="Y21" s="4"/>
      <c r="Z21" s="4"/>
    </row>
    <row r="22" spans="3:31" s="3" customFormat="1" ht="15.75" thickBot="1" x14ac:dyDescent="0.3">
      <c r="C22" s="33"/>
      <c r="D22" s="36"/>
      <c r="E22" s="35"/>
      <c r="F22" s="35"/>
      <c r="G22" s="35"/>
      <c r="J22" s="189" t="s">
        <v>19</v>
      </c>
      <c r="K22" s="273"/>
      <c r="L22" s="273"/>
      <c r="M22" s="273"/>
      <c r="N22" s="273"/>
      <c r="O22" s="273"/>
      <c r="P22" s="273"/>
      <c r="Q22" s="273"/>
      <c r="R22" s="190"/>
      <c r="X22" s="4"/>
      <c r="Y22" s="4"/>
      <c r="Z22" s="4"/>
    </row>
    <row r="23" spans="3:31" s="3" customFormat="1" ht="15.75" thickBot="1" x14ac:dyDescent="0.3">
      <c r="C23" s="33"/>
      <c r="D23" s="33"/>
      <c r="E23" s="33"/>
      <c r="F23" s="33"/>
      <c r="G23" s="33"/>
      <c r="J23" s="37"/>
      <c r="K23" s="466" t="s">
        <v>20</v>
      </c>
      <c r="L23" s="467"/>
      <c r="M23" s="467"/>
      <c r="N23" s="468"/>
      <c r="O23" s="466" t="s">
        <v>21</v>
      </c>
      <c r="P23" s="468"/>
      <c r="Q23" s="469" t="s">
        <v>21</v>
      </c>
      <c r="R23" s="470"/>
      <c r="X23" s="4"/>
      <c r="Y23" s="4"/>
      <c r="Z23" s="4"/>
    </row>
    <row r="24" spans="3:31" s="3" customFormat="1" ht="15.75" thickBot="1" x14ac:dyDescent="0.3">
      <c r="C24" s="33"/>
      <c r="D24" s="33"/>
      <c r="E24" s="33"/>
      <c r="F24" s="33"/>
      <c r="G24" s="33"/>
      <c r="J24" s="471" t="s">
        <v>22</v>
      </c>
      <c r="K24" s="466" t="s">
        <v>23</v>
      </c>
      <c r="L24" s="468"/>
      <c r="M24" s="469" t="s">
        <v>24</v>
      </c>
      <c r="N24" s="470"/>
      <c r="O24" s="466" t="s">
        <v>25</v>
      </c>
      <c r="P24" s="468"/>
      <c r="Q24" s="466" t="s">
        <v>26</v>
      </c>
      <c r="R24" s="468"/>
      <c r="X24" s="4"/>
      <c r="Y24" s="4"/>
      <c r="Z24" s="4"/>
    </row>
    <row r="25" spans="3:31" s="3" customFormat="1" ht="50.25" customHeight="1" thickBot="1" x14ac:dyDescent="0.3">
      <c r="C25" s="305" t="s">
        <v>27</v>
      </c>
      <c r="D25" s="287"/>
      <c r="E25" s="287"/>
      <c r="F25" s="287"/>
      <c r="G25" s="288"/>
      <c r="I25" s="14"/>
      <c r="J25" s="472"/>
      <c r="K25" s="458">
        <v>850</v>
      </c>
      <c r="L25" s="459"/>
      <c r="M25" s="458">
        <v>0</v>
      </c>
      <c r="N25" s="459"/>
      <c r="O25" s="460">
        <v>0</v>
      </c>
      <c r="P25" s="461"/>
      <c r="Q25" s="462">
        <v>0</v>
      </c>
      <c r="R25" s="463"/>
      <c r="X25" s="4"/>
      <c r="Y25" s="4"/>
      <c r="Z25" s="4"/>
    </row>
    <row r="26" spans="3:31" s="3" customFormat="1" ht="33.75" customHeight="1" thickBot="1" x14ac:dyDescent="0.3">
      <c r="C26" s="217"/>
      <c r="D26" s="218"/>
      <c r="E26" s="12"/>
      <c r="F26" s="464" t="s">
        <v>28</v>
      </c>
      <c r="G26" s="465"/>
      <c r="J26" s="40" t="s">
        <v>29</v>
      </c>
      <c r="K26" s="455">
        <v>0</v>
      </c>
      <c r="L26" s="452"/>
      <c r="M26" s="455">
        <v>0</v>
      </c>
      <c r="N26" s="452"/>
      <c r="O26" s="455">
        <v>0</v>
      </c>
      <c r="P26" s="452"/>
      <c r="Q26" s="451">
        <v>0</v>
      </c>
      <c r="R26" s="452"/>
      <c r="X26" s="4"/>
      <c r="Y26" s="4"/>
      <c r="Z26" s="4"/>
    </row>
    <row r="27" spans="3:31" s="3" customFormat="1" ht="64.5" customHeight="1" thickBot="1" x14ac:dyDescent="0.3">
      <c r="C27" s="227">
        <v>7</v>
      </c>
      <c r="D27" s="228"/>
      <c r="E27" s="41"/>
      <c r="F27" s="453"/>
      <c r="G27" s="454"/>
      <c r="J27" s="43" t="s">
        <v>30</v>
      </c>
      <c r="K27" s="455">
        <f>K25+K26</f>
        <v>850</v>
      </c>
      <c r="L27" s="452"/>
      <c r="M27" s="455">
        <f>M25+M26</f>
        <v>0</v>
      </c>
      <c r="N27" s="452"/>
      <c r="O27" s="455">
        <f>SUM(O25:O26)</f>
        <v>0</v>
      </c>
      <c r="P27" s="452"/>
      <c r="Q27" s="456">
        <f>SUM(Q25:Q26)</f>
        <v>0</v>
      </c>
      <c r="R27" s="457"/>
      <c r="X27" s="4"/>
      <c r="Y27" s="4"/>
      <c r="Z27" s="4"/>
    </row>
    <row r="28" spans="3:31" s="3" customFormat="1" ht="24.75" customHeight="1" x14ac:dyDescent="0.25">
      <c r="C28" s="443" t="s">
        <v>259</v>
      </c>
      <c r="D28" s="443"/>
      <c r="E28" s="445" t="s">
        <v>258</v>
      </c>
      <c r="F28" s="445" t="s">
        <v>260</v>
      </c>
      <c r="G28" s="445"/>
      <c r="O28" s="44"/>
      <c r="P28" s="45"/>
      <c r="Q28" s="46"/>
      <c r="R28" s="46"/>
      <c r="S28" s="46"/>
      <c r="X28" s="4"/>
      <c r="Y28" s="4"/>
      <c r="Z28" s="4"/>
    </row>
    <row r="29" spans="3:31" s="3" customFormat="1" ht="22.5" customHeight="1" x14ac:dyDescent="0.25">
      <c r="C29" s="444"/>
      <c r="D29" s="444"/>
      <c r="E29" s="446"/>
      <c r="F29" s="446"/>
      <c r="G29" s="446"/>
      <c r="O29" s="44"/>
      <c r="P29" s="45"/>
      <c r="Q29" s="46"/>
      <c r="R29" s="46"/>
      <c r="S29" s="46"/>
      <c r="X29" s="4"/>
      <c r="Y29" s="4"/>
      <c r="Z29" s="4"/>
    </row>
    <row r="30" spans="3:31" s="3" customFormat="1" ht="95.25" customHeight="1" thickBot="1" x14ac:dyDescent="0.3">
      <c r="C30" s="444"/>
      <c r="D30" s="444"/>
      <c r="E30" s="446"/>
      <c r="F30" s="446"/>
      <c r="G30" s="446"/>
      <c r="O30" s="44"/>
      <c r="P30" s="45"/>
      <c r="Q30" s="46"/>
      <c r="R30" s="46"/>
      <c r="S30" s="46"/>
      <c r="X30" s="4"/>
      <c r="Y30" s="4"/>
      <c r="Z30" s="4"/>
    </row>
    <row r="31" spans="3:31" s="3" customFormat="1" ht="17.25" customHeight="1" thickBot="1" x14ac:dyDescent="0.3">
      <c r="C31" s="447"/>
      <c r="D31" s="447"/>
      <c r="E31" s="449"/>
      <c r="F31" s="449"/>
      <c r="G31" s="449"/>
      <c r="J31" s="180" t="s">
        <v>32</v>
      </c>
      <c r="K31" s="181"/>
      <c r="L31" s="181"/>
      <c r="M31" s="181"/>
      <c r="N31" s="181"/>
      <c r="O31" s="182"/>
      <c r="P31" s="45"/>
      <c r="Q31" s="46"/>
      <c r="R31" s="46"/>
      <c r="S31" s="46"/>
      <c r="X31" s="4"/>
      <c r="Y31" s="4"/>
      <c r="Z31" s="4"/>
    </row>
    <row r="32" spans="3:31" s="3" customFormat="1" ht="15.75" thickBot="1" x14ac:dyDescent="0.3">
      <c r="C32" s="447"/>
      <c r="D32" s="447"/>
      <c r="E32" s="449"/>
      <c r="F32" s="449"/>
      <c r="G32" s="449"/>
      <c r="J32" s="215" t="s">
        <v>33</v>
      </c>
      <c r="K32" s="216"/>
      <c r="L32" s="215" t="s">
        <v>34</v>
      </c>
      <c r="M32" s="431"/>
      <c r="N32" s="431"/>
      <c r="O32" s="216"/>
      <c r="P32" s="45"/>
      <c r="Q32" s="46"/>
      <c r="R32" s="46"/>
      <c r="S32" s="46"/>
      <c r="X32" s="4"/>
      <c r="Y32" s="4"/>
      <c r="Z32" s="4"/>
    </row>
    <row r="33" spans="1:26" s="3" customFormat="1" ht="40.5" hidden="1" customHeight="1" x14ac:dyDescent="0.25">
      <c r="C33" s="447"/>
      <c r="D33" s="447"/>
      <c r="E33" s="449"/>
      <c r="F33" s="449"/>
      <c r="G33" s="449"/>
      <c r="O33" s="44"/>
      <c r="P33" s="45"/>
      <c r="Q33" s="46"/>
      <c r="R33" s="46"/>
      <c r="S33" s="46"/>
      <c r="X33" s="4"/>
      <c r="Y33" s="4"/>
      <c r="Z33" s="4"/>
    </row>
    <row r="34" spans="1:26" s="3" customFormat="1" ht="45.75" hidden="1" customHeight="1" x14ac:dyDescent="0.25">
      <c r="C34" s="447"/>
      <c r="D34" s="447"/>
      <c r="E34" s="449"/>
      <c r="F34" s="449"/>
      <c r="G34" s="449"/>
      <c r="O34" s="46"/>
      <c r="P34" s="47"/>
      <c r="Q34" s="47"/>
      <c r="R34" s="46"/>
      <c r="S34" s="46"/>
      <c r="X34" s="4"/>
      <c r="Y34" s="4"/>
      <c r="Z34" s="4"/>
    </row>
    <row r="35" spans="1:26" s="3" customFormat="1" x14ac:dyDescent="0.25">
      <c r="C35" s="447"/>
      <c r="D35" s="447"/>
      <c r="E35" s="449"/>
      <c r="F35" s="449"/>
      <c r="G35" s="449"/>
      <c r="J35" s="440" t="s">
        <v>180</v>
      </c>
      <c r="K35" s="219"/>
      <c r="L35" s="441" t="s">
        <v>249</v>
      </c>
      <c r="M35" s="442"/>
      <c r="N35" s="442"/>
      <c r="O35" s="219"/>
      <c r="P35" s="47"/>
      <c r="Q35" s="47"/>
      <c r="R35" s="46"/>
      <c r="S35" s="46"/>
      <c r="X35" s="4"/>
      <c r="Y35" s="4"/>
      <c r="Z35" s="4"/>
    </row>
    <row r="36" spans="1:26" s="3" customFormat="1" x14ac:dyDescent="0.25">
      <c r="C36" s="447"/>
      <c r="D36" s="447"/>
      <c r="E36" s="449"/>
      <c r="F36" s="449"/>
      <c r="G36" s="449"/>
      <c r="J36" s="437"/>
      <c r="K36" s="439"/>
      <c r="L36" s="437"/>
      <c r="M36" s="438"/>
      <c r="N36" s="438"/>
      <c r="O36" s="439"/>
      <c r="P36" s="47"/>
      <c r="Q36" s="47"/>
      <c r="R36" s="46"/>
      <c r="S36" s="46"/>
      <c r="X36" s="4"/>
      <c r="Y36" s="4"/>
      <c r="Z36" s="4"/>
    </row>
    <row r="37" spans="1:26" s="3" customFormat="1" ht="42" customHeight="1" thickBot="1" x14ac:dyDescent="0.3">
      <c r="C37" s="448"/>
      <c r="D37" s="448"/>
      <c r="E37" s="450"/>
      <c r="F37" s="450"/>
      <c r="G37" s="450"/>
      <c r="J37" s="372"/>
      <c r="K37" s="220"/>
      <c r="L37" s="372"/>
      <c r="M37" s="274"/>
      <c r="N37" s="274"/>
      <c r="O37" s="220"/>
      <c r="P37" s="425"/>
      <c r="Q37" s="425"/>
      <c r="R37" s="425"/>
      <c r="S37" s="425"/>
      <c r="T37" s="425"/>
      <c r="X37" s="4"/>
      <c r="Y37" s="4"/>
      <c r="Z37" s="4"/>
    </row>
    <row r="38" spans="1:26" s="3" customFormat="1" ht="15.75" thickBot="1" x14ac:dyDescent="0.3">
      <c r="C38" s="426" t="s">
        <v>36</v>
      </c>
      <c r="D38" s="427"/>
      <c r="E38" s="428"/>
      <c r="F38" s="429"/>
      <c r="G38" s="430"/>
      <c r="L38" s="215" t="s">
        <v>37</v>
      </c>
      <c r="M38" s="431"/>
      <c r="N38" s="431"/>
      <c r="O38" s="216"/>
      <c r="X38" s="4"/>
      <c r="Y38" s="4"/>
      <c r="Z38" s="4"/>
    </row>
    <row r="39" spans="1:26" s="3" customFormat="1" ht="15.75" thickBot="1" x14ac:dyDescent="0.3">
      <c r="C39" s="432" t="s">
        <v>38</v>
      </c>
      <c r="D39" s="433"/>
      <c r="E39" s="434" t="s">
        <v>261</v>
      </c>
      <c r="F39" s="435"/>
      <c r="G39" s="436"/>
      <c r="L39" s="370">
        <v>0</v>
      </c>
      <c r="M39" s="371"/>
      <c r="N39" s="371"/>
      <c r="O39" s="219"/>
      <c r="X39" s="4"/>
      <c r="Y39" s="4"/>
      <c r="Z39" s="4"/>
    </row>
    <row r="40" spans="1:26" s="3" customFormat="1" x14ac:dyDescent="0.25">
      <c r="L40" s="437"/>
      <c r="M40" s="438"/>
      <c r="N40" s="438"/>
      <c r="O40" s="439"/>
      <c r="X40" s="4"/>
      <c r="Y40" s="4"/>
      <c r="Z40" s="4"/>
    </row>
    <row r="41" spans="1:26" s="3" customFormat="1" ht="15.75" thickBot="1" x14ac:dyDescent="0.3">
      <c r="L41" s="372"/>
      <c r="M41" s="274"/>
      <c r="N41" s="274"/>
      <c r="O41" s="220"/>
      <c r="X41" s="4"/>
      <c r="Y41" s="4"/>
      <c r="Z41" s="4"/>
    </row>
    <row r="42" spans="1:26" s="3" customFormat="1" x14ac:dyDescent="0.25">
      <c r="A42" s="286" t="s">
        <v>40</v>
      </c>
      <c r="B42" s="417"/>
      <c r="C42" s="136" t="s">
        <v>41</v>
      </c>
      <c r="D42" s="137" t="s">
        <v>42</v>
      </c>
      <c r="E42" s="137" t="s">
        <v>43</v>
      </c>
      <c r="F42" s="137" t="s">
        <v>44</v>
      </c>
      <c r="G42" s="138" t="s">
        <v>45</v>
      </c>
      <c r="X42" s="4"/>
      <c r="Y42" s="4"/>
      <c r="Z42" s="4"/>
    </row>
    <row r="43" spans="1:26" s="3" customFormat="1" ht="15.75" thickBot="1" x14ac:dyDescent="0.3">
      <c r="A43" s="351"/>
      <c r="B43" s="418"/>
      <c r="C43" s="48"/>
      <c r="D43" s="49"/>
      <c r="E43" s="49"/>
      <c r="F43" s="49"/>
      <c r="G43" s="50"/>
      <c r="H43" s="51"/>
      <c r="I43" s="51"/>
      <c r="J43" s="51"/>
      <c r="K43" s="51"/>
      <c r="L43" s="51"/>
      <c r="M43" s="51"/>
      <c r="N43" s="51"/>
      <c r="O43" s="51"/>
      <c r="X43" s="4"/>
      <c r="Y43" s="4"/>
      <c r="Z43" s="4"/>
    </row>
    <row r="44" spans="1:26" s="3" customFormat="1" ht="35.25" customHeight="1" x14ac:dyDescent="0.25">
      <c r="C44" s="419"/>
      <c r="D44" s="419"/>
      <c r="E44" s="419"/>
      <c r="F44" s="419"/>
      <c r="G44" s="419"/>
      <c r="X44" s="4"/>
      <c r="Y44" s="4"/>
      <c r="Z44" s="4"/>
    </row>
    <row r="45" spans="1:26" s="3" customFormat="1" ht="35.25" customHeight="1" x14ac:dyDescent="0.25">
      <c r="C45" s="420"/>
      <c r="D45" s="420"/>
      <c r="E45" s="420"/>
      <c r="F45" s="420"/>
      <c r="G45" s="420"/>
      <c r="X45" s="4"/>
      <c r="Y45" s="4"/>
      <c r="Z45" s="4"/>
    </row>
    <row r="46" spans="1:26" s="3" customFormat="1" ht="15.75" thickBot="1" x14ac:dyDescent="0.3">
      <c r="C46" s="3" t="s">
        <v>18</v>
      </c>
      <c r="X46" s="4"/>
      <c r="Y46" s="4"/>
      <c r="Z46" s="4"/>
    </row>
    <row r="47" spans="1:26" s="3" customFormat="1" ht="43.5" customHeight="1" thickBot="1" x14ac:dyDescent="0.3">
      <c r="A47" s="189" t="s">
        <v>46</v>
      </c>
      <c r="B47" s="273"/>
      <c r="C47" s="145" t="s">
        <v>47</v>
      </c>
      <c r="D47" s="146" t="s">
        <v>48</v>
      </c>
      <c r="E47" s="146" t="s">
        <v>49</v>
      </c>
      <c r="F47" s="421" t="s">
        <v>50</v>
      </c>
      <c r="G47" s="422"/>
      <c r="H47" s="148" t="s">
        <v>51</v>
      </c>
      <c r="I47" s="149"/>
      <c r="J47" s="147" t="s">
        <v>52</v>
      </c>
      <c r="K47" s="148" t="s">
        <v>53</v>
      </c>
      <c r="L47" s="423" t="s">
        <v>54</v>
      </c>
      <c r="M47" s="424"/>
      <c r="N47" s="424"/>
      <c r="O47" s="424"/>
      <c r="P47" s="422"/>
      <c r="X47" s="4"/>
      <c r="Y47" s="4"/>
      <c r="Z47" s="4"/>
    </row>
    <row r="48" spans="1:26" s="3" customFormat="1" x14ac:dyDescent="0.25">
      <c r="A48" s="194"/>
      <c r="B48" s="194"/>
      <c r="C48" s="406" t="s">
        <v>55</v>
      </c>
      <c r="D48" s="414"/>
      <c r="E48" s="414"/>
      <c r="F48" s="410">
        <f>E48-D48</f>
        <v>0</v>
      </c>
      <c r="G48" s="411"/>
      <c r="H48" s="415"/>
      <c r="I48" s="397"/>
      <c r="J48" s="399" t="s">
        <v>56</v>
      </c>
      <c r="K48" s="384" t="s">
        <v>57</v>
      </c>
      <c r="L48" s="401"/>
      <c r="M48" s="402"/>
      <c r="N48" s="402"/>
      <c r="O48" s="402"/>
      <c r="P48" s="403"/>
      <c r="Q48" s="404"/>
      <c r="R48" s="405"/>
      <c r="S48" s="405"/>
      <c r="T48" s="405"/>
      <c r="U48" s="405"/>
      <c r="X48" s="4"/>
      <c r="Y48" s="4"/>
      <c r="Z48" s="4"/>
    </row>
    <row r="49" spans="1:26" s="3" customFormat="1" ht="15.75" thickBot="1" x14ac:dyDescent="0.3">
      <c r="A49" s="194"/>
      <c r="B49" s="194"/>
      <c r="C49" s="406"/>
      <c r="D49" s="414"/>
      <c r="E49" s="414"/>
      <c r="F49" s="412"/>
      <c r="G49" s="413"/>
      <c r="H49" s="416"/>
      <c r="I49" s="398"/>
      <c r="J49" s="400"/>
      <c r="K49" s="385"/>
      <c r="L49" s="372"/>
      <c r="M49" s="274"/>
      <c r="N49" s="274"/>
      <c r="O49" s="274"/>
      <c r="P49" s="220"/>
      <c r="Q49" s="404"/>
      <c r="R49" s="405"/>
      <c r="S49" s="405"/>
      <c r="T49" s="405"/>
      <c r="U49" s="405"/>
      <c r="X49" s="4"/>
      <c r="Y49" s="4"/>
      <c r="Z49" s="4"/>
    </row>
    <row r="50" spans="1:26" s="3" customFormat="1" ht="15" customHeight="1" x14ac:dyDescent="0.25">
      <c r="A50" s="194"/>
      <c r="B50" s="194"/>
      <c r="C50" s="406" t="s">
        <v>58</v>
      </c>
      <c r="D50" s="408"/>
      <c r="E50" s="408"/>
      <c r="F50" s="410">
        <f>E50-D50</f>
        <v>0</v>
      </c>
      <c r="G50" s="411"/>
      <c r="H50" s="384"/>
      <c r="I50" s="53"/>
      <c r="J50" s="386" t="s">
        <v>56</v>
      </c>
      <c r="K50" s="387" t="s">
        <v>57</v>
      </c>
      <c r="L50" s="370"/>
      <c r="M50" s="371"/>
      <c r="N50" s="371"/>
      <c r="O50" s="371"/>
      <c r="P50" s="219"/>
      <c r="Q50" s="374"/>
      <c r="R50" s="374"/>
      <c r="S50" s="374"/>
      <c r="T50" s="374"/>
      <c r="U50" s="374"/>
      <c r="X50" s="4"/>
      <c r="Y50" s="4"/>
      <c r="Z50" s="4"/>
    </row>
    <row r="51" spans="1:26" s="3" customFormat="1" ht="15.75" thickBot="1" x14ac:dyDescent="0.3">
      <c r="A51" s="194"/>
      <c r="B51" s="194"/>
      <c r="C51" s="407"/>
      <c r="D51" s="409"/>
      <c r="E51" s="409"/>
      <c r="F51" s="412"/>
      <c r="G51" s="413"/>
      <c r="H51" s="385"/>
      <c r="I51" s="55"/>
      <c r="J51" s="386"/>
      <c r="K51" s="387"/>
      <c r="L51" s="372"/>
      <c r="M51" s="274"/>
      <c r="N51" s="274"/>
      <c r="O51" s="274"/>
      <c r="P51" s="220"/>
      <c r="Q51" s="374"/>
      <c r="R51" s="374"/>
      <c r="S51" s="374"/>
      <c r="T51" s="374"/>
      <c r="U51" s="374"/>
      <c r="X51" s="4"/>
      <c r="Y51" s="4"/>
      <c r="Z51" s="4"/>
    </row>
    <row r="52" spans="1:26" s="3" customFormat="1" ht="15" customHeight="1" x14ac:dyDescent="0.25">
      <c r="A52" s="194"/>
      <c r="B52" s="194"/>
      <c r="C52" s="388"/>
      <c r="D52" s="389"/>
      <c r="E52" s="391"/>
      <c r="F52" s="393"/>
      <c r="G52" s="394"/>
      <c r="H52" s="365"/>
      <c r="I52" s="56"/>
      <c r="J52" s="367" t="s">
        <v>56</v>
      </c>
      <c r="K52" s="369" t="s">
        <v>57</v>
      </c>
      <c r="L52" s="370"/>
      <c r="M52" s="371"/>
      <c r="N52" s="371"/>
      <c r="O52" s="371"/>
      <c r="P52" s="219"/>
      <c r="Q52" s="373"/>
      <c r="R52" s="374"/>
      <c r="S52" s="374"/>
      <c r="T52" s="374"/>
      <c r="U52" s="374"/>
      <c r="X52" s="4"/>
      <c r="Y52" s="4"/>
      <c r="Z52" s="4"/>
    </row>
    <row r="53" spans="1:26" s="3" customFormat="1" ht="39" customHeight="1" thickBot="1" x14ac:dyDescent="0.3">
      <c r="A53" s="194"/>
      <c r="B53" s="194"/>
      <c r="C53" s="227"/>
      <c r="D53" s="390"/>
      <c r="E53" s="392"/>
      <c r="F53" s="395"/>
      <c r="G53" s="396"/>
      <c r="H53" s="366"/>
      <c r="I53" s="57"/>
      <c r="J53" s="368"/>
      <c r="K53" s="366"/>
      <c r="L53" s="372"/>
      <c r="M53" s="274"/>
      <c r="N53" s="274"/>
      <c r="O53" s="274"/>
      <c r="P53" s="220"/>
      <c r="Q53" s="373"/>
      <c r="R53" s="374"/>
      <c r="S53" s="374"/>
      <c r="T53" s="374"/>
      <c r="U53" s="374"/>
      <c r="X53" s="4"/>
      <c r="Y53" s="4"/>
      <c r="Z53" s="4"/>
    </row>
    <row r="54" spans="1:26" s="3" customFormat="1" ht="28.5" customHeight="1" thickBot="1" x14ac:dyDescent="0.3">
      <c r="C54" s="375" t="s">
        <v>59</v>
      </c>
      <c r="D54" s="150" t="s">
        <v>60</v>
      </c>
      <c r="E54" s="151" t="s">
        <v>61</v>
      </c>
      <c r="F54" s="152" t="s">
        <v>62</v>
      </c>
      <c r="G54" s="58"/>
      <c r="H54" s="59"/>
      <c r="I54" s="59"/>
      <c r="J54" s="59"/>
      <c r="K54" s="59"/>
      <c r="L54" s="33"/>
      <c r="M54" s="33"/>
      <c r="N54" s="33"/>
      <c r="O54" s="33"/>
      <c r="P54" s="33"/>
      <c r="X54" s="4"/>
      <c r="Y54" s="4"/>
      <c r="Z54" s="4"/>
    </row>
    <row r="55" spans="1:26" s="3" customFormat="1" x14ac:dyDescent="0.25">
      <c r="C55" s="376"/>
      <c r="D55" s="378">
        <v>674.6</v>
      </c>
      <c r="E55" s="378">
        <v>680.3</v>
      </c>
      <c r="F55" s="381">
        <f>E55-D55</f>
        <v>5.6999999999999318</v>
      </c>
      <c r="G55" s="210"/>
      <c r="H55" s="211"/>
      <c r="I55" s="52"/>
      <c r="J55" s="52"/>
      <c r="K55" s="52"/>
      <c r="L55" s="33"/>
      <c r="M55" s="33"/>
      <c r="N55" s="33"/>
      <c r="O55" s="33"/>
      <c r="P55" s="33"/>
      <c r="X55" s="4"/>
      <c r="Y55" s="4"/>
      <c r="Z55" s="4"/>
    </row>
    <row r="56" spans="1:26" s="3" customFormat="1" x14ac:dyDescent="0.25">
      <c r="C56" s="376"/>
      <c r="D56" s="379"/>
      <c r="E56" s="379"/>
      <c r="F56" s="382"/>
      <c r="G56" s="210"/>
      <c r="H56" s="211"/>
      <c r="I56" s="52"/>
      <c r="J56" s="52"/>
      <c r="K56" s="52"/>
      <c r="L56" s="33"/>
      <c r="M56" s="33"/>
      <c r="N56" s="33"/>
      <c r="O56" s="33"/>
      <c r="P56" s="33"/>
      <c r="X56" s="4"/>
      <c r="Y56" s="4"/>
      <c r="Z56" s="4"/>
    </row>
    <row r="57" spans="1:26" s="3" customFormat="1" ht="15.75" thickBot="1" x14ac:dyDescent="0.3">
      <c r="C57" s="377"/>
      <c r="D57" s="380"/>
      <c r="E57" s="380"/>
      <c r="F57" s="383"/>
      <c r="G57" s="210"/>
      <c r="H57" s="211"/>
      <c r="I57" s="52"/>
      <c r="J57" s="52"/>
      <c r="K57" s="52"/>
      <c r="L57" s="33"/>
      <c r="M57" s="33"/>
      <c r="N57" s="33"/>
      <c r="O57" s="33"/>
      <c r="P57" s="33"/>
      <c r="X57" s="4"/>
      <c r="Y57" s="4"/>
      <c r="Z57" s="4"/>
    </row>
    <row r="58" spans="1:26" s="3" customFormat="1" x14ac:dyDescent="0.25">
      <c r="C58" s="59"/>
      <c r="D58" s="60"/>
      <c r="E58" s="60"/>
      <c r="F58" s="61"/>
      <c r="G58" s="54"/>
      <c r="H58" s="52"/>
      <c r="I58" s="52"/>
      <c r="J58" s="52"/>
      <c r="K58" s="52"/>
      <c r="L58" s="33"/>
      <c r="M58" s="33"/>
      <c r="N58" s="33"/>
      <c r="O58" s="33"/>
      <c r="P58" s="33"/>
      <c r="X58" s="4"/>
      <c r="Y58" s="4"/>
      <c r="Z58" s="4"/>
    </row>
    <row r="59" spans="1:26" s="3" customFormat="1" ht="15" customHeight="1" thickBot="1" x14ac:dyDescent="0.3">
      <c r="C59" s="36"/>
      <c r="D59" s="62"/>
      <c r="E59" s="62"/>
      <c r="F59" s="54"/>
      <c r="G59" s="54"/>
      <c r="H59" s="52"/>
      <c r="I59" s="52"/>
      <c r="J59" s="52"/>
      <c r="K59" s="52"/>
      <c r="L59" s="33"/>
      <c r="M59" s="33"/>
      <c r="N59" s="33"/>
      <c r="O59" s="33"/>
      <c r="P59" s="33"/>
      <c r="X59" s="4"/>
      <c r="Y59" s="4"/>
      <c r="Z59" s="4"/>
    </row>
    <row r="60" spans="1:26" s="3" customFormat="1" ht="15.75" thickBot="1" x14ac:dyDescent="0.3">
      <c r="C60" s="36"/>
      <c r="D60" s="153" t="s">
        <v>63</v>
      </c>
      <c r="E60" s="154" t="s">
        <v>64</v>
      </c>
      <c r="F60" s="155" t="s">
        <v>65</v>
      </c>
      <c r="H60" s="52"/>
      <c r="I60" s="52"/>
      <c r="J60" s="52"/>
      <c r="K60" s="52"/>
      <c r="L60" s="33"/>
      <c r="M60" s="33"/>
      <c r="N60" s="33"/>
      <c r="O60" s="33"/>
      <c r="P60" s="33"/>
      <c r="X60" s="4"/>
      <c r="Y60" s="4"/>
      <c r="Z60" s="4"/>
    </row>
    <row r="61" spans="1:26" s="3" customFormat="1" x14ac:dyDescent="0.25">
      <c r="C61" s="36"/>
      <c r="D61" s="355">
        <f>F55</f>
        <v>5.6999999999999318</v>
      </c>
      <c r="E61" s="357">
        <v>120</v>
      </c>
      <c r="F61" s="359">
        <f>D61*E61</f>
        <v>683.99999999999181</v>
      </c>
      <c r="G61" s="51"/>
      <c r="H61" s="52"/>
      <c r="I61" s="52"/>
      <c r="J61" s="52"/>
      <c r="K61" s="52"/>
      <c r="L61" s="33"/>
      <c r="M61" s="33"/>
      <c r="N61" s="33"/>
      <c r="O61" s="33"/>
      <c r="P61" s="33"/>
      <c r="X61" s="4"/>
      <c r="Y61" s="4"/>
      <c r="Z61" s="4"/>
    </row>
    <row r="62" spans="1:26" s="3" customFormat="1" ht="15.75" thickBot="1" x14ac:dyDescent="0.3">
      <c r="C62" s="36"/>
      <c r="D62" s="356"/>
      <c r="E62" s="358"/>
      <c r="F62" s="360"/>
      <c r="H62" s="52"/>
      <c r="I62" s="52"/>
      <c r="J62" s="52"/>
      <c r="K62" s="52"/>
      <c r="L62" s="33"/>
      <c r="M62" s="33"/>
      <c r="N62" s="33"/>
      <c r="O62" s="33"/>
      <c r="P62" s="33"/>
      <c r="X62" s="4"/>
      <c r="Y62" s="4"/>
      <c r="Z62" s="4"/>
    </row>
    <row r="63" spans="1:26" s="3" customFormat="1" ht="15.75" thickBot="1" x14ac:dyDescent="0.3">
      <c r="C63" s="36"/>
      <c r="D63" s="62"/>
      <c r="E63" s="62"/>
      <c r="F63" s="54"/>
      <c r="G63" s="54"/>
      <c r="H63" s="52" t="s">
        <v>66</v>
      </c>
      <c r="I63" s="52"/>
      <c r="J63" s="52"/>
      <c r="K63" s="52"/>
      <c r="L63" s="33"/>
      <c r="M63" s="33"/>
      <c r="N63" s="33"/>
      <c r="O63" s="33"/>
      <c r="P63" s="33"/>
      <c r="X63" s="4"/>
      <c r="Y63" s="4"/>
      <c r="Z63" s="4"/>
    </row>
    <row r="64" spans="1:26" s="3" customFormat="1" ht="15.75" customHeight="1" thickBot="1" x14ac:dyDescent="0.3">
      <c r="C64" s="187" t="s">
        <v>67</v>
      </c>
      <c r="D64" s="229"/>
      <c r="E64" s="188"/>
      <c r="F64" s="361" t="s">
        <v>65</v>
      </c>
      <c r="G64" s="54"/>
      <c r="H64" s="52"/>
      <c r="I64" s="52"/>
      <c r="J64" s="52"/>
      <c r="K64" s="52"/>
      <c r="L64" s="33"/>
      <c r="M64" s="33"/>
      <c r="N64" s="33"/>
      <c r="O64" s="33"/>
      <c r="P64" s="33"/>
      <c r="X64" s="4"/>
      <c r="Y64" s="4"/>
      <c r="Z64" s="4"/>
    </row>
    <row r="65" spans="1:26" s="3" customFormat="1" ht="15.75" thickBot="1" x14ac:dyDescent="0.3">
      <c r="C65" s="363" t="s">
        <v>59</v>
      </c>
      <c r="D65" s="156" t="s">
        <v>60</v>
      </c>
      <c r="E65" s="157" t="s">
        <v>68</v>
      </c>
      <c r="F65" s="362"/>
      <c r="G65" s="54"/>
      <c r="H65" s="52"/>
      <c r="I65" s="52"/>
      <c r="J65" s="52"/>
      <c r="K65" s="52"/>
      <c r="L65" s="33"/>
      <c r="M65" s="33"/>
      <c r="N65" s="33"/>
      <c r="O65" s="33"/>
      <c r="P65" s="33"/>
      <c r="X65" s="4"/>
      <c r="Y65" s="4"/>
      <c r="Z65" s="4"/>
    </row>
    <row r="66" spans="1:26" s="3" customFormat="1" ht="20.25" customHeight="1" x14ac:dyDescent="0.25">
      <c r="A66" s="340" t="s">
        <v>69</v>
      </c>
      <c r="B66" s="341"/>
      <c r="C66" s="364"/>
      <c r="D66" s="344"/>
      <c r="E66" s="344"/>
      <c r="F66" s="347"/>
      <c r="G66" s="349"/>
      <c r="H66" s="52"/>
      <c r="I66" s="52"/>
      <c r="J66" s="52"/>
      <c r="K66" s="52"/>
      <c r="L66" s="33"/>
      <c r="M66" s="33"/>
      <c r="N66" s="33"/>
      <c r="O66" s="33"/>
      <c r="P66" s="33"/>
      <c r="X66" s="4"/>
      <c r="Y66" s="4"/>
      <c r="Z66" s="4"/>
    </row>
    <row r="67" spans="1:26" s="3" customFormat="1" ht="17.25" customHeight="1" thickBot="1" x14ac:dyDescent="0.3">
      <c r="A67" s="342"/>
      <c r="B67" s="343"/>
      <c r="C67" s="364"/>
      <c r="D67" s="345"/>
      <c r="E67" s="346"/>
      <c r="F67" s="348"/>
      <c r="G67" s="349"/>
      <c r="H67" s="52"/>
      <c r="I67" s="52"/>
      <c r="J67" s="52"/>
      <c r="K67" s="52"/>
      <c r="L67" s="33"/>
      <c r="M67" s="33"/>
      <c r="N67" s="33"/>
      <c r="O67" s="33" t="s">
        <v>18</v>
      </c>
      <c r="P67" s="33"/>
      <c r="X67" s="4"/>
      <c r="Y67" s="4"/>
      <c r="Z67" s="4"/>
    </row>
    <row r="68" spans="1:26" s="3" customFormat="1" ht="15.75" customHeight="1" x14ac:dyDescent="0.25">
      <c r="A68" s="286" t="s">
        <v>70</v>
      </c>
      <c r="B68" s="350"/>
      <c r="C68" s="364"/>
      <c r="D68" s="344"/>
      <c r="E68" s="344"/>
      <c r="F68" s="353"/>
      <c r="G68" s="349"/>
      <c r="X68" s="4"/>
      <c r="Y68" s="4"/>
      <c r="Z68" s="4"/>
    </row>
    <row r="69" spans="1:26" s="3" customFormat="1" ht="23.25" customHeight="1" thickBot="1" x14ac:dyDescent="0.3">
      <c r="A69" s="351"/>
      <c r="B69" s="352"/>
      <c r="C69" s="364"/>
      <c r="D69" s="345"/>
      <c r="E69" s="345"/>
      <c r="F69" s="354"/>
      <c r="G69" s="349"/>
      <c r="I69" s="3" t="s">
        <v>18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4"/>
      <c r="Y69" s="4"/>
      <c r="Z69" s="4"/>
    </row>
    <row r="70" spans="1:26" s="3" customFormat="1" ht="15" customHeight="1" thickBot="1" x14ac:dyDescent="0.3">
      <c r="B70" s="65"/>
      <c r="C70" s="66" t="s">
        <v>6</v>
      </c>
      <c r="D70" s="67"/>
      <c r="E70" s="68"/>
      <c r="F70" s="63"/>
      <c r="G70" s="69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4"/>
      <c r="Y70" s="4"/>
      <c r="Z70" s="4"/>
    </row>
    <row r="71" spans="1:26" s="3" customFormat="1" ht="15.75" thickBot="1" x14ac:dyDescent="0.3">
      <c r="K71" s="64"/>
      <c r="L71" s="64" t="s">
        <v>18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4"/>
      <c r="Y71" s="4"/>
      <c r="Z71" s="4"/>
    </row>
    <row r="72" spans="1:26" s="3" customFormat="1" x14ac:dyDescent="0.25">
      <c r="A72" s="306"/>
      <c r="B72" s="307"/>
      <c r="C72" s="308" t="s">
        <v>71</v>
      </c>
      <c r="D72" s="309"/>
      <c r="E72" s="309"/>
      <c r="F72" s="309"/>
      <c r="G72" s="310"/>
      <c r="H72" s="311" t="s">
        <v>72</v>
      </c>
      <c r="I72" s="312"/>
      <c r="J72" s="313"/>
      <c r="K72" s="317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9"/>
      <c r="X72" s="4"/>
      <c r="Y72" s="4"/>
      <c r="Z72" s="4"/>
    </row>
    <row r="73" spans="1:26" s="3" customFormat="1" ht="15.75" thickBot="1" x14ac:dyDescent="0.3">
      <c r="C73" s="158"/>
      <c r="D73" s="326" t="s">
        <v>73</v>
      </c>
      <c r="E73" s="327"/>
      <c r="F73" s="327"/>
      <c r="G73" s="328"/>
      <c r="H73" s="314"/>
      <c r="I73" s="315"/>
      <c r="J73" s="316"/>
      <c r="K73" s="320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2"/>
      <c r="X73" s="4"/>
      <c r="Y73" s="4"/>
      <c r="Z73" s="4"/>
    </row>
    <row r="74" spans="1:26" s="3" customFormat="1" ht="54.75" customHeight="1" thickBot="1" x14ac:dyDescent="0.3">
      <c r="A74" s="329" t="s">
        <v>23</v>
      </c>
      <c r="B74" s="330"/>
      <c r="C74" s="158" t="s">
        <v>20</v>
      </c>
      <c r="D74" s="331">
        <v>0</v>
      </c>
      <c r="E74" s="332"/>
      <c r="F74" s="332"/>
      <c r="G74" s="333"/>
      <c r="H74" s="334"/>
      <c r="I74" s="335"/>
      <c r="J74" s="336"/>
      <c r="K74" s="320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2"/>
      <c r="X74" s="4"/>
      <c r="Y74" s="4"/>
      <c r="Z74" s="4"/>
    </row>
    <row r="75" spans="1:26" s="3" customFormat="1" ht="60.75" customHeight="1" thickBot="1" x14ac:dyDescent="0.3">
      <c r="A75" s="329" t="s">
        <v>24</v>
      </c>
      <c r="B75" s="330"/>
      <c r="C75" s="159" t="s">
        <v>20</v>
      </c>
      <c r="D75" s="337">
        <v>0</v>
      </c>
      <c r="E75" s="338"/>
      <c r="F75" s="338"/>
      <c r="G75" s="339"/>
      <c r="H75" s="300"/>
      <c r="I75" s="301"/>
      <c r="J75" s="302"/>
      <c r="K75" s="323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5"/>
      <c r="X75" s="4"/>
      <c r="Y75" s="4"/>
      <c r="Z75" s="4"/>
    </row>
    <row r="76" spans="1:26" s="3" customFormat="1" x14ac:dyDescent="0.25">
      <c r="C76" s="33"/>
      <c r="D76" s="303"/>
      <c r="E76" s="303"/>
      <c r="F76" s="303"/>
      <c r="G76" s="303"/>
      <c r="H76" s="33"/>
      <c r="I76" s="33"/>
      <c r="J76" s="3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4"/>
      <c r="Y76" s="4"/>
      <c r="Z76" s="4"/>
    </row>
    <row r="77" spans="1:26" s="3" customFormat="1" ht="25.5" customHeight="1" x14ac:dyDescent="0.25">
      <c r="C77" s="33"/>
      <c r="D77" s="304"/>
      <c r="E77" s="304"/>
      <c r="F77" s="304"/>
      <c r="G77" s="304"/>
      <c r="H77" s="31"/>
      <c r="I77" s="31"/>
      <c r="J77" s="3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4"/>
      <c r="Y77" s="4"/>
      <c r="Z77" s="4"/>
    </row>
    <row r="78" spans="1:26" s="3" customFormat="1" ht="15.75" thickBot="1" x14ac:dyDescent="0.3">
      <c r="C78" s="54"/>
      <c r="D78" s="54"/>
      <c r="E78" s="54"/>
      <c r="F78" s="54"/>
      <c r="G78" s="54"/>
      <c r="H78" s="54"/>
      <c r="I78" s="54"/>
      <c r="J78" s="54"/>
      <c r="K78" s="54"/>
      <c r="X78" s="4"/>
      <c r="Y78" s="4"/>
      <c r="Z78" s="4"/>
    </row>
    <row r="79" spans="1:26" s="3" customFormat="1" x14ac:dyDescent="0.25">
      <c r="C79" s="305" t="s">
        <v>74</v>
      </c>
      <c r="D79" s="287"/>
      <c r="E79" s="287"/>
      <c r="F79" s="287"/>
      <c r="G79" s="287"/>
      <c r="H79" s="287"/>
      <c r="I79" s="287"/>
      <c r="J79" s="287"/>
      <c r="K79" s="288"/>
      <c r="X79" s="4"/>
      <c r="Y79" s="4"/>
      <c r="Z79" s="4"/>
    </row>
    <row r="80" spans="1:26" s="3" customFormat="1" ht="15" customHeight="1" x14ac:dyDescent="0.25">
      <c r="C80" s="197"/>
      <c r="D80" s="291" t="s">
        <v>75</v>
      </c>
      <c r="E80" s="290"/>
      <c r="F80" s="218"/>
      <c r="G80" s="71"/>
      <c r="H80" s="291" t="s">
        <v>76</v>
      </c>
      <c r="I80" s="290"/>
      <c r="J80" s="290"/>
      <c r="K80" s="292"/>
      <c r="X80" s="4"/>
      <c r="Y80" s="4"/>
      <c r="Z80" s="4"/>
    </row>
    <row r="81" spans="2:26" s="3" customFormat="1" x14ac:dyDescent="0.25">
      <c r="B81" s="72" t="s">
        <v>77</v>
      </c>
      <c r="C81" s="289"/>
      <c r="D81" s="12" t="s">
        <v>78</v>
      </c>
      <c r="E81" s="12" t="s">
        <v>79</v>
      </c>
      <c r="F81" s="12" t="s">
        <v>80</v>
      </c>
      <c r="G81" s="293" t="s">
        <v>81</v>
      </c>
      <c r="H81" s="12" t="s">
        <v>78</v>
      </c>
      <c r="I81" s="74" t="s">
        <v>77</v>
      </c>
      <c r="J81" s="12" t="s">
        <v>79</v>
      </c>
      <c r="K81" s="39" t="s">
        <v>80</v>
      </c>
      <c r="X81" s="4"/>
      <c r="Y81" s="4"/>
      <c r="Z81" s="4"/>
    </row>
    <row r="82" spans="2:26" s="3" customFormat="1" x14ac:dyDescent="0.25">
      <c r="B82" s="298" t="s">
        <v>253</v>
      </c>
      <c r="C82" s="75" t="s">
        <v>81</v>
      </c>
      <c r="D82" s="255">
        <v>1</v>
      </c>
      <c r="E82" s="269">
        <v>2</v>
      </c>
      <c r="F82" s="278" t="s">
        <v>82</v>
      </c>
      <c r="G82" s="294"/>
      <c r="H82" s="255">
        <v>0</v>
      </c>
      <c r="I82" s="296"/>
      <c r="J82" s="269">
        <v>0</v>
      </c>
      <c r="K82" s="271" t="s">
        <v>83</v>
      </c>
      <c r="X82" s="4"/>
      <c r="Y82" s="4"/>
      <c r="Z82" s="4"/>
    </row>
    <row r="83" spans="2:26" s="3" customFormat="1" x14ac:dyDescent="0.25">
      <c r="B83" s="298"/>
      <c r="C83" s="77" t="s">
        <v>13</v>
      </c>
      <c r="D83" s="268"/>
      <c r="E83" s="276"/>
      <c r="F83" s="282"/>
      <c r="G83" s="285"/>
      <c r="H83" s="268"/>
      <c r="I83" s="297"/>
      <c r="J83" s="276"/>
      <c r="K83" s="277"/>
      <c r="X83" s="4"/>
      <c r="Y83" s="4"/>
      <c r="Z83" s="4"/>
    </row>
    <row r="84" spans="2:26" s="3" customFormat="1" ht="28.5" customHeight="1" x14ac:dyDescent="0.25">
      <c r="B84" s="298"/>
      <c r="C84" s="70" t="s">
        <v>84</v>
      </c>
      <c r="D84" s="255">
        <v>0</v>
      </c>
      <c r="E84" s="269">
        <v>0</v>
      </c>
      <c r="F84" s="278" t="s">
        <v>83</v>
      </c>
      <c r="G84" s="280" t="s">
        <v>85</v>
      </c>
      <c r="H84" s="255">
        <v>0</v>
      </c>
      <c r="I84" s="296"/>
      <c r="J84" s="269">
        <v>0</v>
      </c>
      <c r="K84" s="271" t="s">
        <v>83</v>
      </c>
      <c r="X84" s="4"/>
      <c r="Y84" s="4"/>
      <c r="Z84" s="4"/>
    </row>
    <row r="85" spans="2:26" s="3" customFormat="1" x14ac:dyDescent="0.25">
      <c r="B85" s="298"/>
      <c r="C85" s="77" t="s">
        <v>13</v>
      </c>
      <c r="D85" s="268"/>
      <c r="E85" s="276"/>
      <c r="F85" s="282"/>
      <c r="G85" s="285"/>
      <c r="H85" s="268"/>
      <c r="I85" s="297"/>
      <c r="J85" s="276"/>
      <c r="K85" s="277"/>
      <c r="X85" s="4"/>
      <c r="Y85" s="4"/>
      <c r="Z85" s="4"/>
    </row>
    <row r="86" spans="2:26" s="3" customFormat="1" ht="28.5" customHeight="1" x14ac:dyDescent="0.25">
      <c r="B86" s="298"/>
      <c r="C86" s="70" t="s">
        <v>86</v>
      </c>
      <c r="D86" s="255">
        <v>0</v>
      </c>
      <c r="E86" s="269">
        <v>0</v>
      </c>
      <c r="F86" s="278" t="s">
        <v>83</v>
      </c>
      <c r="G86" s="280" t="s">
        <v>86</v>
      </c>
      <c r="H86" s="255">
        <v>0</v>
      </c>
      <c r="I86" s="296"/>
      <c r="J86" s="269">
        <v>0</v>
      </c>
      <c r="K86" s="271" t="s">
        <v>83</v>
      </c>
      <c r="X86" s="4"/>
      <c r="Y86" s="4"/>
      <c r="Z86" s="4"/>
    </row>
    <row r="87" spans="2:26" s="3" customFormat="1" ht="15.75" thickBot="1" x14ac:dyDescent="0.3">
      <c r="B87" s="298"/>
      <c r="C87" s="77" t="s">
        <v>13</v>
      </c>
      <c r="D87" s="256"/>
      <c r="E87" s="270"/>
      <c r="F87" s="279"/>
      <c r="G87" s="281"/>
      <c r="H87" s="256"/>
      <c r="I87" s="299"/>
      <c r="J87" s="270"/>
      <c r="K87" s="272"/>
      <c r="X87" s="4"/>
      <c r="Y87" s="4"/>
      <c r="Z87" s="4"/>
    </row>
    <row r="88" spans="2:26" s="3" customFormat="1" ht="15.75" thickBot="1" x14ac:dyDescent="0.3">
      <c r="C88" s="33"/>
      <c r="D88" s="54"/>
      <c r="E88" s="54"/>
      <c r="F88" s="33"/>
      <c r="G88" s="79"/>
      <c r="H88" s="80"/>
      <c r="I88" s="80"/>
      <c r="J88" s="33"/>
      <c r="K88" s="54"/>
      <c r="X88" s="4"/>
      <c r="Y88" s="4"/>
      <c r="Z88" s="4"/>
    </row>
    <row r="89" spans="2:26" s="3" customFormat="1" x14ac:dyDescent="0.25">
      <c r="B89" s="72" t="s">
        <v>77</v>
      </c>
      <c r="C89" s="286" t="s">
        <v>74</v>
      </c>
      <c r="D89" s="287"/>
      <c r="E89" s="287"/>
      <c r="F89" s="287"/>
      <c r="G89" s="287"/>
      <c r="H89" s="287"/>
      <c r="I89" s="287"/>
      <c r="J89" s="287"/>
      <c r="K89" s="288"/>
      <c r="X89" s="4"/>
      <c r="Y89" s="4"/>
      <c r="Z89" s="4"/>
    </row>
    <row r="90" spans="2:26" s="3" customFormat="1" ht="15" customHeight="1" x14ac:dyDescent="0.25">
      <c r="B90" s="283"/>
      <c r="C90" s="197" t="s">
        <v>81</v>
      </c>
      <c r="D90" s="290" t="s">
        <v>75</v>
      </c>
      <c r="E90" s="290"/>
      <c r="F90" s="218"/>
      <c r="G90" s="71"/>
      <c r="H90" s="291" t="s">
        <v>76</v>
      </c>
      <c r="I90" s="290"/>
      <c r="J90" s="290"/>
      <c r="K90" s="292"/>
      <c r="X90" s="4"/>
      <c r="Y90" s="4"/>
      <c r="Z90" s="4"/>
    </row>
    <row r="91" spans="2:26" s="3" customFormat="1" x14ac:dyDescent="0.25">
      <c r="B91" s="283"/>
      <c r="C91" s="198"/>
      <c r="D91" s="38" t="s">
        <v>78</v>
      </c>
      <c r="E91" s="12" t="s">
        <v>79</v>
      </c>
      <c r="F91" s="12" t="s">
        <v>80</v>
      </c>
      <c r="G91" s="293" t="s">
        <v>81</v>
      </c>
      <c r="H91" s="12" t="s">
        <v>78</v>
      </c>
      <c r="I91" s="12"/>
      <c r="J91" s="12" t="s">
        <v>79</v>
      </c>
      <c r="K91" s="39" t="s">
        <v>80</v>
      </c>
      <c r="X91" s="4"/>
      <c r="Y91" s="4"/>
      <c r="Z91" s="4"/>
    </row>
    <row r="92" spans="2:26" s="3" customFormat="1" ht="15" customHeight="1" x14ac:dyDescent="0.25">
      <c r="B92" s="283"/>
      <c r="C92" s="289"/>
      <c r="D92" s="295">
        <v>0</v>
      </c>
      <c r="E92" s="269">
        <v>0</v>
      </c>
      <c r="F92" s="278" t="s">
        <v>82</v>
      </c>
      <c r="G92" s="294"/>
      <c r="H92" s="255">
        <v>0</v>
      </c>
      <c r="I92" s="255"/>
      <c r="J92" s="269">
        <v>0</v>
      </c>
      <c r="K92" s="271" t="s">
        <v>83</v>
      </c>
      <c r="X92" s="4"/>
      <c r="Y92" s="4"/>
      <c r="Z92" s="4"/>
    </row>
    <row r="93" spans="2:26" s="3" customFormat="1" x14ac:dyDescent="0.25">
      <c r="B93" s="252"/>
      <c r="C93" s="81" t="s">
        <v>87</v>
      </c>
      <c r="D93" s="268"/>
      <c r="E93" s="276"/>
      <c r="F93" s="282"/>
      <c r="G93" s="285"/>
      <c r="H93" s="268"/>
      <c r="I93" s="268"/>
      <c r="J93" s="276"/>
      <c r="K93" s="277"/>
      <c r="X93" s="4"/>
      <c r="Y93" s="4"/>
      <c r="Z93" s="4"/>
    </row>
    <row r="94" spans="2:26" s="3" customFormat="1" ht="28.5" customHeight="1" x14ac:dyDescent="0.25">
      <c r="B94" s="252"/>
      <c r="C94" s="70" t="s">
        <v>85</v>
      </c>
      <c r="D94" s="255">
        <v>0</v>
      </c>
      <c r="E94" s="269">
        <v>0</v>
      </c>
      <c r="F94" s="278" t="s">
        <v>83</v>
      </c>
      <c r="G94" s="280" t="s">
        <v>85</v>
      </c>
      <c r="H94" s="255">
        <v>0</v>
      </c>
      <c r="I94" s="255"/>
      <c r="J94" s="269">
        <v>0</v>
      </c>
      <c r="K94" s="271" t="s">
        <v>83</v>
      </c>
      <c r="X94" s="4"/>
      <c r="Y94" s="4"/>
      <c r="Z94" s="4"/>
    </row>
    <row r="95" spans="2:26" s="3" customFormat="1" x14ac:dyDescent="0.25">
      <c r="B95" s="283"/>
      <c r="C95" s="82" t="s">
        <v>87</v>
      </c>
      <c r="D95" s="284"/>
      <c r="E95" s="276"/>
      <c r="F95" s="282"/>
      <c r="G95" s="285"/>
      <c r="H95" s="268"/>
      <c r="I95" s="268"/>
      <c r="J95" s="276"/>
      <c r="K95" s="277"/>
      <c r="X95" s="4"/>
      <c r="Y95" s="4"/>
      <c r="Z95" s="4"/>
    </row>
    <row r="96" spans="2:26" s="3" customFormat="1" ht="28.5" customHeight="1" x14ac:dyDescent="0.25">
      <c r="B96" s="252"/>
      <c r="C96" s="83" t="s">
        <v>86</v>
      </c>
      <c r="D96" s="255">
        <v>0</v>
      </c>
      <c r="E96" s="269">
        <v>0</v>
      </c>
      <c r="F96" s="278" t="s">
        <v>83</v>
      </c>
      <c r="G96" s="280" t="s">
        <v>86</v>
      </c>
      <c r="H96" s="255">
        <v>0</v>
      </c>
      <c r="I96" s="255"/>
      <c r="J96" s="269">
        <v>0</v>
      </c>
      <c r="K96" s="271" t="s">
        <v>83</v>
      </c>
      <c r="X96" s="4"/>
      <c r="Y96" s="4"/>
      <c r="Z96" s="4"/>
    </row>
    <row r="97" spans="1:26" s="3" customFormat="1" ht="15.75" thickBot="1" x14ac:dyDescent="0.3">
      <c r="B97" s="252"/>
      <c r="C97" s="84" t="s">
        <v>87</v>
      </c>
      <c r="D97" s="256"/>
      <c r="E97" s="270"/>
      <c r="F97" s="279"/>
      <c r="G97" s="281"/>
      <c r="H97" s="256"/>
      <c r="I97" s="256"/>
      <c r="J97" s="270"/>
      <c r="K97" s="272"/>
      <c r="X97" s="4"/>
      <c r="Y97" s="4"/>
      <c r="Z97" s="4"/>
    </row>
    <row r="98" spans="1:26" s="3" customFormat="1" x14ac:dyDescent="0.25">
      <c r="C98" s="33"/>
      <c r="D98" s="54"/>
      <c r="E98" s="54"/>
      <c r="F98" s="33"/>
      <c r="G98" s="79"/>
      <c r="H98" s="80"/>
      <c r="J98" s="33"/>
      <c r="K98" s="54"/>
      <c r="X98" s="4"/>
      <c r="Y98" s="4"/>
      <c r="Z98" s="4"/>
    </row>
    <row r="99" spans="1:26" s="3" customFormat="1" ht="15.75" thickBot="1" x14ac:dyDescent="0.3">
      <c r="C99" s="80"/>
      <c r="D99" s="33"/>
      <c r="E99" s="20"/>
      <c r="F99" s="33"/>
      <c r="G99" s="33"/>
      <c r="H99" s="80"/>
      <c r="I99" s="80"/>
      <c r="J99" s="33"/>
      <c r="K99" s="20"/>
      <c r="X99" s="4"/>
      <c r="Y99" s="4"/>
      <c r="Z99" s="4"/>
    </row>
    <row r="100" spans="1:26" s="3" customFormat="1" ht="15.75" thickBot="1" x14ac:dyDescent="0.3">
      <c r="C100" s="189" t="s">
        <v>88</v>
      </c>
      <c r="D100" s="273"/>
      <c r="E100" s="273"/>
      <c r="F100" s="273"/>
      <c r="G100" s="273"/>
      <c r="H100" s="190"/>
      <c r="I100" s="31"/>
      <c r="J100" s="33"/>
      <c r="K100" s="54"/>
      <c r="X100" s="4"/>
      <c r="Y100" s="4"/>
      <c r="Z100" s="4"/>
    </row>
    <row r="101" spans="1:26" s="3" customFormat="1" ht="16.5" thickBot="1" x14ac:dyDescent="0.3">
      <c r="B101" s="72" t="s">
        <v>77</v>
      </c>
      <c r="C101" s="85"/>
      <c r="D101" s="86" t="s">
        <v>89</v>
      </c>
      <c r="E101" s="78" t="s">
        <v>90</v>
      </c>
      <c r="F101" s="87" t="s">
        <v>91</v>
      </c>
      <c r="G101" s="88" t="s">
        <v>92</v>
      </c>
      <c r="H101" s="89" t="s">
        <v>91</v>
      </c>
      <c r="I101" s="90"/>
      <c r="J101" s="274"/>
      <c r="K101" s="274"/>
      <c r="X101" s="4"/>
      <c r="Y101" s="4"/>
      <c r="Z101" s="4"/>
    </row>
    <row r="102" spans="1:26" s="3" customFormat="1" ht="15.75" customHeight="1" x14ac:dyDescent="0.25">
      <c r="A102" s="275"/>
      <c r="B102" s="252"/>
      <c r="C102" s="253" t="s">
        <v>93</v>
      </c>
      <c r="D102" s="255">
        <v>0</v>
      </c>
      <c r="E102" s="257">
        <v>0</v>
      </c>
      <c r="F102" s="259" t="s">
        <v>83</v>
      </c>
      <c r="G102" s="257">
        <v>0</v>
      </c>
      <c r="H102" s="234" t="s">
        <v>83</v>
      </c>
      <c r="I102" s="95"/>
      <c r="J102" s="160" t="s">
        <v>94</v>
      </c>
      <c r="K102" s="236" t="s">
        <v>95</v>
      </c>
      <c r="L102" s="237"/>
      <c r="M102" s="161"/>
      <c r="N102" s="161"/>
      <c r="O102" s="162" t="s">
        <v>96</v>
      </c>
      <c r="X102" s="4"/>
      <c r="Y102" s="4"/>
      <c r="Z102" s="4"/>
    </row>
    <row r="103" spans="1:26" s="3" customFormat="1" ht="26.25" customHeight="1" thickBot="1" x14ac:dyDescent="0.3">
      <c r="A103" s="275"/>
      <c r="B103" s="252"/>
      <c r="C103" s="254"/>
      <c r="D103" s="268"/>
      <c r="E103" s="261"/>
      <c r="F103" s="267"/>
      <c r="G103" s="261"/>
      <c r="H103" s="262"/>
      <c r="I103" s="95"/>
      <c r="J103" s="96">
        <f>E102+E104+E108+E106</f>
        <v>80</v>
      </c>
      <c r="K103" s="238">
        <f>G102+G104+G108</f>
        <v>0</v>
      </c>
      <c r="L103" s="239"/>
      <c r="M103" s="42"/>
      <c r="N103" s="42"/>
      <c r="O103" s="50">
        <f>D102+D104+D108+D106</f>
        <v>6</v>
      </c>
      <c r="X103" s="4"/>
      <c r="Y103" s="4"/>
      <c r="Z103" s="4"/>
    </row>
    <row r="104" spans="1:26" s="3" customFormat="1" ht="15" customHeight="1" x14ac:dyDescent="0.25">
      <c r="A104" s="91"/>
      <c r="B104" s="252" t="s">
        <v>250</v>
      </c>
      <c r="C104" s="253" t="s">
        <v>93</v>
      </c>
      <c r="D104" s="255">
        <v>2</v>
      </c>
      <c r="E104" s="257">
        <v>27</v>
      </c>
      <c r="F104" s="259" t="s">
        <v>83</v>
      </c>
      <c r="G104" s="257">
        <v>0</v>
      </c>
      <c r="H104" s="234" t="s">
        <v>83</v>
      </c>
      <c r="I104" s="95"/>
      <c r="J104" s="97">
        <v>0</v>
      </c>
      <c r="K104" s="54"/>
      <c r="X104" s="4"/>
      <c r="Y104" s="4"/>
      <c r="Z104" s="4"/>
    </row>
    <row r="105" spans="1:26" s="3" customFormat="1" ht="27.75" customHeight="1" x14ac:dyDescent="0.25">
      <c r="A105" s="91"/>
      <c r="B105" s="252"/>
      <c r="C105" s="254"/>
      <c r="D105" s="268"/>
      <c r="E105" s="261"/>
      <c r="F105" s="267"/>
      <c r="G105" s="261"/>
      <c r="H105" s="262"/>
      <c r="I105" s="95"/>
      <c r="J105" s="97">
        <v>120</v>
      </c>
      <c r="K105" s="54"/>
      <c r="X105" s="4"/>
      <c r="Y105" s="4"/>
      <c r="Z105" s="4"/>
    </row>
    <row r="106" spans="1:26" s="3" customFormat="1" ht="15" customHeight="1" x14ac:dyDescent="0.25">
      <c r="A106" s="91"/>
      <c r="B106" s="252" t="s">
        <v>251</v>
      </c>
      <c r="C106" s="253" t="s">
        <v>97</v>
      </c>
      <c r="D106" s="255">
        <v>2</v>
      </c>
      <c r="E106" s="257">
        <v>27</v>
      </c>
      <c r="F106" s="259" t="s">
        <v>83</v>
      </c>
      <c r="G106" s="257">
        <v>0</v>
      </c>
      <c r="H106" s="234" t="s">
        <v>83</v>
      </c>
      <c r="I106" s="95"/>
      <c r="X106" s="4"/>
      <c r="Y106" s="4"/>
      <c r="Z106" s="4"/>
    </row>
    <row r="107" spans="1:26" s="3" customFormat="1" ht="25.5" customHeight="1" x14ac:dyDescent="0.25">
      <c r="A107" s="91"/>
      <c r="B107" s="252"/>
      <c r="C107" s="254"/>
      <c r="D107" s="263"/>
      <c r="E107" s="264"/>
      <c r="F107" s="265"/>
      <c r="G107" s="264"/>
      <c r="H107" s="266"/>
      <c r="I107" s="95"/>
      <c r="X107" s="4"/>
      <c r="Y107" s="4"/>
      <c r="Z107" s="4"/>
    </row>
    <row r="108" spans="1:26" s="3" customFormat="1" ht="15" customHeight="1" x14ac:dyDescent="0.25">
      <c r="A108" s="91"/>
      <c r="B108" s="252" t="s">
        <v>252</v>
      </c>
      <c r="C108" s="253" t="s">
        <v>97</v>
      </c>
      <c r="D108" s="255">
        <v>2</v>
      </c>
      <c r="E108" s="257">
        <v>26</v>
      </c>
      <c r="F108" s="259" t="s">
        <v>83</v>
      </c>
      <c r="G108" s="257">
        <v>0</v>
      </c>
      <c r="H108" s="234" t="s">
        <v>83</v>
      </c>
      <c r="I108" s="95"/>
      <c r="X108" s="4"/>
      <c r="Y108" s="4"/>
      <c r="Z108" s="4"/>
    </row>
    <row r="109" spans="1:26" s="3" customFormat="1" ht="25.5" customHeight="1" thickBot="1" x14ac:dyDescent="0.3">
      <c r="A109" s="91"/>
      <c r="B109" s="252"/>
      <c r="C109" s="254"/>
      <c r="D109" s="256"/>
      <c r="E109" s="258"/>
      <c r="F109" s="260"/>
      <c r="G109" s="258"/>
      <c r="H109" s="235"/>
      <c r="I109" s="95"/>
      <c r="X109" s="4"/>
      <c r="Y109" s="4"/>
      <c r="Z109" s="4"/>
    </row>
    <row r="110" spans="1:26" s="3" customFormat="1" ht="25.5" customHeight="1" thickBot="1" x14ac:dyDescent="0.3">
      <c r="A110" s="27" t="s">
        <v>18</v>
      </c>
      <c r="B110" s="27"/>
      <c r="C110" s="36"/>
      <c r="D110" s="31"/>
      <c r="E110" s="98" t="s">
        <v>18</v>
      </c>
      <c r="F110" s="95"/>
      <c r="G110" s="98"/>
      <c r="H110" s="95"/>
      <c r="I110" s="95"/>
      <c r="X110" s="4"/>
      <c r="Y110" s="4"/>
      <c r="Z110" s="4"/>
    </row>
    <row r="111" spans="1:26" s="3" customFormat="1" ht="25.5" customHeight="1" thickBot="1" x14ac:dyDescent="0.3">
      <c r="A111" s="27"/>
      <c r="B111" s="27"/>
      <c r="C111" s="187" t="s">
        <v>98</v>
      </c>
      <c r="D111" s="229"/>
      <c r="E111" s="229"/>
      <c r="F111" s="229"/>
      <c r="G111" s="229"/>
      <c r="H111" s="188"/>
      <c r="I111" s="95" t="s">
        <v>99</v>
      </c>
      <c r="X111" s="4"/>
      <c r="Y111" s="4"/>
      <c r="Z111" s="4"/>
    </row>
    <row r="112" spans="1:26" s="3" customFormat="1" ht="25.5" customHeight="1" x14ac:dyDescent="0.25">
      <c r="A112" s="27"/>
      <c r="B112" s="20" t="s">
        <v>77</v>
      </c>
      <c r="C112" s="73"/>
      <c r="D112" s="78" t="s">
        <v>89</v>
      </c>
      <c r="E112" s="99" t="s">
        <v>90</v>
      </c>
      <c r="F112" s="78" t="s">
        <v>91</v>
      </c>
      <c r="G112" s="99" t="s">
        <v>92</v>
      </c>
      <c r="H112" s="100" t="s">
        <v>91</v>
      </c>
      <c r="I112" s="95"/>
      <c r="J112" s="160" t="s">
        <v>94</v>
      </c>
      <c r="K112" s="236" t="s">
        <v>95</v>
      </c>
      <c r="L112" s="237"/>
      <c r="M112" s="161"/>
      <c r="N112" s="161"/>
      <c r="O112" s="162" t="s">
        <v>96</v>
      </c>
      <c r="X112" s="4"/>
      <c r="Y112" s="4"/>
      <c r="Z112" s="4"/>
    </row>
    <row r="113" spans="1:26" s="3" customFormat="1" ht="25.5" customHeight="1" thickBot="1" x14ac:dyDescent="0.3">
      <c r="A113" s="27"/>
      <c r="B113" s="27"/>
      <c r="C113" s="83" t="s">
        <v>100</v>
      </c>
      <c r="D113" s="10">
        <v>0</v>
      </c>
      <c r="E113" s="101">
        <v>0</v>
      </c>
      <c r="F113" s="102"/>
      <c r="G113" s="101"/>
      <c r="H113" s="103"/>
      <c r="I113" s="95"/>
      <c r="J113" s="96">
        <f>E113+E114+E116+E115</f>
        <v>0</v>
      </c>
      <c r="K113" s="238">
        <f>G113+G114+G116</f>
        <v>0</v>
      </c>
      <c r="L113" s="239"/>
      <c r="M113" s="42"/>
      <c r="N113" s="42"/>
      <c r="O113" s="50">
        <f>SUM(D113:D116)</f>
        <v>0</v>
      </c>
      <c r="X113" s="4"/>
      <c r="Y113" s="4"/>
      <c r="Z113" s="4"/>
    </row>
    <row r="114" spans="1:26" s="3" customFormat="1" ht="25.5" customHeight="1" x14ac:dyDescent="0.25">
      <c r="A114" s="27"/>
      <c r="B114" s="27"/>
      <c r="C114" s="83" t="s">
        <v>100</v>
      </c>
      <c r="D114" s="10">
        <v>0</v>
      </c>
      <c r="E114" s="101">
        <v>0</v>
      </c>
      <c r="F114" s="102"/>
      <c r="G114" s="101"/>
      <c r="H114" s="103"/>
      <c r="I114" s="95"/>
      <c r="X114" s="4"/>
      <c r="Y114" s="4"/>
      <c r="Z114" s="4"/>
    </row>
    <row r="115" spans="1:26" s="3" customFormat="1" ht="25.5" customHeight="1" x14ac:dyDescent="0.25">
      <c r="A115" s="27"/>
      <c r="B115" s="27"/>
      <c r="C115" s="83" t="s">
        <v>101</v>
      </c>
      <c r="D115" s="76">
        <v>0</v>
      </c>
      <c r="E115" s="92">
        <v>0</v>
      </c>
      <c r="F115" s="93"/>
      <c r="G115" s="92"/>
      <c r="H115" s="94"/>
      <c r="I115" s="95"/>
      <c r="X115" s="4"/>
      <c r="Y115" s="4"/>
      <c r="Z115" s="4"/>
    </row>
    <row r="116" spans="1:26" s="3" customFormat="1" ht="25.5" customHeight="1" thickBot="1" x14ac:dyDescent="0.3">
      <c r="A116" s="27"/>
      <c r="B116" s="27"/>
      <c r="C116" s="83" t="s">
        <v>101</v>
      </c>
      <c r="D116" s="104">
        <v>0</v>
      </c>
      <c r="E116" s="105">
        <v>0</v>
      </c>
      <c r="F116" s="106"/>
      <c r="G116" s="105"/>
      <c r="H116" s="107"/>
      <c r="I116" s="95"/>
      <c r="X116" s="4"/>
      <c r="Y116" s="4"/>
      <c r="Z116" s="4"/>
    </row>
    <row r="117" spans="1:26" s="3" customFormat="1" ht="25.5" customHeight="1" x14ac:dyDescent="0.25">
      <c r="A117" s="27"/>
      <c r="B117" s="27"/>
      <c r="C117" s="36"/>
      <c r="D117" s="31"/>
      <c r="E117" s="98"/>
      <c r="F117" s="95"/>
      <c r="G117" s="98"/>
      <c r="H117" s="95"/>
      <c r="I117" s="95"/>
      <c r="X117" s="4"/>
      <c r="Y117" s="4"/>
      <c r="Z117" s="4"/>
    </row>
    <row r="118" spans="1:26" s="3" customFormat="1" ht="15.75" thickBot="1" x14ac:dyDescent="0.3">
      <c r="B118" s="108"/>
      <c r="C118" s="36"/>
      <c r="D118" s="31"/>
      <c r="E118" s="98"/>
      <c r="F118" s="95"/>
      <c r="G118" s="98"/>
      <c r="H118" s="95"/>
      <c r="I118" s="109"/>
      <c r="J118" s="33"/>
      <c r="K118" s="54"/>
      <c r="X118" s="4"/>
      <c r="Y118" s="4"/>
      <c r="Z118" s="4"/>
    </row>
    <row r="119" spans="1:26" s="3" customFormat="1" ht="15.75" thickBot="1" x14ac:dyDescent="0.3">
      <c r="B119" s="108"/>
      <c r="C119" s="240" t="s">
        <v>102</v>
      </c>
      <c r="D119" s="241"/>
      <c r="E119" s="241"/>
      <c r="F119" s="242"/>
      <c r="G119" s="243" t="s">
        <v>103</v>
      </c>
      <c r="H119" s="245" t="s">
        <v>104</v>
      </c>
      <c r="I119" s="246"/>
      <c r="J119" s="247"/>
      <c r="K119" s="54"/>
      <c r="X119" s="4"/>
      <c r="Y119" s="4"/>
      <c r="Z119" s="4"/>
    </row>
    <row r="120" spans="1:26" s="3" customFormat="1" ht="15.75" thickBot="1" x14ac:dyDescent="0.3">
      <c r="B120" s="108"/>
      <c r="C120" s="250" t="s">
        <v>105</v>
      </c>
      <c r="D120" s="251"/>
      <c r="E120" s="110" t="s">
        <v>106</v>
      </c>
      <c r="F120" s="111" t="s">
        <v>107</v>
      </c>
      <c r="G120" s="244"/>
      <c r="H120" s="248"/>
      <c r="I120" s="249"/>
      <c r="J120" s="244"/>
      <c r="K120" s="54"/>
      <c r="X120" s="4"/>
      <c r="Y120" s="4"/>
      <c r="Z120" s="4"/>
    </row>
    <row r="121" spans="1:26" s="3" customFormat="1" x14ac:dyDescent="0.25">
      <c r="B121" s="112" t="s">
        <v>108</v>
      </c>
      <c r="C121" s="217" t="s">
        <v>109</v>
      </c>
      <c r="D121" s="218"/>
      <c r="E121" s="12">
        <v>0</v>
      </c>
      <c r="F121" s="103">
        <v>0</v>
      </c>
      <c r="G121" s="219">
        <v>0</v>
      </c>
      <c r="H121" s="221">
        <v>0</v>
      </c>
      <c r="I121" s="222"/>
      <c r="J121" s="223"/>
      <c r="K121" s="113"/>
      <c r="X121" s="4"/>
      <c r="Y121" s="4"/>
      <c r="Z121" s="4"/>
    </row>
    <row r="122" spans="1:26" s="3" customFormat="1" ht="15.75" thickBot="1" x14ac:dyDescent="0.3">
      <c r="B122" s="112" t="s">
        <v>110</v>
      </c>
      <c r="C122" s="227" t="s">
        <v>111</v>
      </c>
      <c r="D122" s="228"/>
      <c r="E122" s="49">
        <v>0</v>
      </c>
      <c r="F122" s="107">
        <v>0</v>
      </c>
      <c r="G122" s="220"/>
      <c r="H122" s="224"/>
      <c r="I122" s="225"/>
      <c r="J122" s="226"/>
      <c r="K122" s="33"/>
      <c r="X122" s="4"/>
      <c r="Y122" s="4"/>
      <c r="Z122" s="4"/>
    </row>
    <row r="123" spans="1:26" s="3" customFormat="1" ht="15.75" thickBot="1" x14ac:dyDescent="0.3">
      <c r="B123" s="108"/>
      <c r="C123" s="33"/>
      <c r="D123" s="33"/>
      <c r="E123" s="33"/>
      <c r="F123" s="114"/>
      <c r="G123" s="33"/>
      <c r="H123" s="114"/>
      <c r="I123" s="114"/>
      <c r="J123" s="33"/>
      <c r="K123" s="33"/>
      <c r="X123" s="4"/>
      <c r="Y123" s="4"/>
      <c r="Z123" s="4"/>
    </row>
    <row r="124" spans="1:26" s="3" customFormat="1" ht="15.75" thickBot="1" x14ac:dyDescent="0.3">
      <c r="C124" s="187" t="s">
        <v>112</v>
      </c>
      <c r="D124" s="229"/>
      <c r="E124" s="229"/>
      <c r="F124" s="188"/>
      <c r="G124" s="230" t="s">
        <v>113</v>
      </c>
      <c r="H124" s="115"/>
      <c r="I124" s="115"/>
      <c r="J124" s="175" t="s">
        <v>114</v>
      </c>
      <c r="K124" s="176"/>
      <c r="L124" s="177"/>
      <c r="M124" s="116"/>
      <c r="N124" s="116"/>
      <c r="X124" s="4"/>
      <c r="Y124" s="4"/>
      <c r="Z124" s="4"/>
    </row>
    <row r="125" spans="1:26" s="3" customFormat="1" ht="30" customHeight="1" thickBot="1" x14ac:dyDescent="0.3">
      <c r="B125" s="117"/>
      <c r="C125" s="118" t="s">
        <v>115</v>
      </c>
      <c r="D125" s="231">
        <v>0</v>
      </c>
      <c r="E125" s="232"/>
      <c r="F125" s="233"/>
      <c r="G125" s="230"/>
      <c r="H125" s="119"/>
      <c r="I125" s="119"/>
      <c r="J125" s="120" t="s">
        <v>105</v>
      </c>
      <c r="K125" s="178" t="s">
        <v>116</v>
      </c>
      <c r="L125" s="179"/>
      <c r="M125" s="121"/>
      <c r="N125" s="121"/>
      <c r="X125" s="4"/>
      <c r="Y125" s="4"/>
      <c r="Z125" s="4"/>
    </row>
    <row r="126" spans="1:26" s="3" customFormat="1" ht="49.5" customHeight="1" thickBot="1" x14ac:dyDescent="0.3">
      <c r="C126" s="197" t="s">
        <v>117</v>
      </c>
      <c r="D126" s="200">
        <v>0</v>
      </c>
      <c r="E126" s="201"/>
      <c r="F126" s="202"/>
      <c r="G126" s="209"/>
      <c r="J126" s="122" t="s">
        <v>20</v>
      </c>
      <c r="K126" s="183">
        <v>0</v>
      </c>
      <c r="L126" s="184"/>
      <c r="M126" s="210"/>
      <c r="N126" s="211"/>
      <c r="X126" s="4"/>
      <c r="Y126" s="4"/>
      <c r="Z126" s="4"/>
    </row>
    <row r="127" spans="1:26" s="3" customFormat="1" ht="49.5" customHeight="1" thickBot="1" x14ac:dyDescent="0.3">
      <c r="B127" s="27" t="s">
        <v>118</v>
      </c>
      <c r="C127" s="198"/>
      <c r="D127" s="203"/>
      <c r="E127" s="204"/>
      <c r="F127" s="205"/>
      <c r="G127" s="209"/>
      <c r="I127" s="123"/>
      <c r="J127" s="124" t="s">
        <v>119</v>
      </c>
      <c r="K127" s="212">
        <v>0</v>
      </c>
      <c r="L127" s="213"/>
      <c r="M127" s="210" t="s">
        <v>120</v>
      </c>
      <c r="N127" s="211"/>
      <c r="X127" s="4"/>
      <c r="Y127" s="4"/>
      <c r="Z127" s="4"/>
    </row>
    <row r="128" spans="1:26" s="3" customFormat="1" ht="30" customHeight="1" thickBot="1" x14ac:dyDescent="0.3">
      <c r="C128" s="198"/>
      <c r="D128" s="203"/>
      <c r="E128" s="204"/>
      <c r="F128" s="205"/>
      <c r="G128" s="209"/>
      <c r="J128" s="33"/>
      <c r="K128" s="214"/>
      <c r="L128" s="214"/>
      <c r="M128" s="33"/>
      <c r="N128" s="33"/>
      <c r="O128" s="125"/>
      <c r="X128" s="4"/>
      <c r="Y128" s="4"/>
      <c r="Z128" s="4"/>
    </row>
    <row r="129" spans="1:26" s="3" customFormat="1" ht="15.75" customHeight="1" thickBot="1" x14ac:dyDescent="0.3">
      <c r="C129" s="199"/>
      <c r="D129" s="206"/>
      <c r="E129" s="207"/>
      <c r="F129" s="208"/>
      <c r="G129" s="209"/>
      <c r="H129" s="126" t="s">
        <v>24</v>
      </c>
      <c r="I129" s="126" t="s">
        <v>24</v>
      </c>
      <c r="J129" s="127" t="s">
        <v>24</v>
      </c>
      <c r="K129" s="215"/>
      <c r="L129" s="216"/>
      <c r="X129" s="4"/>
      <c r="Y129" s="4"/>
      <c r="Z129" s="4"/>
    </row>
    <row r="130" spans="1:26" s="3" customFormat="1" ht="39" customHeight="1" thickBot="1" x14ac:dyDescent="0.3">
      <c r="G130" s="3" t="s">
        <v>18</v>
      </c>
      <c r="H130" s="163" t="s">
        <v>121</v>
      </c>
      <c r="I130" s="163" t="s">
        <v>122</v>
      </c>
      <c r="J130" s="163" t="s">
        <v>123</v>
      </c>
      <c r="K130" s="187" t="s">
        <v>124</v>
      </c>
      <c r="L130" s="188"/>
      <c r="M130" s="59"/>
      <c r="N130" s="59"/>
      <c r="X130" s="4"/>
      <c r="Y130" s="4"/>
      <c r="Z130" s="4"/>
    </row>
    <row r="131" spans="1:26" s="3" customFormat="1" ht="35.25" customHeight="1" thickBot="1" x14ac:dyDescent="0.3">
      <c r="C131" s="189" t="s">
        <v>125</v>
      </c>
      <c r="D131" s="190"/>
      <c r="G131" s="14"/>
      <c r="H131" s="128">
        <v>0</v>
      </c>
      <c r="I131" s="128">
        <v>0</v>
      </c>
      <c r="J131" s="128">
        <v>4</v>
      </c>
      <c r="K131" s="191" t="s">
        <v>126</v>
      </c>
      <c r="L131" s="192"/>
      <c r="M131" s="193"/>
      <c r="N131" s="194"/>
      <c r="O131" s="129"/>
      <c r="X131" s="4"/>
      <c r="Y131" s="4"/>
      <c r="Z131" s="4"/>
    </row>
    <row r="132" spans="1:26" s="3" customFormat="1" ht="42.75" customHeight="1" thickBot="1" x14ac:dyDescent="0.3">
      <c r="C132" s="130" t="s">
        <v>127</v>
      </c>
      <c r="D132" s="131">
        <v>0</v>
      </c>
      <c r="E132" s="132"/>
      <c r="G132" s="20"/>
      <c r="H132" s="128">
        <v>0</v>
      </c>
      <c r="I132" s="128">
        <v>0</v>
      </c>
      <c r="J132" s="128">
        <v>0</v>
      </c>
      <c r="K132" s="191" t="s">
        <v>126</v>
      </c>
      <c r="L132" s="192"/>
      <c r="M132" s="195"/>
      <c r="N132" s="196"/>
      <c r="X132" s="4"/>
      <c r="Y132" s="4"/>
      <c r="Z132" s="4"/>
    </row>
    <row r="133" spans="1:26" s="3" customFormat="1" ht="24" customHeight="1" thickBot="1" x14ac:dyDescent="0.3">
      <c r="C133" s="133" t="s">
        <v>128</v>
      </c>
      <c r="D133" s="50">
        <v>0</v>
      </c>
      <c r="J133" s="175" t="s">
        <v>129</v>
      </c>
      <c r="K133" s="176"/>
      <c r="L133" s="177"/>
      <c r="M133" s="116"/>
      <c r="N133" s="116"/>
      <c r="X133" s="4"/>
      <c r="Y133" s="4"/>
      <c r="Z133" s="4"/>
    </row>
    <row r="134" spans="1:26" s="3" customFormat="1" ht="15.75" thickBot="1" x14ac:dyDescent="0.3">
      <c r="J134" s="120" t="s">
        <v>105</v>
      </c>
      <c r="K134" s="178" t="s">
        <v>116</v>
      </c>
      <c r="L134" s="179"/>
      <c r="M134" s="121"/>
      <c r="N134" s="121"/>
      <c r="X134" s="4"/>
      <c r="Y134" s="4"/>
      <c r="Z134" s="4"/>
    </row>
    <row r="135" spans="1:26" s="3" customFormat="1" ht="15.75" thickBot="1" x14ac:dyDescent="0.3">
      <c r="B135" s="180" t="s">
        <v>130</v>
      </c>
      <c r="C135" s="181"/>
      <c r="D135" s="181"/>
      <c r="E135" s="182"/>
      <c r="J135" s="122" t="s">
        <v>131</v>
      </c>
      <c r="K135" s="183">
        <v>0</v>
      </c>
      <c r="L135" s="184"/>
      <c r="M135" s="185" t="s">
        <v>132</v>
      </c>
      <c r="N135" s="186"/>
      <c r="X135" s="4"/>
      <c r="Y135" s="4"/>
      <c r="Z135" s="4"/>
    </row>
    <row r="136" spans="1:26" s="3" customFormat="1" ht="15.75" thickBot="1" x14ac:dyDescent="0.3">
      <c r="B136" s="164" t="s">
        <v>133</v>
      </c>
      <c r="C136" s="165" t="s">
        <v>134</v>
      </c>
      <c r="D136" s="166" t="s">
        <v>103</v>
      </c>
      <c r="E136" s="167" t="s">
        <v>104</v>
      </c>
      <c r="J136" s="134"/>
      <c r="K136" s="183">
        <v>0</v>
      </c>
      <c r="L136" s="184"/>
      <c r="M136" s="33"/>
      <c r="N136" s="33"/>
      <c r="X136" s="4"/>
      <c r="Y136" s="4"/>
      <c r="Z136" s="4"/>
    </row>
    <row r="137" spans="1:26" s="3" customFormat="1" x14ac:dyDescent="0.25">
      <c r="B137" s="135" t="s">
        <v>135</v>
      </c>
      <c r="C137" s="135">
        <v>0</v>
      </c>
      <c r="D137" s="135">
        <v>0</v>
      </c>
      <c r="E137" s="135">
        <v>0</v>
      </c>
      <c r="G137" s="3" t="s">
        <v>99</v>
      </c>
      <c r="X137" s="4"/>
      <c r="Y137" s="4"/>
      <c r="Z137" s="4"/>
    </row>
    <row r="138" spans="1:26" s="3" customFormat="1" x14ac:dyDescent="0.25">
      <c r="X138" s="4"/>
      <c r="Y138" s="4"/>
      <c r="Z138" s="4"/>
    </row>
    <row r="139" spans="1:26" s="3" customFormat="1" x14ac:dyDescent="0.25">
      <c r="X139" s="4"/>
      <c r="Y139" s="4"/>
      <c r="Z139" s="4"/>
    </row>
    <row r="140" spans="1:26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mergeCells count="262">
    <mergeCell ref="J133:L133"/>
    <mergeCell ref="K134:L134"/>
    <mergeCell ref="B135:E135"/>
    <mergeCell ref="K135:L135"/>
    <mergeCell ref="M135:N135"/>
    <mergeCell ref="K136:L136"/>
    <mergeCell ref="K130:L130"/>
    <mergeCell ref="C131:D131"/>
    <mergeCell ref="K131:L131"/>
    <mergeCell ref="M131:N131"/>
    <mergeCell ref="K132:L132"/>
    <mergeCell ref="M132:N132"/>
    <mergeCell ref="C126:C129"/>
    <mergeCell ref="D126:F129"/>
    <mergeCell ref="G126:G129"/>
    <mergeCell ref="K126:L126"/>
    <mergeCell ref="M126:N126"/>
    <mergeCell ref="K127:L127"/>
    <mergeCell ref="M127:N127"/>
    <mergeCell ref="K128:L128"/>
    <mergeCell ref="K129:L129"/>
    <mergeCell ref="C121:D121"/>
    <mergeCell ref="G121:G122"/>
    <mergeCell ref="H121:J122"/>
    <mergeCell ref="C122:D122"/>
    <mergeCell ref="C124:F124"/>
    <mergeCell ref="G124:G125"/>
    <mergeCell ref="J124:L124"/>
    <mergeCell ref="D125:F125"/>
    <mergeCell ref="K125:L125"/>
    <mergeCell ref="H108:H109"/>
    <mergeCell ref="C111:H111"/>
    <mergeCell ref="K112:L112"/>
    <mergeCell ref="K113:L113"/>
    <mergeCell ref="C119:F119"/>
    <mergeCell ref="G119:G120"/>
    <mergeCell ref="H119:J120"/>
    <mergeCell ref="C120:D120"/>
    <mergeCell ref="B108:B109"/>
    <mergeCell ref="C108:C109"/>
    <mergeCell ref="D108:D109"/>
    <mergeCell ref="E108:E109"/>
    <mergeCell ref="F108:F109"/>
    <mergeCell ref="G108:G109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F102:F103"/>
    <mergeCell ref="G102:G103"/>
    <mergeCell ref="H102:H103"/>
    <mergeCell ref="K102:L102"/>
    <mergeCell ref="K103:L103"/>
    <mergeCell ref="B104:B105"/>
    <mergeCell ref="C104:C105"/>
    <mergeCell ref="D104:D105"/>
    <mergeCell ref="E104:E105"/>
    <mergeCell ref="F104:F105"/>
    <mergeCell ref="I96:I97"/>
    <mergeCell ref="J96:J97"/>
    <mergeCell ref="K96:K97"/>
    <mergeCell ref="C100:H100"/>
    <mergeCell ref="J101:K101"/>
    <mergeCell ref="A102:A103"/>
    <mergeCell ref="B102:B103"/>
    <mergeCell ref="C102:C103"/>
    <mergeCell ref="D102:D103"/>
    <mergeCell ref="E102:E103"/>
    <mergeCell ref="H94:H95"/>
    <mergeCell ref="I94:I95"/>
    <mergeCell ref="J94:J95"/>
    <mergeCell ref="K94:K95"/>
    <mergeCell ref="B96:B97"/>
    <mergeCell ref="D96:D97"/>
    <mergeCell ref="E96:E97"/>
    <mergeCell ref="F96:F97"/>
    <mergeCell ref="G96:G97"/>
    <mergeCell ref="H96:H97"/>
    <mergeCell ref="F92:F93"/>
    <mergeCell ref="H92:H93"/>
    <mergeCell ref="I92:I93"/>
    <mergeCell ref="J92:J93"/>
    <mergeCell ref="K92:K93"/>
    <mergeCell ref="B94:B95"/>
    <mergeCell ref="D94:D95"/>
    <mergeCell ref="E94:E95"/>
    <mergeCell ref="F94:F95"/>
    <mergeCell ref="G94:G95"/>
    <mergeCell ref="J86:J87"/>
    <mergeCell ref="K86:K87"/>
    <mergeCell ref="C89:K89"/>
    <mergeCell ref="B90:B93"/>
    <mergeCell ref="C90:C92"/>
    <mergeCell ref="D90:F90"/>
    <mergeCell ref="H90:K90"/>
    <mergeCell ref="G91:G93"/>
    <mergeCell ref="D92:D93"/>
    <mergeCell ref="E92:E93"/>
    <mergeCell ref="I84:I85"/>
    <mergeCell ref="J84:J85"/>
    <mergeCell ref="K84:K85"/>
    <mergeCell ref="B86:B87"/>
    <mergeCell ref="D86:D87"/>
    <mergeCell ref="E86:E87"/>
    <mergeCell ref="F86:F87"/>
    <mergeCell ref="G86:G87"/>
    <mergeCell ref="H86:H87"/>
    <mergeCell ref="I86:I87"/>
    <mergeCell ref="B84:B85"/>
    <mergeCell ref="D84:D85"/>
    <mergeCell ref="E84:E85"/>
    <mergeCell ref="F84:F85"/>
    <mergeCell ref="G84:G85"/>
    <mergeCell ref="H84:H85"/>
    <mergeCell ref="B82:B83"/>
    <mergeCell ref="D82:D83"/>
    <mergeCell ref="E82:E83"/>
    <mergeCell ref="F82:F83"/>
    <mergeCell ref="H82:H83"/>
    <mergeCell ref="I82:I83"/>
    <mergeCell ref="H75:J75"/>
    <mergeCell ref="D76:G77"/>
    <mergeCell ref="C79:K79"/>
    <mergeCell ref="C80:C81"/>
    <mergeCell ref="D80:F80"/>
    <mergeCell ref="H80:K80"/>
    <mergeCell ref="G81:G83"/>
    <mergeCell ref="J82:J83"/>
    <mergeCell ref="K82:K83"/>
    <mergeCell ref="A72:B72"/>
    <mergeCell ref="C72:G72"/>
    <mergeCell ref="H72:J73"/>
    <mergeCell ref="K72:W75"/>
    <mergeCell ref="D73:G73"/>
    <mergeCell ref="A74:B74"/>
    <mergeCell ref="D74:G74"/>
    <mergeCell ref="H74:J74"/>
    <mergeCell ref="A75:B75"/>
    <mergeCell ref="D75:G75"/>
    <mergeCell ref="A66:B67"/>
    <mergeCell ref="D66:D67"/>
    <mergeCell ref="E66:E67"/>
    <mergeCell ref="F66:F67"/>
    <mergeCell ref="G66:G69"/>
    <mergeCell ref="A68:B69"/>
    <mergeCell ref="D68:D69"/>
    <mergeCell ref="E68:E69"/>
    <mergeCell ref="F68:F69"/>
    <mergeCell ref="D61:D62"/>
    <mergeCell ref="E61:E62"/>
    <mergeCell ref="F61:F62"/>
    <mergeCell ref="C64:E64"/>
    <mergeCell ref="F64:F65"/>
    <mergeCell ref="C65:C69"/>
    <mergeCell ref="H52:H53"/>
    <mergeCell ref="J52:J53"/>
    <mergeCell ref="K52:K53"/>
    <mergeCell ref="L52:P53"/>
    <mergeCell ref="Q52:U53"/>
    <mergeCell ref="C54:C57"/>
    <mergeCell ref="D55:D57"/>
    <mergeCell ref="E55:E57"/>
    <mergeCell ref="F55:F57"/>
    <mergeCell ref="G55:H57"/>
    <mergeCell ref="H50:H51"/>
    <mergeCell ref="J50:J51"/>
    <mergeCell ref="K50:K51"/>
    <mergeCell ref="L50:P51"/>
    <mergeCell ref="Q50:U51"/>
    <mergeCell ref="A52:B53"/>
    <mergeCell ref="C52:C53"/>
    <mergeCell ref="D52:D53"/>
    <mergeCell ref="E52:E53"/>
    <mergeCell ref="F52:G53"/>
    <mergeCell ref="I48:I49"/>
    <mergeCell ref="J48:J49"/>
    <mergeCell ref="K48:K49"/>
    <mergeCell ref="L48:P49"/>
    <mergeCell ref="Q48:U49"/>
    <mergeCell ref="A50:B51"/>
    <mergeCell ref="C50:C51"/>
    <mergeCell ref="D50:D51"/>
    <mergeCell ref="E50:E51"/>
    <mergeCell ref="F50:G51"/>
    <mergeCell ref="A48:B49"/>
    <mergeCell ref="C48:C49"/>
    <mergeCell ref="D48:D49"/>
    <mergeCell ref="E48:E49"/>
    <mergeCell ref="F48:G49"/>
    <mergeCell ref="H48:H49"/>
    <mergeCell ref="A42:B43"/>
    <mergeCell ref="C44:G44"/>
    <mergeCell ref="C45:G45"/>
    <mergeCell ref="A47:B47"/>
    <mergeCell ref="F47:G47"/>
    <mergeCell ref="L47:P47"/>
    <mergeCell ref="S37:T37"/>
    <mergeCell ref="C38:D38"/>
    <mergeCell ref="E38:G38"/>
    <mergeCell ref="L38:O38"/>
    <mergeCell ref="C39:D39"/>
    <mergeCell ref="E39:G39"/>
    <mergeCell ref="L39:O41"/>
    <mergeCell ref="J31:O31"/>
    <mergeCell ref="J32:K32"/>
    <mergeCell ref="L32:O32"/>
    <mergeCell ref="J35:K37"/>
    <mergeCell ref="L35:O37"/>
    <mergeCell ref="P37:R37"/>
    <mergeCell ref="C28:D30"/>
    <mergeCell ref="E28:E30"/>
    <mergeCell ref="F28:G30"/>
    <mergeCell ref="C31:D37"/>
    <mergeCell ref="E31:E37"/>
    <mergeCell ref="F31:G37"/>
    <mergeCell ref="Q26:R26"/>
    <mergeCell ref="C27:D27"/>
    <mergeCell ref="F27:G27"/>
    <mergeCell ref="K27:L27"/>
    <mergeCell ref="M27:N27"/>
    <mergeCell ref="O27:P27"/>
    <mergeCell ref="Q27:R27"/>
    <mergeCell ref="C25:G25"/>
    <mergeCell ref="K25:L25"/>
    <mergeCell ref="M25:N25"/>
    <mergeCell ref="O25:P25"/>
    <mergeCell ref="Q25:R25"/>
    <mergeCell ref="C26:D26"/>
    <mergeCell ref="F26:G26"/>
    <mergeCell ref="K26:L26"/>
    <mergeCell ref="M26:N26"/>
    <mergeCell ref="O26:P26"/>
    <mergeCell ref="J22:R22"/>
    <mergeCell ref="K23:N23"/>
    <mergeCell ref="O23:P23"/>
    <mergeCell ref="Q23:R23"/>
    <mergeCell ref="J24:J25"/>
    <mergeCell ref="K24:L24"/>
    <mergeCell ref="M24:N24"/>
    <mergeCell ref="O24:P24"/>
    <mergeCell ref="Q24:R24"/>
    <mergeCell ref="T7:U7"/>
    <mergeCell ref="V7:W7"/>
    <mergeCell ref="X7:Y7"/>
    <mergeCell ref="P8:Q20"/>
    <mergeCell ref="R8:S20"/>
    <mergeCell ref="T8:U20"/>
    <mergeCell ref="V8:W20"/>
    <mergeCell ref="X8:Y20"/>
    <mergeCell ref="D2:O3"/>
    <mergeCell ref="D4:O4"/>
    <mergeCell ref="C7:C13"/>
    <mergeCell ref="L7:O20"/>
    <mergeCell ref="P7:Q7"/>
    <mergeCell ref="R7:S7"/>
    <mergeCell ref="K9:K20"/>
    <mergeCell ref="D15:F15"/>
  </mergeCells>
  <pageMargins left="0.75" right="0.75" top="1" bottom="1" header="0.5" footer="0.5"/>
  <pageSetup paperSize="9" scale="77" orientation="landscape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F28934-2BAF-467E-8A51-BDFBC31F4B4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07-01-26 </vt:lpstr>
      <vt:lpstr>07-02-26 </vt:lpstr>
      <vt:lpstr>07-03-26  </vt:lpstr>
      <vt:lpstr>07-04-26 </vt:lpstr>
      <vt:lpstr>07-06-26 </vt:lpstr>
      <vt:lpstr>07-07-26 </vt:lpstr>
      <vt:lpstr>07-08-26 </vt:lpstr>
      <vt:lpstr>07-09-26 </vt:lpstr>
      <vt:lpstr>07-10-26  </vt:lpstr>
      <vt:lpstr>07-11-26  </vt:lpstr>
      <vt:lpstr>07-13-26   </vt:lpstr>
      <vt:lpstr>'07-01-26 '!Print_Area</vt:lpstr>
      <vt:lpstr>'07-02-26 '!Print_Area</vt:lpstr>
      <vt:lpstr>'07-03-26  '!Print_Area</vt:lpstr>
      <vt:lpstr>'07-04-26 '!Print_Area</vt:lpstr>
      <vt:lpstr>'07-06-26 '!Print_Area</vt:lpstr>
      <vt:lpstr>'07-07-26 '!Print_Area</vt:lpstr>
      <vt:lpstr>'07-08-26 '!Print_Area</vt:lpstr>
      <vt:lpstr>'07-09-26 '!Print_Area</vt:lpstr>
      <vt:lpstr>'07-10-26  '!Print_Area</vt:lpstr>
      <vt:lpstr>'07-11-26  '!Print_Area</vt:lpstr>
      <vt:lpstr>'07-13-26 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Cris Contiñedo</dc:creator>
  <cp:lastModifiedBy>Mary Cris Contiñedo</cp:lastModifiedBy>
  <dcterms:created xsi:type="dcterms:W3CDTF">2026-07-02T00:07:39Z</dcterms:created>
  <dcterms:modified xsi:type="dcterms:W3CDTF">2026-07-14T01:36:04Z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{00F28934-2BAF-467E-8A51-BDFBC31F4B4F}</vt:lpwstr>
  </property>
</Properties>
</file>