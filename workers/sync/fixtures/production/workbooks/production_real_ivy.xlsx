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8800" windowHeight="12180" activeTab="6"/>
  </bookViews>
  <sheets>
    <sheet name="JANUARY 2026" sheetId="1" r:id="rId1"/>
    <sheet name="FEBRUARY 2026" sheetId="2" r:id="rId2"/>
    <sheet name="MARCH 2026" sheetId="4" r:id="rId3"/>
    <sheet name=" APRIL 2026" sheetId="5" r:id="rId4"/>
    <sheet name="MAY 2026" sheetId="6" r:id="rId5"/>
    <sheet name="JUNE 2026" sheetId="7" r:id="rId6"/>
    <sheet name="JULY 2026" sheetId="8" r:id="rId7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8" l="1"/>
  <c r="Q41" i="8" l="1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B41" i="8"/>
  <c r="R37" i="8"/>
  <c r="R36" i="8"/>
  <c r="R35" i="8"/>
  <c r="R34" i="8"/>
  <c r="R33" i="8"/>
  <c r="R32" i="8"/>
  <c r="R31" i="8"/>
  <c r="R30" i="8"/>
  <c r="R29" i="8"/>
  <c r="R28" i="8"/>
  <c r="R27" i="8"/>
  <c r="R26" i="8"/>
  <c r="R25" i="8"/>
  <c r="R24" i="8"/>
  <c r="R23" i="8"/>
  <c r="R22" i="8"/>
  <c r="R21" i="8"/>
  <c r="R20" i="8"/>
  <c r="R19" i="8"/>
  <c r="R18" i="8"/>
  <c r="R17" i="8"/>
  <c r="R16" i="8"/>
  <c r="R15" i="8"/>
  <c r="R14" i="8"/>
  <c r="R13" i="8"/>
  <c r="R12" i="8"/>
  <c r="R11" i="8"/>
  <c r="R10" i="8"/>
  <c r="R9" i="8"/>
  <c r="R8" i="8"/>
  <c r="R7" i="8"/>
  <c r="R6" i="8"/>
  <c r="R41" i="8" l="1"/>
  <c r="R31" i="7"/>
  <c r="R23" i="7" l="1"/>
  <c r="R24" i="7"/>
  <c r="R25" i="7"/>
  <c r="R26" i="7"/>
  <c r="R27" i="7"/>
  <c r="R28" i="7"/>
  <c r="R29" i="7"/>
  <c r="R30" i="7"/>
  <c r="R32" i="7"/>
  <c r="R22" i="7" l="1"/>
  <c r="R21" i="7" l="1"/>
  <c r="R20" i="7" l="1"/>
  <c r="R19" i="7" l="1"/>
  <c r="R17" i="7" l="1"/>
  <c r="R18" i="7"/>
  <c r="R15" i="7" l="1"/>
  <c r="R16" i="7"/>
  <c r="R14" i="7" l="1"/>
  <c r="R13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B41" i="7"/>
  <c r="R37" i="7"/>
  <c r="R36" i="7"/>
  <c r="R35" i="7"/>
  <c r="R34" i="7"/>
  <c r="R33" i="7"/>
  <c r="R12" i="7"/>
  <c r="R11" i="7"/>
  <c r="R10" i="7"/>
  <c r="R9" i="7"/>
  <c r="R8" i="7"/>
  <c r="R7" i="7"/>
  <c r="R6" i="7"/>
  <c r="R5" i="7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B41" i="6"/>
  <c r="R37" i="6"/>
  <c r="R36" i="6"/>
  <c r="R35" i="6"/>
  <c r="R34" i="6"/>
  <c r="R33" i="6"/>
  <c r="R32" i="6"/>
  <c r="R31" i="6"/>
  <c r="R30" i="6"/>
  <c r="R29" i="6"/>
  <c r="R28" i="6"/>
  <c r="R27" i="6"/>
  <c r="R26" i="6"/>
  <c r="R25" i="6"/>
  <c r="R24" i="6"/>
  <c r="R23" i="6"/>
  <c r="R22" i="6"/>
  <c r="R21" i="6"/>
  <c r="R20" i="6"/>
  <c r="R19" i="6"/>
  <c r="R18" i="6"/>
  <c r="R17" i="6"/>
  <c r="R16" i="6"/>
  <c r="R15" i="6"/>
  <c r="R14" i="6"/>
  <c r="R13" i="6"/>
  <c r="R12" i="6"/>
  <c r="R11" i="6"/>
  <c r="R10" i="6"/>
  <c r="R9" i="6"/>
  <c r="R8" i="6"/>
  <c r="R7" i="6"/>
  <c r="R6" i="6"/>
  <c r="R5" i="6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R37" i="5"/>
  <c r="R36" i="5"/>
  <c r="R35" i="5"/>
  <c r="R34" i="5"/>
  <c r="R33" i="5"/>
  <c r="R32" i="5"/>
  <c r="R31" i="5"/>
  <c r="R30" i="5"/>
  <c r="R29" i="5"/>
  <c r="R28" i="5"/>
  <c r="R27" i="5"/>
  <c r="R26" i="5"/>
  <c r="R25" i="5"/>
  <c r="R24" i="5"/>
  <c r="R23" i="5"/>
  <c r="R22" i="5"/>
  <c r="R21" i="5"/>
  <c r="R20" i="5"/>
  <c r="R19" i="5"/>
  <c r="R18" i="5"/>
  <c r="R17" i="5"/>
  <c r="R16" i="5"/>
  <c r="R15" i="5"/>
  <c r="R14" i="5"/>
  <c r="R13" i="5"/>
  <c r="R12" i="5"/>
  <c r="R11" i="5"/>
  <c r="R10" i="5"/>
  <c r="R9" i="5"/>
  <c r="R8" i="5"/>
  <c r="R7" i="5"/>
  <c r="R6" i="5"/>
  <c r="R5" i="5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7" i="4"/>
  <c r="R6" i="4"/>
  <c r="R5" i="4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</calcChain>
</file>

<file path=xl/sharedStrings.xml><?xml version="1.0" encoding="utf-8"?>
<sst xmlns="http://schemas.openxmlformats.org/spreadsheetml/2006/main" count="729" uniqueCount="39">
  <si>
    <t>R.S. #1 DUST</t>
  </si>
  <si>
    <t>FILTER</t>
  </si>
  <si>
    <t>RS 2&amp;3</t>
  </si>
  <si>
    <t xml:space="preserve">     R.S. 5</t>
  </si>
  <si>
    <t>UNCOOKED</t>
  </si>
  <si>
    <t xml:space="preserve">         STONES</t>
  </si>
  <si>
    <t xml:space="preserve">          GRIT</t>
  </si>
  <si>
    <t xml:space="preserve">TOTAL </t>
  </si>
  <si>
    <t xml:space="preserve">  DATE</t>
  </si>
  <si>
    <t>RS 1A</t>
  </si>
  <si>
    <t>RS 1B</t>
  </si>
  <si>
    <t>SHELL</t>
  </si>
  <si>
    <t>WASTE</t>
  </si>
  <si>
    <t>SACKS</t>
  </si>
  <si>
    <t>KLS.</t>
  </si>
  <si>
    <t>3 bags</t>
  </si>
  <si>
    <t>PCG/ZAMBAONGA/BUNAWAN</t>
  </si>
  <si>
    <t>2 bags</t>
  </si>
  <si>
    <t>ZAMBAONGA/BUNAWAN</t>
  </si>
  <si>
    <t>4 bags</t>
  </si>
  <si>
    <t>5 bags</t>
  </si>
  <si>
    <t>1 bag</t>
  </si>
  <si>
    <t>TROUBLE</t>
  </si>
  <si>
    <t>PCG/ZAMBAONGA</t>
  </si>
  <si>
    <t>ZAMBAONGA</t>
  </si>
  <si>
    <t xml:space="preserve">TROUBLE </t>
  </si>
  <si>
    <t>MORNING SHIFT</t>
  </si>
  <si>
    <t>PCG/BUNAWAN</t>
  </si>
  <si>
    <t>NIGHT SHIFT</t>
  </si>
  <si>
    <t>1 bags</t>
  </si>
  <si>
    <t xml:space="preserve"> 3 bags</t>
  </si>
  <si>
    <t>BUNAWAN/ZAMBAONGA</t>
  </si>
  <si>
    <t>8 bags</t>
  </si>
  <si>
    <t>EVENING SHIFT</t>
  </si>
  <si>
    <t>PCG</t>
  </si>
  <si>
    <t>PCG/BUNAWAN/ZAMBAONGA</t>
  </si>
  <si>
    <t>8 AM TO 8 PM</t>
  </si>
  <si>
    <t>10 bags</t>
  </si>
  <si>
    <t>5 PM TO 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</si>
</sst>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3">
    <font>
      <sz val="11"/>
      <color theme="1"/>
      <name val="Calibri"/>
      <charset val="134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color indexed="12"/>
      <name val="Arial"/>
      <family val="2"/>
    </font>
    <font>
      <sz val="10"/>
      <color indexed="60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indexed="12"/>
      <name val="Arial"/>
      <family val="2"/>
    </font>
    <font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2" fillId="0" borderId="0"/>
    <xf numFmtId="0" fontId="12" fillId="0" borderId="0">
      <alignment vertical="center"/>
    </xf>
  </cellStyleXfs>
  <cellXfs count="59">
    <xf numFmtId="0" fontId="0" fillId="0" borderId="0" xfId="0"/>
    <xf numFmtId="17" fontId="1" fillId="0" borderId="0" xfId="2" applyNumberFormat="1" applyFont="1"/>
    <xf numFmtId="0" fontId="2" fillId="0" borderId="0" xfId="2"/>
    <xf numFmtId="0" fontId="12" fillId="0" borderId="0" xfId="3" applyAlignment="1"/>
    <xf numFmtId="0" fontId="12" fillId="0" borderId="0" xfId="3">
      <alignment vertical="center"/>
    </xf>
    <xf numFmtId="0" fontId="2" fillId="0" borderId="1" xfId="2" applyBorder="1"/>
    <xf numFmtId="0" fontId="1" fillId="0" borderId="2" xfId="2" applyFont="1" applyBorder="1"/>
    <xf numFmtId="0" fontId="1" fillId="0" borderId="4" xfId="2" applyFont="1" applyBorder="1"/>
    <xf numFmtId="0" fontId="1" fillId="0" borderId="3" xfId="2" applyFont="1" applyBorder="1"/>
    <xf numFmtId="0" fontId="12" fillId="0" borderId="1" xfId="3" applyBorder="1" applyAlignment="1">
      <alignment horizontal="center"/>
    </xf>
    <xf numFmtId="0" fontId="1" fillId="0" borderId="5" xfId="2" applyFont="1" applyBorder="1" applyAlignment="1">
      <alignment horizontal="center"/>
    </xf>
    <xf numFmtId="0" fontId="1" fillId="0" borderId="6" xfId="2" applyFont="1" applyBorder="1" applyAlignment="1">
      <alignment horizontal="center"/>
    </xf>
    <xf numFmtId="0" fontId="1" fillId="0" borderId="8" xfId="2" applyFont="1" applyBorder="1" applyAlignment="1">
      <alignment horizontal="center"/>
    </xf>
    <xf numFmtId="0" fontId="1" fillId="0" borderId="6" xfId="2" applyFont="1" applyBorder="1"/>
    <xf numFmtId="0" fontId="1" fillId="0" borderId="8" xfId="2" applyFont="1" applyBorder="1"/>
    <xf numFmtId="0" fontId="1" fillId="0" borderId="7" xfId="2" applyFont="1" applyBorder="1"/>
    <xf numFmtId="0" fontId="12" fillId="0" borderId="5" xfId="3" applyBorder="1" applyAlignment="1">
      <alignment horizontal="center"/>
    </xf>
    <xf numFmtId="0" fontId="2" fillId="0" borderId="9" xfId="2" applyBorder="1"/>
    <xf numFmtId="0" fontId="4" fillId="0" borderId="9" xfId="2" applyFont="1" applyBorder="1" applyAlignment="1">
      <alignment horizontal="center"/>
    </xf>
    <xf numFmtId="0" fontId="2" fillId="0" borderId="9" xfId="2" applyBorder="1" applyAlignment="1">
      <alignment horizontal="center"/>
    </xf>
    <xf numFmtId="0" fontId="4" fillId="0" borderId="10" xfId="2" applyFont="1" applyBorder="1" applyAlignment="1">
      <alignment horizontal="center"/>
    </xf>
    <xf numFmtId="0" fontId="12" fillId="0" borderId="11" xfId="3" applyBorder="1" applyAlignment="1"/>
    <xf numFmtId="16" fontId="5" fillId="0" borderId="11" xfId="2" applyNumberFormat="1" applyFont="1" applyBorder="1" applyAlignment="1">
      <alignment horizontal="right"/>
    </xf>
    <xf numFmtId="164" fontId="4" fillId="0" borderId="11" xfId="1" applyNumberFormat="1" applyFont="1" applyFill="1" applyBorder="1" applyAlignment="1">
      <alignment horizontal="center"/>
    </xf>
    <xf numFmtId="164" fontId="2" fillId="0" borderId="11" xfId="1" applyNumberFormat="1" applyFill="1" applyBorder="1"/>
    <xf numFmtId="12" fontId="2" fillId="0" borderId="11" xfId="1" applyNumberFormat="1" applyFill="1" applyBorder="1"/>
    <xf numFmtId="164" fontId="0" fillId="0" borderId="11" xfId="0" applyNumberFormat="1" applyBorder="1" applyAlignment="1"/>
    <xf numFmtId="164" fontId="4" fillId="0" borderId="11" xfId="1" applyNumberFormat="1" applyFont="1" applyFill="1" applyBorder="1"/>
    <xf numFmtId="164" fontId="4" fillId="0" borderId="13" xfId="1" applyNumberFormat="1" applyFont="1" applyFill="1" applyBorder="1"/>
    <xf numFmtId="164" fontId="2" fillId="0" borderId="11" xfId="1" applyNumberFormat="1" applyFont="1" applyFill="1" applyBorder="1"/>
    <xf numFmtId="164" fontId="4" fillId="0" borderId="12" xfId="1" applyNumberFormat="1" applyFont="1" applyFill="1" applyBorder="1"/>
    <xf numFmtId="0" fontId="12" fillId="0" borderId="11" xfId="3" applyBorder="1">
      <alignment vertical="center"/>
    </xf>
    <xf numFmtId="164" fontId="7" fillId="0" borderId="11" xfId="1" applyNumberFormat="1" applyFont="1" applyFill="1" applyBorder="1"/>
    <xf numFmtId="164" fontId="12" fillId="0" borderId="11" xfId="3" applyNumberFormat="1" applyBorder="1" applyAlignment="1"/>
    <xf numFmtId="164" fontId="4" fillId="0" borderId="14" xfId="1" applyNumberFormat="1" applyFont="1" applyFill="1" applyBorder="1"/>
    <xf numFmtId="164" fontId="2" fillId="0" borderId="14" xfId="1" applyNumberFormat="1" applyFill="1" applyBorder="1"/>
    <xf numFmtId="164" fontId="4" fillId="0" borderId="15" xfId="1" applyNumberFormat="1" applyFont="1" applyFill="1" applyBorder="1"/>
    <xf numFmtId="0" fontId="5" fillId="0" borderId="5" xfId="2" applyFont="1" applyBorder="1"/>
    <xf numFmtId="164" fontId="8" fillId="0" borderId="5" xfId="1" applyNumberFormat="1" applyFont="1" applyBorder="1"/>
    <xf numFmtId="164" fontId="9" fillId="0" borderId="5" xfId="1" applyNumberFormat="1" applyFont="1" applyBorder="1"/>
    <xf numFmtId="0" fontId="0" fillId="0" borderId="0" xfId="3" applyFont="1">
      <alignment vertical="center"/>
    </xf>
    <xf numFmtId="0" fontId="11" fillId="0" borderId="0" xfId="0" applyFont="1"/>
    <xf numFmtId="0" fontId="1" fillId="0" borderId="6" xfId="2" applyFont="1" applyBorder="1" applyAlignment="1">
      <alignment horizontal="center"/>
    </xf>
    <xf numFmtId="0" fontId="1" fillId="0" borderId="8" xfId="2" applyFont="1" applyBorder="1" applyAlignment="1">
      <alignment horizontal="center"/>
    </xf>
    <xf numFmtId="0" fontId="1" fillId="0" borderId="2" xfId="2" applyFont="1" applyBorder="1" applyAlignment="1">
      <alignment horizontal="center"/>
    </xf>
    <xf numFmtId="0" fontId="1" fillId="0" borderId="3" xfId="2" applyFont="1" applyBorder="1" applyAlignment="1">
      <alignment horizontal="center"/>
    </xf>
    <xf numFmtId="0" fontId="1" fillId="0" borderId="4" xfId="2" applyFont="1" applyBorder="1" applyAlignment="1">
      <alignment horizontal="center"/>
    </xf>
    <xf numFmtId="0" fontId="3" fillId="0" borderId="2" xfId="2" applyFont="1" applyBorder="1" applyAlignment="1">
      <alignment horizontal="center"/>
    </xf>
    <xf numFmtId="0" fontId="3" fillId="0" borderId="4" xfId="2" applyFont="1" applyBorder="1" applyAlignment="1">
      <alignment horizontal="center"/>
    </xf>
    <xf numFmtId="0" fontId="1" fillId="0" borderId="6" xfId="2" applyFont="1" applyBorder="1" applyAlignment="1">
      <alignment horizontal="center"/>
    </xf>
    <xf numFmtId="0" fontId="1" fillId="0" borderId="7" xfId="2" applyFont="1" applyBorder="1" applyAlignment="1">
      <alignment horizontal="center"/>
    </xf>
    <xf numFmtId="0" fontId="1" fillId="0" borderId="8" xfId="2" applyFont="1" applyBorder="1" applyAlignment="1">
      <alignment horizontal="center"/>
    </xf>
    <xf numFmtId="0" fontId="3" fillId="0" borderId="6" xfId="2" applyFont="1" applyBorder="1" applyAlignment="1">
      <alignment horizontal="center"/>
    </xf>
    <xf numFmtId="0" fontId="3" fillId="0" borderId="8" xfId="2" applyFont="1" applyBorder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12" xfId="0" applyFont="1" applyBorder="1" applyAlignment="1">
      <alignment horizontal="center" vertical="center"/>
    </xf>
  </cellXfs>
  <cellStyles count="4">
    <cellStyle name="Comma 2" xfId="1"/>
    <cellStyle name="Normal" xfId="0" builtinId="0"/>
    <cellStyle name="Normal 2" xfId="2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2"/>
  <sheetViews>
    <sheetView workbookViewId="0">
      <selection activeCell="S23" sqref="S23:U23"/>
    </sheetView>
  </sheetViews>
  <sheetFormatPr defaultColWidth="9" defaultRowHeight="15"/>
  <sheetData>
    <row r="1" spans="1:21">
      <c r="A1" s="1">
        <v>46023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21">
      <c r="A2" s="5"/>
      <c r="B2" s="44" t="s">
        <v>0</v>
      </c>
      <c r="C2" s="45"/>
      <c r="D2" s="45"/>
      <c r="E2" s="46"/>
      <c r="F2" s="44" t="s">
        <v>1</v>
      </c>
      <c r="G2" s="46"/>
      <c r="H2" s="44" t="s">
        <v>2</v>
      </c>
      <c r="I2" s="46"/>
      <c r="J2" s="44" t="s">
        <v>3</v>
      </c>
      <c r="K2" s="46"/>
      <c r="L2" s="47" t="s">
        <v>4</v>
      </c>
      <c r="M2" s="48"/>
      <c r="N2" s="6" t="s">
        <v>5</v>
      </c>
      <c r="O2" s="7"/>
      <c r="P2" s="8" t="s">
        <v>6</v>
      </c>
      <c r="Q2" s="7"/>
      <c r="R2" s="9" t="s">
        <v>7</v>
      </c>
    </row>
    <row r="3" spans="1:21">
      <c r="A3" s="10" t="s">
        <v>8</v>
      </c>
      <c r="B3" s="49" t="s">
        <v>9</v>
      </c>
      <c r="C3" s="50"/>
      <c r="D3" s="50" t="s">
        <v>10</v>
      </c>
      <c r="E3" s="51"/>
      <c r="F3" s="11"/>
      <c r="G3" s="12"/>
      <c r="H3" s="11"/>
      <c r="I3" s="12"/>
      <c r="J3" s="11"/>
      <c r="K3" s="12"/>
      <c r="L3" s="52" t="s">
        <v>11</v>
      </c>
      <c r="M3" s="53"/>
      <c r="N3" s="13"/>
      <c r="O3" s="14"/>
      <c r="P3" s="15"/>
      <c r="Q3" s="14"/>
      <c r="R3" s="16" t="s">
        <v>12</v>
      </c>
    </row>
    <row r="4" spans="1:21">
      <c r="A4" s="17"/>
      <c r="B4" s="18" t="s">
        <v>13</v>
      </c>
      <c r="C4" s="19" t="s">
        <v>14</v>
      </c>
      <c r="D4" s="18" t="s">
        <v>13</v>
      </c>
      <c r="E4" s="19" t="s">
        <v>14</v>
      </c>
      <c r="F4" s="18" t="s">
        <v>13</v>
      </c>
      <c r="G4" s="19" t="s">
        <v>14</v>
      </c>
      <c r="H4" s="18" t="s">
        <v>13</v>
      </c>
      <c r="I4" s="17" t="s">
        <v>14</v>
      </c>
      <c r="J4" s="20" t="s">
        <v>13</v>
      </c>
      <c r="K4" s="19" t="s">
        <v>14</v>
      </c>
      <c r="L4" s="18" t="s">
        <v>13</v>
      </c>
      <c r="M4" s="19" t="s">
        <v>14</v>
      </c>
      <c r="N4" s="18" t="s">
        <v>13</v>
      </c>
      <c r="O4" s="19" t="s">
        <v>14</v>
      </c>
      <c r="P4" s="20" t="s">
        <v>13</v>
      </c>
      <c r="Q4" s="19" t="s">
        <v>14</v>
      </c>
      <c r="R4" s="21"/>
    </row>
    <row r="5" spans="1:21">
      <c r="A5" s="22">
        <v>46024</v>
      </c>
      <c r="B5" s="24" t="s">
        <v>15</v>
      </c>
      <c r="C5" s="24">
        <v>1426</v>
      </c>
      <c r="D5" s="24" t="s">
        <v>15</v>
      </c>
      <c r="E5" s="24">
        <v>1460</v>
      </c>
      <c r="F5" s="24">
        <v>3</v>
      </c>
      <c r="G5" s="24">
        <v>75</v>
      </c>
      <c r="H5" s="24">
        <v>9</v>
      </c>
      <c r="I5" s="24">
        <v>229</v>
      </c>
      <c r="J5" s="24">
        <v>4</v>
      </c>
      <c r="K5" s="24">
        <v>92</v>
      </c>
      <c r="L5" s="24">
        <v>1</v>
      </c>
      <c r="M5" s="24">
        <v>30</v>
      </c>
      <c r="N5" s="24">
        <v>1</v>
      </c>
      <c r="O5" s="25">
        <v>0.5</v>
      </c>
      <c r="P5" s="24">
        <v>2</v>
      </c>
      <c r="Q5" s="24">
        <v>60</v>
      </c>
      <c r="R5" s="26">
        <f t="shared" ref="R5" si="0">+C5+E5+G5+I5+K5+M5+O5+Q5</f>
        <v>3372.5</v>
      </c>
      <c r="S5" s="54" t="s">
        <v>16</v>
      </c>
      <c r="T5" s="55"/>
      <c r="U5" s="55"/>
    </row>
    <row r="6" spans="1:21">
      <c r="A6" s="22">
        <v>46025</v>
      </c>
      <c r="B6" s="23" t="s">
        <v>17</v>
      </c>
      <c r="C6" s="24">
        <v>1030</v>
      </c>
      <c r="D6" s="23" t="s">
        <v>17</v>
      </c>
      <c r="E6" s="24">
        <v>701</v>
      </c>
      <c r="F6" s="27">
        <v>3</v>
      </c>
      <c r="G6" s="24">
        <v>75</v>
      </c>
      <c r="H6" s="27">
        <v>16</v>
      </c>
      <c r="I6" s="24">
        <v>344</v>
      </c>
      <c r="J6" s="28">
        <v>6</v>
      </c>
      <c r="K6" s="24">
        <v>126</v>
      </c>
      <c r="L6" s="27">
        <v>4</v>
      </c>
      <c r="M6" s="24">
        <v>106</v>
      </c>
      <c r="N6" s="27">
        <v>1</v>
      </c>
      <c r="O6" s="25">
        <v>0.5</v>
      </c>
      <c r="P6" s="28">
        <v>2</v>
      </c>
      <c r="Q6" s="24">
        <v>76</v>
      </c>
      <c r="R6" s="26">
        <f t="shared" ref="R6:R31" si="1">+C6+E6+G6+I6+K6+M6+O6+Q6</f>
        <v>2458.5</v>
      </c>
      <c r="S6" s="56" t="s">
        <v>18</v>
      </c>
      <c r="T6" s="57"/>
      <c r="U6" s="57"/>
    </row>
    <row r="7" spans="1:21">
      <c r="A7" s="22">
        <v>46027</v>
      </c>
      <c r="B7" s="23" t="s">
        <v>17</v>
      </c>
      <c r="C7" s="24">
        <v>1030</v>
      </c>
      <c r="D7" s="23" t="s">
        <v>15</v>
      </c>
      <c r="E7" s="24">
        <v>1549</v>
      </c>
      <c r="F7" s="27">
        <v>4</v>
      </c>
      <c r="G7" s="24">
        <v>100</v>
      </c>
      <c r="H7" s="27">
        <v>18</v>
      </c>
      <c r="I7" s="24">
        <v>416</v>
      </c>
      <c r="J7" s="28">
        <v>6</v>
      </c>
      <c r="K7" s="24">
        <v>121</v>
      </c>
      <c r="L7" s="27">
        <v>2</v>
      </c>
      <c r="M7" s="24">
        <v>50</v>
      </c>
      <c r="N7" s="27">
        <v>1</v>
      </c>
      <c r="O7" s="25">
        <v>0.5</v>
      </c>
      <c r="P7" s="28">
        <v>2</v>
      </c>
      <c r="Q7" s="24">
        <v>60</v>
      </c>
      <c r="R7" s="26">
        <f t="shared" si="1"/>
        <v>3326.5</v>
      </c>
      <c r="S7" s="54" t="s">
        <v>16</v>
      </c>
      <c r="T7" s="55"/>
      <c r="U7" s="55"/>
    </row>
    <row r="8" spans="1:21">
      <c r="A8" s="22">
        <v>46028</v>
      </c>
      <c r="B8" s="23" t="s">
        <v>19</v>
      </c>
      <c r="C8" s="24">
        <v>1725</v>
      </c>
      <c r="D8" s="23" t="s">
        <v>15</v>
      </c>
      <c r="E8" s="24">
        <v>1522</v>
      </c>
      <c r="F8" s="27">
        <v>5</v>
      </c>
      <c r="G8" s="24">
        <v>125</v>
      </c>
      <c r="H8" s="27">
        <v>14</v>
      </c>
      <c r="I8" s="24">
        <v>351</v>
      </c>
      <c r="J8" s="28">
        <v>8</v>
      </c>
      <c r="K8" s="24">
        <v>183</v>
      </c>
      <c r="L8" s="27">
        <v>3</v>
      </c>
      <c r="M8" s="24">
        <v>75</v>
      </c>
      <c r="N8" s="27">
        <v>1</v>
      </c>
      <c r="O8" s="25">
        <v>0.5</v>
      </c>
      <c r="P8" s="28">
        <v>2</v>
      </c>
      <c r="Q8" s="24">
        <v>65</v>
      </c>
      <c r="R8" s="26">
        <f t="shared" si="1"/>
        <v>4046.5</v>
      </c>
      <c r="S8" s="54" t="s">
        <v>16</v>
      </c>
      <c r="T8" s="55"/>
      <c r="U8" s="55"/>
    </row>
    <row r="9" spans="1:21">
      <c r="A9" s="22">
        <v>46029</v>
      </c>
      <c r="B9" s="23" t="s">
        <v>19</v>
      </c>
      <c r="C9" s="24">
        <v>1992</v>
      </c>
      <c r="D9" s="23" t="s">
        <v>19</v>
      </c>
      <c r="E9" s="24">
        <v>2152</v>
      </c>
      <c r="F9" s="27">
        <v>5</v>
      </c>
      <c r="G9" s="29">
        <v>100</v>
      </c>
      <c r="H9" s="27">
        <v>12</v>
      </c>
      <c r="I9" s="24">
        <v>298</v>
      </c>
      <c r="J9" s="28">
        <v>7</v>
      </c>
      <c r="K9" s="24">
        <v>180</v>
      </c>
      <c r="L9" s="27">
        <v>3</v>
      </c>
      <c r="M9" s="24">
        <v>75</v>
      </c>
      <c r="N9" s="27">
        <v>1</v>
      </c>
      <c r="O9" s="25">
        <v>0.5</v>
      </c>
      <c r="P9" s="28">
        <v>2</v>
      </c>
      <c r="Q9" s="24">
        <v>60</v>
      </c>
      <c r="R9" s="26">
        <f t="shared" si="1"/>
        <v>4857.5</v>
      </c>
      <c r="S9" s="54" t="s">
        <v>16</v>
      </c>
      <c r="T9" s="55"/>
      <c r="U9" s="55"/>
    </row>
    <row r="10" spans="1:21">
      <c r="A10" s="22">
        <v>46030</v>
      </c>
      <c r="B10" s="23" t="s">
        <v>19</v>
      </c>
      <c r="C10" s="24">
        <v>2109</v>
      </c>
      <c r="D10" s="23" t="s">
        <v>19</v>
      </c>
      <c r="E10" s="24">
        <v>2052</v>
      </c>
      <c r="F10" s="27">
        <v>7</v>
      </c>
      <c r="G10" s="24">
        <v>150</v>
      </c>
      <c r="H10" s="27">
        <v>15</v>
      </c>
      <c r="I10" s="24">
        <v>388</v>
      </c>
      <c r="J10" s="28">
        <v>9</v>
      </c>
      <c r="K10" s="24">
        <v>197</v>
      </c>
      <c r="L10" s="27">
        <v>4</v>
      </c>
      <c r="M10" s="24">
        <v>100</v>
      </c>
      <c r="N10" s="27">
        <v>1</v>
      </c>
      <c r="O10" s="25">
        <v>0.5</v>
      </c>
      <c r="P10" s="28">
        <v>1</v>
      </c>
      <c r="Q10" s="24">
        <v>30</v>
      </c>
      <c r="R10" s="26">
        <f t="shared" si="1"/>
        <v>5026.5</v>
      </c>
      <c r="S10" s="54" t="s">
        <v>16</v>
      </c>
      <c r="T10" s="55"/>
      <c r="U10" s="55"/>
    </row>
    <row r="11" spans="1:21">
      <c r="A11" s="22">
        <v>46031</v>
      </c>
      <c r="B11" s="23" t="s">
        <v>15</v>
      </c>
      <c r="C11" s="24">
        <v>1638</v>
      </c>
      <c r="D11" s="23" t="s">
        <v>19</v>
      </c>
      <c r="E11" s="24">
        <v>1668</v>
      </c>
      <c r="F11" s="27">
        <v>5</v>
      </c>
      <c r="G11" s="24">
        <v>125</v>
      </c>
      <c r="H11" s="27">
        <v>11</v>
      </c>
      <c r="I11" s="24">
        <v>283</v>
      </c>
      <c r="J11" s="28">
        <v>8</v>
      </c>
      <c r="K11" s="24">
        <v>188</v>
      </c>
      <c r="L11" s="27">
        <v>2</v>
      </c>
      <c r="M11" s="24">
        <v>50</v>
      </c>
      <c r="N11" s="27">
        <v>1</v>
      </c>
      <c r="O11" s="25">
        <v>0.5</v>
      </c>
      <c r="P11" s="28">
        <v>1</v>
      </c>
      <c r="Q11" s="24">
        <v>40</v>
      </c>
      <c r="R11" s="26">
        <f t="shared" si="1"/>
        <v>3992.5</v>
      </c>
      <c r="S11" s="54" t="s">
        <v>16</v>
      </c>
      <c r="T11" s="55"/>
      <c r="U11" s="55"/>
    </row>
    <row r="12" spans="1:21">
      <c r="A12" s="22">
        <v>46032</v>
      </c>
      <c r="B12" s="23" t="s">
        <v>19</v>
      </c>
      <c r="C12" s="24">
        <v>1827</v>
      </c>
      <c r="D12" s="23" t="s">
        <v>15</v>
      </c>
      <c r="E12" s="24">
        <v>1579</v>
      </c>
      <c r="F12" s="30">
        <v>3</v>
      </c>
      <c r="G12" s="31">
        <v>75</v>
      </c>
      <c r="H12" s="28">
        <v>14</v>
      </c>
      <c r="I12" s="24">
        <v>357</v>
      </c>
      <c r="J12" s="27">
        <v>8</v>
      </c>
      <c r="K12" s="24">
        <v>180</v>
      </c>
      <c r="L12" s="27">
        <v>4</v>
      </c>
      <c r="M12" s="24">
        <v>100</v>
      </c>
      <c r="N12" s="27">
        <v>1</v>
      </c>
      <c r="O12" s="25">
        <v>0.5</v>
      </c>
      <c r="P12" s="28">
        <v>1</v>
      </c>
      <c r="Q12" s="24">
        <v>30</v>
      </c>
      <c r="R12" s="26">
        <f t="shared" si="1"/>
        <v>4148.5</v>
      </c>
      <c r="S12" s="54" t="s">
        <v>16</v>
      </c>
      <c r="T12" s="55"/>
      <c r="U12" s="55"/>
    </row>
    <row r="13" spans="1:21">
      <c r="A13" s="22">
        <v>46034</v>
      </c>
      <c r="B13" s="23" t="s">
        <v>19</v>
      </c>
      <c r="C13" s="24">
        <v>1928</v>
      </c>
      <c r="D13" s="23" t="s">
        <v>15</v>
      </c>
      <c r="E13" s="24">
        <v>1571</v>
      </c>
      <c r="F13" s="27">
        <v>4</v>
      </c>
      <c r="G13" s="24">
        <v>100</v>
      </c>
      <c r="H13" s="27">
        <v>16</v>
      </c>
      <c r="I13" s="29">
        <v>338</v>
      </c>
      <c r="J13" s="27">
        <v>10</v>
      </c>
      <c r="K13" s="29">
        <v>207</v>
      </c>
      <c r="L13" s="27">
        <v>3</v>
      </c>
      <c r="M13" s="29">
        <v>100</v>
      </c>
      <c r="N13" s="27">
        <v>1</v>
      </c>
      <c r="O13" s="25">
        <v>0.5</v>
      </c>
      <c r="P13" s="27">
        <v>1</v>
      </c>
      <c r="Q13" s="29">
        <v>30</v>
      </c>
      <c r="R13" s="26">
        <f t="shared" si="1"/>
        <v>4274.5</v>
      </c>
      <c r="S13" s="54" t="s">
        <v>16</v>
      </c>
      <c r="T13" s="55"/>
      <c r="U13" s="55"/>
    </row>
    <row r="14" spans="1:21">
      <c r="A14" s="22">
        <v>46035</v>
      </c>
      <c r="B14" s="23" t="s">
        <v>19</v>
      </c>
      <c r="C14" s="24">
        <v>1816</v>
      </c>
      <c r="D14" s="23" t="s">
        <v>15</v>
      </c>
      <c r="E14" s="24">
        <v>1605</v>
      </c>
      <c r="F14" s="27">
        <v>6</v>
      </c>
      <c r="G14" s="24">
        <v>150</v>
      </c>
      <c r="H14" s="27">
        <v>18</v>
      </c>
      <c r="I14" s="24">
        <v>476</v>
      </c>
      <c r="J14" s="27">
        <v>11</v>
      </c>
      <c r="K14" s="32">
        <v>204</v>
      </c>
      <c r="L14" s="27">
        <v>4</v>
      </c>
      <c r="M14" s="24">
        <v>125</v>
      </c>
      <c r="N14" s="27">
        <v>1</v>
      </c>
      <c r="O14" s="25">
        <v>0.5</v>
      </c>
      <c r="P14" s="28">
        <v>2</v>
      </c>
      <c r="Q14" s="24">
        <v>60</v>
      </c>
      <c r="R14" s="26">
        <f t="shared" si="1"/>
        <v>4436.5</v>
      </c>
      <c r="S14" s="54" t="s">
        <v>16</v>
      </c>
      <c r="T14" s="55"/>
      <c r="U14" s="55"/>
    </row>
    <row r="15" spans="1:21">
      <c r="A15" s="22">
        <v>46036</v>
      </c>
      <c r="B15" s="23" t="s">
        <v>19</v>
      </c>
      <c r="C15" s="24">
        <v>2070</v>
      </c>
      <c r="D15" s="23" t="s">
        <v>15</v>
      </c>
      <c r="E15" s="24">
        <v>1607</v>
      </c>
      <c r="F15" s="27">
        <v>7</v>
      </c>
      <c r="G15" s="24">
        <v>175</v>
      </c>
      <c r="H15" s="27">
        <v>12</v>
      </c>
      <c r="I15" s="24">
        <v>289</v>
      </c>
      <c r="J15" s="28">
        <v>11</v>
      </c>
      <c r="K15" s="24">
        <v>240</v>
      </c>
      <c r="L15" s="27">
        <v>3</v>
      </c>
      <c r="M15" s="24">
        <v>75</v>
      </c>
      <c r="N15" s="27">
        <v>1</v>
      </c>
      <c r="O15" s="25">
        <v>0.5</v>
      </c>
      <c r="P15" s="28">
        <v>2</v>
      </c>
      <c r="Q15" s="24">
        <v>75</v>
      </c>
      <c r="R15" s="26">
        <f t="shared" si="1"/>
        <v>4531.5</v>
      </c>
      <c r="S15" s="54" t="s">
        <v>16</v>
      </c>
      <c r="T15" s="55"/>
      <c r="U15" s="55"/>
    </row>
    <row r="16" spans="1:21">
      <c r="A16" s="22">
        <v>46037</v>
      </c>
      <c r="B16" s="23" t="s">
        <v>19</v>
      </c>
      <c r="C16" s="24">
        <v>1915</v>
      </c>
      <c r="D16" s="23" t="s">
        <v>15</v>
      </c>
      <c r="E16" s="24">
        <v>1575</v>
      </c>
      <c r="F16" s="27">
        <v>6</v>
      </c>
      <c r="G16" s="24">
        <v>150</v>
      </c>
      <c r="H16" s="27">
        <v>15</v>
      </c>
      <c r="I16" s="24">
        <v>399</v>
      </c>
      <c r="J16" s="28">
        <v>9</v>
      </c>
      <c r="K16" s="24">
        <v>200</v>
      </c>
      <c r="L16" s="27">
        <v>2</v>
      </c>
      <c r="M16" s="24">
        <v>50</v>
      </c>
      <c r="N16" s="27">
        <v>1</v>
      </c>
      <c r="O16" s="25">
        <v>0.5</v>
      </c>
      <c r="P16" s="28">
        <v>3</v>
      </c>
      <c r="Q16" s="24">
        <v>100</v>
      </c>
      <c r="R16" s="26">
        <f t="shared" si="1"/>
        <v>4389.5</v>
      </c>
      <c r="S16" s="54" t="s">
        <v>16</v>
      </c>
      <c r="T16" s="55"/>
      <c r="U16" s="55"/>
    </row>
    <row r="17" spans="1:22">
      <c r="A17" s="22">
        <v>46038</v>
      </c>
      <c r="B17" s="23" t="s">
        <v>15</v>
      </c>
      <c r="C17" s="24">
        <v>1568</v>
      </c>
      <c r="D17" s="23" t="s">
        <v>15</v>
      </c>
      <c r="E17" s="24">
        <v>1521</v>
      </c>
      <c r="F17" s="27">
        <v>6</v>
      </c>
      <c r="G17" s="24">
        <v>140</v>
      </c>
      <c r="H17" s="27">
        <v>16</v>
      </c>
      <c r="I17" s="24">
        <v>427</v>
      </c>
      <c r="J17" s="28">
        <v>7</v>
      </c>
      <c r="K17" s="24">
        <v>158</v>
      </c>
      <c r="L17" s="27">
        <v>3</v>
      </c>
      <c r="M17" s="24">
        <v>75</v>
      </c>
      <c r="N17" s="27">
        <v>1</v>
      </c>
      <c r="O17" s="25">
        <v>0.5</v>
      </c>
      <c r="P17" s="28">
        <v>2</v>
      </c>
      <c r="Q17" s="24">
        <v>60</v>
      </c>
      <c r="R17" s="26">
        <f t="shared" si="1"/>
        <v>3949.5</v>
      </c>
      <c r="S17" s="54" t="s">
        <v>16</v>
      </c>
      <c r="T17" s="55"/>
      <c r="U17" s="55"/>
    </row>
    <row r="18" spans="1:22">
      <c r="A18" s="22">
        <v>46039</v>
      </c>
      <c r="B18" s="23" t="s">
        <v>15</v>
      </c>
      <c r="C18" s="24">
        <v>1422</v>
      </c>
      <c r="D18" s="23" t="s">
        <v>15</v>
      </c>
      <c r="E18" s="24">
        <v>1477</v>
      </c>
      <c r="F18" s="27">
        <v>4</v>
      </c>
      <c r="G18" s="24">
        <v>100</v>
      </c>
      <c r="H18" s="27">
        <v>11</v>
      </c>
      <c r="I18" s="24">
        <v>286</v>
      </c>
      <c r="J18" s="28">
        <v>5</v>
      </c>
      <c r="K18" s="24">
        <v>122</v>
      </c>
      <c r="L18" s="27">
        <v>3</v>
      </c>
      <c r="M18" s="24">
        <v>80</v>
      </c>
      <c r="N18" s="27">
        <v>1</v>
      </c>
      <c r="O18" s="25">
        <v>0.5</v>
      </c>
      <c r="P18" s="28">
        <v>1</v>
      </c>
      <c r="Q18" s="24">
        <v>30</v>
      </c>
      <c r="R18" s="26">
        <f t="shared" si="1"/>
        <v>3517.5</v>
      </c>
      <c r="S18" s="54" t="s">
        <v>16</v>
      </c>
      <c r="T18" s="55"/>
      <c r="U18" s="55"/>
    </row>
    <row r="19" spans="1:22">
      <c r="A19" s="22">
        <v>46041</v>
      </c>
      <c r="B19" s="23" t="s">
        <v>19</v>
      </c>
      <c r="C19" s="24">
        <v>2197</v>
      </c>
      <c r="D19" s="23" t="s">
        <v>15</v>
      </c>
      <c r="E19" s="24">
        <v>1693</v>
      </c>
      <c r="F19" s="27">
        <v>6</v>
      </c>
      <c r="G19" s="24">
        <v>120</v>
      </c>
      <c r="H19" s="27">
        <v>12</v>
      </c>
      <c r="I19" s="24">
        <v>300</v>
      </c>
      <c r="J19" s="28">
        <v>5</v>
      </c>
      <c r="K19" s="24">
        <v>180</v>
      </c>
      <c r="L19" s="27">
        <v>2</v>
      </c>
      <c r="M19" s="24">
        <v>50</v>
      </c>
      <c r="N19" s="27">
        <v>1</v>
      </c>
      <c r="O19" s="25">
        <v>0.5</v>
      </c>
      <c r="P19" s="28">
        <v>1</v>
      </c>
      <c r="Q19" s="24">
        <v>30</v>
      </c>
      <c r="R19" s="33">
        <f t="shared" si="1"/>
        <v>4570.5</v>
      </c>
      <c r="S19" s="54" t="s">
        <v>16</v>
      </c>
      <c r="T19" s="55"/>
      <c r="U19" s="55"/>
    </row>
    <row r="20" spans="1:22">
      <c r="A20" s="22">
        <v>46042</v>
      </c>
      <c r="B20" s="23" t="s">
        <v>19</v>
      </c>
      <c r="C20" s="24">
        <v>2013</v>
      </c>
      <c r="D20" s="23" t="s">
        <v>15</v>
      </c>
      <c r="E20" s="24">
        <v>1574</v>
      </c>
      <c r="F20" s="27">
        <v>6</v>
      </c>
      <c r="G20" s="24">
        <v>130</v>
      </c>
      <c r="H20" s="27">
        <v>11</v>
      </c>
      <c r="I20" s="24">
        <v>292</v>
      </c>
      <c r="J20" s="28">
        <v>8</v>
      </c>
      <c r="K20" s="24">
        <v>158</v>
      </c>
      <c r="L20" s="27">
        <v>2</v>
      </c>
      <c r="M20" s="24">
        <v>75</v>
      </c>
      <c r="N20" s="27">
        <v>1</v>
      </c>
      <c r="O20" s="25">
        <v>0.5</v>
      </c>
      <c r="P20" s="28">
        <v>1</v>
      </c>
      <c r="Q20" s="24">
        <v>35</v>
      </c>
      <c r="R20" s="33">
        <f t="shared" si="1"/>
        <v>4277.5</v>
      </c>
      <c r="S20" s="54" t="s">
        <v>16</v>
      </c>
      <c r="T20" s="55"/>
      <c r="U20" s="55"/>
    </row>
    <row r="21" spans="1:22">
      <c r="A21" s="22">
        <v>46043</v>
      </c>
      <c r="B21" s="23" t="s">
        <v>15</v>
      </c>
      <c r="C21" s="24">
        <v>1523</v>
      </c>
      <c r="D21" s="23" t="s">
        <v>15</v>
      </c>
      <c r="E21" s="24">
        <v>1712</v>
      </c>
      <c r="F21" s="27">
        <v>5</v>
      </c>
      <c r="G21" s="24">
        <v>100</v>
      </c>
      <c r="H21" s="27">
        <v>10</v>
      </c>
      <c r="I21" s="24">
        <v>244</v>
      </c>
      <c r="J21" s="28">
        <v>5</v>
      </c>
      <c r="K21" s="24">
        <v>110</v>
      </c>
      <c r="L21" s="27">
        <v>2</v>
      </c>
      <c r="M21" s="24">
        <v>50</v>
      </c>
      <c r="N21" s="27">
        <v>1</v>
      </c>
      <c r="O21" s="25">
        <v>0.5</v>
      </c>
      <c r="P21" s="28">
        <v>1</v>
      </c>
      <c r="Q21" s="24">
        <v>30</v>
      </c>
      <c r="R21" s="33">
        <f t="shared" si="1"/>
        <v>3769.5</v>
      </c>
      <c r="S21" s="54" t="s">
        <v>16</v>
      </c>
      <c r="T21" s="55"/>
      <c r="U21" s="55"/>
    </row>
    <row r="22" spans="1:22">
      <c r="A22" s="22">
        <v>46044</v>
      </c>
      <c r="B22" s="23" t="s">
        <v>19</v>
      </c>
      <c r="C22" s="24">
        <v>1897</v>
      </c>
      <c r="D22" s="23" t="s">
        <v>15</v>
      </c>
      <c r="E22" s="24">
        <v>1448</v>
      </c>
      <c r="F22" s="27">
        <v>6</v>
      </c>
      <c r="G22" s="24">
        <v>120</v>
      </c>
      <c r="H22" s="27">
        <v>12</v>
      </c>
      <c r="I22" s="24">
        <v>297</v>
      </c>
      <c r="J22" s="28">
        <v>7</v>
      </c>
      <c r="K22" s="24">
        <v>138</v>
      </c>
      <c r="L22" s="27">
        <v>4</v>
      </c>
      <c r="M22" s="24">
        <v>100</v>
      </c>
      <c r="N22" s="27">
        <v>1</v>
      </c>
      <c r="O22" s="25">
        <v>0.5</v>
      </c>
      <c r="P22" s="28">
        <v>1</v>
      </c>
      <c r="Q22" s="24">
        <v>40</v>
      </c>
      <c r="R22" s="33">
        <f t="shared" si="1"/>
        <v>4040.5</v>
      </c>
      <c r="S22" s="54" t="s">
        <v>16</v>
      </c>
      <c r="T22" s="55"/>
      <c r="U22" s="55"/>
    </row>
    <row r="23" spans="1:22">
      <c r="A23" s="22">
        <v>46045</v>
      </c>
      <c r="B23" s="23" t="s">
        <v>19</v>
      </c>
      <c r="C23" s="24">
        <v>2271</v>
      </c>
      <c r="D23" s="23" t="s">
        <v>15</v>
      </c>
      <c r="E23" s="24">
        <v>1721</v>
      </c>
      <c r="F23" s="27">
        <v>5</v>
      </c>
      <c r="G23" s="24">
        <v>100</v>
      </c>
      <c r="H23" s="27">
        <v>14</v>
      </c>
      <c r="I23" s="24">
        <v>342</v>
      </c>
      <c r="J23" s="28">
        <v>7</v>
      </c>
      <c r="K23" s="24">
        <v>137</v>
      </c>
      <c r="L23" s="27">
        <v>5</v>
      </c>
      <c r="M23" s="24">
        <v>125</v>
      </c>
      <c r="N23" s="27">
        <v>1</v>
      </c>
      <c r="O23" s="25">
        <v>0.5</v>
      </c>
      <c r="P23" s="28">
        <v>1</v>
      </c>
      <c r="Q23" s="24">
        <v>30</v>
      </c>
      <c r="R23" s="33">
        <f t="shared" si="1"/>
        <v>4726.5</v>
      </c>
      <c r="S23" s="54" t="s">
        <v>16</v>
      </c>
      <c r="T23" s="55"/>
      <c r="U23" s="55"/>
    </row>
    <row r="24" spans="1:22">
      <c r="A24" s="22">
        <v>46046</v>
      </c>
      <c r="B24" s="23" t="s">
        <v>20</v>
      </c>
      <c r="C24" s="24">
        <v>2585</v>
      </c>
      <c r="D24" s="23" t="s">
        <v>20</v>
      </c>
      <c r="E24" s="24">
        <v>2577</v>
      </c>
      <c r="F24" s="27">
        <v>4</v>
      </c>
      <c r="G24" s="24">
        <v>120</v>
      </c>
      <c r="H24" s="27">
        <v>12</v>
      </c>
      <c r="I24" s="24">
        <v>281</v>
      </c>
      <c r="J24" s="28">
        <v>4</v>
      </c>
      <c r="K24" s="24">
        <v>73</v>
      </c>
      <c r="L24" s="27">
        <v>4</v>
      </c>
      <c r="M24" s="24">
        <v>100</v>
      </c>
      <c r="N24" s="27">
        <v>1</v>
      </c>
      <c r="O24" s="25">
        <v>0.5</v>
      </c>
      <c r="P24" s="28">
        <v>1</v>
      </c>
      <c r="Q24" s="24">
        <v>40</v>
      </c>
      <c r="R24" s="33">
        <f t="shared" si="1"/>
        <v>5776.5</v>
      </c>
      <c r="S24" s="54" t="s">
        <v>16</v>
      </c>
      <c r="T24" s="55"/>
      <c r="U24" s="55"/>
    </row>
    <row r="25" spans="1:22">
      <c r="A25" s="22">
        <v>46048</v>
      </c>
      <c r="B25" s="23" t="s">
        <v>15</v>
      </c>
      <c r="C25" s="24">
        <v>1501</v>
      </c>
      <c r="D25" s="23" t="s">
        <v>17</v>
      </c>
      <c r="E25" s="24">
        <v>1162</v>
      </c>
      <c r="F25" s="27">
        <v>4</v>
      </c>
      <c r="G25" s="24">
        <v>100</v>
      </c>
      <c r="H25" s="27">
        <v>9</v>
      </c>
      <c r="I25" s="24">
        <v>235</v>
      </c>
      <c r="J25" s="28">
        <v>2</v>
      </c>
      <c r="K25" s="24">
        <v>41</v>
      </c>
      <c r="L25" s="27">
        <v>4</v>
      </c>
      <c r="M25" s="24">
        <v>100</v>
      </c>
      <c r="N25" s="27">
        <v>1</v>
      </c>
      <c r="O25" s="25">
        <v>0.5</v>
      </c>
      <c r="P25" s="28">
        <v>2</v>
      </c>
      <c r="Q25" s="24">
        <v>60</v>
      </c>
      <c r="R25" s="33">
        <f t="shared" si="1"/>
        <v>3199.5</v>
      </c>
      <c r="S25" s="54" t="s">
        <v>16</v>
      </c>
      <c r="T25" s="55"/>
      <c r="U25" s="55"/>
    </row>
    <row r="26" spans="1:22">
      <c r="A26" s="22">
        <v>46049</v>
      </c>
      <c r="B26" s="23" t="s">
        <v>20</v>
      </c>
      <c r="C26" s="24">
        <v>2481</v>
      </c>
      <c r="D26" s="23" t="s">
        <v>20</v>
      </c>
      <c r="E26" s="24">
        <v>2526</v>
      </c>
      <c r="F26" s="27">
        <v>4</v>
      </c>
      <c r="G26" s="24">
        <v>120</v>
      </c>
      <c r="H26" s="27">
        <v>9</v>
      </c>
      <c r="I26" s="24">
        <v>242</v>
      </c>
      <c r="J26" s="28">
        <v>4</v>
      </c>
      <c r="K26" s="24">
        <v>67</v>
      </c>
      <c r="L26" s="27">
        <v>3</v>
      </c>
      <c r="M26" s="24">
        <v>75</v>
      </c>
      <c r="N26" s="27">
        <v>1</v>
      </c>
      <c r="O26" s="25">
        <v>0.5</v>
      </c>
      <c r="P26" s="28">
        <v>1</v>
      </c>
      <c r="Q26" s="24">
        <v>30</v>
      </c>
      <c r="R26" s="33">
        <f t="shared" si="1"/>
        <v>5541.5</v>
      </c>
      <c r="S26" s="54" t="s">
        <v>16</v>
      </c>
      <c r="T26" s="55"/>
      <c r="U26" s="55"/>
    </row>
    <row r="27" spans="1:22">
      <c r="A27" s="22">
        <v>46050</v>
      </c>
      <c r="B27" s="23" t="s">
        <v>19</v>
      </c>
      <c r="C27" s="24">
        <v>2112</v>
      </c>
      <c r="D27" s="23" t="s">
        <v>19</v>
      </c>
      <c r="E27" s="24">
        <v>2370</v>
      </c>
      <c r="F27" s="27">
        <v>2</v>
      </c>
      <c r="G27" s="24">
        <v>50</v>
      </c>
      <c r="H27" s="27">
        <v>10</v>
      </c>
      <c r="I27" s="24">
        <v>274</v>
      </c>
      <c r="J27" s="28">
        <v>2</v>
      </c>
      <c r="K27" s="24">
        <v>65</v>
      </c>
      <c r="L27" s="27">
        <v>4</v>
      </c>
      <c r="M27" s="24">
        <v>100</v>
      </c>
      <c r="N27" s="27">
        <v>1</v>
      </c>
      <c r="O27" s="25">
        <v>0.5</v>
      </c>
      <c r="P27" s="28">
        <v>2</v>
      </c>
      <c r="Q27" s="24">
        <v>60</v>
      </c>
      <c r="R27" s="33">
        <f t="shared" si="1"/>
        <v>5031.5</v>
      </c>
      <c r="S27" s="54" t="s">
        <v>16</v>
      </c>
      <c r="T27" s="55"/>
      <c r="U27" s="55"/>
    </row>
    <row r="28" spans="1:22">
      <c r="A28" s="22">
        <v>46051</v>
      </c>
      <c r="B28" s="23" t="s">
        <v>19</v>
      </c>
      <c r="C28" s="24">
        <v>2198</v>
      </c>
      <c r="D28" s="23" t="s">
        <v>15</v>
      </c>
      <c r="E28" s="24">
        <v>1785</v>
      </c>
      <c r="F28" s="27">
        <v>4</v>
      </c>
      <c r="G28" s="24">
        <v>100</v>
      </c>
      <c r="H28" s="27">
        <v>11</v>
      </c>
      <c r="I28" s="24">
        <v>280</v>
      </c>
      <c r="J28" s="28">
        <v>2</v>
      </c>
      <c r="K28" s="24">
        <v>46</v>
      </c>
      <c r="L28" s="27">
        <v>4</v>
      </c>
      <c r="M28" s="24">
        <v>120</v>
      </c>
      <c r="N28" s="27">
        <v>1</v>
      </c>
      <c r="O28" s="25">
        <v>0.5</v>
      </c>
      <c r="P28" s="28">
        <v>1</v>
      </c>
      <c r="Q28" s="24">
        <v>30</v>
      </c>
      <c r="R28" s="33">
        <f t="shared" si="1"/>
        <v>4559.5</v>
      </c>
      <c r="S28" s="54" t="s">
        <v>16</v>
      </c>
      <c r="T28" s="55"/>
      <c r="U28" s="55"/>
    </row>
    <row r="29" spans="1:22">
      <c r="A29" s="22">
        <v>46052</v>
      </c>
      <c r="B29" s="23" t="s">
        <v>15</v>
      </c>
      <c r="C29" s="24">
        <v>1609</v>
      </c>
      <c r="D29" s="23" t="s">
        <v>15</v>
      </c>
      <c r="E29" s="24">
        <v>1603</v>
      </c>
      <c r="F29" s="27">
        <v>4</v>
      </c>
      <c r="G29" s="24">
        <v>120</v>
      </c>
      <c r="H29" s="27">
        <v>10</v>
      </c>
      <c r="I29" s="24">
        <v>263</v>
      </c>
      <c r="J29" s="28">
        <v>3</v>
      </c>
      <c r="K29" s="24">
        <v>65</v>
      </c>
      <c r="L29" s="27">
        <v>2</v>
      </c>
      <c r="M29" s="24">
        <v>50</v>
      </c>
      <c r="N29" s="27">
        <v>1</v>
      </c>
      <c r="O29" s="25">
        <v>0.5</v>
      </c>
      <c r="P29" s="28">
        <v>2</v>
      </c>
      <c r="Q29" s="24">
        <v>60</v>
      </c>
      <c r="R29" s="33">
        <f t="shared" si="1"/>
        <v>3770.5</v>
      </c>
      <c r="S29" s="54" t="s">
        <v>16</v>
      </c>
      <c r="T29" s="55"/>
      <c r="U29" s="55"/>
    </row>
    <row r="30" spans="1:22">
      <c r="A30" s="22">
        <v>46053</v>
      </c>
      <c r="B30" s="23" t="s">
        <v>21</v>
      </c>
      <c r="C30" s="24">
        <v>515</v>
      </c>
      <c r="D30" s="23" t="s">
        <v>17</v>
      </c>
      <c r="E30" s="24">
        <v>1046</v>
      </c>
      <c r="F30" s="27">
        <v>0</v>
      </c>
      <c r="G30" s="24">
        <v>0</v>
      </c>
      <c r="H30" s="27">
        <v>0</v>
      </c>
      <c r="I30" s="24">
        <v>0</v>
      </c>
      <c r="J30" s="28">
        <v>0</v>
      </c>
      <c r="K30" s="24">
        <v>0</v>
      </c>
      <c r="L30" s="27">
        <v>0</v>
      </c>
      <c r="M30" s="24">
        <v>0</v>
      </c>
      <c r="N30" s="27">
        <v>0</v>
      </c>
      <c r="O30" s="27">
        <v>0</v>
      </c>
      <c r="P30" s="28">
        <v>0</v>
      </c>
      <c r="Q30" s="24">
        <v>0</v>
      </c>
      <c r="R30" s="33">
        <f t="shared" si="1"/>
        <v>1561</v>
      </c>
      <c r="S30" s="54" t="s">
        <v>18</v>
      </c>
      <c r="T30" s="55"/>
      <c r="U30" s="55"/>
      <c r="V30" s="41" t="s">
        <v>22</v>
      </c>
    </row>
    <row r="31" spans="1:22">
      <c r="A31" s="22">
        <v>46055</v>
      </c>
      <c r="B31" s="23" t="s">
        <v>17</v>
      </c>
      <c r="C31" s="24">
        <v>1030</v>
      </c>
      <c r="D31" s="23" t="s">
        <v>17</v>
      </c>
      <c r="E31" s="24">
        <v>1025</v>
      </c>
      <c r="F31" s="24">
        <v>3</v>
      </c>
      <c r="G31" s="24">
        <v>75</v>
      </c>
      <c r="H31" s="24">
        <v>4</v>
      </c>
      <c r="I31" s="24">
        <v>104</v>
      </c>
      <c r="J31" s="24">
        <v>2</v>
      </c>
      <c r="K31" s="24">
        <v>41</v>
      </c>
      <c r="L31" s="24">
        <v>3</v>
      </c>
      <c r="M31" s="24">
        <v>75</v>
      </c>
      <c r="N31" s="24">
        <v>1</v>
      </c>
      <c r="O31" s="25">
        <v>0.5</v>
      </c>
      <c r="P31" s="24">
        <v>1</v>
      </c>
      <c r="Q31" s="24">
        <v>30</v>
      </c>
      <c r="R31" s="33">
        <f t="shared" si="1"/>
        <v>2380.5</v>
      </c>
      <c r="S31" s="56" t="s">
        <v>23</v>
      </c>
      <c r="T31" s="57"/>
      <c r="U31" s="57"/>
    </row>
    <row r="32" spans="1:22">
      <c r="A32" s="22"/>
      <c r="B32" s="23"/>
      <c r="C32" s="24"/>
      <c r="D32" s="23"/>
      <c r="E32" s="24"/>
      <c r="F32" s="27"/>
      <c r="G32" s="24"/>
      <c r="H32" s="27"/>
      <c r="I32" s="24"/>
      <c r="J32" s="28"/>
      <c r="K32" s="24"/>
      <c r="L32" s="27"/>
      <c r="M32" s="24"/>
      <c r="N32" s="27"/>
      <c r="O32" s="25"/>
      <c r="P32" s="28"/>
      <c r="Q32" s="24"/>
      <c r="R32" s="33"/>
    </row>
    <row r="33" spans="1:18">
      <c r="A33" s="22"/>
      <c r="B33" s="23"/>
      <c r="C33" s="24"/>
      <c r="D33" s="23"/>
      <c r="E33" s="24"/>
      <c r="F33" s="27"/>
      <c r="G33" s="24"/>
      <c r="H33" s="27"/>
      <c r="I33" s="24"/>
      <c r="J33" s="28"/>
      <c r="K33" s="24"/>
      <c r="L33" s="27"/>
      <c r="M33" s="24"/>
      <c r="N33" s="27"/>
      <c r="O33" s="25"/>
      <c r="P33" s="28"/>
      <c r="Q33" s="24"/>
      <c r="R33" s="33"/>
    </row>
    <row r="34" spans="1:18">
      <c r="A34" s="22"/>
      <c r="B34" s="23"/>
      <c r="C34" s="24"/>
      <c r="D34" s="23"/>
      <c r="E34" s="24"/>
      <c r="F34" s="27"/>
      <c r="G34" s="24"/>
      <c r="H34" s="27"/>
      <c r="I34" s="24"/>
      <c r="J34" s="28"/>
      <c r="K34" s="24"/>
      <c r="L34" s="27"/>
      <c r="M34" s="24"/>
      <c r="N34" s="27"/>
      <c r="O34" s="25"/>
      <c r="P34" s="28"/>
      <c r="Q34" s="24"/>
      <c r="R34" s="33"/>
    </row>
    <row r="35" spans="1:18">
      <c r="A35" s="22"/>
      <c r="B35" s="23"/>
      <c r="C35" s="24"/>
      <c r="D35" s="23"/>
      <c r="E35" s="24"/>
      <c r="F35" s="27"/>
      <c r="G35" s="24"/>
      <c r="H35" s="27"/>
      <c r="I35" s="24"/>
      <c r="J35" s="28"/>
      <c r="K35" s="24"/>
      <c r="L35" s="27"/>
      <c r="M35" s="24"/>
      <c r="N35" s="27"/>
      <c r="O35" s="25"/>
      <c r="P35" s="28"/>
      <c r="Q35" s="24"/>
      <c r="R35" s="33"/>
    </row>
    <row r="36" spans="1:18">
      <c r="A36" s="22"/>
      <c r="B36" s="23"/>
      <c r="C36" s="24"/>
      <c r="D36" s="23"/>
      <c r="E36" s="24"/>
      <c r="F36" s="27"/>
      <c r="G36" s="24"/>
      <c r="H36" s="27"/>
      <c r="I36" s="24"/>
      <c r="J36" s="28"/>
      <c r="K36" s="24"/>
      <c r="L36" s="27"/>
      <c r="M36" s="24"/>
      <c r="N36" s="27"/>
      <c r="O36" s="25"/>
      <c r="P36" s="28"/>
      <c r="Q36" s="24"/>
      <c r="R36" s="33"/>
    </row>
    <row r="37" spans="1:18">
      <c r="A37" s="22"/>
      <c r="B37" s="23"/>
      <c r="C37" s="24"/>
      <c r="D37" s="23"/>
      <c r="E37" s="24"/>
      <c r="F37" s="27"/>
      <c r="G37" s="24"/>
      <c r="H37" s="27"/>
      <c r="I37" s="24"/>
      <c r="J37" s="28"/>
      <c r="K37" s="24"/>
      <c r="L37" s="27"/>
      <c r="M37" s="24"/>
      <c r="N37" s="27"/>
      <c r="O37" s="25"/>
      <c r="P37" s="28"/>
      <c r="Q37" s="24"/>
      <c r="R37" s="33"/>
    </row>
    <row r="38" spans="1:18">
      <c r="A38" s="22"/>
      <c r="B38" s="23"/>
      <c r="C38" s="24"/>
      <c r="D38" s="23"/>
      <c r="E38" s="24"/>
      <c r="F38" s="27"/>
      <c r="G38" s="24"/>
      <c r="H38" s="27"/>
      <c r="I38" s="24"/>
      <c r="J38" s="28"/>
      <c r="K38" s="24"/>
      <c r="L38" s="27"/>
      <c r="M38" s="24"/>
      <c r="N38" s="27"/>
      <c r="O38" s="25"/>
      <c r="P38" s="28"/>
      <c r="Q38" s="24"/>
      <c r="R38" s="33"/>
    </row>
    <row r="39" spans="1:18">
      <c r="A39" s="22"/>
      <c r="B39" s="23"/>
      <c r="C39" s="24"/>
      <c r="D39" s="23"/>
      <c r="E39" s="24"/>
      <c r="F39" s="27"/>
      <c r="G39" s="24"/>
      <c r="H39" s="27"/>
      <c r="I39" s="24"/>
      <c r="J39" s="28"/>
      <c r="K39" s="24"/>
      <c r="L39" s="27"/>
      <c r="M39" s="24"/>
      <c r="N39" s="27"/>
      <c r="O39" s="24"/>
      <c r="P39" s="28"/>
      <c r="Q39" s="24"/>
      <c r="R39" s="33"/>
    </row>
    <row r="40" spans="1:18">
      <c r="A40" s="22"/>
      <c r="B40" s="34"/>
      <c r="C40" s="35"/>
      <c r="D40" s="34"/>
      <c r="E40" s="35"/>
      <c r="F40" s="34"/>
      <c r="G40" s="35"/>
      <c r="H40" s="34"/>
      <c r="I40" s="35"/>
      <c r="J40" s="36"/>
      <c r="K40" s="35"/>
      <c r="L40" s="34"/>
      <c r="M40" s="35"/>
      <c r="N40" s="34"/>
      <c r="O40" s="35"/>
      <c r="P40" s="36"/>
      <c r="Q40" s="35"/>
      <c r="R40" s="33"/>
    </row>
    <row r="41" spans="1:18">
      <c r="A41" s="37"/>
      <c r="B41" s="38">
        <f t="shared" ref="B41:R41" si="2">SUM(B5:B40)</f>
        <v>0</v>
      </c>
      <c r="C41" s="38">
        <f t="shared" si="2"/>
        <v>47428</v>
      </c>
      <c r="D41" s="38">
        <f t="shared" si="2"/>
        <v>0</v>
      </c>
      <c r="E41" s="38">
        <f t="shared" si="2"/>
        <v>44281</v>
      </c>
      <c r="F41" s="38">
        <f t="shared" si="2"/>
        <v>121</v>
      </c>
      <c r="G41" s="38">
        <f t="shared" si="2"/>
        <v>2895</v>
      </c>
      <c r="H41" s="38">
        <f t="shared" si="2"/>
        <v>321</v>
      </c>
      <c r="I41" s="38">
        <f t="shared" si="2"/>
        <v>8035</v>
      </c>
      <c r="J41" s="38">
        <f t="shared" si="2"/>
        <v>160</v>
      </c>
      <c r="K41" s="38">
        <f t="shared" si="2"/>
        <v>3519</v>
      </c>
      <c r="L41" s="38">
        <f t="shared" si="2"/>
        <v>80</v>
      </c>
      <c r="M41" s="38">
        <f t="shared" si="2"/>
        <v>2111</v>
      </c>
      <c r="N41" s="38">
        <f t="shared" si="2"/>
        <v>26</v>
      </c>
      <c r="O41" s="38">
        <f t="shared" si="2"/>
        <v>13</v>
      </c>
      <c r="P41" s="38">
        <f t="shared" si="2"/>
        <v>39</v>
      </c>
      <c r="Q41" s="38">
        <f t="shared" si="2"/>
        <v>1251</v>
      </c>
      <c r="R41" s="39">
        <f t="shared" si="2"/>
        <v>109533</v>
      </c>
    </row>
    <row r="42" spans="1:18">
      <c r="A42" s="4"/>
      <c r="B42" s="40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</sheetData>
  <mergeCells count="35">
    <mergeCell ref="S27:U27"/>
    <mergeCell ref="S28:U28"/>
    <mergeCell ref="S29:U29"/>
    <mergeCell ref="S30:U30"/>
    <mergeCell ref="S31:U31"/>
    <mergeCell ref="S22:U22"/>
    <mergeCell ref="S23:U23"/>
    <mergeCell ref="S24:U24"/>
    <mergeCell ref="S25:U25"/>
    <mergeCell ref="S26:U26"/>
    <mergeCell ref="S17:U17"/>
    <mergeCell ref="S18:U18"/>
    <mergeCell ref="S19:U19"/>
    <mergeCell ref="S20:U20"/>
    <mergeCell ref="S21:U21"/>
    <mergeCell ref="S12:U12"/>
    <mergeCell ref="S13:U13"/>
    <mergeCell ref="S14:U14"/>
    <mergeCell ref="S15:U15"/>
    <mergeCell ref="S16:U16"/>
    <mergeCell ref="S7:U7"/>
    <mergeCell ref="S8:U8"/>
    <mergeCell ref="S9:U9"/>
    <mergeCell ref="S10:U10"/>
    <mergeCell ref="S11:U11"/>
    <mergeCell ref="B3:C3"/>
    <mergeCell ref="D3:E3"/>
    <mergeCell ref="L3:M3"/>
    <mergeCell ref="S5:U5"/>
    <mergeCell ref="S6:U6"/>
    <mergeCell ref="B2:E2"/>
    <mergeCell ref="F2:G2"/>
    <mergeCell ref="H2:I2"/>
    <mergeCell ref="J2:K2"/>
    <mergeCell ref="L2:M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2"/>
  <sheetViews>
    <sheetView workbookViewId="0">
      <selection activeCell="E41" sqref="E41"/>
    </sheetView>
  </sheetViews>
  <sheetFormatPr defaultColWidth="9" defaultRowHeight="15"/>
  <sheetData>
    <row r="1" spans="1:21">
      <c r="A1" s="1">
        <v>46054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21">
      <c r="A2" s="5"/>
      <c r="B2" s="44" t="s">
        <v>0</v>
      </c>
      <c r="C2" s="45"/>
      <c r="D2" s="45"/>
      <c r="E2" s="46"/>
      <c r="F2" s="44" t="s">
        <v>1</v>
      </c>
      <c r="G2" s="46"/>
      <c r="H2" s="44" t="s">
        <v>2</v>
      </c>
      <c r="I2" s="46"/>
      <c r="J2" s="44" t="s">
        <v>3</v>
      </c>
      <c r="K2" s="46"/>
      <c r="L2" s="47" t="s">
        <v>4</v>
      </c>
      <c r="M2" s="48"/>
      <c r="N2" s="6" t="s">
        <v>5</v>
      </c>
      <c r="O2" s="7"/>
      <c r="P2" s="8" t="s">
        <v>6</v>
      </c>
      <c r="Q2" s="7"/>
      <c r="R2" s="9" t="s">
        <v>7</v>
      </c>
    </row>
    <row r="3" spans="1:21">
      <c r="A3" s="10" t="s">
        <v>8</v>
      </c>
      <c r="B3" s="49" t="s">
        <v>9</v>
      </c>
      <c r="C3" s="50"/>
      <c r="D3" s="50" t="s">
        <v>10</v>
      </c>
      <c r="E3" s="51"/>
      <c r="F3" s="11"/>
      <c r="G3" s="12"/>
      <c r="H3" s="11"/>
      <c r="I3" s="12"/>
      <c r="J3" s="11"/>
      <c r="K3" s="12"/>
      <c r="L3" s="52" t="s">
        <v>11</v>
      </c>
      <c r="M3" s="53"/>
      <c r="N3" s="13"/>
      <c r="O3" s="14"/>
      <c r="P3" s="15"/>
      <c r="Q3" s="14"/>
      <c r="R3" s="16" t="s">
        <v>12</v>
      </c>
    </row>
    <row r="4" spans="1:21">
      <c r="A4" s="17"/>
      <c r="B4" s="18" t="s">
        <v>13</v>
      </c>
      <c r="C4" s="19" t="s">
        <v>14</v>
      </c>
      <c r="D4" s="18" t="s">
        <v>13</v>
      </c>
      <c r="E4" s="19" t="s">
        <v>14</v>
      </c>
      <c r="F4" s="18" t="s">
        <v>13</v>
      </c>
      <c r="G4" s="19" t="s">
        <v>14</v>
      </c>
      <c r="H4" s="18" t="s">
        <v>13</v>
      </c>
      <c r="I4" s="17" t="s">
        <v>14</v>
      </c>
      <c r="J4" s="20" t="s">
        <v>13</v>
      </c>
      <c r="K4" s="19" t="s">
        <v>14</v>
      </c>
      <c r="L4" s="18" t="s">
        <v>13</v>
      </c>
      <c r="M4" s="19" t="s">
        <v>14</v>
      </c>
      <c r="N4" s="18" t="s">
        <v>13</v>
      </c>
      <c r="O4" s="19" t="s">
        <v>14</v>
      </c>
      <c r="P4" s="20" t="s">
        <v>13</v>
      </c>
      <c r="Q4" s="19" t="s">
        <v>14</v>
      </c>
      <c r="R4" s="21"/>
    </row>
    <row r="5" spans="1:21">
      <c r="A5" s="22">
        <v>46055</v>
      </c>
      <c r="B5" s="24">
        <v>0</v>
      </c>
      <c r="C5" s="24">
        <v>0</v>
      </c>
      <c r="D5" s="24">
        <v>0</v>
      </c>
      <c r="E5" s="24">
        <v>0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24">
        <v>0</v>
      </c>
      <c r="L5" s="24">
        <v>0</v>
      </c>
      <c r="M5" s="24">
        <v>0</v>
      </c>
      <c r="N5" s="24">
        <v>0</v>
      </c>
      <c r="O5" s="24">
        <v>0</v>
      </c>
      <c r="P5" s="24">
        <v>0</v>
      </c>
      <c r="Q5" s="24">
        <v>0</v>
      </c>
      <c r="R5" s="26">
        <f t="shared" ref="R5:R26" si="0">+C5+E5+G5+I5+K5+M5+O5+Q5</f>
        <v>0</v>
      </c>
      <c r="S5" s="54"/>
      <c r="T5" s="55"/>
      <c r="U5" s="55"/>
    </row>
    <row r="6" spans="1:21">
      <c r="A6" s="22">
        <v>46056</v>
      </c>
      <c r="B6" s="23" t="s">
        <v>15</v>
      </c>
      <c r="C6" s="24">
        <v>1503</v>
      </c>
      <c r="D6" s="23" t="s">
        <v>17</v>
      </c>
      <c r="E6" s="24">
        <v>1034</v>
      </c>
      <c r="F6" s="27">
        <v>7</v>
      </c>
      <c r="G6" s="24">
        <v>150</v>
      </c>
      <c r="H6" s="27">
        <v>1</v>
      </c>
      <c r="I6" s="24">
        <v>30</v>
      </c>
      <c r="J6" s="28">
        <v>6</v>
      </c>
      <c r="K6" s="24">
        <v>167</v>
      </c>
      <c r="L6" s="27">
        <v>2</v>
      </c>
      <c r="M6" s="24">
        <v>50</v>
      </c>
      <c r="N6" s="27">
        <v>1</v>
      </c>
      <c r="O6" s="25">
        <v>0.5</v>
      </c>
      <c r="P6" s="28">
        <v>1</v>
      </c>
      <c r="Q6" s="24">
        <v>30</v>
      </c>
      <c r="R6" s="26">
        <f t="shared" si="0"/>
        <v>2964.5</v>
      </c>
      <c r="S6" s="54" t="s">
        <v>16</v>
      </c>
      <c r="T6" s="55"/>
      <c r="U6" s="55"/>
    </row>
    <row r="7" spans="1:21">
      <c r="A7" s="22">
        <v>46057</v>
      </c>
      <c r="B7" s="23" t="s">
        <v>19</v>
      </c>
      <c r="C7" s="24">
        <v>2036</v>
      </c>
      <c r="D7" s="23" t="s">
        <v>15</v>
      </c>
      <c r="E7" s="24">
        <v>1539</v>
      </c>
      <c r="F7" s="27">
        <v>9</v>
      </c>
      <c r="G7" s="24">
        <v>175</v>
      </c>
      <c r="H7" s="27">
        <v>4</v>
      </c>
      <c r="I7" s="24">
        <v>93</v>
      </c>
      <c r="J7" s="28">
        <v>7</v>
      </c>
      <c r="K7" s="24">
        <v>146</v>
      </c>
      <c r="L7" s="27">
        <v>2</v>
      </c>
      <c r="M7" s="24">
        <v>60</v>
      </c>
      <c r="N7" s="27">
        <v>1</v>
      </c>
      <c r="O7" s="25">
        <v>0.5</v>
      </c>
      <c r="P7" s="28">
        <v>2</v>
      </c>
      <c r="Q7" s="24">
        <v>60</v>
      </c>
      <c r="R7" s="26">
        <f t="shared" si="0"/>
        <v>4109.5</v>
      </c>
      <c r="S7" s="54" t="s">
        <v>16</v>
      </c>
      <c r="T7" s="55"/>
      <c r="U7" s="55"/>
    </row>
    <row r="8" spans="1:21">
      <c r="A8" s="22">
        <v>46058</v>
      </c>
      <c r="B8" s="23" t="s">
        <v>19</v>
      </c>
      <c r="C8" s="24">
        <v>1950</v>
      </c>
      <c r="D8" s="23" t="s">
        <v>15</v>
      </c>
      <c r="E8" s="24">
        <v>1541</v>
      </c>
      <c r="F8" s="27">
        <v>3</v>
      </c>
      <c r="G8" s="24">
        <v>75</v>
      </c>
      <c r="H8" s="27">
        <v>3</v>
      </c>
      <c r="I8" s="24">
        <v>76</v>
      </c>
      <c r="J8" s="28">
        <v>5</v>
      </c>
      <c r="K8" s="24">
        <v>109</v>
      </c>
      <c r="L8" s="27">
        <v>3</v>
      </c>
      <c r="M8" s="24">
        <v>75</v>
      </c>
      <c r="N8" s="27">
        <v>1</v>
      </c>
      <c r="O8" s="25">
        <v>0.5</v>
      </c>
      <c r="P8" s="28">
        <v>2</v>
      </c>
      <c r="Q8" s="24">
        <v>75</v>
      </c>
      <c r="R8" s="26">
        <f t="shared" si="0"/>
        <v>3901.5</v>
      </c>
      <c r="S8" s="54" t="s">
        <v>16</v>
      </c>
      <c r="T8" s="55"/>
      <c r="U8" s="55"/>
    </row>
    <row r="9" spans="1:21">
      <c r="A9" s="22">
        <v>46059</v>
      </c>
      <c r="B9" s="23" t="s">
        <v>17</v>
      </c>
      <c r="C9" s="24">
        <v>1030</v>
      </c>
      <c r="D9" s="23" t="s">
        <v>17</v>
      </c>
      <c r="E9" s="24">
        <v>1068</v>
      </c>
      <c r="F9" s="27">
        <v>7</v>
      </c>
      <c r="G9" s="29">
        <v>125</v>
      </c>
      <c r="H9" s="27">
        <v>9</v>
      </c>
      <c r="I9" s="24">
        <v>219</v>
      </c>
      <c r="J9" s="28">
        <v>2</v>
      </c>
      <c r="K9" s="24">
        <v>40</v>
      </c>
      <c r="L9" s="27">
        <v>2</v>
      </c>
      <c r="M9" s="24">
        <v>50</v>
      </c>
      <c r="N9" s="27">
        <v>1</v>
      </c>
      <c r="O9" s="25">
        <v>0.5</v>
      </c>
      <c r="P9" s="28">
        <v>1</v>
      </c>
      <c r="Q9" s="24">
        <v>30</v>
      </c>
      <c r="R9" s="26">
        <f t="shared" si="0"/>
        <v>2562.5</v>
      </c>
      <c r="S9" s="54" t="s">
        <v>18</v>
      </c>
      <c r="T9" s="55"/>
      <c r="U9" s="55"/>
    </row>
    <row r="10" spans="1:21">
      <c r="A10" s="22">
        <v>46060</v>
      </c>
      <c r="B10" s="23" t="s">
        <v>15</v>
      </c>
      <c r="C10" s="24">
        <v>1574</v>
      </c>
      <c r="D10" s="23" t="s">
        <v>15</v>
      </c>
      <c r="E10" s="24">
        <v>1655</v>
      </c>
      <c r="F10" s="27">
        <v>10</v>
      </c>
      <c r="G10" s="24">
        <v>175</v>
      </c>
      <c r="H10" s="27">
        <v>26</v>
      </c>
      <c r="I10" s="24">
        <v>700</v>
      </c>
      <c r="J10" s="28">
        <v>7</v>
      </c>
      <c r="K10" s="24">
        <v>155</v>
      </c>
      <c r="L10" s="27">
        <v>3</v>
      </c>
      <c r="M10" s="24">
        <v>75</v>
      </c>
      <c r="N10" s="27">
        <v>1</v>
      </c>
      <c r="O10" s="25">
        <v>0.5</v>
      </c>
      <c r="P10" s="28">
        <v>2</v>
      </c>
      <c r="Q10" s="24">
        <v>60</v>
      </c>
      <c r="R10" s="26">
        <f t="shared" si="0"/>
        <v>4394.5</v>
      </c>
      <c r="S10" s="54" t="s">
        <v>16</v>
      </c>
      <c r="T10" s="55"/>
      <c r="U10" s="55"/>
    </row>
    <row r="11" spans="1:21">
      <c r="A11" s="22">
        <v>46062</v>
      </c>
      <c r="B11" s="23" t="s">
        <v>19</v>
      </c>
      <c r="C11" s="24">
        <v>2224</v>
      </c>
      <c r="D11" s="23" t="s">
        <v>19</v>
      </c>
      <c r="E11" s="24">
        <v>2188</v>
      </c>
      <c r="F11" s="27">
        <v>5</v>
      </c>
      <c r="G11" s="24">
        <v>120</v>
      </c>
      <c r="H11" s="27">
        <v>34</v>
      </c>
      <c r="I11" s="24">
        <v>829</v>
      </c>
      <c r="J11" s="28">
        <v>8</v>
      </c>
      <c r="K11" s="24">
        <v>175</v>
      </c>
      <c r="L11" s="27">
        <v>4</v>
      </c>
      <c r="M11" s="24">
        <v>100</v>
      </c>
      <c r="N11" s="27">
        <v>1</v>
      </c>
      <c r="O11" s="25">
        <v>0.5</v>
      </c>
      <c r="P11" s="28">
        <v>1</v>
      </c>
      <c r="Q11" s="24">
        <v>30</v>
      </c>
      <c r="R11" s="26">
        <f t="shared" si="0"/>
        <v>5666.5</v>
      </c>
      <c r="S11" s="54" t="s">
        <v>16</v>
      </c>
      <c r="T11" s="55"/>
      <c r="U11" s="55"/>
    </row>
    <row r="12" spans="1:21">
      <c r="A12" s="22">
        <v>46063</v>
      </c>
      <c r="B12" s="23" t="s">
        <v>15</v>
      </c>
      <c r="C12" s="24">
        <v>1537</v>
      </c>
      <c r="D12" s="23" t="s">
        <v>17</v>
      </c>
      <c r="E12" s="24">
        <v>1140</v>
      </c>
      <c r="F12" s="30">
        <v>4</v>
      </c>
      <c r="G12" s="31">
        <v>100</v>
      </c>
      <c r="H12" s="28">
        <v>32</v>
      </c>
      <c r="I12" s="24">
        <v>885</v>
      </c>
      <c r="J12" s="27">
        <v>7</v>
      </c>
      <c r="K12" s="24">
        <v>144</v>
      </c>
      <c r="L12" s="27">
        <v>5</v>
      </c>
      <c r="M12" s="24">
        <v>150</v>
      </c>
      <c r="N12" s="27">
        <v>1</v>
      </c>
      <c r="O12" s="25">
        <v>0.5</v>
      </c>
      <c r="P12" s="28">
        <v>2</v>
      </c>
      <c r="Q12" s="24">
        <v>60</v>
      </c>
      <c r="R12" s="26">
        <f t="shared" si="0"/>
        <v>4016.5</v>
      </c>
      <c r="S12" s="54" t="s">
        <v>16</v>
      </c>
      <c r="T12" s="55"/>
      <c r="U12" s="55"/>
    </row>
    <row r="13" spans="1:21">
      <c r="A13" s="22">
        <v>46064</v>
      </c>
      <c r="B13" s="23" t="s">
        <v>20</v>
      </c>
      <c r="C13" s="24">
        <v>2522</v>
      </c>
      <c r="D13" s="23" t="s">
        <v>19</v>
      </c>
      <c r="E13" s="24">
        <v>1866</v>
      </c>
      <c r="F13" s="27">
        <v>6</v>
      </c>
      <c r="G13" s="24">
        <v>130</v>
      </c>
      <c r="H13" s="27">
        <v>21</v>
      </c>
      <c r="I13" s="29">
        <v>596</v>
      </c>
      <c r="J13" s="27">
        <v>10</v>
      </c>
      <c r="K13" s="29">
        <v>227</v>
      </c>
      <c r="L13" s="27">
        <v>4</v>
      </c>
      <c r="M13" s="29">
        <v>125</v>
      </c>
      <c r="N13" s="27">
        <v>1</v>
      </c>
      <c r="O13" s="25">
        <v>0.5</v>
      </c>
      <c r="P13" s="27">
        <v>2</v>
      </c>
      <c r="Q13" s="29">
        <v>62</v>
      </c>
      <c r="R13" s="26">
        <f t="shared" si="0"/>
        <v>5528.5</v>
      </c>
      <c r="S13" s="54" t="s">
        <v>16</v>
      </c>
      <c r="T13" s="55"/>
      <c r="U13" s="55"/>
    </row>
    <row r="14" spans="1:21">
      <c r="A14" s="22">
        <v>46065</v>
      </c>
      <c r="B14" s="23" t="s">
        <v>19</v>
      </c>
      <c r="C14" s="24">
        <v>2121</v>
      </c>
      <c r="D14" s="23" t="s">
        <v>15</v>
      </c>
      <c r="E14" s="24">
        <v>1611</v>
      </c>
      <c r="F14" s="27">
        <v>5</v>
      </c>
      <c r="G14" s="24">
        <v>120</v>
      </c>
      <c r="H14" s="27">
        <v>28</v>
      </c>
      <c r="I14" s="24">
        <v>848</v>
      </c>
      <c r="J14" s="27">
        <v>7</v>
      </c>
      <c r="K14" s="32">
        <v>145</v>
      </c>
      <c r="L14" s="27">
        <v>5</v>
      </c>
      <c r="M14" s="24">
        <v>150</v>
      </c>
      <c r="N14" s="27">
        <v>1</v>
      </c>
      <c r="O14" s="25">
        <v>0.5</v>
      </c>
      <c r="P14" s="28">
        <v>2</v>
      </c>
      <c r="Q14" s="24">
        <v>60</v>
      </c>
      <c r="R14" s="26">
        <f t="shared" si="0"/>
        <v>5055.5</v>
      </c>
      <c r="S14" s="54" t="s">
        <v>16</v>
      </c>
      <c r="T14" s="55"/>
      <c r="U14" s="55"/>
    </row>
    <row r="15" spans="1:21">
      <c r="A15" s="22">
        <v>46066</v>
      </c>
      <c r="B15" s="23" t="s">
        <v>15</v>
      </c>
      <c r="C15" s="24">
        <v>1601</v>
      </c>
      <c r="D15" s="23" t="s">
        <v>15</v>
      </c>
      <c r="E15" s="24">
        <v>1548</v>
      </c>
      <c r="F15" s="27">
        <v>4</v>
      </c>
      <c r="G15" s="24">
        <v>100</v>
      </c>
      <c r="H15" s="27">
        <v>28</v>
      </c>
      <c r="I15" s="24">
        <v>736</v>
      </c>
      <c r="J15" s="28">
        <v>8</v>
      </c>
      <c r="K15" s="24">
        <v>172</v>
      </c>
      <c r="L15" s="27">
        <v>2</v>
      </c>
      <c r="M15" s="24">
        <v>50</v>
      </c>
      <c r="N15" s="27">
        <v>1</v>
      </c>
      <c r="O15" s="25">
        <v>0.5</v>
      </c>
      <c r="P15" s="28">
        <v>1</v>
      </c>
      <c r="Q15" s="24">
        <v>30</v>
      </c>
      <c r="R15" s="26">
        <f t="shared" si="0"/>
        <v>4237.5</v>
      </c>
      <c r="S15" s="54" t="s">
        <v>16</v>
      </c>
      <c r="T15" s="55"/>
      <c r="U15" s="55"/>
    </row>
    <row r="16" spans="1:21">
      <c r="A16" s="22">
        <v>46067</v>
      </c>
      <c r="B16" s="23" t="s">
        <v>15</v>
      </c>
      <c r="C16" s="24">
        <v>1545</v>
      </c>
      <c r="D16" s="23" t="s">
        <v>17</v>
      </c>
      <c r="E16" s="24">
        <v>1037</v>
      </c>
      <c r="F16" s="27">
        <v>6</v>
      </c>
      <c r="G16" s="24">
        <v>120</v>
      </c>
      <c r="H16" s="27">
        <v>26</v>
      </c>
      <c r="I16" s="24">
        <v>844</v>
      </c>
      <c r="J16" s="28">
        <v>7</v>
      </c>
      <c r="K16" s="24">
        <v>152</v>
      </c>
      <c r="L16" s="27">
        <v>3</v>
      </c>
      <c r="M16" s="24">
        <v>75</v>
      </c>
      <c r="N16" s="27">
        <v>1</v>
      </c>
      <c r="O16" s="25">
        <v>0.5</v>
      </c>
      <c r="P16" s="28">
        <v>2</v>
      </c>
      <c r="Q16" s="24">
        <v>60</v>
      </c>
      <c r="R16" s="26">
        <f t="shared" si="0"/>
        <v>3833.5</v>
      </c>
      <c r="S16" s="54" t="s">
        <v>18</v>
      </c>
      <c r="T16" s="55"/>
      <c r="U16" s="55"/>
    </row>
    <row r="17" spans="1:21">
      <c r="A17" s="22">
        <v>46070</v>
      </c>
      <c r="B17" s="23" t="s">
        <v>15</v>
      </c>
      <c r="C17" s="24">
        <v>1480</v>
      </c>
      <c r="D17" s="23" t="s">
        <v>17</v>
      </c>
      <c r="E17" s="24">
        <v>1155</v>
      </c>
      <c r="F17" s="27">
        <v>5</v>
      </c>
      <c r="G17" s="24">
        <v>125</v>
      </c>
      <c r="H17" s="27">
        <v>31</v>
      </c>
      <c r="I17" s="24">
        <v>849</v>
      </c>
      <c r="J17" s="28">
        <v>10</v>
      </c>
      <c r="K17" s="24">
        <v>229</v>
      </c>
      <c r="L17" s="27">
        <v>2</v>
      </c>
      <c r="M17" s="24">
        <v>50</v>
      </c>
      <c r="N17" s="27">
        <v>1</v>
      </c>
      <c r="O17" s="25">
        <v>0.5</v>
      </c>
      <c r="P17" s="28">
        <v>3</v>
      </c>
      <c r="Q17" s="24">
        <v>75</v>
      </c>
      <c r="R17" s="26">
        <f t="shared" si="0"/>
        <v>3963.5</v>
      </c>
      <c r="S17" s="54" t="s">
        <v>16</v>
      </c>
      <c r="T17" s="55"/>
      <c r="U17" s="55"/>
    </row>
    <row r="18" spans="1:21">
      <c r="A18" s="22">
        <v>46071</v>
      </c>
      <c r="B18" s="23" t="s">
        <v>19</v>
      </c>
      <c r="C18" s="24">
        <v>2060</v>
      </c>
      <c r="D18" s="23" t="s">
        <v>15</v>
      </c>
      <c r="E18" s="24">
        <v>1311</v>
      </c>
      <c r="F18" s="27">
        <v>6</v>
      </c>
      <c r="G18" s="24">
        <v>130</v>
      </c>
      <c r="H18" s="27">
        <v>29</v>
      </c>
      <c r="I18" s="24">
        <v>788</v>
      </c>
      <c r="J18" s="28">
        <v>7</v>
      </c>
      <c r="K18" s="24">
        <v>167</v>
      </c>
      <c r="L18" s="27">
        <v>2</v>
      </c>
      <c r="M18" s="24">
        <v>50</v>
      </c>
      <c r="N18" s="27">
        <v>1</v>
      </c>
      <c r="O18" s="25">
        <v>0.5</v>
      </c>
      <c r="P18" s="28">
        <v>2</v>
      </c>
      <c r="Q18" s="24">
        <v>60</v>
      </c>
      <c r="R18" s="26">
        <f t="shared" si="0"/>
        <v>4566.5</v>
      </c>
      <c r="S18" s="54" t="s">
        <v>16</v>
      </c>
      <c r="T18" s="55"/>
      <c r="U18" s="55"/>
    </row>
    <row r="19" spans="1:21">
      <c r="A19" s="22">
        <v>46072</v>
      </c>
      <c r="B19" s="23" t="s">
        <v>15</v>
      </c>
      <c r="C19" s="24">
        <v>1545</v>
      </c>
      <c r="D19" s="23" t="s">
        <v>15</v>
      </c>
      <c r="E19" s="24">
        <v>1555</v>
      </c>
      <c r="F19" s="27">
        <v>4</v>
      </c>
      <c r="G19" s="24">
        <v>100</v>
      </c>
      <c r="H19" s="27">
        <v>23</v>
      </c>
      <c r="I19" s="24">
        <v>648</v>
      </c>
      <c r="J19" s="28">
        <v>5</v>
      </c>
      <c r="K19" s="24">
        <v>106</v>
      </c>
      <c r="L19" s="27">
        <v>3</v>
      </c>
      <c r="M19" s="24">
        <v>75</v>
      </c>
      <c r="N19" s="27">
        <v>1</v>
      </c>
      <c r="O19" s="25">
        <v>0.5</v>
      </c>
      <c r="P19" s="28">
        <v>2</v>
      </c>
      <c r="Q19" s="24">
        <v>65</v>
      </c>
      <c r="R19" s="33">
        <f t="shared" si="0"/>
        <v>4094.5</v>
      </c>
      <c r="S19" s="54" t="s">
        <v>18</v>
      </c>
      <c r="T19" s="55"/>
      <c r="U19" s="55"/>
    </row>
    <row r="20" spans="1:21">
      <c r="A20" s="22">
        <v>46073</v>
      </c>
      <c r="B20" s="23" t="s">
        <v>15</v>
      </c>
      <c r="C20" s="24">
        <v>1545</v>
      </c>
      <c r="D20" s="23" t="s">
        <v>15</v>
      </c>
      <c r="E20" s="24">
        <v>1443</v>
      </c>
      <c r="F20" s="27">
        <v>5</v>
      </c>
      <c r="G20" s="24">
        <v>120</v>
      </c>
      <c r="H20" s="27">
        <v>32</v>
      </c>
      <c r="I20" s="24">
        <v>879</v>
      </c>
      <c r="J20" s="28">
        <v>5</v>
      </c>
      <c r="K20" s="24">
        <v>109</v>
      </c>
      <c r="L20" s="27">
        <v>3</v>
      </c>
      <c r="M20" s="24">
        <v>70</v>
      </c>
      <c r="N20" s="27">
        <v>1</v>
      </c>
      <c r="O20" s="25">
        <v>0.5</v>
      </c>
      <c r="P20" s="28">
        <v>2</v>
      </c>
      <c r="Q20" s="24">
        <v>60</v>
      </c>
      <c r="R20" s="33">
        <f t="shared" si="0"/>
        <v>4226.5</v>
      </c>
      <c r="S20" s="54" t="s">
        <v>18</v>
      </c>
      <c r="T20" s="55"/>
      <c r="U20" s="55"/>
    </row>
    <row r="21" spans="1:21">
      <c r="A21" s="22">
        <v>46074</v>
      </c>
      <c r="B21" s="23" t="s">
        <v>19</v>
      </c>
      <c r="C21" s="24">
        <v>2060</v>
      </c>
      <c r="D21" s="23" t="s">
        <v>15</v>
      </c>
      <c r="E21" s="24">
        <v>1352</v>
      </c>
      <c r="F21" s="27">
        <v>3</v>
      </c>
      <c r="G21" s="24">
        <v>98</v>
      </c>
      <c r="H21" s="27">
        <v>36</v>
      </c>
      <c r="I21" s="24">
        <v>991</v>
      </c>
      <c r="J21" s="28">
        <v>6</v>
      </c>
      <c r="K21" s="24">
        <v>110</v>
      </c>
      <c r="L21" s="27">
        <v>3</v>
      </c>
      <c r="M21" s="24">
        <v>75</v>
      </c>
      <c r="N21" s="27">
        <v>1</v>
      </c>
      <c r="O21" s="25">
        <v>0.5</v>
      </c>
      <c r="P21" s="28">
        <v>2</v>
      </c>
      <c r="Q21" s="24">
        <v>65</v>
      </c>
      <c r="R21" s="33">
        <f t="shared" si="0"/>
        <v>4751.5</v>
      </c>
      <c r="S21" s="54" t="s">
        <v>16</v>
      </c>
      <c r="T21" s="55"/>
      <c r="U21" s="55"/>
    </row>
    <row r="22" spans="1:21">
      <c r="A22" s="22">
        <v>46076</v>
      </c>
      <c r="B22" s="23" t="s">
        <v>19</v>
      </c>
      <c r="C22" s="24">
        <v>2060</v>
      </c>
      <c r="D22" s="23" t="s">
        <v>19</v>
      </c>
      <c r="E22" s="24">
        <v>2053</v>
      </c>
      <c r="F22" s="27">
        <v>4</v>
      </c>
      <c r="G22" s="24">
        <v>100</v>
      </c>
      <c r="H22" s="27">
        <v>18</v>
      </c>
      <c r="I22" s="24">
        <v>514</v>
      </c>
      <c r="J22" s="28">
        <v>4</v>
      </c>
      <c r="K22" s="24">
        <v>92</v>
      </c>
      <c r="L22" s="27">
        <v>2</v>
      </c>
      <c r="M22" s="24">
        <v>50</v>
      </c>
      <c r="N22" s="27">
        <v>1</v>
      </c>
      <c r="O22" s="25">
        <v>0.5</v>
      </c>
      <c r="P22" s="28">
        <v>2</v>
      </c>
      <c r="Q22" s="24">
        <v>60</v>
      </c>
      <c r="R22" s="33">
        <f t="shared" si="0"/>
        <v>4929.5</v>
      </c>
      <c r="S22" s="54" t="s">
        <v>18</v>
      </c>
      <c r="T22" s="55"/>
      <c r="U22" s="55"/>
    </row>
    <row r="23" spans="1:21">
      <c r="A23" s="22">
        <v>46077</v>
      </c>
      <c r="B23" s="23" t="s">
        <v>15</v>
      </c>
      <c r="C23" s="24">
        <v>1545</v>
      </c>
      <c r="D23" s="23" t="s">
        <v>15</v>
      </c>
      <c r="E23" s="24">
        <v>1578</v>
      </c>
      <c r="F23" s="27">
        <v>5</v>
      </c>
      <c r="G23" s="24">
        <v>125</v>
      </c>
      <c r="H23" s="27">
        <v>17</v>
      </c>
      <c r="I23" s="24">
        <v>493</v>
      </c>
      <c r="J23" s="28">
        <v>4</v>
      </c>
      <c r="K23" s="24">
        <v>86</v>
      </c>
      <c r="L23" s="27">
        <v>4</v>
      </c>
      <c r="M23" s="24">
        <v>100</v>
      </c>
      <c r="N23" s="27">
        <v>1</v>
      </c>
      <c r="O23" s="25">
        <v>0.5</v>
      </c>
      <c r="P23" s="28">
        <v>2</v>
      </c>
      <c r="Q23" s="24">
        <v>75</v>
      </c>
      <c r="R23" s="33">
        <f t="shared" si="0"/>
        <v>4002.5</v>
      </c>
      <c r="S23" s="54" t="s">
        <v>18</v>
      </c>
      <c r="T23" s="55"/>
      <c r="U23" s="55"/>
    </row>
    <row r="24" spans="1:21">
      <c r="A24" s="22">
        <v>46078</v>
      </c>
      <c r="B24" s="23" t="s">
        <v>15</v>
      </c>
      <c r="C24" s="24">
        <v>1545</v>
      </c>
      <c r="D24" s="23" t="s">
        <v>19</v>
      </c>
      <c r="E24" s="24">
        <v>2170</v>
      </c>
      <c r="F24" s="27">
        <v>5</v>
      </c>
      <c r="G24" s="24">
        <v>130</v>
      </c>
      <c r="H24" s="27">
        <v>19</v>
      </c>
      <c r="I24" s="24">
        <v>563</v>
      </c>
      <c r="J24" s="28">
        <v>3</v>
      </c>
      <c r="K24" s="24">
        <v>68</v>
      </c>
      <c r="L24" s="27">
        <v>4</v>
      </c>
      <c r="M24" s="24">
        <v>100</v>
      </c>
      <c r="N24" s="27">
        <v>1</v>
      </c>
      <c r="O24" s="25">
        <v>0.5</v>
      </c>
      <c r="P24" s="28">
        <v>3</v>
      </c>
      <c r="Q24" s="24">
        <v>75</v>
      </c>
      <c r="R24" s="33">
        <f t="shared" si="0"/>
        <v>4651.5</v>
      </c>
      <c r="S24" s="54" t="s">
        <v>18</v>
      </c>
      <c r="T24" s="55"/>
      <c r="U24" s="55"/>
    </row>
    <row r="25" spans="1:21">
      <c r="A25" s="22">
        <v>46079</v>
      </c>
      <c r="B25" s="23" t="s">
        <v>15</v>
      </c>
      <c r="C25" s="24">
        <v>1545</v>
      </c>
      <c r="D25" s="23" t="s">
        <v>15</v>
      </c>
      <c r="E25" s="24">
        <v>1545</v>
      </c>
      <c r="F25" s="27">
        <v>4</v>
      </c>
      <c r="G25" s="24">
        <v>125</v>
      </c>
      <c r="H25" s="27">
        <v>15</v>
      </c>
      <c r="I25" s="24">
        <v>384</v>
      </c>
      <c r="J25" s="28">
        <v>4</v>
      </c>
      <c r="K25" s="24">
        <v>82</v>
      </c>
      <c r="L25" s="27">
        <v>3</v>
      </c>
      <c r="M25" s="24">
        <v>70</v>
      </c>
      <c r="N25" s="27">
        <v>1</v>
      </c>
      <c r="O25" s="25">
        <v>0.5</v>
      </c>
      <c r="P25" s="28">
        <v>2</v>
      </c>
      <c r="Q25" s="24">
        <v>60</v>
      </c>
      <c r="R25" s="33">
        <f t="shared" si="0"/>
        <v>3811.5</v>
      </c>
      <c r="S25" s="54" t="s">
        <v>24</v>
      </c>
      <c r="T25" s="55"/>
      <c r="U25" s="55"/>
    </row>
    <row r="26" spans="1:21">
      <c r="A26" s="22">
        <v>46080</v>
      </c>
      <c r="B26" s="23">
        <v>0</v>
      </c>
      <c r="C26" s="24">
        <v>0</v>
      </c>
      <c r="D26" s="23">
        <v>0</v>
      </c>
      <c r="E26" s="24">
        <v>0</v>
      </c>
      <c r="F26" s="27">
        <v>0</v>
      </c>
      <c r="G26" s="24">
        <v>0</v>
      </c>
      <c r="H26" s="27">
        <v>0</v>
      </c>
      <c r="I26" s="24">
        <v>0</v>
      </c>
      <c r="J26" s="28">
        <v>0</v>
      </c>
      <c r="K26" s="24">
        <v>0</v>
      </c>
      <c r="L26" s="27">
        <v>0</v>
      </c>
      <c r="M26" s="24">
        <v>0</v>
      </c>
      <c r="N26" s="27">
        <v>0</v>
      </c>
      <c r="O26" s="27">
        <v>0</v>
      </c>
      <c r="P26" s="28">
        <v>0</v>
      </c>
      <c r="Q26" s="24">
        <v>0</v>
      </c>
      <c r="R26" s="33">
        <f t="shared" si="0"/>
        <v>0</v>
      </c>
      <c r="S26" s="58" t="s">
        <v>25</v>
      </c>
      <c r="T26" s="55"/>
      <c r="U26" s="55"/>
    </row>
    <row r="27" spans="1:21">
      <c r="A27" s="22"/>
      <c r="B27" s="23"/>
      <c r="C27" s="24"/>
      <c r="D27" s="23"/>
      <c r="E27" s="24"/>
      <c r="F27" s="27"/>
      <c r="G27" s="24"/>
      <c r="H27" s="27"/>
      <c r="I27" s="24"/>
      <c r="J27" s="28"/>
      <c r="K27" s="24"/>
      <c r="L27" s="27"/>
      <c r="M27" s="24"/>
      <c r="N27" s="27"/>
      <c r="O27" s="25"/>
      <c r="P27" s="28"/>
      <c r="Q27" s="24"/>
      <c r="R27" s="33"/>
      <c r="S27" s="54"/>
      <c r="T27" s="55"/>
      <c r="U27" s="55"/>
    </row>
    <row r="28" spans="1:21">
      <c r="A28" s="22"/>
      <c r="B28" s="23"/>
      <c r="C28" s="24"/>
      <c r="D28" s="23"/>
      <c r="E28" s="24"/>
      <c r="F28" s="27"/>
      <c r="G28" s="24"/>
      <c r="H28" s="27"/>
      <c r="I28" s="24"/>
      <c r="J28" s="28"/>
      <c r="K28" s="24"/>
      <c r="L28" s="27"/>
      <c r="M28" s="24"/>
      <c r="N28" s="27"/>
      <c r="O28" s="25"/>
      <c r="P28" s="28"/>
      <c r="Q28" s="24"/>
      <c r="R28" s="33"/>
      <c r="S28" s="54"/>
      <c r="T28" s="55"/>
      <c r="U28" s="55"/>
    </row>
    <row r="29" spans="1:21">
      <c r="A29" s="22"/>
      <c r="B29" s="23"/>
      <c r="C29" s="24"/>
      <c r="D29" s="23"/>
      <c r="E29" s="24"/>
      <c r="F29" s="27"/>
      <c r="G29" s="24"/>
      <c r="H29" s="27"/>
      <c r="I29" s="24"/>
      <c r="J29" s="28"/>
      <c r="K29" s="24"/>
      <c r="L29" s="27"/>
      <c r="M29" s="24"/>
      <c r="N29" s="27"/>
      <c r="O29" s="25"/>
      <c r="P29" s="28"/>
      <c r="Q29" s="24"/>
      <c r="R29" s="33"/>
      <c r="S29" s="54"/>
      <c r="T29" s="55"/>
      <c r="U29" s="55"/>
    </row>
    <row r="30" spans="1:21">
      <c r="A30" s="22"/>
      <c r="B30" s="23"/>
      <c r="C30" s="24"/>
      <c r="D30" s="23"/>
      <c r="E30" s="24"/>
      <c r="F30" s="27"/>
      <c r="G30" s="24"/>
      <c r="H30" s="27"/>
      <c r="I30" s="24"/>
      <c r="J30" s="28"/>
      <c r="K30" s="24"/>
      <c r="L30" s="27"/>
      <c r="M30" s="24"/>
      <c r="N30" s="27"/>
      <c r="O30" s="27"/>
      <c r="P30" s="28"/>
      <c r="Q30" s="24"/>
      <c r="R30" s="33"/>
      <c r="S30" s="54"/>
      <c r="T30" s="55"/>
      <c r="U30" s="55"/>
    </row>
    <row r="31" spans="1:21">
      <c r="A31" s="22"/>
      <c r="B31" s="23"/>
      <c r="C31" s="24"/>
      <c r="D31" s="23"/>
      <c r="E31" s="24"/>
      <c r="F31" s="27"/>
      <c r="G31" s="24"/>
      <c r="H31" s="27"/>
      <c r="I31" s="24"/>
      <c r="J31" s="28"/>
      <c r="K31" s="24"/>
      <c r="L31" s="27"/>
      <c r="M31" s="24"/>
      <c r="N31" s="27"/>
      <c r="O31" s="25"/>
      <c r="P31" s="28"/>
      <c r="Q31" s="24"/>
      <c r="R31" s="33"/>
    </row>
    <row r="32" spans="1:21">
      <c r="A32" s="22"/>
      <c r="B32" s="23"/>
      <c r="C32" s="24"/>
      <c r="D32" s="23"/>
      <c r="E32" s="24"/>
      <c r="F32" s="27"/>
      <c r="G32" s="24"/>
      <c r="H32" s="27"/>
      <c r="I32" s="24"/>
      <c r="J32" s="28"/>
      <c r="K32" s="24"/>
      <c r="L32" s="27"/>
      <c r="M32" s="24"/>
      <c r="N32" s="27"/>
      <c r="O32" s="25"/>
      <c r="P32" s="28"/>
      <c r="Q32" s="24"/>
      <c r="R32" s="33"/>
    </row>
    <row r="33" spans="1:18">
      <c r="A33" s="22"/>
      <c r="B33" s="23"/>
      <c r="C33" s="24"/>
      <c r="D33" s="23"/>
      <c r="E33" s="24"/>
      <c r="F33" s="27"/>
      <c r="G33" s="24"/>
      <c r="H33" s="27"/>
      <c r="I33" s="24"/>
      <c r="J33" s="28"/>
      <c r="K33" s="24"/>
      <c r="L33" s="27"/>
      <c r="M33" s="24"/>
      <c r="N33" s="27"/>
      <c r="O33" s="25"/>
      <c r="P33" s="28"/>
      <c r="Q33" s="24"/>
      <c r="R33" s="33"/>
    </row>
    <row r="34" spans="1:18">
      <c r="A34" s="22"/>
      <c r="B34" s="23"/>
      <c r="C34" s="24"/>
      <c r="D34" s="23"/>
      <c r="E34" s="24"/>
      <c r="F34" s="27"/>
      <c r="G34" s="24"/>
      <c r="H34" s="27"/>
      <c r="I34" s="24"/>
      <c r="J34" s="28"/>
      <c r="K34" s="24"/>
      <c r="L34" s="27"/>
      <c r="M34" s="24"/>
      <c r="N34" s="27"/>
      <c r="O34" s="25"/>
      <c r="P34" s="28"/>
      <c r="Q34" s="24"/>
      <c r="R34" s="33"/>
    </row>
    <row r="35" spans="1:18">
      <c r="A35" s="22"/>
      <c r="B35" s="23"/>
      <c r="C35" s="24"/>
      <c r="D35" s="23"/>
      <c r="E35" s="24"/>
      <c r="F35" s="27"/>
      <c r="G35" s="24"/>
      <c r="H35" s="27"/>
      <c r="I35" s="24"/>
      <c r="J35" s="28"/>
      <c r="K35" s="24"/>
      <c r="L35" s="27"/>
      <c r="M35" s="24"/>
      <c r="N35" s="27"/>
      <c r="O35" s="25"/>
      <c r="P35" s="28"/>
      <c r="Q35" s="24"/>
      <c r="R35" s="33"/>
    </row>
    <row r="36" spans="1:18">
      <c r="A36" s="22"/>
      <c r="B36" s="23"/>
      <c r="C36" s="24"/>
      <c r="D36" s="23"/>
      <c r="E36" s="24"/>
      <c r="F36" s="27"/>
      <c r="G36" s="24"/>
      <c r="H36" s="27"/>
      <c r="I36" s="24"/>
      <c r="J36" s="28"/>
      <c r="K36" s="24"/>
      <c r="L36" s="27"/>
      <c r="M36" s="24"/>
      <c r="N36" s="27"/>
      <c r="O36" s="25"/>
      <c r="P36" s="28"/>
      <c r="Q36" s="24"/>
      <c r="R36" s="33"/>
    </row>
    <row r="37" spans="1:18">
      <c r="A37" s="22"/>
      <c r="B37" s="23"/>
      <c r="C37" s="24"/>
      <c r="D37" s="23"/>
      <c r="E37" s="24"/>
      <c r="F37" s="27"/>
      <c r="G37" s="24"/>
      <c r="H37" s="27"/>
      <c r="I37" s="24"/>
      <c r="J37" s="28"/>
      <c r="K37" s="24"/>
      <c r="L37" s="27"/>
      <c r="M37" s="24"/>
      <c r="N37" s="27"/>
      <c r="O37" s="25"/>
      <c r="P37" s="28"/>
      <c r="Q37" s="24"/>
      <c r="R37" s="33"/>
    </row>
    <row r="38" spans="1:18">
      <c r="A38" s="22"/>
      <c r="B38" s="23"/>
      <c r="C38" s="24"/>
      <c r="D38" s="23"/>
      <c r="E38" s="24"/>
      <c r="F38" s="27"/>
      <c r="G38" s="24"/>
      <c r="H38" s="27"/>
      <c r="I38" s="24"/>
      <c r="J38" s="28"/>
      <c r="K38" s="24"/>
      <c r="L38" s="27"/>
      <c r="M38" s="24"/>
      <c r="N38" s="27"/>
      <c r="O38" s="25"/>
      <c r="P38" s="28"/>
      <c r="Q38" s="24"/>
      <c r="R38" s="33"/>
    </row>
    <row r="39" spans="1:18">
      <c r="A39" s="22"/>
      <c r="B39" s="23"/>
      <c r="C39" s="24"/>
      <c r="D39" s="23"/>
      <c r="E39" s="24"/>
      <c r="F39" s="27"/>
      <c r="G39" s="24"/>
      <c r="H39" s="27"/>
      <c r="I39" s="24"/>
      <c r="J39" s="28"/>
      <c r="K39" s="24"/>
      <c r="L39" s="27"/>
      <c r="M39" s="24"/>
      <c r="N39" s="27"/>
      <c r="O39" s="24"/>
      <c r="P39" s="28"/>
      <c r="Q39" s="24"/>
      <c r="R39" s="33"/>
    </row>
    <row r="40" spans="1:18">
      <c r="A40" s="22"/>
      <c r="B40" s="34"/>
      <c r="C40" s="35"/>
      <c r="D40" s="34"/>
      <c r="E40" s="35"/>
      <c r="F40" s="34"/>
      <c r="G40" s="35"/>
      <c r="H40" s="34"/>
      <c r="I40" s="35"/>
      <c r="J40" s="36"/>
      <c r="K40" s="35"/>
      <c r="L40" s="34"/>
      <c r="M40" s="35"/>
      <c r="N40" s="34"/>
      <c r="O40" s="35"/>
      <c r="P40" s="36"/>
      <c r="Q40" s="35"/>
      <c r="R40" s="33"/>
    </row>
    <row r="41" spans="1:18">
      <c r="A41" s="37"/>
      <c r="B41" s="38">
        <f t="shared" ref="B41:R41" si="1">SUM(B5:B40)</f>
        <v>0</v>
      </c>
      <c r="C41" s="38">
        <f t="shared" si="1"/>
        <v>35028</v>
      </c>
      <c r="D41" s="38">
        <f t="shared" si="1"/>
        <v>0</v>
      </c>
      <c r="E41" s="38">
        <f t="shared" si="1"/>
        <v>30389</v>
      </c>
      <c r="F41" s="38">
        <f t="shared" si="1"/>
        <v>107</v>
      </c>
      <c r="G41" s="38">
        <f t="shared" si="1"/>
        <v>2443</v>
      </c>
      <c r="H41" s="38">
        <f t="shared" si="1"/>
        <v>432</v>
      </c>
      <c r="I41" s="38">
        <f t="shared" si="1"/>
        <v>11965</v>
      </c>
      <c r="J41" s="38">
        <f t="shared" si="1"/>
        <v>122</v>
      </c>
      <c r="K41" s="38">
        <f t="shared" si="1"/>
        <v>2681</v>
      </c>
      <c r="L41" s="38">
        <f t="shared" si="1"/>
        <v>61</v>
      </c>
      <c r="M41" s="38">
        <f t="shared" si="1"/>
        <v>1600</v>
      </c>
      <c r="N41" s="38">
        <f t="shared" si="1"/>
        <v>20</v>
      </c>
      <c r="O41" s="38">
        <f t="shared" si="1"/>
        <v>10</v>
      </c>
      <c r="P41" s="38">
        <f t="shared" si="1"/>
        <v>38</v>
      </c>
      <c r="Q41" s="38">
        <f t="shared" si="1"/>
        <v>1152</v>
      </c>
      <c r="R41" s="39">
        <f t="shared" si="1"/>
        <v>85268</v>
      </c>
    </row>
    <row r="42" spans="1:18">
      <c r="A42" s="4"/>
      <c r="B42" s="40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</sheetData>
  <mergeCells count="34">
    <mergeCell ref="S27:U27"/>
    <mergeCell ref="S28:U28"/>
    <mergeCell ref="S29:U29"/>
    <mergeCell ref="S30:U30"/>
    <mergeCell ref="S22:U22"/>
    <mergeCell ref="S23:U23"/>
    <mergeCell ref="S24:U24"/>
    <mergeCell ref="S25:U25"/>
    <mergeCell ref="S26:U26"/>
    <mergeCell ref="S17:U17"/>
    <mergeCell ref="S18:U18"/>
    <mergeCell ref="S19:U19"/>
    <mergeCell ref="S20:U20"/>
    <mergeCell ref="S21:U21"/>
    <mergeCell ref="S12:U12"/>
    <mergeCell ref="S13:U13"/>
    <mergeCell ref="S14:U14"/>
    <mergeCell ref="S15:U15"/>
    <mergeCell ref="S16:U16"/>
    <mergeCell ref="S7:U7"/>
    <mergeCell ref="S8:U8"/>
    <mergeCell ref="S9:U9"/>
    <mergeCell ref="S10:U10"/>
    <mergeCell ref="S11:U11"/>
    <mergeCell ref="B3:C3"/>
    <mergeCell ref="D3:E3"/>
    <mergeCell ref="L3:M3"/>
    <mergeCell ref="S5:U5"/>
    <mergeCell ref="S6:U6"/>
    <mergeCell ref="B2:E2"/>
    <mergeCell ref="F2:G2"/>
    <mergeCell ref="H2:I2"/>
    <mergeCell ref="J2:K2"/>
    <mergeCell ref="L2:M2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2"/>
  <sheetViews>
    <sheetView workbookViewId="0">
      <selection activeCell="S21" sqref="S21:U21"/>
    </sheetView>
  </sheetViews>
  <sheetFormatPr defaultColWidth="9" defaultRowHeight="15"/>
  <sheetData>
    <row r="1" spans="1:22">
      <c r="A1" s="1">
        <v>46082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22">
      <c r="A2" s="5"/>
      <c r="B2" s="44" t="s">
        <v>0</v>
      </c>
      <c r="C2" s="45"/>
      <c r="D2" s="45"/>
      <c r="E2" s="46"/>
      <c r="F2" s="44" t="s">
        <v>1</v>
      </c>
      <c r="G2" s="46"/>
      <c r="H2" s="44" t="s">
        <v>2</v>
      </c>
      <c r="I2" s="46"/>
      <c r="J2" s="44" t="s">
        <v>3</v>
      </c>
      <c r="K2" s="46"/>
      <c r="L2" s="47" t="s">
        <v>4</v>
      </c>
      <c r="M2" s="48"/>
      <c r="N2" s="6" t="s">
        <v>5</v>
      </c>
      <c r="O2" s="7"/>
      <c r="P2" s="8" t="s">
        <v>6</v>
      </c>
      <c r="Q2" s="7"/>
      <c r="R2" s="9" t="s">
        <v>7</v>
      </c>
    </row>
    <row r="3" spans="1:22">
      <c r="A3" s="10" t="s">
        <v>8</v>
      </c>
      <c r="B3" s="49" t="s">
        <v>9</v>
      </c>
      <c r="C3" s="50"/>
      <c r="D3" s="50" t="s">
        <v>10</v>
      </c>
      <c r="E3" s="51"/>
      <c r="F3" s="11"/>
      <c r="G3" s="12"/>
      <c r="H3" s="11"/>
      <c r="I3" s="12"/>
      <c r="J3" s="11"/>
      <c r="K3" s="12"/>
      <c r="L3" s="52" t="s">
        <v>11</v>
      </c>
      <c r="M3" s="53"/>
      <c r="N3" s="13"/>
      <c r="O3" s="14"/>
      <c r="P3" s="15"/>
      <c r="Q3" s="14"/>
      <c r="R3" s="16" t="s">
        <v>12</v>
      </c>
    </row>
    <row r="4" spans="1:22">
      <c r="A4" s="17"/>
      <c r="B4" s="18" t="s">
        <v>13</v>
      </c>
      <c r="C4" s="19" t="s">
        <v>14</v>
      </c>
      <c r="D4" s="18" t="s">
        <v>13</v>
      </c>
      <c r="E4" s="19" t="s">
        <v>14</v>
      </c>
      <c r="F4" s="18" t="s">
        <v>13</v>
      </c>
      <c r="G4" s="19" t="s">
        <v>14</v>
      </c>
      <c r="H4" s="18" t="s">
        <v>13</v>
      </c>
      <c r="I4" s="17" t="s">
        <v>14</v>
      </c>
      <c r="J4" s="20" t="s">
        <v>13</v>
      </c>
      <c r="K4" s="19" t="s">
        <v>14</v>
      </c>
      <c r="L4" s="18" t="s">
        <v>13</v>
      </c>
      <c r="M4" s="19" t="s">
        <v>14</v>
      </c>
      <c r="N4" s="18" t="s">
        <v>13</v>
      </c>
      <c r="O4" s="19" t="s">
        <v>14</v>
      </c>
      <c r="P4" s="20" t="s">
        <v>13</v>
      </c>
      <c r="Q4" s="19" t="s">
        <v>14</v>
      </c>
      <c r="R4" s="21"/>
    </row>
    <row r="5" spans="1:22">
      <c r="A5" s="22">
        <v>46081</v>
      </c>
      <c r="B5" s="23" t="s">
        <v>17</v>
      </c>
      <c r="C5" s="24">
        <v>1030</v>
      </c>
      <c r="D5" s="23" t="s">
        <v>17</v>
      </c>
      <c r="E5" s="24">
        <v>1030</v>
      </c>
      <c r="F5" s="24">
        <v>2</v>
      </c>
      <c r="G5" s="24">
        <v>50</v>
      </c>
      <c r="H5" s="24">
        <v>14</v>
      </c>
      <c r="I5" s="24">
        <v>445</v>
      </c>
      <c r="J5" s="24">
        <v>2</v>
      </c>
      <c r="K5" s="24">
        <v>50</v>
      </c>
      <c r="L5" s="24">
        <v>2</v>
      </c>
      <c r="M5" s="24">
        <v>50</v>
      </c>
      <c r="N5" s="24">
        <v>1</v>
      </c>
      <c r="O5" s="25">
        <v>0.5</v>
      </c>
      <c r="P5" s="24">
        <v>1</v>
      </c>
      <c r="Q5" s="24">
        <v>30</v>
      </c>
      <c r="R5" s="26">
        <f t="shared" ref="R5:R37" si="0">+C5+E5+G5+I5+K5+M5+O5+Q5</f>
        <v>2685.5</v>
      </c>
      <c r="S5" s="54" t="s">
        <v>24</v>
      </c>
      <c r="T5" s="55"/>
      <c r="U5" s="55"/>
    </row>
    <row r="6" spans="1:22">
      <c r="A6" s="22">
        <v>46083</v>
      </c>
      <c r="B6" s="23" t="s">
        <v>19</v>
      </c>
      <c r="C6" s="24">
        <v>2060</v>
      </c>
      <c r="D6" s="23" t="s">
        <v>19</v>
      </c>
      <c r="E6" s="24">
        <v>2060</v>
      </c>
      <c r="F6" s="27">
        <v>4</v>
      </c>
      <c r="G6" s="24">
        <v>100</v>
      </c>
      <c r="H6" s="27">
        <v>19</v>
      </c>
      <c r="I6" s="24">
        <v>552</v>
      </c>
      <c r="J6" s="28">
        <v>1</v>
      </c>
      <c r="K6" s="24">
        <v>24</v>
      </c>
      <c r="L6" s="27">
        <v>4</v>
      </c>
      <c r="M6" s="24">
        <v>120</v>
      </c>
      <c r="N6" s="27">
        <v>1</v>
      </c>
      <c r="O6" s="25">
        <v>0.5</v>
      </c>
      <c r="P6" s="28">
        <v>1</v>
      </c>
      <c r="Q6" s="24">
        <v>30</v>
      </c>
      <c r="R6" s="26">
        <f t="shared" si="0"/>
        <v>4946.5</v>
      </c>
      <c r="S6" s="54" t="s">
        <v>24</v>
      </c>
      <c r="T6" s="55"/>
      <c r="U6" s="55"/>
    </row>
    <row r="7" spans="1:22">
      <c r="A7" s="22">
        <v>46084</v>
      </c>
      <c r="B7" s="23" t="s">
        <v>15</v>
      </c>
      <c r="C7" s="24">
        <v>1545</v>
      </c>
      <c r="D7" s="23" t="s">
        <v>17</v>
      </c>
      <c r="E7" s="24">
        <v>1030</v>
      </c>
      <c r="F7" s="27">
        <v>2</v>
      </c>
      <c r="G7" s="24">
        <v>50</v>
      </c>
      <c r="H7" s="27">
        <v>21</v>
      </c>
      <c r="I7" s="24">
        <v>655</v>
      </c>
      <c r="J7" s="28">
        <v>2</v>
      </c>
      <c r="K7" s="24">
        <v>60</v>
      </c>
      <c r="L7" s="27">
        <v>3</v>
      </c>
      <c r="M7" s="24">
        <v>75</v>
      </c>
      <c r="N7" s="27">
        <v>1</v>
      </c>
      <c r="O7" s="25">
        <v>0.5</v>
      </c>
      <c r="P7" s="28">
        <v>1</v>
      </c>
      <c r="Q7" s="24">
        <v>40</v>
      </c>
      <c r="R7" s="26">
        <f t="shared" si="0"/>
        <v>3455.5</v>
      </c>
      <c r="S7" s="54" t="s">
        <v>24</v>
      </c>
      <c r="T7" s="55"/>
      <c r="U7" s="55"/>
    </row>
    <row r="8" spans="1:22">
      <c r="A8" s="22">
        <v>46085</v>
      </c>
      <c r="B8" s="23" t="s">
        <v>19</v>
      </c>
      <c r="C8" s="24">
        <v>2060</v>
      </c>
      <c r="D8" s="23" t="s">
        <v>19</v>
      </c>
      <c r="E8" s="24">
        <v>2060</v>
      </c>
      <c r="F8" s="27">
        <v>3</v>
      </c>
      <c r="G8" s="24">
        <v>75</v>
      </c>
      <c r="H8" s="27">
        <v>20</v>
      </c>
      <c r="I8" s="24">
        <v>634</v>
      </c>
      <c r="J8" s="28">
        <v>2</v>
      </c>
      <c r="K8" s="24">
        <v>65</v>
      </c>
      <c r="L8" s="27">
        <v>2</v>
      </c>
      <c r="M8" s="24">
        <v>50</v>
      </c>
      <c r="N8" s="27">
        <v>1</v>
      </c>
      <c r="O8" s="25">
        <v>0.5</v>
      </c>
      <c r="P8" s="28">
        <v>1</v>
      </c>
      <c r="Q8" s="24">
        <v>30</v>
      </c>
      <c r="R8" s="26">
        <f t="shared" si="0"/>
        <v>4974.5</v>
      </c>
      <c r="S8" s="54" t="s">
        <v>24</v>
      </c>
      <c r="T8" s="55"/>
      <c r="U8" s="55"/>
    </row>
    <row r="9" spans="1:22">
      <c r="A9" s="22">
        <v>46086</v>
      </c>
      <c r="B9" s="23" t="s">
        <v>19</v>
      </c>
      <c r="C9" s="24">
        <v>2060</v>
      </c>
      <c r="D9" s="23" t="s">
        <v>19</v>
      </c>
      <c r="E9" s="24">
        <v>2060</v>
      </c>
      <c r="F9" s="27">
        <v>2</v>
      </c>
      <c r="G9" s="29">
        <v>50</v>
      </c>
      <c r="H9" s="27">
        <v>23</v>
      </c>
      <c r="I9" s="24">
        <v>677</v>
      </c>
      <c r="J9" s="28">
        <v>1</v>
      </c>
      <c r="K9" s="24">
        <v>25</v>
      </c>
      <c r="L9" s="27">
        <v>3</v>
      </c>
      <c r="M9" s="24">
        <v>75</v>
      </c>
      <c r="N9" s="27">
        <v>1</v>
      </c>
      <c r="O9" s="25">
        <v>0.5</v>
      </c>
      <c r="P9" s="28">
        <v>1</v>
      </c>
      <c r="Q9" s="24">
        <v>25</v>
      </c>
      <c r="R9" s="26">
        <f t="shared" si="0"/>
        <v>4972.5</v>
      </c>
      <c r="S9" s="54" t="s">
        <v>24</v>
      </c>
      <c r="T9" s="55"/>
      <c r="U9" s="55"/>
    </row>
    <row r="10" spans="1:22">
      <c r="A10" s="22">
        <v>46087</v>
      </c>
      <c r="B10" s="23" t="s">
        <v>15</v>
      </c>
      <c r="C10" s="24">
        <v>1545</v>
      </c>
      <c r="D10" s="23" t="s">
        <v>19</v>
      </c>
      <c r="E10" s="24">
        <v>2060</v>
      </c>
      <c r="F10" s="27">
        <v>3</v>
      </c>
      <c r="G10" s="24">
        <v>75</v>
      </c>
      <c r="H10" s="27">
        <v>23</v>
      </c>
      <c r="I10" s="24">
        <v>659</v>
      </c>
      <c r="J10" s="28">
        <v>2</v>
      </c>
      <c r="K10" s="24">
        <v>56</v>
      </c>
      <c r="L10" s="27">
        <v>3</v>
      </c>
      <c r="M10" s="24">
        <v>79</v>
      </c>
      <c r="N10" s="27">
        <v>1</v>
      </c>
      <c r="O10" s="25">
        <v>0.5</v>
      </c>
      <c r="P10" s="28">
        <v>1</v>
      </c>
      <c r="Q10" s="24">
        <v>30</v>
      </c>
      <c r="R10" s="26">
        <f t="shared" si="0"/>
        <v>4504.5</v>
      </c>
      <c r="S10" s="54" t="s">
        <v>24</v>
      </c>
      <c r="T10" s="55"/>
      <c r="U10" s="55"/>
    </row>
    <row r="11" spans="1:22">
      <c r="A11" s="22">
        <v>46088</v>
      </c>
      <c r="B11" s="23" t="s">
        <v>15</v>
      </c>
      <c r="C11" s="24">
        <v>1545</v>
      </c>
      <c r="D11" s="23" t="s">
        <v>15</v>
      </c>
      <c r="E11" s="24">
        <v>1545</v>
      </c>
      <c r="F11" s="27">
        <v>2</v>
      </c>
      <c r="G11" s="24">
        <v>50</v>
      </c>
      <c r="H11" s="27">
        <v>18</v>
      </c>
      <c r="I11" s="24">
        <v>465</v>
      </c>
      <c r="J11" s="28">
        <v>1</v>
      </c>
      <c r="K11" s="24">
        <v>30</v>
      </c>
      <c r="L11" s="27">
        <v>3</v>
      </c>
      <c r="M11" s="24">
        <v>75</v>
      </c>
      <c r="N11" s="27">
        <v>1</v>
      </c>
      <c r="O11" s="25">
        <v>0.5</v>
      </c>
      <c r="P11" s="28">
        <v>1</v>
      </c>
      <c r="Q11" s="24">
        <v>30</v>
      </c>
      <c r="R11" s="26">
        <f t="shared" si="0"/>
        <v>3740.5</v>
      </c>
      <c r="S11" s="54" t="s">
        <v>24</v>
      </c>
      <c r="T11" s="55"/>
      <c r="U11" s="55"/>
    </row>
    <row r="12" spans="1:22">
      <c r="A12" s="22">
        <v>46090</v>
      </c>
      <c r="B12" s="23" t="s">
        <v>15</v>
      </c>
      <c r="C12" s="24">
        <v>1545</v>
      </c>
      <c r="D12" s="23" t="s">
        <v>19</v>
      </c>
      <c r="E12" s="24">
        <v>2060</v>
      </c>
      <c r="F12" s="30">
        <v>2</v>
      </c>
      <c r="G12" s="31">
        <v>50</v>
      </c>
      <c r="H12" s="28">
        <v>17</v>
      </c>
      <c r="I12" s="24">
        <v>424</v>
      </c>
      <c r="J12" s="27">
        <v>1</v>
      </c>
      <c r="K12" s="24">
        <v>30</v>
      </c>
      <c r="L12" s="27">
        <v>2</v>
      </c>
      <c r="M12" s="24">
        <v>75</v>
      </c>
      <c r="N12" s="27">
        <v>1</v>
      </c>
      <c r="O12" s="25">
        <v>0.5</v>
      </c>
      <c r="P12" s="28">
        <v>1</v>
      </c>
      <c r="Q12" s="24">
        <v>30</v>
      </c>
      <c r="R12" s="26">
        <f t="shared" si="0"/>
        <v>4214.5</v>
      </c>
      <c r="S12" s="54" t="s">
        <v>24</v>
      </c>
      <c r="T12" s="55"/>
      <c r="U12" s="55"/>
      <c r="V12" t="s">
        <v>26</v>
      </c>
    </row>
    <row r="13" spans="1:22">
      <c r="A13" s="22">
        <v>46090</v>
      </c>
      <c r="B13" s="23" t="s">
        <v>17</v>
      </c>
      <c r="C13" s="24">
        <v>1250</v>
      </c>
      <c r="D13" s="23" t="s">
        <v>17</v>
      </c>
      <c r="E13" s="24">
        <v>1305</v>
      </c>
      <c r="F13" s="27">
        <v>2</v>
      </c>
      <c r="G13" s="24">
        <v>30</v>
      </c>
      <c r="H13" s="27">
        <v>14</v>
      </c>
      <c r="I13" s="29">
        <v>360</v>
      </c>
      <c r="J13" s="27">
        <v>2</v>
      </c>
      <c r="K13" s="29">
        <v>60</v>
      </c>
      <c r="L13" s="27">
        <v>2</v>
      </c>
      <c r="M13" s="29">
        <v>50</v>
      </c>
      <c r="N13" s="27">
        <v>1</v>
      </c>
      <c r="O13" s="25">
        <v>0.5</v>
      </c>
      <c r="P13" s="27">
        <v>1</v>
      </c>
      <c r="Q13" s="29">
        <v>25</v>
      </c>
      <c r="R13" s="26">
        <f t="shared" si="0"/>
        <v>3080.5</v>
      </c>
      <c r="S13" s="54" t="s">
        <v>27</v>
      </c>
      <c r="T13" s="55"/>
      <c r="U13" s="55"/>
      <c r="V13" t="s">
        <v>28</v>
      </c>
    </row>
    <row r="14" spans="1:22">
      <c r="A14" s="22">
        <v>46091</v>
      </c>
      <c r="B14" s="23" t="s">
        <v>17</v>
      </c>
      <c r="C14" s="24">
        <v>1030</v>
      </c>
      <c r="D14" s="23" t="s">
        <v>29</v>
      </c>
      <c r="E14" s="24">
        <v>515</v>
      </c>
      <c r="F14" s="27">
        <v>2</v>
      </c>
      <c r="G14" s="24">
        <v>50</v>
      </c>
      <c r="H14" s="27">
        <v>10</v>
      </c>
      <c r="I14" s="24">
        <v>269</v>
      </c>
      <c r="J14" s="27">
        <v>2</v>
      </c>
      <c r="K14" s="32">
        <v>56</v>
      </c>
      <c r="L14" s="27">
        <v>2</v>
      </c>
      <c r="M14" s="24">
        <v>55</v>
      </c>
      <c r="N14" s="27">
        <v>1</v>
      </c>
      <c r="O14" s="25">
        <v>0.5</v>
      </c>
      <c r="P14" s="28">
        <v>1</v>
      </c>
      <c r="Q14" s="24">
        <v>30</v>
      </c>
      <c r="R14" s="26">
        <f t="shared" si="0"/>
        <v>2005.5</v>
      </c>
      <c r="S14" s="54" t="s">
        <v>24</v>
      </c>
      <c r="T14" s="55"/>
      <c r="U14" s="55"/>
      <c r="V14" t="s">
        <v>26</v>
      </c>
    </row>
    <row r="15" spans="1:22">
      <c r="A15" s="22">
        <v>46091</v>
      </c>
      <c r="B15" s="23" t="s">
        <v>15</v>
      </c>
      <c r="C15" s="24">
        <v>1866</v>
      </c>
      <c r="D15" s="23" t="s">
        <v>17</v>
      </c>
      <c r="E15" s="24">
        <v>1275</v>
      </c>
      <c r="F15" s="27">
        <v>2</v>
      </c>
      <c r="G15" s="24">
        <v>45</v>
      </c>
      <c r="H15" s="27">
        <v>14</v>
      </c>
      <c r="I15" s="24">
        <v>375</v>
      </c>
      <c r="J15" s="28">
        <v>2</v>
      </c>
      <c r="K15" s="24">
        <v>65</v>
      </c>
      <c r="L15" s="27">
        <v>2</v>
      </c>
      <c r="M15" s="24">
        <v>75</v>
      </c>
      <c r="N15" s="27">
        <v>1</v>
      </c>
      <c r="O15" s="25">
        <v>0.5</v>
      </c>
      <c r="P15" s="28">
        <v>1</v>
      </c>
      <c r="Q15" s="24">
        <v>25</v>
      </c>
      <c r="R15" s="26">
        <f t="shared" si="0"/>
        <v>3726.5</v>
      </c>
      <c r="S15" s="54" t="s">
        <v>27</v>
      </c>
      <c r="T15" s="55"/>
      <c r="U15" s="55"/>
      <c r="V15" t="s">
        <v>28</v>
      </c>
    </row>
    <row r="16" spans="1:22">
      <c r="A16" s="22">
        <v>46092</v>
      </c>
      <c r="B16" s="23" t="s">
        <v>17</v>
      </c>
      <c r="C16" s="24">
        <v>1030</v>
      </c>
      <c r="D16" s="23" t="s">
        <v>30</v>
      </c>
      <c r="E16" s="24">
        <v>1545</v>
      </c>
      <c r="F16" s="27">
        <v>2</v>
      </c>
      <c r="G16" s="24">
        <v>50</v>
      </c>
      <c r="H16" s="27">
        <v>12</v>
      </c>
      <c r="I16" s="24">
        <v>310</v>
      </c>
      <c r="J16" s="28">
        <v>1</v>
      </c>
      <c r="K16" s="24">
        <v>30</v>
      </c>
      <c r="L16" s="27">
        <v>3</v>
      </c>
      <c r="M16" s="24">
        <v>95</v>
      </c>
      <c r="N16" s="27">
        <v>1</v>
      </c>
      <c r="O16" s="25">
        <v>0.5</v>
      </c>
      <c r="P16" s="28">
        <v>1</v>
      </c>
      <c r="Q16" s="24">
        <v>30</v>
      </c>
      <c r="R16" s="26">
        <f t="shared" si="0"/>
        <v>3090.5</v>
      </c>
      <c r="S16" s="54" t="s">
        <v>24</v>
      </c>
      <c r="T16" s="55"/>
      <c r="U16" s="55"/>
      <c r="V16" t="s">
        <v>26</v>
      </c>
    </row>
    <row r="17" spans="1:22">
      <c r="A17" s="22">
        <v>46092</v>
      </c>
      <c r="B17" s="23" t="s">
        <v>15</v>
      </c>
      <c r="C17" s="24">
        <v>1659</v>
      </c>
      <c r="D17" s="23" t="s">
        <v>15</v>
      </c>
      <c r="E17" s="24">
        <v>1682</v>
      </c>
      <c r="F17" s="27">
        <v>2</v>
      </c>
      <c r="G17" s="24">
        <v>35</v>
      </c>
      <c r="H17" s="27">
        <v>8</v>
      </c>
      <c r="I17" s="24">
        <v>282</v>
      </c>
      <c r="J17" s="28">
        <v>2</v>
      </c>
      <c r="K17" s="24">
        <v>60</v>
      </c>
      <c r="L17" s="27">
        <v>2</v>
      </c>
      <c r="M17" s="24">
        <v>50</v>
      </c>
      <c r="N17" s="27">
        <v>1</v>
      </c>
      <c r="O17" s="25">
        <v>0.5</v>
      </c>
      <c r="P17" s="28">
        <v>1</v>
      </c>
      <c r="Q17" s="24">
        <v>35</v>
      </c>
      <c r="R17" s="26">
        <f t="shared" si="0"/>
        <v>3803.5</v>
      </c>
      <c r="S17" s="54" t="s">
        <v>27</v>
      </c>
      <c r="T17" s="55"/>
      <c r="U17" s="55"/>
      <c r="V17" t="s">
        <v>28</v>
      </c>
    </row>
    <row r="18" spans="1:22">
      <c r="A18" s="22">
        <v>46093</v>
      </c>
      <c r="B18" s="23" t="s">
        <v>15</v>
      </c>
      <c r="C18" s="24">
        <v>1545</v>
      </c>
      <c r="D18" s="23" t="s">
        <v>15</v>
      </c>
      <c r="E18" s="24">
        <v>1545</v>
      </c>
      <c r="F18" s="27">
        <v>4</v>
      </c>
      <c r="G18" s="24">
        <v>100</v>
      </c>
      <c r="H18" s="27">
        <v>11</v>
      </c>
      <c r="I18" s="24">
        <v>279</v>
      </c>
      <c r="J18" s="28">
        <v>1</v>
      </c>
      <c r="K18" s="24">
        <v>30</v>
      </c>
      <c r="L18" s="27">
        <v>3</v>
      </c>
      <c r="M18" s="24">
        <v>75</v>
      </c>
      <c r="N18" s="27">
        <v>1</v>
      </c>
      <c r="O18" s="25">
        <v>0.5</v>
      </c>
      <c r="P18" s="28">
        <v>1</v>
      </c>
      <c r="Q18" s="24">
        <v>30</v>
      </c>
      <c r="R18" s="26">
        <f t="shared" si="0"/>
        <v>3604.5</v>
      </c>
      <c r="S18" s="54" t="s">
        <v>24</v>
      </c>
      <c r="T18" s="55"/>
      <c r="U18" s="55"/>
    </row>
    <row r="19" spans="1:22">
      <c r="A19" s="22">
        <v>46094</v>
      </c>
      <c r="B19" s="23" t="s">
        <v>15</v>
      </c>
      <c r="C19" s="24">
        <v>1545</v>
      </c>
      <c r="D19" s="23" t="s">
        <v>15</v>
      </c>
      <c r="E19" s="24">
        <v>1545</v>
      </c>
      <c r="F19" s="27">
        <v>4</v>
      </c>
      <c r="G19" s="24">
        <v>100</v>
      </c>
      <c r="H19" s="27">
        <v>10</v>
      </c>
      <c r="I19" s="24">
        <v>235</v>
      </c>
      <c r="J19" s="28">
        <v>1</v>
      </c>
      <c r="K19" s="24">
        <v>50</v>
      </c>
      <c r="L19" s="27">
        <v>3</v>
      </c>
      <c r="M19" s="24">
        <v>60</v>
      </c>
      <c r="N19" s="27">
        <v>1</v>
      </c>
      <c r="O19" s="25">
        <v>0.5</v>
      </c>
      <c r="P19" s="28">
        <v>1</v>
      </c>
      <c r="Q19" s="24">
        <v>30</v>
      </c>
      <c r="R19" s="26">
        <f t="shared" si="0"/>
        <v>3565.5</v>
      </c>
      <c r="S19" s="54" t="s">
        <v>24</v>
      </c>
      <c r="T19" s="55"/>
      <c r="U19" s="55"/>
    </row>
    <row r="20" spans="1:22">
      <c r="A20" s="22">
        <v>46095</v>
      </c>
      <c r="B20" s="23" t="s">
        <v>15</v>
      </c>
      <c r="C20" s="24">
        <v>1545</v>
      </c>
      <c r="D20" s="23" t="s">
        <v>15</v>
      </c>
      <c r="E20" s="24">
        <v>1545</v>
      </c>
      <c r="F20" s="27">
        <v>4</v>
      </c>
      <c r="G20" s="24">
        <v>100</v>
      </c>
      <c r="H20" s="27">
        <v>8</v>
      </c>
      <c r="I20" s="24">
        <v>186</v>
      </c>
      <c r="J20" s="28">
        <v>1</v>
      </c>
      <c r="K20" s="24">
        <v>30</v>
      </c>
      <c r="L20" s="27">
        <v>2</v>
      </c>
      <c r="M20" s="24">
        <v>50</v>
      </c>
      <c r="N20" s="27">
        <v>1</v>
      </c>
      <c r="O20" s="25">
        <v>0.5</v>
      </c>
      <c r="P20" s="28">
        <v>1</v>
      </c>
      <c r="Q20" s="24">
        <v>40</v>
      </c>
      <c r="R20" s="26">
        <f t="shared" si="0"/>
        <v>3496.5</v>
      </c>
      <c r="S20" s="54" t="s">
        <v>24</v>
      </c>
      <c r="T20" s="55"/>
      <c r="U20" s="55"/>
    </row>
    <row r="21" spans="1:22">
      <c r="A21" s="22">
        <v>46098</v>
      </c>
      <c r="B21" s="23" t="s">
        <v>19</v>
      </c>
      <c r="C21" s="24">
        <v>2145</v>
      </c>
      <c r="D21" s="23" t="s">
        <v>20</v>
      </c>
      <c r="E21" s="24">
        <v>2402</v>
      </c>
      <c r="F21" s="27">
        <v>6</v>
      </c>
      <c r="G21" s="24">
        <v>120</v>
      </c>
      <c r="H21" s="27">
        <v>5</v>
      </c>
      <c r="I21" s="24">
        <v>135</v>
      </c>
      <c r="J21" s="28">
        <v>2</v>
      </c>
      <c r="K21" s="24">
        <v>45</v>
      </c>
      <c r="L21" s="27">
        <v>5</v>
      </c>
      <c r="M21" s="24">
        <v>100</v>
      </c>
      <c r="N21" s="27">
        <v>1</v>
      </c>
      <c r="O21" s="25">
        <v>0.5</v>
      </c>
      <c r="P21" s="28">
        <v>1</v>
      </c>
      <c r="Q21" s="24">
        <v>30</v>
      </c>
      <c r="R21" s="26">
        <f t="shared" si="0"/>
        <v>4977.5</v>
      </c>
      <c r="S21" s="54" t="s">
        <v>16</v>
      </c>
      <c r="T21" s="55"/>
      <c r="U21" s="55"/>
    </row>
    <row r="22" spans="1:22">
      <c r="A22" s="22">
        <v>46099</v>
      </c>
      <c r="B22" s="23" t="s">
        <v>15</v>
      </c>
      <c r="C22" s="24">
        <v>1545</v>
      </c>
      <c r="D22" s="23" t="s">
        <v>19</v>
      </c>
      <c r="E22" s="24">
        <v>2060</v>
      </c>
      <c r="F22" s="27">
        <v>4</v>
      </c>
      <c r="G22" s="24">
        <v>100</v>
      </c>
      <c r="H22" s="27">
        <v>6</v>
      </c>
      <c r="I22" s="24">
        <v>135</v>
      </c>
      <c r="J22" s="28">
        <v>2</v>
      </c>
      <c r="K22" s="24">
        <v>48</v>
      </c>
      <c r="L22" s="27">
        <v>4</v>
      </c>
      <c r="M22" s="24">
        <v>75</v>
      </c>
      <c r="N22" s="27">
        <v>1</v>
      </c>
      <c r="O22" s="25">
        <v>0.5</v>
      </c>
      <c r="P22" s="28">
        <v>1</v>
      </c>
      <c r="Q22" s="24">
        <v>27</v>
      </c>
      <c r="R22" s="26">
        <f t="shared" si="0"/>
        <v>3990.5</v>
      </c>
      <c r="S22" s="54" t="s">
        <v>24</v>
      </c>
      <c r="T22" s="55"/>
      <c r="U22" s="55"/>
    </row>
    <row r="23" spans="1:22">
      <c r="A23" s="22">
        <v>46100</v>
      </c>
      <c r="B23" s="23" t="s">
        <v>19</v>
      </c>
      <c r="C23" s="24">
        <v>2060</v>
      </c>
      <c r="D23" s="23" t="s">
        <v>20</v>
      </c>
      <c r="E23" s="24">
        <v>2499</v>
      </c>
      <c r="F23" s="27">
        <v>10</v>
      </c>
      <c r="G23" s="24">
        <v>225</v>
      </c>
      <c r="H23" s="27">
        <v>7</v>
      </c>
      <c r="I23" s="24">
        <v>179</v>
      </c>
      <c r="J23" s="28">
        <v>1</v>
      </c>
      <c r="K23" s="24">
        <v>30</v>
      </c>
      <c r="L23" s="27">
        <v>4</v>
      </c>
      <c r="M23" s="24">
        <v>100</v>
      </c>
      <c r="N23" s="27">
        <v>1</v>
      </c>
      <c r="O23" s="25">
        <v>0.5</v>
      </c>
      <c r="P23" s="28">
        <v>1</v>
      </c>
      <c r="Q23" s="24">
        <v>30</v>
      </c>
      <c r="R23" s="26">
        <f t="shared" si="0"/>
        <v>5123.5</v>
      </c>
      <c r="S23" s="54" t="s">
        <v>18</v>
      </c>
      <c r="T23" s="55"/>
      <c r="U23" s="55"/>
    </row>
    <row r="24" spans="1:22">
      <c r="A24" s="22">
        <v>46101</v>
      </c>
      <c r="B24" s="23" t="s">
        <v>19</v>
      </c>
      <c r="C24" s="24">
        <v>2060</v>
      </c>
      <c r="D24" s="23" t="s">
        <v>19</v>
      </c>
      <c r="E24" s="24">
        <v>2008</v>
      </c>
      <c r="F24" s="27">
        <v>4</v>
      </c>
      <c r="G24" s="24">
        <v>100</v>
      </c>
      <c r="H24" s="27">
        <v>8</v>
      </c>
      <c r="I24" s="24">
        <v>249</v>
      </c>
      <c r="J24" s="28">
        <v>1</v>
      </c>
      <c r="K24" s="24">
        <v>34</v>
      </c>
      <c r="L24" s="27">
        <v>6</v>
      </c>
      <c r="M24" s="24">
        <v>150</v>
      </c>
      <c r="N24" s="27">
        <v>1</v>
      </c>
      <c r="O24" s="25">
        <v>0.5</v>
      </c>
      <c r="P24" s="28">
        <v>1</v>
      </c>
      <c r="Q24" s="24">
        <v>30</v>
      </c>
      <c r="R24" s="26">
        <f t="shared" si="0"/>
        <v>4631.5</v>
      </c>
      <c r="S24" s="54" t="s">
        <v>18</v>
      </c>
      <c r="T24" s="55"/>
      <c r="U24" s="55"/>
    </row>
    <row r="25" spans="1:22">
      <c r="A25" s="22">
        <v>46104</v>
      </c>
      <c r="B25" s="23" t="s">
        <v>15</v>
      </c>
      <c r="C25" s="24">
        <v>1545</v>
      </c>
      <c r="D25" s="23" t="s">
        <v>15</v>
      </c>
      <c r="E25" s="24">
        <v>1545</v>
      </c>
      <c r="F25" s="27">
        <v>5</v>
      </c>
      <c r="G25" s="24">
        <v>125</v>
      </c>
      <c r="H25" s="27">
        <v>11</v>
      </c>
      <c r="I25" s="24">
        <v>287</v>
      </c>
      <c r="J25" s="28">
        <v>1</v>
      </c>
      <c r="K25" s="24">
        <v>22</v>
      </c>
      <c r="L25" s="27">
        <v>3</v>
      </c>
      <c r="M25" s="24">
        <v>75</v>
      </c>
      <c r="N25" s="27">
        <v>1</v>
      </c>
      <c r="O25" s="25">
        <v>0.5</v>
      </c>
      <c r="P25" s="28">
        <v>1</v>
      </c>
      <c r="Q25" s="24">
        <v>30</v>
      </c>
      <c r="R25" s="26">
        <f t="shared" si="0"/>
        <v>3629.5</v>
      </c>
      <c r="S25" s="54" t="s">
        <v>24</v>
      </c>
      <c r="T25" s="55"/>
      <c r="U25" s="55"/>
      <c r="V25" t="s">
        <v>26</v>
      </c>
    </row>
    <row r="26" spans="1:22">
      <c r="A26" s="22">
        <v>46104</v>
      </c>
      <c r="B26" s="23" t="s">
        <v>17</v>
      </c>
      <c r="C26" s="24">
        <v>1100</v>
      </c>
      <c r="D26" s="23" t="s">
        <v>29</v>
      </c>
      <c r="E26" s="24">
        <v>592</v>
      </c>
      <c r="F26" s="27">
        <v>2</v>
      </c>
      <c r="G26" s="24">
        <v>50</v>
      </c>
      <c r="H26" s="27">
        <v>9</v>
      </c>
      <c r="I26" s="24">
        <v>236</v>
      </c>
      <c r="J26" s="28">
        <v>2</v>
      </c>
      <c r="K26" s="24">
        <v>36</v>
      </c>
      <c r="L26" s="27">
        <v>4</v>
      </c>
      <c r="M26" s="24">
        <v>100</v>
      </c>
      <c r="N26" s="27">
        <v>1</v>
      </c>
      <c r="O26" s="25">
        <v>0.5</v>
      </c>
      <c r="P26" s="28">
        <v>1</v>
      </c>
      <c r="Q26" s="24">
        <v>25</v>
      </c>
      <c r="R26" s="26">
        <f t="shared" si="0"/>
        <v>2139.5</v>
      </c>
      <c r="S26" s="54" t="s">
        <v>27</v>
      </c>
      <c r="T26" s="55"/>
      <c r="U26" s="55"/>
      <c r="V26" t="s">
        <v>28</v>
      </c>
    </row>
    <row r="27" spans="1:22">
      <c r="A27" s="22">
        <v>46105</v>
      </c>
      <c r="B27" s="23" t="s">
        <v>15</v>
      </c>
      <c r="C27" s="24">
        <v>1545</v>
      </c>
      <c r="D27" s="23" t="s">
        <v>17</v>
      </c>
      <c r="E27" s="24">
        <v>1030</v>
      </c>
      <c r="F27" s="27">
        <v>3</v>
      </c>
      <c r="G27" s="24">
        <v>75</v>
      </c>
      <c r="H27" s="27">
        <v>7</v>
      </c>
      <c r="I27" s="24">
        <v>175</v>
      </c>
      <c r="J27" s="28">
        <v>2</v>
      </c>
      <c r="K27" s="24">
        <v>50</v>
      </c>
      <c r="L27" s="27">
        <v>3</v>
      </c>
      <c r="M27" s="24">
        <v>75</v>
      </c>
      <c r="N27" s="27">
        <v>1</v>
      </c>
      <c r="O27" s="25">
        <v>0.5</v>
      </c>
      <c r="P27" s="28">
        <v>1</v>
      </c>
      <c r="Q27" s="24">
        <v>30</v>
      </c>
      <c r="R27" s="26">
        <f t="shared" si="0"/>
        <v>2980.5</v>
      </c>
      <c r="S27" s="54" t="s">
        <v>24</v>
      </c>
      <c r="T27" s="55"/>
      <c r="U27" s="55"/>
      <c r="V27" t="s">
        <v>26</v>
      </c>
    </row>
    <row r="28" spans="1:22">
      <c r="A28" s="22">
        <v>46105</v>
      </c>
      <c r="B28" s="23" t="s">
        <v>21</v>
      </c>
      <c r="C28" s="24">
        <v>449</v>
      </c>
      <c r="D28" s="23" t="s">
        <v>17</v>
      </c>
      <c r="E28" s="24">
        <v>1084</v>
      </c>
      <c r="F28" s="27">
        <v>2</v>
      </c>
      <c r="G28" s="24">
        <v>60</v>
      </c>
      <c r="H28" s="27">
        <v>10</v>
      </c>
      <c r="I28" s="24">
        <v>246</v>
      </c>
      <c r="J28" s="28">
        <v>2</v>
      </c>
      <c r="K28" s="24">
        <v>44</v>
      </c>
      <c r="L28" s="27">
        <v>3</v>
      </c>
      <c r="M28" s="24">
        <v>75</v>
      </c>
      <c r="N28" s="27">
        <v>1</v>
      </c>
      <c r="O28" s="25">
        <v>0.5</v>
      </c>
      <c r="P28" s="28">
        <v>1</v>
      </c>
      <c r="Q28" s="24">
        <v>30</v>
      </c>
      <c r="R28" s="26">
        <f t="shared" si="0"/>
        <v>1988.5</v>
      </c>
      <c r="S28" s="54" t="s">
        <v>27</v>
      </c>
      <c r="T28" s="55"/>
      <c r="U28" s="55"/>
      <c r="V28" t="s">
        <v>28</v>
      </c>
    </row>
    <row r="29" spans="1:22">
      <c r="A29" s="22">
        <v>46106</v>
      </c>
      <c r="B29" s="23" t="s">
        <v>15</v>
      </c>
      <c r="C29" s="24">
        <v>1545</v>
      </c>
      <c r="D29" s="23" t="s">
        <v>15</v>
      </c>
      <c r="E29" s="24">
        <v>1545</v>
      </c>
      <c r="F29" s="27">
        <v>2</v>
      </c>
      <c r="G29" s="24">
        <v>50</v>
      </c>
      <c r="H29" s="27">
        <v>5</v>
      </c>
      <c r="I29" s="24">
        <v>133</v>
      </c>
      <c r="J29" s="28">
        <v>1</v>
      </c>
      <c r="K29" s="24">
        <v>24</v>
      </c>
      <c r="L29" s="27">
        <v>4</v>
      </c>
      <c r="M29" s="24">
        <v>100</v>
      </c>
      <c r="N29" s="27">
        <v>1</v>
      </c>
      <c r="O29" s="25">
        <v>0.5</v>
      </c>
      <c r="P29" s="28">
        <v>1</v>
      </c>
      <c r="Q29" s="24">
        <v>30</v>
      </c>
      <c r="R29" s="26">
        <f t="shared" si="0"/>
        <v>3427.5</v>
      </c>
      <c r="S29" s="54" t="s">
        <v>24</v>
      </c>
      <c r="T29" s="55"/>
      <c r="U29" s="55"/>
      <c r="V29" t="s">
        <v>26</v>
      </c>
    </row>
    <row r="30" spans="1:22">
      <c r="A30" s="22">
        <v>46106</v>
      </c>
      <c r="B30" s="23" t="s">
        <v>15</v>
      </c>
      <c r="C30" s="24">
        <v>1646</v>
      </c>
      <c r="D30" s="23" t="s">
        <v>19</v>
      </c>
      <c r="E30" s="24">
        <v>2198</v>
      </c>
      <c r="F30" s="27">
        <v>2</v>
      </c>
      <c r="G30" s="24">
        <v>56</v>
      </c>
      <c r="H30" s="27">
        <v>6</v>
      </c>
      <c r="I30" s="24">
        <v>151</v>
      </c>
      <c r="J30" s="28">
        <v>2</v>
      </c>
      <c r="K30" s="24">
        <v>60</v>
      </c>
      <c r="L30" s="27">
        <v>5</v>
      </c>
      <c r="M30" s="24">
        <v>125</v>
      </c>
      <c r="N30" s="27">
        <v>1</v>
      </c>
      <c r="O30" s="25">
        <v>0.5</v>
      </c>
      <c r="P30" s="28">
        <v>1</v>
      </c>
      <c r="Q30" s="24">
        <v>25</v>
      </c>
      <c r="R30" s="26">
        <f t="shared" si="0"/>
        <v>4261.5</v>
      </c>
      <c r="S30" s="54" t="s">
        <v>27</v>
      </c>
      <c r="T30" s="55"/>
      <c r="U30" s="55"/>
      <c r="V30" t="s">
        <v>28</v>
      </c>
    </row>
    <row r="31" spans="1:22">
      <c r="A31" s="22">
        <v>46107</v>
      </c>
      <c r="B31" s="23" t="s">
        <v>15</v>
      </c>
      <c r="C31" s="24">
        <v>1545</v>
      </c>
      <c r="D31" s="23" t="s">
        <v>15</v>
      </c>
      <c r="E31" s="24">
        <v>1545</v>
      </c>
      <c r="F31" s="27">
        <v>2</v>
      </c>
      <c r="G31" s="24">
        <v>50</v>
      </c>
      <c r="H31" s="27">
        <v>5</v>
      </c>
      <c r="I31" s="24">
        <v>120</v>
      </c>
      <c r="J31" s="28">
        <v>1</v>
      </c>
      <c r="K31" s="24">
        <v>40</v>
      </c>
      <c r="L31" s="27">
        <v>3</v>
      </c>
      <c r="M31" s="24">
        <v>75</v>
      </c>
      <c r="N31" s="27">
        <v>1</v>
      </c>
      <c r="O31" s="25">
        <v>0.5</v>
      </c>
      <c r="P31" s="28">
        <v>1</v>
      </c>
      <c r="Q31" s="24">
        <v>30</v>
      </c>
      <c r="R31" s="26">
        <f t="shared" si="0"/>
        <v>3405.5</v>
      </c>
      <c r="S31" s="54" t="s">
        <v>24</v>
      </c>
      <c r="T31" s="55"/>
      <c r="U31" s="55"/>
      <c r="V31" t="s">
        <v>26</v>
      </c>
    </row>
    <row r="32" spans="1:22">
      <c r="A32" s="22">
        <v>46107</v>
      </c>
      <c r="B32" s="23" t="s">
        <v>17</v>
      </c>
      <c r="C32" s="24">
        <v>1066</v>
      </c>
      <c r="D32" s="23" t="s">
        <v>21</v>
      </c>
      <c r="E32" s="24">
        <v>581</v>
      </c>
      <c r="F32" s="27">
        <v>4</v>
      </c>
      <c r="G32" s="24">
        <v>100</v>
      </c>
      <c r="H32" s="27">
        <v>7</v>
      </c>
      <c r="I32" s="24">
        <v>185</v>
      </c>
      <c r="J32" s="28">
        <v>1</v>
      </c>
      <c r="K32" s="24">
        <v>25</v>
      </c>
      <c r="L32" s="27">
        <v>3</v>
      </c>
      <c r="M32" s="24">
        <v>75</v>
      </c>
      <c r="N32" s="27">
        <v>1</v>
      </c>
      <c r="O32" s="25">
        <v>0.5</v>
      </c>
      <c r="P32" s="28">
        <v>1</v>
      </c>
      <c r="Q32" s="24">
        <v>25</v>
      </c>
      <c r="R32" s="26">
        <f t="shared" si="0"/>
        <v>2057.5</v>
      </c>
      <c r="S32" s="54" t="s">
        <v>27</v>
      </c>
      <c r="T32" s="55"/>
      <c r="U32" s="55"/>
      <c r="V32" t="s">
        <v>28</v>
      </c>
    </row>
    <row r="33" spans="1:22">
      <c r="A33" s="22">
        <v>46108</v>
      </c>
      <c r="B33" s="23" t="s">
        <v>15</v>
      </c>
      <c r="C33" s="24">
        <v>1545</v>
      </c>
      <c r="D33" s="23" t="s">
        <v>15</v>
      </c>
      <c r="E33" s="24">
        <v>1545</v>
      </c>
      <c r="F33" s="27">
        <v>2</v>
      </c>
      <c r="G33" s="24">
        <v>50</v>
      </c>
      <c r="H33" s="27">
        <v>6</v>
      </c>
      <c r="I33" s="24">
        <v>150</v>
      </c>
      <c r="J33" s="28">
        <v>2</v>
      </c>
      <c r="K33" s="24">
        <v>60</v>
      </c>
      <c r="L33" s="27">
        <v>4</v>
      </c>
      <c r="M33" s="24">
        <v>100</v>
      </c>
      <c r="N33" s="27">
        <v>1</v>
      </c>
      <c r="O33" s="25">
        <v>0.5</v>
      </c>
      <c r="P33" s="28">
        <v>1</v>
      </c>
      <c r="Q33" s="24">
        <v>30</v>
      </c>
      <c r="R33" s="26">
        <f t="shared" si="0"/>
        <v>3480.5</v>
      </c>
      <c r="S33" s="54" t="s">
        <v>24</v>
      </c>
      <c r="T33" s="55"/>
      <c r="U33" s="55"/>
      <c r="V33" t="s">
        <v>26</v>
      </c>
    </row>
    <row r="34" spans="1:22">
      <c r="A34" s="22">
        <v>46108</v>
      </c>
      <c r="B34" s="23" t="s">
        <v>17</v>
      </c>
      <c r="C34" s="24">
        <v>966</v>
      </c>
      <c r="D34" s="23" t="s">
        <v>15</v>
      </c>
      <c r="E34" s="24">
        <v>1627</v>
      </c>
      <c r="F34" s="27">
        <v>2</v>
      </c>
      <c r="G34" s="24">
        <v>30</v>
      </c>
      <c r="H34" s="27">
        <v>4</v>
      </c>
      <c r="I34" s="24">
        <v>88</v>
      </c>
      <c r="J34" s="28">
        <v>1</v>
      </c>
      <c r="K34" s="24">
        <v>24</v>
      </c>
      <c r="L34" s="27">
        <v>5</v>
      </c>
      <c r="M34" s="24">
        <v>125</v>
      </c>
      <c r="N34" s="27">
        <v>1</v>
      </c>
      <c r="O34" s="25">
        <v>0.5</v>
      </c>
      <c r="P34" s="28">
        <v>1</v>
      </c>
      <c r="Q34" s="24">
        <v>30</v>
      </c>
      <c r="R34" s="26">
        <f t="shared" si="0"/>
        <v>2890.5</v>
      </c>
      <c r="S34" s="54" t="s">
        <v>27</v>
      </c>
      <c r="T34" s="55"/>
      <c r="U34" s="55"/>
      <c r="V34" t="s">
        <v>28</v>
      </c>
    </row>
    <row r="35" spans="1:22">
      <c r="A35" s="22">
        <v>46109</v>
      </c>
      <c r="B35" s="23" t="s">
        <v>15</v>
      </c>
      <c r="C35" s="24">
        <v>1545</v>
      </c>
      <c r="D35" s="23" t="s">
        <v>15</v>
      </c>
      <c r="E35" s="24">
        <v>1545</v>
      </c>
      <c r="F35" s="27">
        <v>4</v>
      </c>
      <c r="G35" s="24">
        <v>100</v>
      </c>
      <c r="H35" s="27">
        <v>5</v>
      </c>
      <c r="I35" s="24">
        <v>98</v>
      </c>
      <c r="J35" s="28">
        <v>1</v>
      </c>
      <c r="K35" s="24">
        <v>30</v>
      </c>
      <c r="L35" s="27">
        <v>3</v>
      </c>
      <c r="M35" s="24">
        <v>75</v>
      </c>
      <c r="N35" s="27">
        <v>1</v>
      </c>
      <c r="O35" s="25">
        <v>0.5</v>
      </c>
      <c r="P35" s="28">
        <v>1</v>
      </c>
      <c r="Q35" s="24">
        <v>30</v>
      </c>
      <c r="R35" s="26">
        <f t="shared" si="0"/>
        <v>3423.5</v>
      </c>
      <c r="S35" s="54" t="s">
        <v>24</v>
      </c>
      <c r="T35" s="55"/>
      <c r="U35" s="55"/>
      <c r="V35" t="s">
        <v>26</v>
      </c>
    </row>
    <row r="36" spans="1:22">
      <c r="A36" s="22">
        <v>46109</v>
      </c>
      <c r="B36" s="23" t="s">
        <v>17</v>
      </c>
      <c r="C36" s="24">
        <v>1004</v>
      </c>
      <c r="D36" s="23" t="s">
        <v>15</v>
      </c>
      <c r="E36" s="24">
        <v>1875</v>
      </c>
      <c r="F36" s="27">
        <v>3</v>
      </c>
      <c r="G36" s="24">
        <v>75</v>
      </c>
      <c r="H36" s="27">
        <v>4</v>
      </c>
      <c r="I36" s="24">
        <v>85</v>
      </c>
      <c r="J36" s="28">
        <v>2</v>
      </c>
      <c r="K36" s="24">
        <v>63</v>
      </c>
      <c r="L36" s="27">
        <v>5</v>
      </c>
      <c r="M36" s="24">
        <v>120</v>
      </c>
      <c r="N36" s="27">
        <v>1</v>
      </c>
      <c r="O36" s="25">
        <v>0.5</v>
      </c>
      <c r="P36" s="28">
        <v>3</v>
      </c>
      <c r="Q36" s="24">
        <v>95</v>
      </c>
      <c r="R36" s="26">
        <f t="shared" si="0"/>
        <v>3317.5</v>
      </c>
      <c r="S36" s="54" t="s">
        <v>27</v>
      </c>
      <c r="T36" s="55"/>
      <c r="U36" s="55"/>
      <c r="V36" t="s">
        <v>28</v>
      </c>
    </row>
    <row r="37" spans="1:22">
      <c r="A37" s="22">
        <v>46111</v>
      </c>
      <c r="B37" s="23" t="s">
        <v>17</v>
      </c>
      <c r="C37" s="24">
        <v>1030</v>
      </c>
      <c r="D37" s="23" t="s">
        <v>15</v>
      </c>
      <c r="E37" s="24">
        <v>1545</v>
      </c>
      <c r="F37" s="27">
        <v>8</v>
      </c>
      <c r="G37" s="24">
        <v>150</v>
      </c>
      <c r="H37" s="27">
        <v>2</v>
      </c>
      <c r="I37" s="24">
        <v>60</v>
      </c>
      <c r="J37" s="28">
        <v>1</v>
      </c>
      <c r="K37" s="24">
        <v>30</v>
      </c>
      <c r="L37" s="27">
        <v>4</v>
      </c>
      <c r="M37" s="24">
        <v>100</v>
      </c>
      <c r="N37" s="27">
        <v>1</v>
      </c>
      <c r="O37" s="25">
        <v>0.5</v>
      </c>
      <c r="P37" s="28">
        <v>1</v>
      </c>
      <c r="Q37" s="24">
        <v>30</v>
      </c>
      <c r="R37" s="33">
        <f t="shared" si="0"/>
        <v>2945.5</v>
      </c>
      <c r="S37" s="54" t="s">
        <v>24</v>
      </c>
      <c r="T37" s="55"/>
      <c r="U37" s="55"/>
      <c r="V37" t="s">
        <v>26</v>
      </c>
    </row>
    <row r="38" spans="1:22">
      <c r="A38" s="22"/>
      <c r="B38" s="23"/>
      <c r="C38" s="24"/>
      <c r="D38" s="23"/>
      <c r="E38" s="24"/>
      <c r="F38" s="27"/>
      <c r="G38" s="24"/>
      <c r="H38" s="27"/>
      <c r="I38" s="24"/>
      <c r="J38" s="28"/>
      <c r="K38" s="24"/>
      <c r="L38" s="27"/>
      <c r="M38" s="24"/>
      <c r="N38" s="27"/>
      <c r="O38" s="25"/>
      <c r="P38" s="28"/>
      <c r="Q38" s="24"/>
      <c r="R38" s="33"/>
    </row>
    <row r="39" spans="1:22">
      <c r="A39" s="22"/>
      <c r="B39" s="23"/>
      <c r="C39" s="24"/>
      <c r="D39" s="23"/>
      <c r="E39" s="24"/>
      <c r="F39" s="27"/>
      <c r="G39" s="24"/>
      <c r="H39" s="27"/>
      <c r="I39" s="24"/>
      <c r="J39" s="28"/>
      <c r="K39" s="24"/>
      <c r="L39" s="27"/>
      <c r="M39" s="24"/>
      <c r="N39" s="27"/>
      <c r="O39" s="24"/>
      <c r="P39" s="28"/>
      <c r="Q39" s="24"/>
      <c r="R39" s="33"/>
    </row>
    <row r="40" spans="1:22">
      <c r="A40" s="22"/>
      <c r="B40" s="34"/>
      <c r="C40" s="35"/>
      <c r="D40" s="34"/>
      <c r="E40" s="35"/>
      <c r="F40" s="34"/>
      <c r="G40" s="35"/>
      <c r="H40" s="34"/>
      <c r="I40" s="35"/>
      <c r="J40" s="36"/>
      <c r="K40" s="35"/>
      <c r="L40" s="34"/>
      <c r="M40" s="35"/>
      <c r="N40" s="34"/>
      <c r="O40" s="35"/>
      <c r="P40" s="36"/>
      <c r="Q40" s="35"/>
      <c r="R40" s="33"/>
    </row>
    <row r="41" spans="1:22">
      <c r="A41" s="37"/>
      <c r="B41" s="38">
        <f t="shared" ref="B41:R41" si="1">SUM(B5:B40)</f>
        <v>0</v>
      </c>
      <c r="C41" s="38">
        <f t="shared" si="1"/>
        <v>49201</v>
      </c>
      <c r="D41" s="38">
        <f t="shared" si="1"/>
        <v>0</v>
      </c>
      <c r="E41" s="38">
        <f t="shared" si="1"/>
        <v>52088</v>
      </c>
      <c r="F41" s="38">
        <f t="shared" si="1"/>
        <v>107</v>
      </c>
      <c r="G41" s="38">
        <f t="shared" si="1"/>
        <v>2526</v>
      </c>
      <c r="H41" s="38">
        <f t="shared" si="1"/>
        <v>349</v>
      </c>
      <c r="I41" s="38">
        <f t="shared" si="1"/>
        <v>9519</v>
      </c>
      <c r="J41" s="38">
        <f t="shared" si="1"/>
        <v>49</v>
      </c>
      <c r="K41" s="38">
        <f t="shared" si="1"/>
        <v>1386</v>
      </c>
      <c r="L41" s="38">
        <f t="shared" si="1"/>
        <v>109</v>
      </c>
      <c r="M41" s="38">
        <f t="shared" si="1"/>
        <v>2754</v>
      </c>
      <c r="N41" s="38">
        <f t="shared" si="1"/>
        <v>33</v>
      </c>
      <c r="O41" s="38">
        <f t="shared" si="1"/>
        <v>16.5</v>
      </c>
      <c r="P41" s="38">
        <f t="shared" si="1"/>
        <v>35</v>
      </c>
      <c r="Q41" s="38">
        <f t="shared" si="1"/>
        <v>1047</v>
      </c>
      <c r="R41" s="39">
        <f t="shared" si="1"/>
        <v>118537.5</v>
      </c>
    </row>
    <row r="42" spans="1:22">
      <c r="A42" s="4"/>
      <c r="B42" s="40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</sheetData>
  <mergeCells count="41">
    <mergeCell ref="S37:U37"/>
    <mergeCell ref="S32:U32"/>
    <mergeCell ref="S33:U33"/>
    <mergeCell ref="S34:U34"/>
    <mergeCell ref="S35:U35"/>
    <mergeCell ref="S36:U36"/>
    <mergeCell ref="S27:U27"/>
    <mergeCell ref="S28:U28"/>
    <mergeCell ref="S29:U29"/>
    <mergeCell ref="S30:U30"/>
    <mergeCell ref="S31:U31"/>
    <mergeCell ref="S22:U22"/>
    <mergeCell ref="S23:U23"/>
    <mergeCell ref="S24:U24"/>
    <mergeCell ref="S25:U25"/>
    <mergeCell ref="S26:U26"/>
    <mergeCell ref="S17:U17"/>
    <mergeCell ref="S18:U18"/>
    <mergeCell ref="S19:U19"/>
    <mergeCell ref="S20:U20"/>
    <mergeCell ref="S21:U21"/>
    <mergeCell ref="S12:U12"/>
    <mergeCell ref="S13:U13"/>
    <mergeCell ref="S14:U14"/>
    <mergeCell ref="S15:U15"/>
    <mergeCell ref="S16:U16"/>
    <mergeCell ref="S7:U7"/>
    <mergeCell ref="S8:U8"/>
    <mergeCell ref="S9:U9"/>
    <mergeCell ref="S10:U10"/>
    <mergeCell ref="S11:U11"/>
    <mergeCell ref="B3:C3"/>
    <mergeCell ref="D3:E3"/>
    <mergeCell ref="L3:M3"/>
    <mergeCell ref="S5:U5"/>
    <mergeCell ref="S6:U6"/>
    <mergeCell ref="B2:E2"/>
    <mergeCell ref="F2:G2"/>
    <mergeCell ref="H2:I2"/>
    <mergeCell ref="J2:K2"/>
    <mergeCell ref="L2:M2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2"/>
  <sheetViews>
    <sheetView topLeftCell="A4" workbookViewId="0">
      <selection activeCell="E41" sqref="E41"/>
    </sheetView>
  </sheetViews>
  <sheetFormatPr defaultColWidth="9" defaultRowHeight="15"/>
  <sheetData>
    <row r="1" spans="1:21">
      <c r="A1" s="1">
        <v>46113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21">
      <c r="A2" s="5"/>
      <c r="B2" s="44" t="s">
        <v>0</v>
      </c>
      <c r="C2" s="45"/>
      <c r="D2" s="45"/>
      <c r="E2" s="46"/>
      <c r="F2" s="44" t="s">
        <v>1</v>
      </c>
      <c r="G2" s="46"/>
      <c r="H2" s="44" t="s">
        <v>2</v>
      </c>
      <c r="I2" s="46"/>
      <c r="J2" s="44" t="s">
        <v>3</v>
      </c>
      <c r="K2" s="46"/>
      <c r="L2" s="47" t="s">
        <v>4</v>
      </c>
      <c r="M2" s="48"/>
      <c r="N2" s="6" t="s">
        <v>5</v>
      </c>
      <c r="O2" s="7"/>
      <c r="P2" s="8" t="s">
        <v>6</v>
      </c>
      <c r="Q2" s="7"/>
      <c r="R2" s="9" t="s">
        <v>7</v>
      </c>
    </row>
    <row r="3" spans="1:21">
      <c r="A3" s="10" t="s">
        <v>8</v>
      </c>
      <c r="B3" s="49" t="s">
        <v>9</v>
      </c>
      <c r="C3" s="50"/>
      <c r="D3" s="50" t="s">
        <v>10</v>
      </c>
      <c r="E3" s="51"/>
      <c r="F3" s="11"/>
      <c r="G3" s="12"/>
      <c r="H3" s="11"/>
      <c r="I3" s="12"/>
      <c r="J3" s="11"/>
      <c r="K3" s="12"/>
      <c r="L3" s="52" t="s">
        <v>11</v>
      </c>
      <c r="M3" s="53"/>
      <c r="N3" s="13"/>
      <c r="O3" s="14"/>
      <c r="P3" s="15"/>
      <c r="Q3" s="14"/>
      <c r="R3" s="16" t="s">
        <v>12</v>
      </c>
    </row>
    <row r="4" spans="1:21">
      <c r="A4" s="17"/>
      <c r="B4" s="18" t="s">
        <v>13</v>
      </c>
      <c r="C4" s="19" t="s">
        <v>14</v>
      </c>
      <c r="D4" s="18" t="s">
        <v>13</v>
      </c>
      <c r="E4" s="19" t="s">
        <v>14</v>
      </c>
      <c r="F4" s="18" t="s">
        <v>13</v>
      </c>
      <c r="G4" s="19" t="s">
        <v>14</v>
      </c>
      <c r="H4" s="18" t="s">
        <v>13</v>
      </c>
      <c r="I4" s="17" t="s">
        <v>14</v>
      </c>
      <c r="J4" s="20" t="s">
        <v>13</v>
      </c>
      <c r="K4" s="19" t="s">
        <v>14</v>
      </c>
      <c r="L4" s="18" t="s">
        <v>13</v>
      </c>
      <c r="M4" s="19" t="s">
        <v>14</v>
      </c>
      <c r="N4" s="18" t="s">
        <v>13</v>
      </c>
      <c r="O4" s="19" t="s">
        <v>14</v>
      </c>
      <c r="P4" s="20" t="s">
        <v>13</v>
      </c>
      <c r="Q4" s="19" t="s">
        <v>14</v>
      </c>
      <c r="R4" s="21"/>
    </row>
    <row r="5" spans="1:21">
      <c r="A5" s="22">
        <v>46111</v>
      </c>
      <c r="B5" s="23">
        <v>0</v>
      </c>
      <c r="C5" s="24">
        <v>0</v>
      </c>
      <c r="D5" s="23">
        <v>0</v>
      </c>
      <c r="E5" s="24">
        <v>0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24">
        <v>0</v>
      </c>
      <c r="L5" s="24">
        <v>0</v>
      </c>
      <c r="M5" s="24">
        <v>0</v>
      </c>
      <c r="N5" s="24">
        <v>0</v>
      </c>
      <c r="O5" s="24">
        <v>0</v>
      </c>
      <c r="P5" s="24">
        <v>0</v>
      </c>
      <c r="Q5" s="24">
        <v>0</v>
      </c>
      <c r="R5" s="26">
        <f t="shared" ref="R5:R37" si="0">+C5+E5+G5+I5+K5+M5+O5+Q5</f>
        <v>0</v>
      </c>
      <c r="S5" s="54"/>
      <c r="T5" s="55"/>
      <c r="U5" s="55"/>
    </row>
    <row r="6" spans="1:21">
      <c r="A6" s="22">
        <v>46112</v>
      </c>
      <c r="B6" s="23" t="s">
        <v>15</v>
      </c>
      <c r="C6" s="24">
        <v>1545</v>
      </c>
      <c r="D6" s="23" t="s">
        <v>17</v>
      </c>
      <c r="E6" s="24">
        <v>1030</v>
      </c>
      <c r="F6" s="27">
        <v>8</v>
      </c>
      <c r="G6" s="24">
        <v>200</v>
      </c>
      <c r="H6" s="27">
        <v>3</v>
      </c>
      <c r="I6" s="24">
        <v>75</v>
      </c>
      <c r="J6" s="28">
        <v>2</v>
      </c>
      <c r="K6" s="24">
        <v>52</v>
      </c>
      <c r="L6" s="27">
        <v>3</v>
      </c>
      <c r="M6" s="24">
        <v>75</v>
      </c>
      <c r="N6" s="27">
        <v>1</v>
      </c>
      <c r="O6" s="25">
        <v>0.5</v>
      </c>
      <c r="P6" s="28">
        <v>1</v>
      </c>
      <c r="Q6" s="24">
        <v>30</v>
      </c>
      <c r="R6" s="26">
        <f t="shared" si="0"/>
        <v>3007.5</v>
      </c>
      <c r="S6" s="54" t="s">
        <v>24</v>
      </c>
      <c r="T6" s="55"/>
      <c r="U6" s="55"/>
    </row>
    <row r="7" spans="1:21">
      <c r="A7" s="22">
        <v>46113</v>
      </c>
      <c r="B7" s="23" t="s">
        <v>19</v>
      </c>
      <c r="C7" s="24">
        <v>2060</v>
      </c>
      <c r="D7" s="23" t="s">
        <v>20</v>
      </c>
      <c r="E7" s="24">
        <v>2608</v>
      </c>
      <c r="F7" s="27">
        <v>3</v>
      </c>
      <c r="G7" s="24">
        <v>65</v>
      </c>
      <c r="H7" s="27">
        <v>5</v>
      </c>
      <c r="I7" s="24">
        <v>120</v>
      </c>
      <c r="J7" s="28">
        <v>2</v>
      </c>
      <c r="K7" s="24">
        <v>50</v>
      </c>
      <c r="L7" s="27">
        <v>3</v>
      </c>
      <c r="M7" s="24">
        <v>75</v>
      </c>
      <c r="N7" s="27">
        <v>1</v>
      </c>
      <c r="O7" s="25">
        <v>0.5</v>
      </c>
      <c r="P7" s="28">
        <v>1</v>
      </c>
      <c r="Q7" s="24">
        <v>25</v>
      </c>
      <c r="R7" s="26">
        <f t="shared" si="0"/>
        <v>5003.5</v>
      </c>
      <c r="S7" s="54" t="s">
        <v>18</v>
      </c>
      <c r="T7" s="55"/>
      <c r="U7" s="55"/>
    </row>
    <row r="8" spans="1:21">
      <c r="A8" s="22">
        <v>46118</v>
      </c>
      <c r="B8" s="23" t="s">
        <v>17</v>
      </c>
      <c r="C8" s="24">
        <v>1030</v>
      </c>
      <c r="D8" s="23" t="s">
        <v>17</v>
      </c>
      <c r="E8" s="24">
        <v>1030</v>
      </c>
      <c r="F8" s="27">
        <v>8</v>
      </c>
      <c r="G8" s="24">
        <v>175</v>
      </c>
      <c r="H8" s="27">
        <v>10</v>
      </c>
      <c r="I8" s="24">
        <v>303</v>
      </c>
      <c r="J8" s="28">
        <v>4</v>
      </c>
      <c r="K8" s="24">
        <v>104</v>
      </c>
      <c r="L8" s="27">
        <v>3</v>
      </c>
      <c r="M8" s="24">
        <v>75</v>
      </c>
      <c r="N8" s="27">
        <v>1</v>
      </c>
      <c r="O8" s="25">
        <v>0.5</v>
      </c>
      <c r="P8" s="28">
        <v>2</v>
      </c>
      <c r="Q8" s="24">
        <v>60</v>
      </c>
      <c r="R8" s="26">
        <f t="shared" si="0"/>
        <v>2777.5</v>
      </c>
      <c r="S8" s="54" t="s">
        <v>24</v>
      </c>
      <c r="T8" s="55"/>
      <c r="U8" s="55"/>
    </row>
    <row r="9" spans="1:21">
      <c r="A9" s="22">
        <v>46119</v>
      </c>
      <c r="B9" s="23" t="s">
        <v>15</v>
      </c>
      <c r="C9" s="24">
        <v>1545</v>
      </c>
      <c r="D9" s="23" t="s">
        <v>15</v>
      </c>
      <c r="E9" s="24">
        <v>1545</v>
      </c>
      <c r="F9" s="27">
        <v>9</v>
      </c>
      <c r="G9" s="29">
        <v>200</v>
      </c>
      <c r="H9" s="27">
        <v>12</v>
      </c>
      <c r="I9" s="24">
        <v>339</v>
      </c>
      <c r="J9" s="28">
        <v>3</v>
      </c>
      <c r="K9" s="24">
        <v>75</v>
      </c>
      <c r="L9" s="27">
        <v>4</v>
      </c>
      <c r="M9" s="24">
        <v>100</v>
      </c>
      <c r="N9" s="27">
        <v>1</v>
      </c>
      <c r="O9" s="25">
        <v>0.5</v>
      </c>
      <c r="P9" s="28">
        <v>2</v>
      </c>
      <c r="Q9" s="24">
        <v>65</v>
      </c>
      <c r="R9" s="26">
        <f t="shared" si="0"/>
        <v>3869.5</v>
      </c>
      <c r="S9" s="54" t="s">
        <v>24</v>
      </c>
      <c r="T9" s="55"/>
      <c r="U9" s="55"/>
    </row>
    <row r="10" spans="1:21">
      <c r="A10" s="22">
        <v>46120</v>
      </c>
      <c r="B10" s="23" t="s">
        <v>15</v>
      </c>
      <c r="C10" s="24">
        <v>1545</v>
      </c>
      <c r="D10" s="23" t="s">
        <v>15</v>
      </c>
      <c r="E10" s="24">
        <v>1545</v>
      </c>
      <c r="F10" s="27">
        <v>8</v>
      </c>
      <c r="G10" s="24">
        <v>150</v>
      </c>
      <c r="H10" s="27">
        <v>9</v>
      </c>
      <c r="I10" s="24">
        <v>276</v>
      </c>
      <c r="J10" s="28">
        <v>3</v>
      </c>
      <c r="K10" s="24">
        <v>71</v>
      </c>
      <c r="L10" s="27">
        <v>3</v>
      </c>
      <c r="M10" s="24">
        <v>76</v>
      </c>
      <c r="N10" s="27">
        <v>1</v>
      </c>
      <c r="O10" s="25">
        <v>0.5</v>
      </c>
      <c r="P10" s="28">
        <v>2</v>
      </c>
      <c r="Q10" s="24">
        <v>60</v>
      </c>
      <c r="R10" s="26">
        <f t="shared" si="0"/>
        <v>3723.5</v>
      </c>
      <c r="S10" s="54" t="s">
        <v>24</v>
      </c>
      <c r="T10" s="55"/>
      <c r="U10" s="55"/>
    </row>
    <row r="11" spans="1:21">
      <c r="A11" s="22">
        <v>46121</v>
      </c>
      <c r="B11" s="23" t="s">
        <v>15</v>
      </c>
      <c r="C11" s="24">
        <v>1545</v>
      </c>
      <c r="D11" s="23" t="s">
        <v>15</v>
      </c>
      <c r="E11" s="24">
        <v>1545</v>
      </c>
      <c r="F11" s="27">
        <v>5</v>
      </c>
      <c r="G11" s="24">
        <v>125</v>
      </c>
      <c r="H11" s="27">
        <v>13</v>
      </c>
      <c r="I11" s="24">
        <v>354</v>
      </c>
      <c r="J11" s="28">
        <v>4</v>
      </c>
      <c r="K11" s="24">
        <v>94</v>
      </c>
      <c r="L11" s="27">
        <v>5</v>
      </c>
      <c r="M11" s="24">
        <v>125</v>
      </c>
      <c r="N11" s="27">
        <v>1</v>
      </c>
      <c r="O11" s="25">
        <v>0.5</v>
      </c>
      <c r="P11" s="28">
        <v>1</v>
      </c>
      <c r="Q11" s="24">
        <v>30</v>
      </c>
      <c r="R11" s="26">
        <f t="shared" si="0"/>
        <v>3818.5</v>
      </c>
      <c r="S11" s="54" t="s">
        <v>24</v>
      </c>
      <c r="T11" s="55"/>
      <c r="U11" s="55"/>
    </row>
    <row r="12" spans="1:21">
      <c r="A12" s="22">
        <v>46122</v>
      </c>
      <c r="B12" s="23" t="s">
        <v>15</v>
      </c>
      <c r="C12" s="24">
        <v>1545</v>
      </c>
      <c r="D12" s="23" t="s">
        <v>19</v>
      </c>
      <c r="E12" s="24">
        <v>2060</v>
      </c>
      <c r="F12" s="30">
        <v>5</v>
      </c>
      <c r="G12" s="31">
        <v>150</v>
      </c>
      <c r="H12" s="28">
        <v>11</v>
      </c>
      <c r="I12" s="24">
        <v>311</v>
      </c>
      <c r="J12" s="27">
        <v>2</v>
      </c>
      <c r="K12" s="24">
        <v>49</v>
      </c>
      <c r="L12" s="27">
        <v>3</v>
      </c>
      <c r="M12" s="24">
        <v>75</v>
      </c>
      <c r="N12" s="27">
        <v>1</v>
      </c>
      <c r="O12" s="25">
        <v>0.5</v>
      </c>
      <c r="P12" s="28">
        <v>1</v>
      </c>
      <c r="Q12" s="24">
        <v>30</v>
      </c>
      <c r="R12" s="26">
        <f t="shared" si="0"/>
        <v>4220.5</v>
      </c>
      <c r="S12" s="54" t="s">
        <v>24</v>
      </c>
      <c r="T12" s="55"/>
      <c r="U12" s="55"/>
    </row>
    <row r="13" spans="1:21">
      <c r="A13" s="22">
        <v>46125</v>
      </c>
      <c r="B13" s="23" t="s">
        <v>15</v>
      </c>
      <c r="C13" s="24">
        <v>1545</v>
      </c>
      <c r="D13" s="23" t="s">
        <v>15</v>
      </c>
      <c r="E13" s="24">
        <v>1545</v>
      </c>
      <c r="F13" s="27">
        <v>5</v>
      </c>
      <c r="G13" s="24">
        <v>125</v>
      </c>
      <c r="H13" s="27">
        <v>13</v>
      </c>
      <c r="I13" s="29">
        <v>361</v>
      </c>
      <c r="J13" s="27">
        <v>2</v>
      </c>
      <c r="K13" s="29">
        <v>45</v>
      </c>
      <c r="L13" s="27">
        <v>3</v>
      </c>
      <c r="M13" s="29">
        <v>75</v>
      </c>
      <c r="N13" s="27">
        <v>1</v>
      </c>
      <c r="O13" s="25">
        <v>0.5</v>
      </c>
      <c r="P13" s="27">
        <v>1</v>
      </c>
      <c r="Q13" s="29">
        <v>30</v>
      </c>
      <c r="R13" s="26">
        <f t="shared" si="0"/>
        <v>3726.5</v>
      </c>
      <c r="S13" s="54" t="s">
        <v>24</v>
      </c>
      <c r="T13" s="55"/>
      <c r="U13" s="55"/>
    </row>
    <row r="14" spans="1:21">
      <c r="A14" s="22">
        <v>46126</v>
      </c>
      <c r="B14" s="23" t="s">
        <v>15</v>
      </c>
      <c r="C14" s="24">
        <v>1545</v>
      </c>
      <c r="D14" s="23" t="s">
        <v>15</v>
      </c>
      <c r="E14" s="24">
        <v>1545</v>
      </c>
      <c r="F14" s="27">
        <v>7</v>
      </c>
      <c r="G14" s="24">
        <v>150</v>
      </c>
      <c r="H14" s="27">
        <v>13</v>
      </c>
      <c r="I14" s="24">
        <v>372</v>
      </c>
      <c r="J14" s="27">
        <v>2</v>
      </c>
      <c r="K14" s="32">
        <v>43</v>
      </c>
      <c r="L14" s="27">
        <v>4</v>
      </c>
      <c r="M14" s="24">
        <v>100</v>
      </c>
      <c r="N14" s="27">
        <v>1</v>
      </c>
      <c r="O14" s="25">
        <v>0.5</v>
      </c>
      <c r="P14" s="28">
        <v>2</v>
      </c>
      <c r="Q14" s="24">
        <v>60</v>
      </c>
      <c r="R14" s="26">
        <f t="shared" si="0"/>
        <v>3815.5</v>
      </c>
      <c r="S14" s="54" t="s">
        <v>24</v>
      </c>
      <c r="T14" s="55"/>
      <c r="U14" s="55"/>
    </row>
    <row r="15" spans="1:21">
      <c r="A15" s="22">
        <v>46127</v>
      </c>
      <c r="B15" s="23" t="s">
        <v>19</v>
      </c>
      <c r="C15" s="24">
        <v>2060</v>
      </c>
      <c r="D15" s="23" t="s">
        <v>19</v>
      </c>
      <c r="E15" s="24">
        <v>2060</v>
      </c>
      <c r="F15" s="27">
        <v>5</v>
      </c>
      <c r="G15" s="24">
        <v>125</v>
      </c>
      <c r="H15" s="27">
        <v>10</v>
      </c>
      <c r="I15" s="24">
        <v>275</v>
      </c>
      <c r="J15" s="28">
        <v>2</v>
      </c>
      <c r="K15" s="24">
        <v>23</v>
      </c>
      <c r="L15" s="27">
        <v>3</v>
      </c>
      <c r="M15" s="24">
        <v>75</v>
      </c>
      <c r="N15" s="27">
        <v>1</v>
      </c>
      <c r="O15" s="25">
        <v>0.5</v>
      </c>
      <c r="P15" s="28">
        <v>2</v>
      </c>
      <c r="Q15" s="24">
        <v>60</v>
      </c>
      <c r="R15" s="26">
        <f t="shared" si="0"/>
        <v>4678.5</v>
      </c>
      <c r="S15" s="54" t="s">
        <v>24</v>
      </c>
      <c r="T15" s="55"/>
      <c r="U15" s="55"/>
    </row>
    <row r="16" spans="1:21">
      <c r="A16" s="22">
        <v>46128</v>
      </c>
      <c r="B16" s="23" t="s">
        <v>19</v>
      </c>
      <c r="C16" s="24">
        <v>2060</v>
      </c>
      <c r="D16" s="23" t="s">
        <v>19</v>
      </c>
      <c r="E16" s="24">
        <v>2060</v>
      </c>
      <c r="F16" s="27">
        <v>4</v>
      </c>
      <c r="G16" s="24">
        <v>100</v>
      </c>
      <c r="H16" s="27">
        <v>9</v>
      </c>
      <c r="I16" s="24">
        <v>226</v>
      </c>
      <c r="J16" s="28">
        <v>3</v>
      </c>
      <c r="K16" s="24">
        <v>71</v>
      </c>
      <c r="L16" s="27">
        <v>4</v>
      </c>
      <c r="M16" s="24">
        <v>100</v>
      </c>
      <c r="N16" s="27">
        <v>1</v>
      </c>
      <c r="O16" s="25">
        <v>0.5</v>
      </c>
      <c r="P16" s="28">
        <v>1</v>
      </c>
      <c r="Q16" s="24">
        <v>30</v>
      </c>
      <c r="R16" s="26">
        <f t="shared" si="0"/>
        <v>4647.5</v>
      </c>
      <c r="S16" s="54" t="s">
        <v>24</v>
      </c>
      <c r="T16" s="55"/>
      <c r="U16" s="55"/>
    </row>
    <row r="17" spans="1:21">
      <c r="A17" s="22">
        <v>46129</v>
      </c>
      <c r="B17" s="23" t="s">
        <v>15</v>
      </c>
      <c r="C17" s="24">
        <v>1545</v>
      </c>
      <c r="D17" s="23" t="s">
        <v>15</v>
      </c>
      <c r="E17" s="24">
        <v>1545</v>
      </c>
      <c r="F17" s="27">
        <v>6</v>
      </c>
      <c r="G17" s="24">
        <v>150</v>
      </c>
      <c r="H17" s="27">
        <v>11</v>
      </c>
      <c r="I17" s="24">
        <v>307</v>
      </c>
      <c r="J17" s="28">
        <v>3</v>
      </c>
      <c r="K17" s="24">
        <v>62</v>
      </c>
      <c r="L17" s="27">
        <v>4</v>
      </c>
      <c r="M17" s="24">
        <v>120</v>
      </c>
      <c r="N17" s="27">
        <v>1</v>
      </c>
      <c r="O17" s="25">
        <v>0.5</v>
      </c>
      <c r="P17" s="28">
        <v>2</v>
      </c>
      <c r="Q17" s="24">
        <v>60</v>
      </c>
      <c r="R17" s="26">
        <f t="shared" si="0"/>
        <v>3789.5</v>
      </c>
      <c r="S17" s="54" t="s">
        <v>24</v>
      </c>
      <c r="T17" s="55"/>
      <c r="U17" s="55"/>
    </row>
    <row r="18" spans="1:21">
      <c r="A18" s="22">
        <v>46130</v>
      </c>
      <c r="B18" s="23" t="s">
        <v>15</v>
      </c>
      <c r="C18" s="24">
        <v>1545</v>
      </c>
      <c r="D18" s="23" t="s">
        <v>15</v>
      </c>
      <c r="E18" s="24">
        <v>1545</v>
      </c>
      <c r="F18" s="27">
        <v>5</v>
      </c>
      <c r="G18" s="24">
        <v>125</v>
      </c>
      <c r="H18" s="27">
        <v>10</v>
      </c>
      <c r="I18" s="24">
        <v>268</v>
      </c>
      <c r="J18" s="28">
        <v>2</v>
      </c>
      <c r="K18" s="24">
        <v>40</v>
      </c>
      <c r="L18" s="27">
        <v>3</v>
      </c>
      <c r="M18" s="24">
        <v>75</v>
      </c>
      <c r="N18" s="27">
        <v>1</v>
      </c>
      <c r="O18" s="25">
        <v>0.5</v>
      </c>
      <c r="P18" s="28">
        <v>1</v>
      </c>
      <c r="Q18" s="24">
        <v>30</v>
      </c>
      <c r="R18" s="26">
        <f t="shared" si="0"/>
        <v>3628.5</v>
      </c>
      <c r="S18" s="54" t="s">
        <v>24</v>
      </c>
      <c r="T18" s="55"/>
      <c r="U18" s="55"/>
    </row>
    <row r="19" spans="1:21">
      <c r="A19" s="22">
        <v>46132</v>
      </c>
      <c r="B19" s="23" t="s">
        <v>19</v>
      </c>
      <c r="C19" s="24">
        <v>2060</v>
      </c>
      <c r="D19" s="23" t="s">
        <v>19</v>
      </c>
      <c r="E19" s="24">
        <v>2060</v>
      </c>
      <c r="F19" s="27">
        <v>3</v>
      </c>
      <c r="G19" s="24">
        <v>75</v>
      </c>
      <c r="H19" s="27">
        <v>10</v>
      </c>
      <c r="I19" s="24">
        <v>293</v>
      </c>
      <c r="J19" s="28">
        <v>1</v>
      </c>
      <c r="K19" s="24">
        <v>26</v>
      </c>
      <c r="L19" s="27">
        <v>3</v>
      </c>
      <c r="M19" s="24">
        <v>75</v>
      </c>
      <c r="N19" s="27">
        <v>1</v>
      </c>
      <c r="O19" s="25">
        <v>0.5</v>
      </c>
      <c r="P19" s="28">
        <v>1</v>
      </c>
      <c r="Q19" s="24">
        <v>30</v>
      </c>
      <c r="R19" s="26">
        <f t="shared" si="0"/>
        <v>4619.5</v>
      </c>
      <c r="S19" s="54" t="s">
        <v>24</v>
      </c>
      <c r="T19" s="55"/>
      <c r="U19" s="55"/>
    </row>
    <row r="20" spans="1:21">
      <c r="A20" s="22">
        <v>46133</v>
      </c>
      <c r="B20" s="23" t="s">
        <v>15</v>
      </c>
      <c r="C20" s="24">
        <v>1545</v>
      </c>
      <c r="D20" s="23" t="s">
        <v>15</v>
      </c>
      <c r="E20" s="24">
        <v>1545</v>
      </c>
      <c r="F20" s="27">
        <v>4</v>
      </c>
      <c r="G20" s="24">
        <v>100</v>
      </c>
      <c r="H20" s="27">
        <v>10</v>
      </c>
      <c r="I20" s="24">
        <v>285</v>
      </c>
      <c r="J20" s="28">
        <v>3</v>
      </c>
      <c r="K20" s="24">
        <v>68</v>
      </c>
      <c r="L20" s="27">
        <v>4</v>
      </c>
      <c r="M20" s="24">
        <v>100</v>
      </c>
      <c r="N20" s="27">
        <v>1</v>
      </c>
      <c r="O20" s="25">
        <v>0.5</v>
      </c>
      <c r="P20" s="28">
        <v>1</v>
      </c>
      <c r="Q20" s="24">
        <v>30</v>
      </c>
      <c r="R20" s="26">
        <f t="shared" si="0"/>
        <v>3673.5</v>
      </c>
      <c r="S20" s="54" t="s">
        <v>27</v>
      </c>
      <c r="T20" s="55"/>
      <c r="U20" s="55"/>
    </row>
    <row r="21" spans="1:21">
      <c r="A21" s="22">
        <v>46134</v>
      </c>
      <c r="B21" s="23" t="s">
        <v>15</v>
      </c>
      <c r="C21" s="24">
        <v>1585</v>
      </c>
      <c r="D21" s="23" t="s">
        <v>15</v>
      </c>
      <c r="E21" s="24">
        <v>1562</v>
      </c>
      <c r="F21" s="27">
        <v>3</v>
      </c>
      <c r="G21" s="24">
        <v>75</v>
      </c>
      <c r="H21" s="27">
        <v>12</v>
      </c>
      <c r="I21" s="24">
        <v>323</v>
      </c>
      <c r="J21" s="28">
        <v>4</v>
      </c>
      <c r="K21" s="24">
        <v>84</v>
      </c>
      <c r="L21" s="27">
        <v>3</v>
      </c>
      <c r="M21" s="24">
        <v>75</v>
      </c>
      <c r="N21" s="27">
        <v>1</v>
      </c>
      <c r="O21" s="25">
        <v>0.5</v>
      </c>
      <c r="P21" s="28">
        <v>1</v>
      </c>
      <c r="Q21" s="24">
        <v>25</v>
      </c>
      <c r="R21" s="26">
        <f t="shared" si="0"/>
        <v>3729.5</v>
      </c>
      <c r="S21" s="54" t="s">
        <v>27</v>
      </c>
      <c r="T21" s="55"/>
      <c r="U21" s="55"/>
    </row>
    <row r="22" spans="1:21">
      <c r="A22" s="22">
        <v>46135</v>
      </c>
      <c r="B22" s="23" t="s">
        <v>15</v>
      </c>
      <c r="C22" s="24">
        <v>1551</v>
      </c>
      <c r="D22" s="23" t="s">
        <v>19</v>
      </c>
      <c r="E22" s="24">
        <v>2148</v>
      </c>
      <c r="F22" s="27">
        <v>2</v>
      </c>
      <c r="G22" s="24">
        <v>50</v>
      </c>
      <c r="H22" s="27">
        <v>9</v>
      </c>
      <c r="I22" s="24">
        <v>275</v>
      </c>
      <c r="J22" s="28">
        <v>3</v>
      </c>
      <c r="K22" s="24">
        <v>75</v>
      </c>
      <c r="L22" s="27">
        <v>4</v>
      </c>
      <c r="M22" s="24">
        <v>100</v>
      </c>
      <c r="N22" s="27">
        <v>1</v>
      </c>
      <c r="O22" s="25">
        <v>0.5</v>
      </c>
      <c r="P22" s="28">
        <v>1</v>
      </c>
      <c r="Q22" s="24">
        <v>30</v>
      </c>
      <c r="R22" s="26">
        <f t="shared" si="0"/>
        <v>4229.5</v>
      </c>
      <c r="S22" s="54" t="s">
        <v>27</v>
      </c>
      <c r="T22" s="55"/>
      <c r="U22" s="55"/>
    </row>
    <row r="23" spans="1:21">
      <c r="A23" s="22">
        <v>46136</v>
      </c>
      <c r="B23" s="23" t="s">
        <v>15</v>
      </c>
      <c r="C23" s="24">
        <v>1739</v>
      </c>
      <c r="D23" s="23" t="s">
        <v>15</v>
      </c>
      <c r="E23" s="24">
        <v>1741</v>
      </c>
      <c r="F23" s="27">
        <v>3</v>
      </c>
      <c r="G23" s="24">
        <v>75</v>
      </c>
      <c r="H23" s="27">
        <v>11</v>
      </c>
      <c r="I23" s="24">
        <v>306</v>
      </c>
      <c r="J23" s="28">
        <v>2</v>
      </c>
      <c r="K23" s="24">
        <v>57</v>
      </c>
      <c r="L23" s="27">
        <v>5</v>
      </c>
      <c r="M23" s="24">
        <v>125</v>
      </c>
      <c r="N23" s="27">
        <v>1</v>
      </c>
      <c r="O23" s="25">
        <v>0.5</v>
      </c>
      <c r="P23" s="28">
        <v>1</v>
      </c>
      <c r="Q23" s="24">
        <v>30</v>
      </c>
      <c r="R23" s="26">
        <f t="shared" si="0"/>
        <v>4073.5</v>
      </c>
      <c r="S23" s="54" t="s">
        <v>27</v>
      </c>
      <c r="T23" s="55"/>
      <c r="U23" s="55"/>
    </row>
    <row r="24" spans="1:21">
      <c r="A24" s="22">
        <v>46137</v>
      </c>
      <c r="B24" s="23" t="s">
        <v>15</v>
      </c>
      <c r="C24" s="24">
        <v>1824</v>
      </c>
      <c r="D24" s="23" t="s">
        <v>15</v>
      </c>
      <c r="E24" s="24">
        <v>1547</v>
      </c>
      <c r="F24" s="27">
        <v>2</v>
      </c>
      <c r="G24" s="24">
        <v>50</v>
      </c>
      <c r="H24" s="27">
        <v>9</v>
      </c>
      <c r="I24" s="24">
        <v>218</v>
      </c>
      <c r="J24" s="28">
        <v>2</v>
      </c>
      <c r="K24" s="24">
        <v>40</v>
      </c>
      <c r="L24" s="27">
        <v>3</v>
      </c>
      <c r="M24" s="24">
        <v>75</v>
      </c>
      <c r="N24" s="27">
        <v>1</v>
      </c>
      <c r="O24" s="25">
        <v>0.5</v>
      </c>
      <c r="P24" s="28">
        <v>1</v>
      </c>
      <c r="Q24" s="24">
        <v>30</v>
      </c>
      <c r="R24" s="26">
        <f t="shared" si="0"/>
        <v>3784.5</v>
      </c>
      <c r="S24" s="54" t="s">
        <v>27</v>
      </c>
      <c r="T24" s="55"/>
      <c r="U24" s="55"/>
    </row>
    <row r="25" spans="1:21">
      <c r="A25" s="22">
        <v>46139</v>
      </c>
      <c r="B25" s="23" t="s">
        <v>17</v>
      </c>
      <c r="C25" s="24">
        <v>1204</v>
      </c>
      <c r="D25" s="23" t="s">
        <v>15</v>
      </c>
      <c r="E25" s="24">
        <v>1681</v>
      </c>
      <c r="F25" s="27">
        <v>5</v>
      </c>
      <c r="G25" s="24">
        <v>125</v>
      </c>
      <c r="H25" s="27">
        <v>10</v>
      </c>
      <c r="I25" s="24">
        <v>283</v>
      </c>
      <c r="J25" s="28">
        <v>3</v>
      </c>
      <c r="K25" s="24">
        <v>68</v>
      </c>
      <c r="L25" s="27">
        <v>4</v>
      </c>
      <c r="M25" s="24">
        <v>100</v>
      </c>
      <c r="N25" s="27">
        <v>1</v>
      </c>
      <c r="O25" s="25">
        <v>0.5</v>
      </c>
      <c r="P25" s="28">
        <v>1</v>
      </c>
      <c r="Q25" s="24">
        <v>30</v>
      </c>
      <c r="R25" s="26">
        <f t="shared" si="0"/>
        <v>3491.5</v>
      </c>
      <c r="S25" s="54" t="s">
        <v>27</v>
      </c>
      <c r="T25" s="55"/>
      <c r="U25" s="55"/>
    </row>
    <row r="26" spans="1:21">
      <c r="A26" s="22">
        <v>46140</v>
      </c>
      <c r="B26" s="23" t="s">
        <v>15</v>
      </c>
      <c r="C26" s="24">
        <v>1660</v>
      </c>
      <c r="D26" s="23" t="s">
        <v>15</v>
      </c>
      <c r="E26" s="24">
        <v>1768</v>
      </c>
      <c r="F26" s="27">
        <v>5</v>
      </c>
      <c r="G26" s="24">
        <v>130</v>
      </c>
      <c r="H26" s="27">
        <v>10</v>
      </c>
      <c r="I26" s="24">
        <v>291</v>
      </c>
      <c r="J26" s="28">
        <v>4</v>
      </c>
      <c r="K26" s="24">
        <v>92</v>
      </c>
      <c r="L26" s="27">
        <v>4</v>
      </c>
      <c r="M26" s="24">
        <v>120</v>
      </c>
      <c r="N26" s="27">
        <v>1</v>
      </c>
      <c r="O26" s="25">
        <v>0.5</v>
      </c>
      <c r="P26" s="28">
        <v>1</v>
      </c>
      <c r="Q26" s="24">
        <v>30</v>
      </c>
      <c r="R26" s="26">
        <f t="shared" si="0"/>
        <v>4091.5</v>
      </c>
      <c r="S26" s="54" t="s">
        <v>27</v>
      </c>
      <c r="T26" s="55"/>
      <c r="U26" s="55"/>
    </row>
    <row r="27" spans="1:21">
      <c r="A27" s="22">
        <v>46141</v>
      </c>
      <c r="B27" s="23" t="s">
        <v>17</v>
      </c>
      <c r="C27" s="24">
        <v>1215</v>
      </c>
      <c r="D27" s="23" t="s">
        <v>15</v>
      </c>
      <c r="E27" s="24">
        <v>1770</v>
      </c>
      <c r="F27" s="27">
        <v>4</v>
      </c>
      <c r="G27" s="24">
        <v>100</v>
      </c>
      <c r="H27" s="27">
        <v>10</v>
      </c>
      <c r="I27" s="24">
        <v>280</v>
      </c>
      <c r="J27" s="28">
        <v>4</v>
      </c>
      <c r="K27" s="24">
        <v>96</v>
      </c>
      <c r="L27" s="27">
        <v>5</v>
      </c>
      <c r="M27" s="24">
        <v>120</v>
      </c>
      <c r="N27" s="27">
        <v>1</v>
      </c>
      <c r="O27" s="25">
        <v>0.5</v>
      </c>
      <c r="P27" s="28">
        <v>1</v>
      </c>
      <c r="Q27" s="24">
        <v>27</v>
      </c>
      <c r="R27" s="26">
        <f t="shared" si="0"/>
        <v>3608.5</v>
      </c>
      <c r="S27" s="54" t="s">
        <v>27</v>
      </c>
      <c r="T27" s="55"/>
      <c r="U27" s="55"/>
    </row>
    <row r="28" spans="1:21">
      <c r="A28" s="22">
        <v>46142</v>
      </c>
      <c r="B28" s="23" t="s">
        <v>17</v>
      </c>
      <c r="C28" s="24">
        <v>1101</v>
      </c>
      <c r="D28" s="23" t="s">
        <v>17</v>
      </c>
      <c r="E28" s="24">
        <v>1245</v>
      </c>
      <c r="F28" s="27">
        <v>2</v>
      </c>
      <c r="G28" s="24">
        <v>50</v>
      </c>
      <c r="H28" s="27">
        <v>4</v>
      </c>
      <c r="I28" s="24">
        <v>100</v>
      </c>
      <c r="J28" s="28">
        <v>1</v>
      </c>
      <c r="K28" s="24">
        <v>27</v>
      </c>
      <c r="L28" s="27">
        <v>3</v>
      </c>
      <c r="M28" s="24">
        <v>75</v>
      </c>
      <c r="N28" s="27">
        <v>1</v>
      </c>
      <c r="O28" s="25">
        <v>0.5</v>
      </c>
      <c r="P28" s="28">
        <v>1</v>
      </c>
      <c r="Q28" s="24">
        <v>25</v>
      </c>
      <c r="R28" s="26">
        <f t="shared" si="0"/>
        <v>2623.5</v>
      </c>
      <c r="S28" s="54" t="s">
        <v>27</v>
      </c>
      <c r="T28" s="55"/>
      <c r="U28" s="55"/>
    </row>
    <row r="29" spans="1:21">
      <c r="A29" s="22"/>
      <c r="B29" s="23"/>
      <c r="C29" s="24"/>
      <c r="D29" s="23"/>
      <c r="E29" s="24"/>
      <c r="F29" s="27"/>
      <c r="G29" s="24"/>
      <c r="H29" s="27"/>
      <c r="I29" s="24"/>
      <c r="J29" s="28"/>
      <c r="K29" s="24"/>
      <c r="L29" s="27"/>
      <c r="M29" s="24"/>
      <c r="N29" s="27"/>
      <c r="O29" s="25"/>
      <c r="P29" s="28"/>
      <c r="Q29" s="24"/>
      <c r="R29" s="26">
        <f t="shared" si="0"/>
        <v>0</v>
      </c>
      <c r="S29" s="54"/>
      <c r="T29" s="55"/>
      <c r="U29" s="55"/>
    </row>
    <row r="30" spans="1:21">
      <c r="A30" s="22"/>
      <c r="B30" s="23"/>
      <c r="C30" s="24"/>
      <c r="D30" s="23"/>
      <c r="E30" s="24"/>
      <c r="F30" s="27"/>
      <c r="G30" s="24"/>
      <c r="H30" s="27"/>
      <c r="I30" s="24"/>
      <c r="J30" s="28"/>
      <c r="K30" s="24"/>
      <c r="L30" s="27"/>
      <c r="M30" s="24"/>
      <c r="N30" s="27"/>
      <c r="O30" s="25"/>
      <c r="P30" s="28"/>
      <c r="Q30" s="24"/>
      <c r="R30" s="26">
        <f t="shared" si="0"/>
        <v>0</v>
      </c>
      <c r="S30" s="54"/>
      <c r="T30" s="55"/>
      <c r="U30" s="55"/>
    </row>
    <row r="31" spans="1:21">
      <c r="A31" s="22"/>
      <c r="B31" s="23"/>
      <c r="C31" s="24"/>
      <c r="D31" s="23"/>
      <c r="E31" s="24"/>
      <c r="F31" s="27"/>
      <c r="G31" s="24"/>
      <c r="H31" s="27"/>
      <c r="I31" s="24"/>
      <c r="J31" s="28"/>
      <c r="K31" s="24"/>
      <c r="L31" s="27"/>
      <c r="M31" s="24"/>
      <c r="N31" s="27"/>
      <c r="O31" s="25"/>
      <c r="P31" s="28"/>
      <c r="Q31" s="24"/>
      <c r="R31" s="26">
        <f t="shared" si="0"/>
        <v>0</v>
      </c>
      <c r="S31" s="54"/>
      <c r="T31" s="55"/>
      <c r="U31" s="55"/>
    </row>
    <row r="32" spans="1:21">
      <c r="A32" s="22"/>
      <c r="B32" s="23"/>
      <c r="C32" s="24"/>
      <c r="D32" s="23"/>
      <c r="E32" s="24"/>
      <c r="F32" s="27"/>
      <c r="G32" s="24"/>
      <c r="H32" s="27"/>
      <c r="I32" s="24"/>
      <c r="J32" s="28"/>
      <c r="K32" s="24"/>
      <c r="L32" s="27"/>
      <c r="M32" s="24"/>
      <c r="N32" s="27"/>
      <c r="O32" s="25"/>
      <c r="P32" s="28"/>
      <c r="Q32" s="24"/>
      <c r="R32" s="26">
        <f t="shared" si="0"/>
        <v>0</v>
      </c>
      <c r="S32" s="54"/>
      <c r="T32" s="55"/>
      <c r="U32" s="55"/>
    </row>
    <row r="33" spans="1:21">
      <c r="A33" s="22"/>
      <c r="B33" s="23"/>
      <c r="C33" s="24"/>
      <c r="D33" s="23"/>
      <c r="E33" s="24"/>
      <c r="F33" s="27"/>
      <c r="G33" s="24"/>
      <c r="H33" s="27"/>
      <c r="I33" s="24"/>
      <c r="J33" s="28"/>
      <c r="K33" s="24"/>
      <c r="L33" s="27"/>
      <c r="M33" s="24"/>
      <c r="N33" s="27"/>
      <c r="O33" s="25"/>
      <c r="P33" s="28"/>
      <c r="Q33" s="24"/>
      <c r="R33" s="26">
        <f t="shared" si="0"/>
        <v>0</v>
      </c>
      <c r="S33" s="54"/>
      <c r="T33" s="55"/>
      <c r="U33" s="55"/>
    </row>
    <row r="34" spans="1:21">
      <c r="A34" s="22"/>
      <c r="B34" s="23"/>
      <c r="C34" s="24"/>
      <c r="D34" s="23"/>
      <c r="E34" s="24"/>
      <c r="F34" s="27"/>
      <c r="G34" s="24"/>
      <c r="H34" s="27"/>
      <c r="I34" s="24"/>
      <c r="J34" s="28"/>
      <c r="K34" s="24"/>
      <c r="L34" s="27"/>
      <c r="M34" s="24"/>
      <c r="N34" s="27"/>
      <c r="O34" s="25"/>
      <c r="P34" s="28"/>
      <c r="Q34" s="24"/>
      <c r="R34" s="26">
        <f t="shared" si="0"/>
        <v>0</v>
      </c>
      <c r="S34" s="54"/>
      <c r="T34" s="55"/>
      <c r="U34" s="55"/>
    </row>
    <row r="35" spans="1:21">
      <c r="A35" s="22"/>
      <c r="B35" s="23"/>
      <c r="C35" s="24"/>
      <c r="D35" s="23"/>
      <c r="E35" s="24"/>
      <c r="F35" s="27"/>
      <c r="G35" s="24"/>
      <c r="H35" s="27"/>
      <c r="I35" s="24"/>
      <c r="J35" s="28"/>
      <c r="K35" s="24"/>
      <c r="L35" s="27"/>
      <c r="M35" s="24"/>
      <c r="N35" s="27"/>
      <c r="O35" s="25"/>
      <c r="P35" s="28"/>
      <c r="Q35" s="24"/>
      <c r="R35" s="26">
        <f t="shared" si="0"/>
        <v>0</v>
      </c>
      <c r="S35" s="54"/>
      <c r="T35" s="55"/>
      <c r="U35" s="55"/>
    </row>
    <row r="36" spans="1:21">
      <c r="A36" s="22"/>
      <c r="B36" s="23"/>
      <c r="C36" s="24"/>
      <c r="D36" s="23"/>
      <c r="E36" s="24"/>
      <c r="F36" s="27"/>
      <c r="G36" s="24"/>
      <c r="H36" s="27"/>
      <c r="I36" s="24"/>
      <c r="J36" s="28"/>
      <c r="K36" s="24"/>
      <c r="L36" s="27"/>
      <c r="M36" s="24"/>
      <c r="N36" s="27"/>
      <c r="O36" s="25"/>
      <c r="P36" s="28"/>
      <c r="Q36" s="24"/>
      <c r="R36" s="26">
        <f t="shared" si="0"/>
        <v>0</v>
      </c>
      <c r="S36" s="54"/>
      <c r="T36" s="55"/>
      <c r="U36" s="55"/>
    </row>
    <row r="37" spans="1:21">
      <c r="A37" s="22"/>
      <c r="B37" s="23"/>
      <c r="C37" s="24"/>
      <c r="D37" s="23"/>
      <c r="E37" s="24"/>
      <c r="F37" s="27"/>
      <c r="G37" s="24"/>
      <c r="H37" s="27"/>
      <c r="I37" s="24"/>
      <c r="J37" s="28"/>
      <c r="K37" s="24"/>
      <c r="L37" s="27"/>
      <c r="M37" s="24"/>
      <c r="N37" s="27"/>
      <c r="O37" s="25"/>
      <c r="P37" s="28"/>
      <c r="Q37" s="24"/>
      <c r="R37" s="33">
        <f t="shared" si="0"/>
        <v>0</v>
      </c>
      <c r="S37" s="54"/>
      <c r="T37" s="55"/>
      <c r="U37" s="55"/>
    </row>
    <row r="38" spans="1:21">
      <c r="A38" s="22"/>
      <c r="B38" s="23"/>
      <c r="C38" s="24"/>
      <c r="D38" s="23"/>
      <c r="E38" s="24"/>
      <c r="F38" s="27"/>
      <c r="G38" s="24"/>
      <c r="H38" s="27"/>
      <c r="I38" s="24"/>
      <c r="J38" s="28"/>
      <c r="K38" s="24"/>
      <c r="L38" s="27"/>
      <c r="M38" s="24"/>
      <c r="N38" s="27"/>
      <c r="O38" s="25"/>
      <c r="P38" s="28"/>
      <c r="Q38" s="24"/>
      <c r="R38" s="33"/>
    </row>
    <row r="39" spans="1:21">
      <c r="A39" s="22"/>
      <c r="B39" s="23"/>
      <c r="C39" s="24"/>
      <c r="D39" s="23"/>
      <c r="E39" s="24"/>
      <c r="F39" s="27"/>
      <c r="G39" s="24"/>
      <c r="H39" s="27"/>
      <c r="I39" s="24"/>
      <c r="J39" s="28"/>
      <c r="K39" s="24"/>
      <c r="L39" s="27"/>
      <c r="M39" s="24"/>
      <c r="N39" s="27"/>
      <c r="O39" s="24"/>
      <c r="P39" s="28"/>
      <c r="Q39" s="24"/>
      <c r="R39" s="33"/>
    </row>
    <row r="40" spans="1:21">
      <c r="A40" s="22"/>
      <c r="B40" s="34"/>
      <c r="C40" s="35"/>
      <c r="D40" s="34"/>
      <c r="E40" s="35"/>
      <c r="F40" s="34"/>
      <c r="G40" s="35"/>
      <c r="H40" s="34"/>
      <c r="I40" s="35"/>
      <c r="J40" s="36"/>
      <c r="K40" s="35"/>
      <c r="L40" s="34"/>
      <c r="M40" s="35"/>
      <c r="N40" s="34"/>
      <c r="O40" s="35"/>
      <c r="P40" s="36"/>
      <c r="Q40" s="35"/>
      <c r="R40" s="33"/>
    </row>
    <row r="41" spans="1:21">
      <c r="A41" s="37"/>
      <c r="B41" s="38">
        <f t="shared" ref="B41:R41" si="1">SUM(B5:B40)</f>
        <v>0</v>
      </c>
      <c r="C41" s="38">
        <f t="shared" si="1"/>
        <v>36599</v>
      </c>
      <c r="D41" s="38">
        <f t="shared" si="1"/>
        <v>0</v>
      </c>
      <c r="E41" s="38">
        <f t="shared" si="1"/>
        <v>38730</v>
      </c>
      <c r="F41" s="38">
        <f t="shared" si="1"/>
        <v>111</v>
      </c>
      <c r="G41" s="38">
        <f t="shared" si="1"/>
        <v>2670</v>
      </c>
      <c r="H41" s="38">
        <f t="shared" si="1"/>
        <v>224</v>
      </c>
      <c r="I41" s="38">
        <f t="shared" si="1"/>
        <v>6241</v>
      </c>
      <c r="J41" s="38">
        <f t="shared" si="1"/>
        <v>61</v>
      </c>
      <c r="K41" s="38">
        <f t="shared" si="1"/>
        <v>1412</v>
      </c>
      <c r="L41" s="38">
        <f t="shared" si="1"/>
        <v>83</v>
      </c>
      <c r="M41" s="38">
        <f t="shared" si="1"/>
        <v>2111</v>
      </c>
      <c r="N41" s="38">
        <f t="shared" si="1"/>
        <v>23</v>
      </c>
      <c r="O41" s="38">
        <f t="shared" si="1"/>
        <v>11.5</v>
      </c>
      <c r="P41" s="38">
        <f t="shared" si="1"/>
        <v>29</v>
      </c>
      <c r="Q41" s="38">
        <f t="shared" si="1"/>
        <v>857</v>
      </c>
      <c r="R41" s="39">
        <f t="shared" si="1"/>
        <v>88631.5</v>
      </c>
    </row>
    <row r="42" spans="1:21">
      <c r="A42" s="4"/>
      <c r="B42" s="40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</sheetData>
  <mergeCells count="41">
    <mergeCell ref="S37:U37"/>
    <mergeCell ref="S32:U32"/>
    <mergeCell ref="S33:U33"/>
    <mergeCell ref="S34:U34"/>
    <mergeCell ref="S35:U35"/>
    <mergeCell ref="S36:U36"/>
    <mergeCell ref="S27:U27"/>
    <mergeCell ref="S28:U28"/>
    <mergeCell ref="S29:U29"/>
    <mergeCell ref="S30:U30"/>
    <mergeCell ref="S31:U31"/>
    <mergeCell ref="S22:U22"/>
    <mergeCell ref="S23:U23"/>
    <mergeCell ref="S24:U24"/>
    <mergeCell ref="S25:U25"/>
    <mergeCell ref="S26:U26"/>
    <mergeCell ref="S17:U17"/>
    <mergeCell ref="S18:U18"/>
    <mergeCell ref="S19:U19"/>
    <mergeCell ref="S20:U20"/>
    <mergeCell ref="S21:U21"/>
    <mergeCell ref="S12:U12"/>
    <mergeCell ref="S13:U13"/>
    <mergeCell ref="S14:U14"/>
    <mergeCell ref="S15:U15"/>
    <mergeCell ref="S16:U16"/>
    <mergeCell ref="S7:U7"/>
    <mergeCell ref="S8:U8"/>
    <mergeCell ref="S9:U9"/>
    <mergeCell ref="S10:U10"/>
    <mergeCell ref="S11:U11"/>
    <mergeCell ref="B3:C3"/>
    <mergeCell ref="D3:E3"/>
    <mergeCell ref="L3:M3"/>
    <mergeCell ref="S5:U5"/>
    <mergeCell ref="S6:U6"/>
    <mergeCell ref="B2:E2"/>
    <mergeCell ref="F2:G2"/>
    <mergeCell ref="H2:I2"/>
    <mergeCell ref="J2:K2"/>
    <mergeCell ref="L2:M2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2"/>
  <sheetViews>
    <sheetView workbookViewId="0">
      <selection activeCell="H23" sqref="H23:I24"/>
    </sheetView>
  </sheetViews>
  <sheetFormatPr defaultColWidth="9" defaultRowHeight="15"/>
  <sheetData>
    <row r="1" spans="1:21">
      <c r="A1" s="1">
        <v>46143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21">
      <c r="A2" s="5"/>
      <c r="B2" s="44" t="s">
        <v>0</v>
      </c>
      <c r="C2" s="45"/>
      <c r="D2" s="45"/>
      <c r="E2" s="46"/>
      <c r="F2" s="44" t="s">
        <v>1</v>
      </c>
      <c r="G2" s="46"/>
      <c r="H2" s="44" t="s">
        <v>2</v>
      </c>
      <c r="I2" s="46"/>
      <c r="J2" s="44" t="s">
        <v>3</v>
      </c>
      <c r="K2" s="46"/>
      <c r="L2" s="47" t="s">
        <v>4</v>
      </c>
      <c r="M2" s="48"/>
      <c r="N2" s="6" t="s">
        <v>5</v>
      </c>
      <c r="O2" s="7"/>
      <c r="P2" s="8" t="s">
        <v>6</v>
      </c>
      <c r="Q2" s="7"/>
      <c r="R2" s="9" t="s">
        <v>7</v>
      </c>
    </row>
    <row r="3" spans="1:21">
      <c r="A3" s="10" t="s">
        <v>8</v>
      </c>
      <c r="B3" s="49" t="s">
        <v>9</v>
      </c>
      <c r="C3" s="50"/>
      <c r="D3" s="50" t="s">
        <v>10</v>
      </c>
      <c r="E3" s="51"/>
      <c r="F3" s="11"/>
      <c r="G3" s="12"/>
      <c r="H3" s="11"/>
      <c r="I3" s="12"/>
      <c r="J3" s="11"/>
      <c r="K3" s="12"/>
      <c r="L3" s="52" t="s">
        <v>11</v>
      </c>
      <c r="M3" s="53"/>
      <c r="N3" s="13"/>
      <c r="O3" s="14"/>
      <c r="P3" s="15"/>
      <c r="Q3" s="14"/>
      <c r="R3" s="16" t="s">
        <v>12</v>
      </c>
    </row>
    <row r="4" spans="1:21">
      <c r="A4" s="17"/>
      <c r="B4" s="18" t="s">
        <v>13</v>
      </c>
      <c r="C4" s="19" t="s">
        <v>14</v>
      </c>
      <c r="D4" s="18" t="s">
        <v>13</v>
      </c>
      <c r="E4" s="19" t="s">
        <v>14</v>
      </c>
      <c r="F4" s="18" t="s">
        <v>13</v>
      </c>
      <c r="G4" s="19" t="s">
        <v>14</v>
      </c>
      <c r="H4" s="18" t="s">
        <v>13</v>
      </c>
      <c r="I4" s="17" t="s">
        <v>14</v>
      </c>
      <c r="J4" s="20" t="s">
        <v>13</v>
      </c>
      <c r="K4" s="19" t="s">
        <v>14</v>
      </c>
      <c r="L4" s="18" t="s">
        <v>13</v>
      </c>
      <c r="M4" s="19" t="s">
        <v>14</v>
      </c>
      <c r="N4" s="18" t="s">
        <v>13</v>
      </c>
      <c r="O4" s="19" t="s">
        <v>14</v>
      </c>
      <c r="P4" s="20" t="s">
        <v>13</v>
      </c>
      <c r="Q4" s="19" t="s">
        <v>14</v>
      </c>
      <c r="R4" s="21"/>
    </row>
    <row r="5" spans="1:21">
      <c r="A5" s="22">
        <v>46142</v>
      </c>
      <c r="B5" s="23" t="s">
        <v>21</v>
      </c>
      <c r="C5" s="24">
        <v>514</v>
      </c>
      <c r="D5" s="23" t="s">
        <v>21</v>
      </c>
      <c r="E5" s="24">
        <v>576</v>
      </c>
      <c r="F5" s="24">
        <v>3</v>
      </c>
      <c r="G5" s="24">
        <v>70</v>
      </c>
      <c r="H5" s="24">
        <v>3</v>
      </c>
      <c r="I5" s="24">
        <v>87</v>
      </c>
      <c r="J5" s="24">
        <v>3</v>
      </c>
      <c r="K5" s="24">
        <v>75</v>
      </c>
      <c r="L5" s="24">
        <v>2</v>
      </c>
      <c r="M5" s="24">
        <v>56</v>
      </c>
      <c r="N5" s="24">
        <v>1</v>
      </c>
      <c r="O5" s="25">
        <v>0.5</v>
      </c>
      <c r="P5" s="24">
        <v>1</v>
      </c>
      <c r="Q5" s="24">
        <v>30</v>
      </c>
      <c r="R5" s="26">
        <f t="shared" ref="R5:R37" si="0">+C5+E5+G5+I5+K5+M5+O5+Q5</f>
        <v>1408.5</v>
      </c>
      <c r="S5" s="54" t="s">
        <v>27</v>
      </c>
      <c r="T5" s="55"/>
      <c r="U5" s="55"/>
    </row>
    <row r="6" spans="1:21">
      <c r="A6" s="22">
        <v>46146</v>
      </c>
      <c r="B6" s="23" t="s">
        <v>17</v>
      </c>
      <c r="C6" s="24">
        <v>1086</v>
      </c>
      <c r="D6" s="23" t="s">
        <v>15</v>
      </c>
      <c r="E6" s="24">
        <v>1721</v>
      </c>
      <c r="F6" s="27">
        <v>5</v>
      </c>
      <c r="G6" s="24">
        <v>125</v>
      </c>
      <c r="H6" s="27">
        <v>13</v>
      </c>
      <c r="I6" s="24">
        <v>359</v>
      </c>
      <c r="J6" s="28">
        <v>2</v>
      </c>
      <c r="K6" s="24">
        <v>51</v>
      </c>
      <c r="L6" s="27">
        <v>4</v>
      </c>
      <c r="M6" s="24">
        <v>100</v>
      </c>
      <c r="N6" s="27">
        <v>1</v>
      </c>
      <c r="O6" s="25">
        <v>0.5</v>
      </c>
      <c r="P6" s="28">
        <v>1</v>
      </c>
      <c r="Q6" s="24">
        <v>30</v>
      </c>
      <c r="R6" s="26">
        <f t="shared" si="0"/>
        <v>3472.5</v>
      </c>
      <c r="S6" s="54" t="s">
        <v>27</v>
      </c>
      <c r="T6" s="55"/>
      <c r="U6" s="55"/>
    </row>
    <row r="7" spans="1:21">
      <c r="A7" s="22">
        <v>46147</v>
      </c>
      <c r="B7" s="23" t="s">
        <v>17</v>
      </c>
      <c r="C7" s="24">
        <v>1156</v>
      </c>
      <c r="D7" s="23" t="s">
        <v>17</v>
      </c>
      <c r="E7" s="24">
        <v>1030</v>
      </c>
      <c r="F7" s="27">
        <v>3</v>
      </c>
      <c r="G7" s="24">
        <v>75</v>
      </c>
      <c r="H7" s="27">
        <v>12</v>
      </c>
      <c r="I7" s="24">
        <v>333</v>
      </c>
      <c r="J7" s="28">
        <v>3</v>
      </c>
      <c r="K7" s="24">
        <v>65</v>
      </c>
      <c r="L7" s="27">
        <v>3</v>
      </c>
      <c r="M7" s="24">
        <v>75</v>
      </c>
      <c r="N7" s="27">
        <v>1</v>
      </c>
      <c r="O7" s="25">
        <v>0.5</v>
      </c>
      <c r="P7" s="28">
        <v>1</v>
      </c>
      <c r="Q7" s="24">
        <v>27</v>
      </c>
      <c r="R7" s="26">
        <f t="shared" si="0"/>
        <v>2761.5</v>
      </c>
      <c r="S7" s="54" t="s">
        <v>31</v>
      </c>
      <c r="T7" s="55"/>
      <c r="U7" s="55"/>
    </row>
    <row r="8" spans="1:21">
      <c r="A8" s="22">
        <v>46148</v>
      </c>
      <c r="B8" s="23" t="s">
        <v>15</v>
      </c>
      <c r="C8" s="24">
        <v>1545</v>
      </c>
      <c r="D8" s="23" t="s">
        <v>15</v>
      </c>
      <c r="E8" s="24">
        <v>1545</v>
      </c>
      <c r="F8" s="27">
        <v>3</v>
      </c>
      <c r="G8" s="24">
        <v>75</v>
      </c>
      <c r="H8" s="27">
        <v>13</v>
      </c>
      <c r="I8" s="24">
        <v>357</v>
      </c>
      <c r="J8" s="28">
        <v>2</v>
      </c>
      <c r="K8" s="24">
        <v>56</v>
      </c>
      <c r="L8" s="27">
        <v>4</v>
      </c>
      <c r="M8" s="24">
        <v>100</v>
      </c>
      <c r="N8" s="27">
        <v>1</v>
      </c>
      <c r="O8" s="25">
        <v>0.5</v>
      </c>
      <c r="P8" s="28">
        <v>1</v>
      </c>
      <c r="Q8" s="24">
        <v>25</v>
      </c>
      <c r="R8" s="26">
        <f t="shared" si="0"/>
        <v>3703.5</v>
      </c>
      <c r="S8" s="54" t="s">
        <v>24</v>
      </c>
      <c r="T8" s="55"/>
      <c r="U8" s="55"/>
    </row>
    <row r="9" spans="1:21">
      <c r="A9" s="22">
        <v>46149</v>
      </c>
      <c r="B9" s="23" t="s">
        <v>15</v>
      </c>
      <c r="C9" s="24">
        <v>1545</v>
      </c>
      <c r="D9" s="23" t="s">
        <v>15</v>
      </c>
      <c r="E9" s="24">
        <v>1545</v>
      </c>
      <c r="F9" s="27">
        <v>4</v>
      </c>
      <c r="G9" s="29">
        <v>100</v>
      </c>
      <c r="H9" s="27">
        <v>13</v>
      </c>
      <c r="I9" s="24">
        <v>363</v>
      </c>
      <c r="J9" s="28">
        <v>3</v>
      </c>
      <c r="K9" s="24">
        <v>75</v>
      </c>
      <c r="L9" s="27">
        <v>4</v>
      </c>
      <c r="M9" s="24">
        <v>120</v>
      </c>
      <c r="N9" s="27">
        <v>1</v>
      </c>
      <c r="O9" s="25">
        <v>0.5</v>
      </c>
      <c r="P9" s="28">
        <v>1</v>
      </c>
      <c r="Q9" s="24">
        <v>30</v>
      </c>
      <c r="R9" s="26">
        <f t="shared" si="0"/>
        <v>3778.5</v>
      </c>
      <c r="S9" s="54" t="s">
        <v>24</v>
      </c>
      <c r="T9" s="55"/>
      <c r="U9" s="55"/>
    </row>
    <row r="10" spans="1:21">
      <c r="A10" s="22">
        <v>46150</v>
      </c>
      <c r="B10" s="23" t="s">
        <v>15</v>
      </c>
      <c r="C10" s="24">
        <v>1545</v>
      </c>
      <c r="D10" s="23" t="s">
        <v>15</v>
      </c>
      <c r="E10" s="24">
        <v>1545</v>
      </c>
      <c r="F10" s="27">
        <v>2</v>
      </c>
      <c r="G10" s="24">
        <v>50</v>
      </c>
      <c r="H10" s="27">
        <v>12</v>
      </c>
      <c r="I10" s="24">
        <v>339</v>
      </c>
      <c r="J10" s="28">
        <v>3</v>
      </c>
      <c r="K10" s="24">
        <v>63</v>
      </c>
      <c r="L10" s="27">
        <v>3</v>
      </c>
      <c r="M10" s="24">
        <v>75</v>
      </c>
      <c r="N10" s="27">
        <v>1</v>
      </c>
      <c r="O10" s="25">
        <v>0.5</v>
      </c>
      <c r="P10" s="28">
        <v>1</v>
      </c>
      <c r="Q10" s="24">
        <v>35</v>
      </c>
      <c r="R10" s="26">
        <f t="shared" si="0"/>
        <v>3652.5</v>
      </c>
      <c r="S10" s="54" t="s">
        <v>24</v>
      </c>
      <c r="T10" s="55"/>
      <c r="U10" s="55"/>
    </row>
    <row r="11" spans="1:21">
      <c r="A11" s="22">
        <v>46151</v>
      </c>
      <c r="B11" s="23" t="s">
        <v>19</v>
      </c>
      <c r="C11" s="24">
        <v>2060</v>
      </c>
      <c r="D11" s="23" t="s">
        <v>19</v>
      </c>
      <c r="E11" s="24">
        <v>2060</v>
      </c>
      <c r="F11" s="27">
        <v>5</v>
      </c>
      <c r="G11" s="24">
        <v>125</v>
      </c>
      <c r="H11" s="27">
        <v>13</v>
      </c>
      <c r="I11" s="24">
        <v>351</v>
      </c>
      <c r="J11" s="28">
        <v>4</v>
      </c>
      <c r="K11" s="24">
        <v>97</v>
      </c>
      <c r="L11" s="27">
        <v>4</v>
      </c>
      <c r="M11" s="24">
        <v>100</v>
      </c>
      <c r="N11" s="27">
        <v>1</v>
      </c>
      <c r="O11" s="25">
        <v>0.5</v>
      </c>
      <c r="P11" s="28">
        <v>1</v>
      </c>
      <c r="Q11" s="24">
        <v>30</v>
      </c>
      <c r="R11" s="26">
        <f t="shared" si="0"/>
        <v>4823.5</v>
      </c>
      <c r="S11" s="54" t="s">
        <v>24</v>
      </c>
      <c r="T11" s="55"/>
      <c r="U11" s="55"/>
    </row>
    <row r="12" spans="1:21">
      <c r="A12" s="22">
        <v>46153</v>
      </c>
      <c r="B12" s="23" t="s">
        <v>15</v>
      </c>
      <c r="C12" s="24">
        <v>1545</v>
      </c>
      <c r="D12" s="23" t="s">
        <v>15</v>
      </c>
      <c r="E12" s="24">
        <v>1545</v>
      </c>
      <c r="F12" s="30">
        <v>6</v>
      </c>
      <c r="G12" s="31">
        <v>175</v>
      </c>
      <c r="H12" s="28">
        <v>14</v>
      </c>
      <c r="I12" s="24">
        <v>410</v>
      </c>
      <c r="J12" s="27">
        <v>5</v>
      </c>
      <c r="K12" s="24">
        <v>128</v>
      </c>
      <c r="L12" s="27">
        <v>3</v>
      </c>
      <c r="M12" s="24">
        <v>75</v>
      </c>
      <c r="N12" s="27">
        <v>1</v>
      </c>
      <c r="O12" s="25">
        <v>0.5</v>
      </c>
      <c r="P12" s="28">
        <v>1</v>
      </c>
      <c r="Q12" s="24">
        <v>30</v>
      </c>
      <c r="R12" s="26">
        <f t="shared" si="0"/>
        <v>3908.5</v>
      </c>
      <c r="S12" s="54" t="s">
        <v>24</v>
      </c>
      <c r="T12" s="55"/>
      <c r="U12" s="55"/>
    </row>
    <row r="13" spans="1:21">
      <c r="A13" s="22">
        <v>46154</v>
      </c>
      <c r="B13" s="23" t="s">
        <v>15</v>
      </c>
      <c r="C13" s="24">
        <v>1545</v>
      </c>
      <c r="D13" s="23" t="s">
        <v>15</v>
      </c>
      <c r="E13" s="24">
        <v>1545</v>
      </c>
      <c r="F13" s="27">
        <v>5</v>
      </c>
      <c r="G13" s="24">
        <v>125</v>
      </c>
      <c r="H13" s="27">
        <v>16</v>
      </c>
      <c r="I13" s="29">
        <v>523</v>
      </c>
      <c r="J13" s="27">
        <v>6</v>
      </c>
      <c r="K13" s="29">
        <v>135</v>
      </c>
      <c r="L13" s="27">
        <v>4</v>
      </c>
      <c r="M13" s="29">
        <v>100</v>
      </c>
      <c r="N13" s="27">
        <v>1</v>
      </c>
      <c r="O13" s="25">
        <v>0.5</v>
      </c>
      <c r="P13" s="27">
        <v>1</v>
      </c>
      <c r="Q13" s="29">
        <v>27</v>
      </c>
      <c r="R13" s="26">
        <f t="shared" si="0"/>
        <v>4000.5</v>
      </c>
      <c r="S13" s="54" t="s">
        <v>24</v>
      </c>
      <c r="T13" s="55"/>
      <c r="U13" s="55"/>
    </row>
    <row r="14" spans="1:21">
      <c r="A14" s="22">
        <v>46155</v>
      </c>
      <c r="B14" s="23" t="s">
        <v>15</v>
      </c>
      <c r="C14" s="24">
        <v>1545</v>
      </c>
      <c r="D14" s="23" t="s">
        <v>15</v>
      </c>
      <c r="E14" s="24">
        <v>1545</v>
      </c>
      <c r="F14" s="27">
        <v>8</v>
      </c>
      <c r="G14" s="24">
        <v>175</v>
      </c>
      <c r="H14" s="27">
        <v>15</v>
      </c>
      <c r="I14" s="24">
        <v>447</v>
      </c>
      <c r="J14" s="27">
        <v>7</v>
      </c>
      <c r="K14" s="32">
        <v>151</v>
      </c>
      <c r="L14" s="27">
        <v>4</v>
      </c>
      <c r="M14" s="24">
        <v>120</v>
      </c>
      <c r="N14" s="27">
        <v>1</v>
      </c>
      <c r="O14" s="25">
        <v>0.5</v>
      </c>
      <c r="P14" s="28">
        <v>1</v>
      </c>
      <c r="Q14" s="24">
        <v>30</v>
      </c>
      <c r="R14" s="26">
        <f t="shared" si="0"/>
        <v>4013.5</v>
      </c>
      <c r="S14" s="54" t="s">
        <v>24</v>
      </c>
      <c r="T14" s="55"/>
      <c r="U14" s="55"/>
    </row>
    <row r="15" spans="1:21">
      <c r="A15" s="22">
        <v>46156</v>
      </c>
      <c r="B15" s="23" t="s">
        <v>15</v>
      </c>
      <c r="C15" s="24">
        <v>1545</v>
      </c>
      <c r="D15" s="23" t="s">
        <v>19</v>
      </c>
      <c r="E15" s="24">
        <v>1964</v>
      </c>
      <c r="F15" s="27">
        <v>3</v>
      </c>
      <c r="G15" s="24">
        <v>75</v>
      </c>
      <c r="H15" s="27">
        <v>13</v>
      </c>
      <c r="I15" s="24">
        <v>424</v>
      </c>
      <c r="J15" s="28">
        <v>5</v>
      </c>
      <c r="K15" s="24">
        <v>137</v>
      </c>
      <c r="L15" s="27">
        <v>3</v>
      </c>
      <c r="M15" s="24">
        <v>75</v>
      </c>
      <c r="N15" s="27">
        <v>1</v>
      </c>
      <c r="O15" s="25">
        <v>0.5</v>
      </c>
      <c r="P15" s="28">
        <v>1</v>
      </c>
      <c r="Q15" s="24">
        <v>25</v>
      </c>
      <c r="R15" s="26">
        <f t="shared" si="0"/>
        <v>4245.5</v>
      </c>
      <c r="S15" s="54" t="s">
        <v>23</v>
      </c>
      <c r="T15" s="55"/>
      <c r="U15" s="55"/>
    </row>
    <row r="16" spans="1:21">
      <c r="A16" s="22">
        <v>46157</v>
      </c>
      <c r="B16" s="23" t="s">
        <v>19</v>
      </c>
      <c r="C16" s="24">
        <v>2060</v>
      </c>
      <c r="D16" s="23" t="s">
        <v>19</v>
      </c>
      <c r="E16" s="24">
        <v>2060</v>
      </c>
      <c r="F16" s="27">
        <v>7</v>
      </c>
      <c r="G16" s="24">
        <v>178</v>
      </c>
      <c r="H16" s="27">
        <v>23</v>
      </c>
      <c r="I16" s="24">
        <v>654</v>
      </c>
      <c r="J16" s="28">
        <v>8</v>
      </c>
      <c r="K16" s="24">
        <v>201</v>
      </c>
      <c r="L16" s="27">
        <v>4</v>
      </c>
      <c r="M16" s="24">
        <v>100</v>
      </c>
      <c r="N16" s="27">
        <v>1</v>
      </c>
      <c r="O16" s="25">
        <v>0.5</v>
      </c>
      <c r="P16" s="28">
        <v>1</v>
      </c>
      <c r="Q16" s="24">
        <v>30</v>
      </c>
      <c r="R16" s="26">
        <f t="shared" si="0"/>
        <v>5283.5</v>
      </c>
      <c r="S16" s="54" t="s">
        <v>24</v>
      </c>
      <c r="T16" s="55"/>
      <c r="U16" s="55"/>
    </row>
    <row r="17" spans="1:22">
      <c r="A17" s="22">
        <v>46160</v>
      </c>
      <c r="B17" s="23" t="s">
        <v>20</v>
      </c>
      <c r="C17" s="24">
        <v>2686</v>
      </c>
      <c r="D17" s="23" t="s">
        <v>19</v>
      </c>
      <c r="E17" s="24">
        <v>2060</v>
      </c>
      <c r="F17" s="27">
        <v>6</v>
      </c>
      <c r="G17" s="24">
        <v>125</v>
      </c>
      <c r="H17" s="27">
        <v>15</v>
      </c>
      <c r="I17" s="24">
        <v>433</v>
      </c>
      <c r="J17" s="28">
        <v>8</v>
      </c>
      <c r="K17" s="24">
        <v>194</v>
      </c>
      <c r="L17" s="27">
        <v>4</v>
      </c>
      <c r="M17" s="24">
        <v>100</v>
      </c>
      <c r="N17" s="27">
        <v>1</v>
      </c>
      <c r="O17" s="25">
        <v>0.5</v>
      </c>
      <c r="P17" s="28">
        <v>1</v>
      </c>
      <c r="Q17" s="24">
        <v>30</v>
      </c>
      <c r="R17" s="26">
        <f t="shared" si="0"/>
        <v>5628.5</v>
      </c>
      <c r="S17" s="54" t="s">
        <v>23</v>
      </c>
      <c r="T17" s="55"/>
      <c r="U17" s="55"/>
    </row>
    <row r="18" spans="1:22">
      <c r="A18" s="22">
        <v>46161</v>
      </c>
      <c r="B18" s="23" t="s">
        <v>15</v>
      </c>
      <c r="C18" s="24">
        <v>1746</v>
      </c>
      <c r="D18" s="23" t="s">
        <v>19</v>
      </c>
      <c r="E18" s="24">
        <v>2465</v>
      </c>
      <c r="F18" s="27">
        <v>11</v>
      </c>
      <c r="G18" s="24">
        <v>185</v>
      </c>
      <c r="H18" s="27">
        <v>18</v>
      </c>
      <c r="I18" s="24">
        <v>524</v>
      </c>
      <c r="J18" s="28">
        <v>11</v>
      </c>
      <c r="K18" s="24">
        <v>226</v>
      </c>
      <c r="L18" s="27">
        <v>5</v>
      </c>
      <c r="M18" s="24">
        <v>120</v>
      </c>
      <c r="N18" s="27">
        <v>1</v>
      </c>
      <c r="O18" s="25">
        <v>0.5</v>
      </c>
      <c r="P18" s="28">
        <v>1</v>
      </c>
      <c r="Q18" s="24">
        <v>28</v>
      </c>
      <c r="R18" s="26">
        <f t="shared" si="0"/>
        <v>5294.5</v>
      </c>
      <c r="S18" s="54" t="s">
        <v>27</v>
      </c>
      <c r="T18" s="55"/>
      <c r="U18" s="55"/>
    </row>
    <row r="19" spans="1:22">
      <c r="A19" s="22">
        <v>46162</v>
      </c>
      <c r="B19" s="23" t="s">
        <v>19</v>
      </c>
      <c r="C19" s="24">
        <v>1919</v>
      </c>
      <c r="D19" s="23" t="s">
        <v>20</v>
      </c>
      <c r="E19" s="24">
        <v>2729</v>
      </c>
      <c r="F19" s="27">
        <v>12</v>
      </c>
      <c r="G19" s="24">
        <v>195</v>
      </c>
      <c r="H19" s="27">
        <v>22</v>
      </c>
      <c r="I19" s="24">
        <v>640</v>
      </c>
      <c r="J19" s="28">
        <v>11</v>
      </c>
      <c r="K19" s="24">
        <v>272</v>
      </c>
      <c r="L19" s="27">
        <v>3</v>
      </c>
      <c r="M19" s="24">
        <v>100</v>
      </c>
      <c r="N19" s="27">
        <v>1</v>
      </c>
      <c r="O19" s="25">
        <v>0.5</v>
      </c>
      <c r="P19" s="28">
        <v>1</v>
      </c>
      <c r="Q19" s="24">
        <v>30</v>
      </c>
      <c r="R19" s="26">
        <f t="shared" si="0"/>
        <v>5885.5</v>
      </c>
      <c r="S19" s="54" t="s">
        <v>16</v>
      </c>
      <c r="T19" s="55"/>
      <c r="U19" s="55"/>
    </row>
    <row r="20" spans="1:22">
      <c r="A20" s="22">
        <v>46163</v>
      </c>
      <c r="B20" s="23" t="s">
        <v>19</v>
      </c>
      <c r="C20" s="24">
        <v>2065</v>
      </c>
      <c r="D20" s="23" t="s">
        <v>19</v>
      </c>
      <c r="E20" s="24">
        <v>2169</v>
      </c>
      <c r="F20" s="27">
        <v>10</v>
      </c>
      <c r="G20" s="24">
        <v>185</v>
      </c>
      <c r="H20" s="27">
        <v>20</v>
      </c>
      <c r="I20" s="24">
        <v>561</v>
      </c>
      <c r="J20" s="28">
        <v>9</v>
      </c>
      <c r="K20" s="24">
        <v>243</v>
      </c>
      <c r="L20" s="27">
        <v>4</v>
      </c>
      <c r="M20" s="24">
        <v>120</v>
      </c>
      <c r="N20" s="27">
        <v>1</v>
      </c>
      <c r="O20" s="25">
        <v>0.5</v>
      </c>
      <c r="P20" s="28">
        <v>1</v>
      </c>
      <c r="Q20" s="24">
        <v>75</v>
      </c>
      <c r="R20" s="26">
        <f t="shared" si="0"/>
        <v>5418.5</v>
      </c>
      <c r="S20" s="54" t="s">
        <v>16</v>
      </c>
      <c r="T20" s="55"/>
      <c r="U20" s="55"/>
    </row>
    <row r="21" spans="1:22">
      <c r="A21" s="22">
        <v>46164</v>
      </c>
      <c r="B21" s="23" t="s">
        <v>15</v>
      </c>
      <c r="C21" s="24">
        <v>2159</v>
      </c>
      <c r="D21" s="23" t="s">
        <v>15</v>
      </c>
      <c r="E21" s="24">
        <v>1915</v>
      </c>
      <c r="F21" s="27">
        <v>8</v>
      </c>
      <c r="G21" s="24">
        <v>165</v>
      </c>
      <c r="H21" s="27">
        <v>21</v>
      </c>
      <c r="I21" s="24">
        <v>579</v>
      </c>
      <c r="J21" s="28">
        <v>6</v>
      </c>
      <c r="K21" s="24">
        <v>160</v>
      </c>
      <c r="L21" s="27">
        <v>5</v>
      </c>
      <c r="M21" s="24">
        <v>125</v>
      </c>
      <c r="N21" s="27">
        <v>1</v>
      </c>
      <c r="O21" s="25">
        <v>0.5</v>
      </c>
      <c r="P21" s="28">
        <v>1</v>
      </c>
      <c r="Q21" s="24">
        <v>30</v>
      </c>
      <c r="R21" s="26">
        <f t="shared" si="0"/>
        <v>5133.5</v>
      </c>
      <c r="S21" s="54" t="s">
        <v>27</v>
      </c>
      <c r="T21" s="55"/>
      <c r="U21" s="55"/>
    </row>
    <row r="22" spans="1:22">
      <c r="A22" s="22">
        <v>46165</v>
      </c>
      <c r="B22" s="23" t="s">
        <v>19</v>
      </c>
      <c r="C22" s="24">
        <v>2507</v>
      </c>
      <c r="D22" s="23" t="s">
        <v>15</v>
      </c>
      <c r="E22" s="24">
        <v>1814</v>
      </c>
      <c r="F22" s="27">
        <v>9</v>
      </c>
      <c r="G22" s="24">
        <v>175</v>
      </c>
      <c r="H22" s="27">
        <v>18</v>
      </c>
      <c r="I22" s="24">
        <v>526</v>
      </c>
      <c r="J22" s="28">
        <v>4</v>
      </c>
      <c r="K22" s="24">
        <v>95</v>
      </c>
      <c r="L22" s="27">
        <v>4</v>
      </c>
      <c r="M22" s="24">
        <v>125</v>
      </c>
      <c r="N22" s="27">
        <v>1</v>
      </c>
      <c r="O22" s="25">
        <v>0.5</v>
      </c>
      <c r="P22" s="28">
        <v>1</v>
      </c>
      <c r="Q22" s="24">
        <v>27</v>
      </c>
      <c r="R22" s="26">
        <f t="shared" si="0"/>
        <v>5269.5</v>
      </c>
      <c r="S22" s="54" t="s">
        <v>27</v>
      </c>
      <c r="T22" s="55"/>
      <c r="U22" s="55"/>
    </row>
    <row r="23" spans="1:22">
      <c r="A23" s="22">
        <v>46167</v>
      </c>
      <c r="B23" s="23" t="s">
        <v>32</v>
      </c>
      <c r="C23" s="24">
        <v>4060</v>
      </c>
      <c r="D23" s="23" t="s">
        <v>32</v>
      </c>
      <c r="E23" s="24">
        <v>4110</v>
      </c>
      <c r="F23" s="27">
        <v>4</v>
      </c>
      <c r="G23" s="24">
        <v>100</v>
      </c>
      <c r="H23" s="27">
        <v>13</v>
      </c>
      <c r="I23" s="24">
        <v>382</v>
      </c>
      <c r="J23" s="28">
        <v>3</v>
      </c>
      <c r="K23" s="24">
        <v>77</v>
      </c>
      <c r="L23" s="27">
        <v>3</v>
      </c>
      <c r="M23" s="24">
        <v>75</v>
      </c>
      <c r="N23" s="27">
        <v>1</v>
      </c>
      <c r="O23" s="25">
        <v>0.5</v>
      </c>
      <c r="P23" s="28">
        <v>1</v>
      </c>
      <c r="Q23" s="24">
        <v>30</v>
      </c>
      <c r="R23" s="26">
        <f t="shared" si="0"/>
        <v>8834.5</v>
      </c>
      <c r="S23" s="54" t="s">
        <v>23</v>
      </c>
      <c r="T23" s="55"/>
      <c r="U23" s="55"/>
      <c r="V23" t="s">
        <v>26</v>
      </c>
    </row>
    <row r="24" spans="1:22">
      <c r="A24" s="22">
        <v>46167</v>
      </c>
      <c r="B24" s="23" t="s">
        <v>20</v>
      </c>
      <c r="C24" s="24">
        <v>2682</v>
      </c>
      <c r="D24" s="23" t="s">
        <v>19</v>
      </c>
      <c r="E24" s="24">
        <v>2012</v>
      </c>
      <c r="F24" s="27">
        <v>3</v>
      </c>
      <c r="G24" s="24">
        <v>75</v>
      </c>
      <c r="H24" s="27">
        <v>12</v>
      </c>
      <c r="I24" s="24">
        <v>340</v>
      </c>
      <c r="J24" s="28">
        <v>5</v>
      </c>
      <c r="K24" s="24">
        <v>122</v>
      </c>
      <c r="L24" s="27">
        <v>4</v>
      </c>
      <c r="M24" s="24">
        <v>120</v>
      </c>
      <c r="N24" s="27">
        <v>1</v>
      </c>
      <c r="O24" s="25">
        <v>0.5</v>
      </c>
      <c r="P24" s="28">
        <v>1</v>
      </c>
      <c r="Q24" s="24">
        <v>30</v>
      </c>
      <c r="R24" s="26">
        <f t="shared" si="0"/>
        <v>5381.5</v>
      </c>
      <c r="S24" s="54" t="s">
        <v>27</v>
      </c>
      <c r="T24" s="55"/>
      <c r="U24" s="55"/>
      <c r="V24" t="s">
        <v>33</v>
      </c>
    </row>
    <row r="25" spans="1:22">
      <c r="A25" s="22">
        <v>46168</v>
      </c>
      <c r="B25" s="23" t="s">
        <v>15</v>
      </c>
      <c r="C25" s="24">
        <v>1545</v>
      </c>
      <c r="D25" s="23" t="s">
        <v>17</v>
      </c>
      <c r="E25" s="24">
        <v>1071</v>
      </c>
      <c r="F25" s="27">
        <v>4</v>
      </c>
      <c r="G25" s="24">
        <v>100</v>
      </c>
      <c r="H25" s="27">
        <v>14</v>
      </c>
      <c r="I25" s="24">
        <v>397</v>
      </c>
      <c r="J25" s="28">
        <v>4</v>
      </c>
      <c r="K25" s="24">
        <v>95</v>
      </c>
      <c r="L25" s="27">
        <v>3</v>
      </c>
      <c r="M25" s="24">
        <v>75</v>
      </c>
      <c r="N25" s="27">
        <v>1</v>
      </c>
      <c r="O25" s="25">
        <v>0.5</v>
      </c>
      <c r="P25" s="28">
        <v>1</v>
      </c>
      <c r="Q25" s="24">
        <v>30</v>
      </c>
      <c r="R25" s="26">
        <f t="shared" si="0"/>
        <v>3313.5</v>
      </c>
      <c r="S25" s="54" t="s">
        <v>23</v>
      </c>
      <c r="T25" s="55"/>
      <c r="U25" s="55"/>
      <c r="V25" t="s">
        <v>26</v>
      </c>
    </row>
    <row r="26" spans="1:22">
      <c r="A26" s="22">
        <v>46168</v>
      </c>
      <c r="B26" s="23" t="s">
        <v>15</v>
      </c>
      <c r="C26" s="24">
        <v>2035</v>
      </c>
      <c r="D26" s="23" t="s">
        <v>19</v>
      </c>
      <c r="E26" s="24">
        <v>2060</v>
      </c>
      <c r="F26" s="27">
        <v>3</v>
      </c>
      <c r="G26" s="24">
        <v>60</v>
      </c>
      <c r="H26" s="27">
        <v>10</v>
      </c>
      <c r="I26" s="24">
        <v>267</v>
      </c>
      <c r="J26" s="28">
        <v>4</v>
      </c>
      <c r="K26" s="24">
        <v>121</v>
      </c>
      <c r="L26" s="27">
        <v>4</v>
      </c>
      <c r="M26" s="24">
        <v>120</v>
      </c>
      <c r="N26" s="27">
        <v>1</v>
      </c>
      <c r="O26" s="25">
        <v>0.5</v>
      </c>
      <c r="P26" s="28">
        <v>1</v>
      </c>
      <c r="Q26" s="24">
        <v>50</v>
      </c>
      <c r="R26" s="26">
        <f t="shared" si="0"/>
        <v>4713.5</v>
      </c>
      <c r="S26" s="54" t="s">
        <v>16</v>
      </c>
      <c r="T26" s="55"/>
      <c r="U26" s="55"/>
      <c r="V26" t="s">
        <v>33</v>
      </c>
    </row>
    <row r="27" spans="1:22">
      <c r="A27" s="22">
        <v>46169</v>
      </c>
      <c r="B27" s="23" t="s">
        <v>17</v>
      </c>
      <c r="C27" s="24">
        <v>1040</v>
      </c>
      <c r="D27" s="23" t="s">
        <v>17</v>
      </c>
      <c r="E27" s="24">
        <v>1040</v>
      </c>
      <c r="F27" s="27">
        <v>5</v>
      </c>
      <c r="G27" s="24">
        <v>120</v>
      </c>
      <c r="H27" s="27">
        <v>11</v>
      </c>
      <c r="I27" s="24">
        <v>330</v>
      </c>
      <c r="J27" s="28">
        <v>2</v>
      </c>
      <c r="K27" s="24">
        <v>58</v>
      </c>
      <c r="L27" s="27">
        <v>3</v>
      </c>
      <c r="M27" s="24">
        <v>85</v>
      </c>
      <c r="N27" s="27">
        <v>1</v>
      </c>
      <c r="O27" s="25">
        <v>0.5</v>
      </c>
      <c r="P27" s="28">
        <v>1</v>
      </c>
      <c r="Q27" s="24">
        <v>30</v>
      </c>
      <c r="R27" s="26">
        <f t="shared" si="0"/>
        <v>2703.5</v>
      </c>
      <c r="S27" s="54" t="s">
        <v>24</v>
      </c>
      <c r="T27" s="55"/>
      <c r="U27" s="55"/>
      <c r="V27" t="s">
        <v>26</v>
      </c>
    </row>
    <row r="28" spans="1:22">
      <c r="A28" s="22">
        <v>46169</v>
      </c>
      <c r="B28" s="23" t="s">
        <v>19</v>
      </c>
      <c r="C28" s="24">
        <v>2080</v>
      </c>
      <c r="D28" s="23" t="s">
        <v>15</v>
      </c>
      <c r="E28" s="24">
        <v>1625</v>
      </c>
      <c r="F28" s="27">
        <v>3</v>
      </c>
      <c r="G28" s="24">
        <v>75</v>
      </c>
      <c r="H28" s="27">
        <v>10</v>
      </c>
      <c r="I28" s="24">
        <v>289</v>
      </c>
      <c r="J28" s="28">
        <v>3</v>
      </c>
      <c r="K28" s="24">
        <v>78</v>
      </c>
      <c r="L28" s="27">
        <v>2</v>
      </c>
      <c r="M28" s="24">
        <v>50</v>
      </c>
      <c r="N28" s="27">
        <v>1</v>
      </c>
      <c r="O28" s="25">
        <v>0.5</v>
      </c>
      <c r="P28" s="28">
        <v>1</v>
      </c>
      <c r="Q28" s="24">
        <v>28</v>
      </c>
      <c r="R28" s="26">
        <f t="shared" si="0"/>
        <v>4225.5</v>
      </c>
      <c r="S28" s="54" t="s">
        <v>16</v>
      </c>
      <c r="T28" s="55"/>
      <c r="U28" s="55"/>
      <c r="V28" t="s">
        <v>33</v>
      </c>
    </row>
    <row r="29" spans="1:22">
      <c r="A29" s="22">
        <v>46170</v>
      </c>
      <c r="B29" s="23" t="s">
        <v>15</v>
      </c>
      <c r="C29" s="24">
        <v>1560</v>
      </c>
      <c r="D29" s="23" t="s">
        <v>17</v>
      </c>
      <c r="E29" s="24">
        <v>1132</v>
      </c>
      <c r="F29" s="27">
        <v>21</v>
      </c>
      <c r="G29" s="24">
        <v>220</v>
      </c>
      <c r="H29" s="27">
        <v>14</v>
      </c>
      <c r="I29" s="24">
        <v>417</v>
      </c>
      <c r="J29" s="28">
        <v>4</v>
      </c>
      <c r="K29" s="24">
        <v>168</v>
      </c>
      <c r="L29" s="27">
        <v>4</v>
      </c>
      <c r="M29" s="24">
        <v>120</v>
      </c>
      <c r="N29" s="27">
        <v>1</v>
      </c>
      <c r="O29" s="25">
        <v>0.5</v>
      </c>
      <c r="P29" s="28">
        <v>1</v>
      </c>
      <c r="Q29" s="24">
        <v>30</v>
      </c>
      <c r="R29" s="26">
        <f t="shared" si="0"/>
        <v>3647.5</v>
      </c>
      <c r="S29" s="54" t="s">
        <v>23</v>
      </c>
      <c r="T29" s="55"/>
      <c r="U29" s="55"/>
      <c r="V29" t="s">
        <v>26</v>
      </c>
    </row>
    <row r="30" spans="1:22">
      <c r="A30" s="22">
        <v>46170</v>
      </c>
      <c r="B30" s="23" t="s">
        <v>19</v>
      </c>
      <c r="C30" s="24">
        <v>2337</v>
      </c>
      <c r="D30" s="23" t="s">
        <v>15</v>
      </c>
      <c r="E30" s="24">
        <v>2009</v>
      </c>
      <c r="F30" s="27">
        <v>5</v>
      </c>
      <c r="G30" s="24">
        <v>110</v>
      </c>
      <c r="H30" s="27">
        <v>12</v>
      </c>
      <c r="I30" s="24">
        <v>345</v>
      </c>
      <c r="J30" s="28">
        <v>5</v>
      </c>
      <c r="K30" s="24">
        <v>125</v>
      </c>
      <c r="L30" s="27">
        <v>4</v>
      </c>
      <c r="M30" s="24">
        <v>135</v>
      </c>
      <c r="N30" s="27">
        <v>1</v>
      </c>
      <c r="O30" s="25">
        <v>0.5</v>
      </c>
      <c r="P30" s="28">
        <v>1</v>
      </c>
      <c r="Q30" s="24">
        <v>40</v>
      </c>
      <c r="R30" s="26">
        <f t="shared" si="0"/>
        <v>5101.5</v>
      </c>
      <c r="S30" s="54" t="s">
        <v>16</v>
      </c>
      <c r="T30" s="55"/>
      <c r="U30" s="55"/>
      <c r="V30" t="s">
        <v>33</v>
      </c>
    </row>
    <row r="31" spans="1:22">
      <c r="A31" s="22">
        <v>46171</v>
      </c>
      <c r="B31" s="23" t="s">
        <v>19</v>
      </c>
      <c r="C31" s="24">
        <v>2080</v>
      </c>
      <c r="D31" s="23" t="s">
        <v>19</v>
      </c>
      <c r="E31" s="24">
        <v>2127</v>
      </c>
      <c r="F31" s="27">
        <v>4</v>
      </c>
      <c r="G31" s="24">
        <v>100</v>
      </c>
      <c r="H31" s="27">
        <v>6</v>
      </c>
      <c r="I31" s="24">
        <v>177</v>
      </c>
      <c r="J31" s="28">
        <v>3</v>
      </c>
      <c r="K31" s="24">
        <v>60</v>
      </c>
      <c r="L31" s="27">
        <v>2</v>
      </c>
      <c r="M31" s="24">
        <v>50</v>
      </c>
      <c r="N31" s="27">
        <v>1</v>
      </c>
      <c r="O31" s="25">
        <v>0.5</v>
      </c>
      <c r="P31" s="28">
        <v>1</v>
      </c>
      <c r="Q31" s="24">
        <v>35</v>
      </c>
      <c r="R31" s="26">
        <f t="shared" si="0"/>
        <v>4629.5</v>
      </c>
      <c r="S31" s="54" t="s">
        <v>16</v>
      </c>
      <c r="T31" s="55"/>
      <c r="U31" s="55"/>
    </row>
    <row r="32" spans="1:22">
      <c r="A32" s="22"/>
      <c r="B32" s="23"/>
      <c r="C32" s="24"/>
      <c r="D32" s="23"/>
      <c r="E32" s="24"/>
      <c r="F32" s="27"/>
      <c r="G32" s="24"/>
      <c r="H32" s="27"/>
      <c r="I32" s="24"/>
      <c r="J32" s="28"/>
      <c r="K32" s="24"/>
      <c r="L32" s="27"/>
      <c r="M32" s="24"/>
      <c r="N32" s="27"/>
      <c r="O32" s="25"/>
      <c r="P32" s="28"/>
      <c r="Q32" s="24"/>
      <c r="R32" s="26">
        <f t="shared" si="0"/>
        <v>0</v>
      </c>
      <c r="S32" s="54"/>
      <c r="T32" s="55"/>
      <c r="U32" s="55"/>
    </row>
    <row r="33" spans="1:21">
      <c r="A33" s="22"/>
      <c r="B33" s="23"/>
      <c r="C33" s="24"/>
      <c r="D33" s="23"/>
      <c r="E33" s="24"/>
      <c r="F33" s="27"/>
      <c r="G33" s="24"/>
      <c r="H33" s="27"/>
      <c r="I33" s="24"/>
      <c r="J33" s="28"/>
      <c r="K33" s="24"/>
      <c r="L33" s="27"/>
      <c r="M33" s="24"/>
      <c r="N33" s="27"/>
      <c r="O33" s="25"/>
      <c r="P33" s="28"/>
      <c r="Q33" s="24"/>
      <c r="R33" s="26">
        <f t="shared" si="0"/>
        <v>0</v>
      </c>
      <c r="S33" s="54"/>
      <c r="T33" s="55"/>
      <c r="U33" s="55"/>
    </row>
    <row r="34" spans="1:21">
      <c r="A34" s="22"/>
      <c r="B34" s="23"/>
      <c r="C34" s="24"/>
      <c r="D34" s="23"/>
      <c r="E34" s="24"/>
      <c r="F34" s="27"/>
      <c r="G34" s="24"/>
      <c r="H34" s="27"/>
      <c r="I34" s="24"/>
      <c r="J34" s="28"/>
      <c r="K34" s="24"/>
      <c r="L34" s="27"/>
      <c r="M34" s="24"/>
      <c r="N34" s="27"/>
      <c r="O34" s="25"/>
      <c r="P34" s="28"/>
      <c r="Q34" s="24"/>
      <c r="R34" s="26">
        <f t="shared" si="0"/>
        <v>0</v>
      </c>
      <c r="S34" s="54"/>
      <c r="T34" s="55"/>
      <c r="U34" s="55"/>
    </row>
    <row r="35" spans="1:21">
      <c r="A35" s="22"/>
      <c r="B35" s="23"/>
      <c r="C35" s="24"/>
      <c r="D35" s="23"/>
      <c r="E35" s="24"/>
      <c r="F35" s="27"/>
      <c r="G35" s="24"/>
      <c r="H35" s="27"/>
      <c r="I35" s="24"/>
      <c r="J35" s="28"/>
      <c r="K35" s="24"/>
      <c r="L35" s="27"/>
      <c r="M35" s="24"/>
      <c r="N35" s="27"/>
      <c r="O35" s="25"/>
      <c r="P35" s="28"/>
      <c r="Q35" s="24"/>
      <c r="R35" s="26">
        <f t="shared" si="0"/>
        <v>0</v>
      </c>
      <c r="S35" s="54"/>
      <c r="T35" s="55"/>
      <c r="U35" s="55"/>
    </row>
    <row r="36" spans="1:21">
      <c r="A36" s="22"/>
      <c r="B36" s="23"/>
      <c r="C36" s="24"/>
      <c r="D36" s="23"/>
      <c r="E36" s="24"/>
      <c r="F36" s="27"/>
      <c r="G36" s="24"/>
      <c r="H36" s="27"/>
      <c r="I36" s="24"/>
      <c r="J36" s="28"/>
      <c r="K36" s="24"/>
      <c r="L36" s="27"/>
      <c r="M36" s="24"/>
      <c r="N36" s="27"/>
      <c r="O36" s="25"/>
      <c r="P36" s="28"/>
      <c r="Q36" s="24"/>
      <c r="R36" s="26">
        <f t="shared" si="0"/>
        <v>0</v>
      </c>
      <c r="S36" s="54"/>
      <c r="T36" s="55"/>
      <c r="U36" s="55"/>
    </row>
    <row r="37" spans="1:21">
      <c r="A37" s="22"/>
      <c r="B37" s="23"/>
      <c r="C37" s="24"/>
      <c r="D37" s="23"/>
      <c r="E37" s="24"/>
      <c r="F37" s="27"/>
      <c r="G37" s="24"/>
      <c r="H37" s="27"/>
      <c r="I37" s="24"/>
      <c r="J37" s="28"/>
      <c r="K37" s="24"/>
      <c r="L37" s="27"/>
      <c r="M37" s="24"/>
      <c r="N37" s="27"/>
      <c r="O37" s="25"/>
      <c r="P37" s="28"/>
      <c r="Q37" s="24"/>
      <c r="R37" s="33">
        <f t="shared" si="0"/>
        <v>0</v>
      </c>
      <c r="S37" s="54"/>
      <c r="T37" s="55"/>
      <c r="U37" s="55"/>
    </row>
    <row r="38" spans="1:21">
      <c r="A38" s="22"/>
      <c r="B38" s="23"/>
      <c r="C38" s="24"/>
      <c r="D38" s="23"/>
      <c r="E38" s="24"/>
      <c r="F38" s="27"/>
      <c r="G38" s="24"/>
      <c r="H38" s="27"/>
      <c r="I38" s="24"/>
      <c r="J38" s="28"/>
      <c r="K38" s="24"/>
      <c r="L38" s="27"/>
      <c r="M38" s="24"/>
      <c r="N38" s="27"/>
      <c r="O38" s="25"/>
      <c r="P38" s="28"/>
      <c r="Q38" s="24"/>
      <c r="R38" s="33"/>
    </row>
    <row r="39" spans="1:21">
      <c r="A39" s="22"/>
      <c r="B39" s="23"/>
      <c r="C39" s="24"/>
      <c r="D39" s="23"/>
      <c r="E39" s="24"/>
      <c r="F39" s="27"/>
      <c r="G39" s="24"/>
      <c r="H39" s="27"/>
      <c r="I39" s="24"/>
      <c r="J39" s="28"/>
      <c r="K39" s="24"/>
      <c r="L39" s="27"/>
      <c r="M39" s="24"/>
      <c r="N39" s="27"/>
      <c r="O39" s="24"/>
      <c r="P39" s="28"/>
      <c r="Q39" s="24"/>
      <c r="R39" s="33"/>
    </row>
    <row r="40" spans="1:21">
      <c r="A40" s="22"/>
      <c r="B40" s="34"/>
      <c r="C40" s="35"/>
      <c r="D40" s="34"/>
      <c r="E40" s="35"/>
      <c r="F40" s="34"/>
      <c r="G40" s="35"/>
      <c r="H40" s="34"/>
      <c r="I40" s="35"/>
      <c r="J40" s="36"/>
      <c r="K40" s="35"/>
      <c r="L40" s="34"/>
      <c r="M40" s="35"/>
      <c r="N40" s="34"/>
      <c r="O40" s="35"/>
      <c r="P40" s="36"/>
      <c r="Q40" s="35"/>
      <c r="R40" s="33"/>
    </row>
    <row r="41" spans="1:21">
      <c r="A41" s="37"/>
      <c r="B41" s="38">
        <f t="shared" ref="B41:R41" si="1">SUM(B5:B40)</f>
        <v>0</v>
      </c>
      <c r="C41" s="38">
        <f t="shared" si="1"/>
        <v>50192</v>
      </c>
      <c r="D41" s="38">
        <f t="shared" si="1"/>
        <v>0</v>
      </c>
      <c r="E41" s="38">
        <f t="shared" si="1"/>
        <v>49019</v>
      </c>
      <c r="F41" s="38">
        <f t="shared" si="1"/>
        <v>162</v>
      </c>
      <c r="G41" s="38">
        <f t="shared" si="1"/>
        <v>3338</v>
      </c>
      <c r="H41" s="38">
        <f t="shared" si="1"/>
        <v>376</v>
      </c>
      <c r="I41" s="38">
        <f t="shared" si="1"/>
        <v>10854</v>
      </c>
      <c r="J41" s="38">
        <f t="shared" si="1"/>
        <v>133</v>
      </c>
      <c r="K41" s="38">
        <f t="shared" si="1"/>
        <v>3328</v>
      </c>
      <c r="L41" s="38">
        <f t="shared" si="1"/>
        <v>96</v>
      </c>
      <c r="M41" s="38">
        <f t="shared" si="1"/>
        <v>2616</v>
      </c>
      <c r="N41" s="38">
        <f t="shared" si="1"/>
        <v>27</v>
      </c>
      <c r="O41" s="38">
        <f t="shared" si="1"/>
        <v>13.5</v>
      </c>
      <c r="P41" s="38">
        <f t="shared" si="1"/>
        <v>27</v>
      </c>
      <c r="Q41" s="38">
        <f t="shared" si="1"/>
        <v>872</v>
      </c>
      <c r="R41" s="39">
        <f t="shared" si="1"/>
        <v>120232.5</v>
      </c>
    </row>
    <row r="42" spans="1:21">
      <c r="A42" s="4"/>
      <c r="B42" s="40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</sheetData>
  <mergeCells count="41">
    <mergeCell ref="S37:U37"/>
    <mergeCell ref="S32:U32"/>
    <mergeCell ref="S33:U33"/>
    <mergeCell ref="S34:U34"/>
    <mergeCell ref="S35:U35"/>
    <mergeCell ref="S36:U36"/>
    <mergeCell ref="S27:U27"/>
    <mergeCell ref="S28:U28"/>
    <mergeCell ref="S29:U29"/>
    <mergeCell ref="S30:U30"/>
    <mergeCell ref="S31:U31"/>
    <mergeCell ref="S22:U22"/>
    <mergeCell ref="S23:U23"/>
    <mergeCell ref="S24:U24"/>
    <mergeCell ref="S25:U25"/>
    <mergeCell ref="S26:U26"/>
    <mergeCell ref="S17:U17"/>
    <mergeCell ref="S18:U18"/>
    <mergeCell ref="S19:U19"/>
    <mergeCell ref="S20:U20"/>
    <mergeCell ref="S21:U21"/>
    <mergeCell ref="S12:U12"/>
    <mergeCell ref="S13:U13"/>
    <mergeCell ref="S14:U14"/>
    <mergeCell ref="S15:U15"/>
    <mergeCell ref="S16:U16"/>
    <mergeCell ref="S7:U7"/>
    <mergeCell ref="S8:U8"/>
    <mergeCell ref="S9:U9"/>
    <mergeCell ref="S10:U10"/>
    <mergeCell ref="S11:U11"/>
    <mergeCell ref="B3:C3"/>
    <mergeCell ref="D3:E3"/>
    <mergeCell ref="L3:M3"/>
    <mergeCell ref="S5:U5"/>
    <mergeCell ref="S6:U6"/>
    <mergeCell ref="B2:E2"/>
    <mergeCell ref="F2:G2"/>
    <mergeCell ref="H2:I2"/>
    <mergeCell ref="J2:K2"/>
    <mergeCell ref="L2:M2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2"/>
  <sheetViews>
    <sheetView topLeftCell="A10" workbookViewId="0">
      <selection activeCell="V32" sqref="V32"/>
    </sheetView>
  </sheetViews>
  <sheetFormatPr defaultColWidth="9" defaultRowHeight="15"/>
  <sheetData>
    <row r="1" spans="1:22">
      <c r="A1" s="1">
        <v>46174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22">
      <c r="A2" s="5"/>
      <c r="B2" s="44" t="s">
        <v>0</v>
      </c>
      <c r="C2" s="45"/>
      <c r="D2" s="45"/>
      <c r="E2" s="46"/>
      <c r="F2" s="44" t="s">
        <v>1</v>
      </c>
      <c r="G2" s="46"/>
      <c r="H2" s="44" t="s">
        <v>2</v>
      </c>
      <c r="I2" s="46"/>
      <c r="J2" s="44" t="s">
        <v>3</v>
      </c>
      <c r="K2" s="46"/>
      <c r="L2" s="47" t="s">
        <v>4</v>
      </c>
      <c r="M2" s="48"/>
      <c r="N2" s="6" t="s">
        <v>5</v>
      </c>
      <c r="O2" s="7"/>
      <c r="P2" s="8" t="s">
        <v>6</v>
      </c>
      <c r="Q2" s="7"/>
      <c r="R2" s="9" t="s">
        <v>7</v>
      </c>
    </row>
    <row r="3" spans="1:22">
      <c r="A3" s="10" t="s">
        <v>8</v>
      </c>
      <c r="B3" s="49" t="s">
        <v>9</v>
      </c>
      <c r="C3" s="50"/>
      <c r="D3" s="50" t="s">
        <v>10</v>
      </c>
      <c r="E3" s="51"/>
      <c r="F3" s="11"/>
      <c r="G3" s="12"/>
      <c r="H3" s="11"/>
      <c r="I3" s="12"/>
      <c r="J3" s="11"/>
      <c r="K3" s="12"/>
      <c r="L3" s="52" t="s">
        <v>11</v>
      </c>
      <c r="M3" s="53"/>
      <c r="N3" s="13"/>
      <c r="O3" s="14"/>
      <c r="P3" s="15"/>
      <c r="Q3" s="14"/>
      <c r="R3" s="16" t="s">
        <v>12</v>
      </c>
    </row>
    <row r="4" spans="1:22">
      <c r="A4" s="17"/>
      <c r="B4" s="18" t="s">
        <v>13</v>
      </c>
      <c r="C4" s="19" t="s">
        <v>14</v>
      </c>
      <c r="D4" s="18" t="s">
        <v>13</v>
      </c>
      <c r="E4" s="19" t="s">
        <v>14</v>
      </c>
      <c r="F4" s="18" t="s">
        <v>13</v>
      </c>
      <c r="G4" s="19" t="s">
        <v>14</v>
      </c>
      <c r="H4" s="18" t="s">
        <v>13</v>
      </c>
      <c r="I4" s="17" t="s">
        <v>14</v>
      </c>
      <c r="J4" s="20" t="s">
        <v>13</v>
      </c>
      <c r="K4" s="19" t="s">
        <v>14</v>
      </c>
      <c r="L4" s="18" t="s">
        <v>13</v>
      </c>
      <c r="M4" s="19" t="s">
        <v>14</v>
      </c>
      <c r="N4" s="18" t="s">
        <v>13</v>
      </c>
      <c r="O4" s="19" t="s">
        <v>14</v>
      </c>
      <c r="P4" s="20" t="s">
        <v>13</v>
      </c>
      <c r="Q4" s="19" t="s">
        <v>14</v>
      </c>
      <c r="R4" s="21"/>
    </row>
    <row r="5" spans="1:22">
      <c r="A5" s="22">
        <v>46171</v>
      </c>
      <c r="B5" s="23">
        <v>0</v>
      </c>
      <c r="C5" s="24">
        <v>0</v>
      </c>
      <c r="D5" s="23">
        <v>0</v>
      </c>
      <c r="E5" s="24">
        <v>0</v>
      </c>
      <c r="F5" s="24">
        <v>3</v>
      </c>
      <c r="G5" s="24">
        <v>75</v>
      </c>
      <c r="H5" s="24">
        <v>3</v>
      </c>
      <c r="I5" s="24">
        <v>90</v>
      </c>
      <c r="J5" s="24">
        <v>2</v>
      </c>
      <c r="K5" s="24">
        <v>53</v>
      </c>
      <c r="L5" s="24">
        <v>3</v>
      </c>
      <c r="M5" s="24">
        <v>75</v>
      </c>
      <c r="N5" s="24">
        <v>1</v>
      </c>
      <c r="O5" s="25">
        <v>0.5</v>
      </c>
      <c r="P5" s="24">
        <v>1</v>
      </c>
      <c r="Q5" s="24">
        <v>30</v>
      </c>
      <c r="R5" s="26">
        <f t="shared" ref="R5:R32" si="0">+C5+E5+G5+I5+K5+M5+O5+Q5</f>
        <v>323.5</v>
      </c>
      <c r="S5" s="54"/>
      <c r="T5" s="55"/>
      <c r="U5" s="55"/>
    </row>
    <row r="6" spans="1:22">
      <c r="A6" s="22">
        <v>46174</v>
      </c>
      <c r="B6" s="23" t="s">
        <v>15</v>
      </c>
      <c r="C6" s="24">
        <v>1560</v>
      </c>
      <c r="D6" s="23" t="s">
        <v>17</v>
      </c>
      <c r="E6" s="24">
        <v>1040</v>
      </c>
      <c r="F6" s="27">
        <v>10</v>
      </c>
      <c r="G6" s="24">
        <v>250</v>
      </c>
      <c r="H6" s="27">
        <v>8</v>
      </c>
      <c r="I6" s="24">
        <v>279</v>
      </c>
      <c r="J6" s="28">
        <v>6</v>
      </c>
      <c r="K6" s="24">
        <v>130</v>
      </c>
      <c r="L6" s="27">
        <v>3</v>
      </c>
      <c r="M6" s="24">
        <v>78</v>
      </c>
      <c r="N6" s="27">
        <v>1</v>
      </c>
      <c r="O6" s="25">
        <v>0.5</v>
      </c>
      <c r="P6" s="28">
        <v>1</v>
      </c>
      <c r="Q6" s="24">
        <v>30</v>
      </c>
      <c r="R6" s="26">
        <f t="shared" si="0"/>
        <v>3367.5</v>
      </c>
      <c r="S6" s="54" t="s">
        <v>24</v>
      </c>
      <c r="T6" s="55"/>
      <c r="U6" s="55"/>
    </row>
    <row r="7" spans="1:22">
      <c r="A7" s="22">
        <v>46175</v>
      </c>
      <c r="B7" s="23" t="s">
        <v>15</v>
      </c>
      <c r="C7" s="24">
        <v>1560</v>
      </c>
      <c r="D7" s="23" t="s">
        <v>17</v>
      </c>
      <c r="E7" s="24">
        <v>1040</v>
      </c>
      <c r="F7" s="27">
        <v>5</v>
      </c>
      <c r="G7" s="24">
        <v>120</v>
      </c>
      <c r="H7" s="27">
        <v>14</v>
      </c>
      <c r="I7" s="24">
        <v>407</v>
      </c>
      <c r="J7" s="28">
        <v>4</v>
      </c>
      <c r="K7" s="24">
        <v>96</v>
      </c>
      <c r="L7" s="27">
        <v>4</v>
      </c>
      <c r="M7" s="24">
        <v>120</v>
      </c>
      <c r="N7" s="27">
        <v>1</v>
      </c>
      <c r="O7" s="25">
        <v>0.5</v>
      </c>
      <c r="P7" s="28">
        <v>1</v>
      </c>
      <c r="Q7" s="24">
        <v>29</v>
      </c>
      <c r="R7" s="26">
        <f t="shared" si="0"/>
        <v>3372.5</v>
      </c>
      <c r="S7" s="54" t="s">
        <v>24</v>
      </c>
      <c r="T7" s="55"/>
      <c r="U7" s="55"/>
    </row>
    <row r="8" spans="1:22">
      <c r="A8" s="22">
        <v>46176</v>
      </c>
      <c r="B8" s="23" t="s">
        <v>15</v>
      </c>
      <c r="C8" s="24">
        <v>1560</v>
      </c>
      <c r="D8" s="23" t="s">
        <v>15</v>
      </c>
      <c r="E8" s="24">
        <v>1560</v>
      </c>
      <c r="F8" s="27">
        <v>2</v>
      </c>
      <c r="G8" s="24">
        <v>50</v>
      </c>
      <c r="H8" s="27">
        <v>15</v>
      </c>
      <c r="I8" s="24">
        <v>420</v>
      </c>
      <c r="J8" s="28">
        <v>2</v>
      </c>
      <c r="K8" s="24">
        <v>50</v>
      </c>
      <c r="L8" s="27">
        <v>3</v>
      </c>
      <c r="M8" s="24">
        <v>75</v>
      </c>
      <c r="N8" s="27">
        <v>1</v>
      </c>
      <c r="O8" s="25">
        <v>0.5</v>
      </c>
      <c r="P8" s="28">
        <v>1</v>
      </c>
      <c r="Q8" s="24">
        <v>30</v>
      </c>
      <c r="R8" s="26">
        <f t="shared" si="0"/>
        <v>3745.5</v>
      </c>
      <c r="S8" s="54" t="s">
        <v>24</v>
      </c>
      <c r="T8" s="55"/>
      <c r="U8" s="55"/>
    </row>
    <row r="9" spans="1:22">
      <c r="A9" s="22">
        <v>46177</v>
      </c>
      <c r="B9" s="23" t="s">
        <v>15</v>
      </c>
      <c r="C9" s="24">
        <v>1971</v>
      </c>
      <c r="D9" s="23" t="s">
        <v>15</v>
      </c>
      <c r="E9" s="24">
        <v>1560</v>
      </c>
      <c r="F9" s="27">
        <v>3</v>
      </c>
      <c r="G9" s="29">
        <v>75</v>
      </c>
      <c r="H9" s="27">
        <v>7</v>
      </c>
      <c r="I9" s="24">
        <v>223</v>
      </c>
      <c r="J9" s="28">
        <v>3</v>
      </c>
      <c r="K9" s="24">
        <v>64</v>
      </c>
      <c r="L9" s="27">
        <v>2</v>
      </c>
      <c r="M9" s="24">
        <v>50</v>
      </c>
      <c r="N9" s="27">
        <v>1</v>
      </c>
      <c r="O9" s="25">
        <v>0.5</v>
      </c>
      <c r="P9" s="28">
        <v>1</v>
      </c>
      <c r="Q9" s="24">
        <v>28</v>
      </c>
      <c r="R9" s="26">
        <f t="shared" si="0"/>
        <v>3971.5</v>
      </c>
      <c r="S9" s="54" t="s">
        <v>23</v>
      </c>
      <c r="T9" s="55"/>
      <c r="U9" s="55"/>
    </row>
    <row r="10" spans="1:22">
      <c r="A10" s="22">
        <v>46178</v>
      </c>
      <c r="B10" s="23" t="s">
        <v>17</v>
      </c>
      <c r="C10" s="24">
        <v>1040</v>
      </c>
      <c r="D10" s="23" t="s">
        <v>17</v>
      </c>
      <c r="E10" s="24">
        <v>1040</v>
      </c>
      <c r="F10" s="27">
        <v>2</v>
      </c>
      <c r="G10" s="24">
        <v>50</v>
      </c>
      <c r="H10" s="27">
        <v>8</v>
      </c>
      <c r="I10" s="24">
        <v>220</v>
      </c>
      <c r="J10" s="28">
        <v>3</v>
      </c>
      <c r="K10" s="24">
        <v>90</v>
      </c>
      <c r="L10" s="27">
        <v>4</v>
      </c>
      <c r="M10" s="24">
        <v>100</v>
      </c>
      <c r="N10" s="27">
        <v>1</v>
      </c>
      <c r="O10" s="25">
        <v>0.5</v>
      </c>
      <c r="P10" s="28">
        <v>1</v>
      </c>
      <c r="Q10" s="24">
        <v>30</v>
      </c>
      <c r="R10" s="26">
        <f t="shared" si="0"/>
        <v>2570.5</v>
      </c>
      <c r="S10" s="54" t="s">
        <v>24</v>
      </c>
      <c r="T10" s="55"/>
      <c r="U10" s="55"/>
    </row>
    <row r="11" spans="1:22">
      <c r="A11" s="22">
        <v>46182</v>
      </c>
      <c r="B11" s="23" t="s">
        <v>15</v>
      </c>
      <c r="C11" s="24">
        <v>1560</v>
      </c>
      <c r="D11" s="23" t="s">
        <v>15</v>
      </c>
      <c r="E11" s="24">
        <v>1560</v>
      </c>
      <c r="F11" s="27">
        <v>4</v>
      </c>
      <c r="G11" s="24">
        <v>120</v>
      </c>
      <c r="H11" s="27">
        <v>12</v>
      </c>
      <c r="I11" s="24">
        <v>339</v>
      </c>
      <c r="J11" s="28">
        <v>2</v>
      </c>
      <c r="K11" s="24">
        <v>48</v>
      </c>
      <c r="L11" s="27">
        <v>4</v>
      </c>
      <c r="M11" s="24">
        <v>125</v>
      </c>
      <c r="N11" s="27">
        <v>1</v>
      </c>
      <c r="O11" s="25">
        <v>0.5</v>
      </c>
      <c r="P11" s="28">
        <v>1</v>
      </c>
      <c r="Q11" s="24">
        <v>28</v>
      </c>
      <c r="R11" s="26">
        <f t="shared" si="0"/>
        <v>3780.5</v>
      </c>
      <c r="S11" s="54" t="s">
        <v>24</v>
      </c>
      <c r="T11" s="55"/>
      <c r="U11" s="55"/>
      <c r="V11" t="s">
        <v>26</v>
      </c>
    </row>
    <row r="12" spans="1:22">
      <c r="A12" s="22">
        <v>46182</v>
      </c>
      <c r="B12" s="23" t="s">
        <v>15</v>
      </c>
      <c r="C12" s="24">
        <v>1583</v>
      </c>
      <c r="D12" s="23" t="s">
        <v>17</v>
      </c>
      <c r="E12" s="24">
        <v>1099</v>
      </c>
      <c r="F12" s="30">
        <v>2</v>
      </c>
      <c r="G12" s="31">
        <v>50</v>
      </c>
      <c r="H12" s="28">
        <v>11</v>
      </c>
      <c r="I12" s="24">
        <v>316</v>
      </c>
      <c r="J12" s="27">
        <v>3</v>
      </c>
      <c r="K12" s="24">
        <v>75</v>
      </c>
      <c r="L12" s="27">
        <v>5</v>
      </c>
      <c r="M12" s="24">
        <v>150</v>
      </c>
      <c r="N12" s="27">
        <v>1</v>
      </c>
      <c r="O12" s="25">
        <v>0.5</v>
      </c>
      <c r="P12" s="28">
        <v>1</v>
      </c>
      <c r="Q12" s="24">
        <v>30</v>
      </c>
      <c r="R12" s="26">
        <f t="shared" si="0"/>
        <v>3303.5</v>
      </c>
      <c r="S12" s="54" t="s">
        <v>27</v>
      </c>
      <c r="T12" s="55"/>
      <c r="U12" s="55"/>
      <c r="V12" t="s">
        <v>33</v>
      </c>
    </row>
    <row r="13" spans="1:22">
      <c r="A13" s="22">
        <v>46183</v>
      </c>
      <c r="B13" s="23" t="s">
        <v>15</v>
      </c>
      <c r="C13" s="24">
        <v>1560</v>
      </c>
      <c r="D13" s="23" t="s">
        <v>15</v>
      </c>
      <c r="E13" s="24">
        <v>1560</v>
      </c>
      <c r="F13" s="27">
        <v>4</v>
      </c>
      <c r="G13" s="24">
        <v>100</v>
      </c>
      <c r="H13" s="27">
        <v>10</v>
      </c>
      <c r="I13" s="29">
        <v>294</v>
      </c>
      <c r="J13" s="27">
        <v>4</v>
      </c>
      <c r="K13" s="29">
        <v>109</v>
      </c>
      <c r="L13" s="27">
        <v>4</v>
      </c>
      <c r="M13" s="29">
        <v>120</v>
      </c>
      <c r="N13" s="27">
        <v>1</v>
      </c>
      <c r="O13" s="25">
        <v>0.5</v>
      </c>
      <c r="P13" s="27">
        <v>1</v>
      </c>
      <c r="Q13" s="29">
        <v>29</v>
      </c>
      <c r="R13" s="26">
        <f t="shared" si="0"/>
        <v>3772.5</v>
      </c>
      <c r="S13" s="54" t="s">
        <v>24</v>
      </c>
      <c r="T13" s="55"/>
      <c r="U13" s="55"/>
      <c r="V13" t="s">
        <v>26</v>
      </c>
    </row>
    <row r="14" spans="1:22">
      <c r="A14" s="22">
        <v>46183</v>
      </c>
      <c r="B14" s="23" t="s">
        <v>17</v>
      </c>
      <c r="C14" s="24">
        <v>1040</v>
      </c>
      <c r="D14" s="23" t="s">
        <v>21</v>
      </c>
      <c r="E14" s="24">
        <v>520</v>
      </c>
      <c r="F14" s="27">
        <v>2</v>
      </c>
      <c r="G14" s="24">
        <v>48</v>
      </c>
      <c r="H14" s="27">
        <v>7</v>
      </c>
      <c r="I14" s="24">
        <v>210</v>
      </c>
      <c r="J14" s="27">
        <v>1</v>
      </c>
      <c r="K14" s="32">
        <v>23</v>
      </c>
      <c r="L14" s="27">
        <v>2</v>
      </c>
      <c r="M14" s="24">
        <v>60</v>
      </c>
      <c r="N14" s="27">
        <v>1</v>
      </c>
      <c r="O14" s="25">
        <v>0.5</v>
      </c>
      <c r="P14" s="28">
        <v>1</v>
      </c>
      <c r="Q14" s="24">
        <v>24</v>
      </c>
      <c r="R14" s="26">
        <f t="shared" si="0"/>
        <v>1925.5</v>
      </c>
      <c r="S14" s="54" t="s">
        <v>34</v>
      </c>
      <c r="T14" s="55"/>
      <c r="U14" s="55"/>
      <c r="V14" t="s">
        <v>33</v>
      </c>
    </row>
    <row r="15" spans="1:22">
      <c r="A15" s="22">
        <v>46184</v>
      </c>
      <c r="B15" s="23" t="s">
        <v>15</v>
      </c>
      <c r="C15" s="24">
        <v>1560</v>
      </c>
      <c r="D15" s="23" t="s">
        <v>15</v>
      </c>
      <c r="E15" s="24">
        <v>1560</v>
      </c>
      <c r="F15" s="27">
        <v>3</v>
      </c>
      <c r="G15" s="24">
        <v>75</v>
      </c>
      <c r="H15" s="27">
        <v>8</v>
      </c>
      <c r="I15" s="24">
        <v>218</v>
      </c>
      <c r="J15" s="28">
        <v>3</v>
      </c>
      <c r="K15" s="24">
        <v>87</v>
      </c>
      <c r="L15" s="27">
        <v>3</v>
      </c>
      <c r="M15" s="24">
        <v>100</v>
      </c>
      <c r="N15" s="27">
        <v>1</v>
      </c>
      <c r="O15" s="25">
        <v>0.5</v>
      </c>
      <c r="P15" s="28">
        <v>1</v>
      </c>
      <c r="Q15" s="24">
        <v>39</v>
      </c>
      <c r="R15" s="26">
        <f t="shared" si="0"/>
        <v>3639.5</v>
      </c>
      <c r="S15" s="54" t="s">
        <v>24</v>
      </c>
      <c r="T15" s="55"/>
      <c r="U15" s="55"/>
      <c r="V15" t="s">
        <v>26</v>
      </c>
    </row>
    <row r="16" spans="1:22">
      <c r="A16" s="22">
        <v>46184</v>
      </c>
      <c r="B16" s="23" t="s">
        <v>17</v>
      </c>
      <c r="C16" s="24">
        <v>1320</v>
      </c>
      <c r="D16" s="23" t="s">
        <v>17</v>
      </c>
      <c r="E16" s="24">
        <v>1290</v>
      </c>
      <c r="F16" s="27">
        <v>2</v>
      </c>
      <c r="G16" s="24">
        <v>50</v>
      </c>
      <c r="H16" s="27">
        <v>9</v>
      </c>
      <c r="I16" s="24">
        <v>242</v>
      </c>
      <c r="J16" s="28">
        <v>4</v>
      </c>
      <c r="K16" s="24">
        <v>120</v>
      </c>
      <c r="L16" s="27">
        <v>4</v>
      </c>
      <c r="M16" s="24">
        <v>120</v>
      </c>
      <c r="N16" s="27">
        <v>1</v>
      </c>
      <c r="O16" s="25">
        <v>0.5</v>
      </c>
      <c r="P16" s="28">
        <v>1</v>
      </c>
      <c r="Q16" s="24">
        <v>29</v>
      </c>
      <c r="R16" s="26">
        <f t="shared" si="0"/>
        <v>3171.5</v>
      </c>
      <c r="S16" s="54" t="s">
        <v>27</v>
      </c>
      <c r="T16" s="55"/>
      <c r="U16" s="55"/>
      <c r="V16" t="s">
        <v>33</v>
      </c>
    </row>
    <row r="17" spans="1:22">
      <c r="A17" s="22">
        <v>46185</v>
      </c>
      <c r="B17" s="23" t="s">
        <v>15</v>
      </c>
      <c r="C17" s="24">
        <v>1560</v>
      </c>
      <c r="D17" s="23" t="s">
        <v>15</v>
      </c>
      <c r="E17" s="24">
        <v>1560</v>
      </c>
      <c r="F17" s="27">
        <v>3</v>
      </c>
      <c r="G17" s="24">
        <v>75</v>
      </c>
      <c r="H17" s="27">
        <v>6</v>
      </c>
      <c r="I17" s="24">
        <v>152</v>
      </c>
      <c r="J17" s="28">
        <v>3</v>
      </c>
      <c r="K17" s="24">
        <v>59</v>
      </c>
      <c r="L17" s="27">
        <v>3</v>
      </c>
      <c r="M17" s="24">
        <v>85</v>
      </c>
      <c r="N17" s="27">
        <v>1</v>
      </c>
      <c r="O17" s="25">
        <v>0.5</v>
      </c>
      <c r="P17" s="28">
        <v>1</v>
      </c>
      <c r="Q17" s="24">
        <v>30</v>
      </c>
      <c r="R17" s="26">
        <f t="shared" si="0"/>
        <v>3521.5</v>
      </c>
      <c r="S17" s="54" t="s">
        <v>24</v>
      </c>
      <c r="T17" s="55"/>
      <c r="U17" s="55"/>
      <c r="V17" t="s">
        <v>26</v>
      </c>
    </row>
    <row r="18" spans="1:22">
      <c r="A18" s="22">
        <v>46185</v>
      </c>
      <c r="B18" s="23" t="s">
        <v>21</v>
      </c>
      <c r="C18" s="24">
        <v>646</v>
      </c>
      <c r="D18" s="23" t="s">
        <v>21</v>
      </c>
      <c r="E18" s="24">
        <v>682</v>
      </c>
      <c r="F18" s="27">
        <v>2</v>
      </c>
      <c r="G18" s="24">
        <v>51</v>
      </c>
      <c r="H18" s="27">
        <v>2</v>
      </c>
      <c r="I18" s="24">
        <v>50</v>
      </c>
      <c r="J18" s="28">
        <v>1</v>
      </c>
      <c r="K18" s="24">
        <v>30</v>
      </c>
      <c r="L18" s="27">
        <v>2</v>
      </c>
      <c r="M18" s="24">
        <v>58</v>
      </c>
      <c r="N18" s="27">
        <v>1</v>
      </c>
      <c r="O18" s="25">
        <v>0.5</v>
      </c>
      <c r="P18" s="28">
        <v>1</v>
      </c>
      <c r="Q18" s="24">
        <v>24</v>
      </c>
      <c r="R18" s="26">
        <f t="shared" si="0"/>
        <v>1541.5</v>
      </c>
      <c r="S18" s="54" t="s">
        <v>34</v>
      </c>
      <c r="T18" s="55"/>
      <c r="U18" s="55"/>
      <c r="V18" t="s">
        <v>33</v>
      </c>
    </row>
    <row r="19" spans="1:22">
      <c r="A19" s="22">
        <v>46188</v>
      </c>
      <c r="B19" s="23" t="s">
        <v>17</v>
      </c>
      <c r="C19" s="24">
        <v>1204</v>
      </c>
      <c r="D19" s="23" t="s">
        <v>17</v>
      </c>
      <c r="E19" s="24">
        <v>1375</v>
      </c>
      <c r="F19" s="27">
        <v>5</v>
      </c>
      <c r="G19" s="24">
        <v>120</v>
      </c>
      <c r="H19" s="27">
        <v>9</v>
      </c>
      <c r="I19" s="24">
        <v>350</v>
      </c>
      <c r="J19" s="28">
        <v>4</v>
      </c>
      <c r="K19" s="24">
        <v>110</v>
      </c>
      <c r="L19" s="27">
        <v>4</v>
      </c>
      <c r="M19" s="24">
        <v>120</v>
      </c>
      <c r="N19" s="27">
        <v>1</v>
      </c>
      <c r="O19" s="25">
        <v>0.5</v>
      </c>
      <c r="P19" s="28">
        <v>1</v>
      </c>
      <c r="Q19" s="24">
        <v>31</v>
      </c>
      <c r="R19" s="26">
        <f t="shared" si="0"/>
        <v>3310.5</v>
      </c>
      <c r="S19" s="54" t="s">
        <v>27</v>
      </c>
      <c r="T19" s="55"/>
      <c r="U19" s="55"/>
    </row>
    <row r="20" spans="1:22">
      <c r="A20" s="22">
        <v>46189</v>
      </c>
      <c r="B20" s="23" t="s">
        <v>15</v>
      </c>
      <c r="C20" s="24">
        <v>1898</v>
      </c>
      <c r="D20" s="23" t="s">
        <v>15</v>
      </c>
      <c r="E20" s="24">
        <v>1697</v>
      </c>
      <c r="F20" s="27">
        <v>5</v>
      </c>
      <c r="G20" s="24">
        <v>125</v>
      </c>
      <c r="H20" s="27">
        <v>8</v>
      </c>
      <c r="I20" s="24">
        <v>237</v>
      </c>
      <c r="J20" s="28">
        <v>5</v>
      </c>
      <c r="K20" s="24">
        <v>120</v>
      </c>
      <c r="L20" s="27">
        <v>3</v>
      </c>
      <c r="M20" s="24">
        <v>100</v>
      </c>
      <c r="N20" s="27">
        <v>1</v>
      </c>
      <c r="O20" s="25">
        <v>0.5</v>
      </c>
      <c r="P20" s="28">
        <v>1</v>
      </c>
      <c r="Q20" s="24">
        <v>29</v>
      </c>
      <c r="R20" s="26">
        <f t="shared" si="0"/>
        <v>4206.5</v>
      </c>
      <c r="S20" s="54" t="s">
        <v>27</v>
      </c>
      <c r="T20" s="55"/>
      <c r="U20" s="55"/>
    </row>
    <row r="21" spans="1:22">
      <c r="A21" s="22">
        <v>46190</v>
      </c>
      <c r="B21" s="23" t="s">
        <v>17</v>
      </c>
      <c r="C21" s="24">
        <v>1104</v>
      </c>
      <c r="D21" s="23" t="s">
        <v>17</v>
      </c>
      <c r="E21" s="24">
        <v>1170</v>
      </c>
      <c r="F21" s="27">
        <v>4</v>
      </c>
      <c r="G21" s="24">
        <v>100</v>
      </c>
      <c r="H21" s="27">
        <v>6</v>
      </c>
      <c r="I21" s="24">
        <v>161</v>
      </c>
      <c r="J21" s="28">
        <v>3</v>
      </c>
      <c r="K21" s="24">
        <v>75</v>
      </c>
      <c r="L21" s="27">
        <v>4</v>
      </c>
      <c r="M21" s="24">
        <v>120</v>
      </c>
      <c r="N21" s="27">
        <v>1</v>
      </c>
      <c r="O21" s="25">
        <v>0.5</v>
      </c>
      <c r="P21" s="28">
        <v>1</v>
      </c>
      <c r="Q21" s="24">
        <v>30</v>
      </c>
      <c r="R21" s="26">
        <f t="shared" si="0"/>
        <v>2760.5</v>
      </c>
      <c r="S21" s="54" t="s">
        <v>35</v>
      </c>
      <c r="T21" s="55"/>
      <c r="U21" s="55"/>
    </row>
    <row r="22" spans="1:22">
      <c r="A22" s="22">
        <v>46191</v>
      </c>
      <c r="B22" s="23" t="s">
        <v>15</v>
      </c>
      <c r="C22" s="24">
        <v>1560</v>
      </c>
      <c r="D22" s="23" t="s">
        <v>17</v>
      </c>
      <c r="E22" s="24">
        <v>1245</v>
      </c>
      <c r="F22" s="27">
        <v>2</v>
      </c>
      <c r="G22" s="24">
        <v>50</v>
      </c>
      <c r="H22" s="27">
        <v>5</v>
      </c>
      <c r="I22" s="24">
        <v>125</v>
      </c>
      <c r="J22" s="28">
        <v>2</v>
      </c>
      <c r="K22" s="24">
        <v>65</v>
      </c>
      <c r="L22" s="27">
        <v>3</v>
      </c>
      <c r="M22" s="24">
        <v>75</v>
      </c>
      <c r="N22" s="27">
        <v>1</v>
      </c>
      <c r="O22" s="25">
        <v>0.5</v>
      </c>
      <c r="P22" s="28">
        <v>1</v>
      </c>
      <c r="Q22" s="24">
        <v>28</v>
      </c>
      <c r="R22" s="26">
        <f t="shared" si="0"/>
        <v>3148.5</v>
      </c>
      <c r="S22" s="54" t="s">
        <v>35</v>
      </c>
      <c r="T22" s="55"/>
      <c r="U22" s="55"/>
    </row>
    <row r="23" spans="1:22">
      <c r="A23" s="22">
        <v>46192</v>
      </c>
      <c r="B23" s="23" t="s">
        <v>19</v>
      </c>
      <c r="C23" s="24">
        <v>2040</v>
      </c>
      <c r="D23" s="23" t="s">
        <v>19</v>
      </c>
      <c r="E23" s="24">
        <v>2116</v>
      </c>
      <c r="F23" s="27">
        <v>4</v>
      </c>
      <c r="G23" s="24">
        <v>120</v>
      </c>
      <c r="H23" s="27">
        <v>6</v>
      </c>
      <c r="I23" s="24">
        <v>160</v>
      </c>
      <c r="J23" s="28">
        <v>3</v>
      </c>
      <c r="K23" s="24">
        <v>75</v>
      </c>
      <c r="L23" s="27">
        <v>2</v>
      </c>
      <c r="M23" s="24">
        <v>50</v>
      </c>
      <c r="N23" s="27">
        <v>1</v>
      </c>
      <c r="O23" s="25">
        <v>0.5</v>
      </c>
      <c r="P23" s="28">
        <v>1</v>
      </c>
      <c r="Q23" s="24">
        <v>30</v>
      </c>
      <c r="R23" s="26">
        <f t="shared" si="0"/>
        <v>4591.5</v>
      </c>
      <c r="S23" s="54" t="s">
        <v>35</v>
      </c>
      <c r="T23" s="55"/>
      <c r="U23" s="55"/>
    </row>
    <row r="24" spans="1:22">
      <c r="A24" s="22">
        <v>46193</v>
      </c>
      <c r="B24" s="23" t="s">
        <v>15</v>
      </c>
      <c r="C24" s="24">
        <v>1520</v>
      </c>
      <c r="D24" s="23" t="s">
        <v>15</v>
      </c>
      <c r="E24" s="24">
        <v>1496</v>
      </c>
      <c r="F24" s="27">
        <v>6</v>
      </c>
      <c r="G24" s="24">
        <v>130</v>
      </c>
      <c r="H24" s="27">
        <v>7</v>
      </c>
      <c r="I24" s="24">
        <v>171</v>
      </c>
      <c r="J24" s="28">
        <v>4</v>
      </c>
      <c r="K24" s="24">
        <v>95</v>
      </c>
      <c r="L24" s="27">
        <v>3</v>
      </c>
      <c r="M24" s="24">
        <v>78</v>
      </c>
      <c r="N24" s="27">
        <v>1</v>
      </c>
      <c r="O24" s="25">
        <v>0.5</v>
      </c>
      <c r="P24" s="28">
        <v>1</v>
      </c>
      <c r="Q24" s="24">
        <v>28</v>
      </c>
      <c r="R24" s="26">
        <f t="shared" si="0"/>
        <v>3518.5</v>
      </c>
      <c r="S24" s="54" t="s">
        <v>35</v>
      </c>
      <c r="T24" s="55"/>
      <c r="U24" s="55"/>
    </row>
    <row r="25" spans="1:22">
      <c r="A25" s="22">
        <v>46195</v>
      </c>
      <c r="B25" s="23" t="s">
        <v>15</v>
      </c>
      <c r="C25" s="24">
        <v>1663</v>
      </c>
      <c r="D25" s="23" t="s">
        <v>17</v>
      </c>
      <c r="E25" s="24">
        <v>1040</v>
      </c>
      <c r="F25" s="27">
        <v>6</v>
      </c>
      <c r="G25" s="24">
        <v>120</v>
      </c>
      <c r="H25" s="27">
        <v>10</v>
      </c>
      <c r="I25" s="24">
        <v>297</v>
      </c>
      <c r="J25" s="28">
        <v>4</v>
      </c>
      <c r="K25" s="24">
        <v>94</v>
      </c>
      <c r="L25" s="27">
        <v>3</v>
      </c>
      <c r="M25" s="24">
        <v>75</v>
      </c>
      <c r="N25" s="27">
        <v>1</v>
      </c>
      <c r="O25" s="25">
        <v>0.5</v>
      </c>
      <c r="P25" s="28">
        <v>1</v>
      </c>
      <c r="Q25" s="24">
        <v>30</v>
      </c>
      <c r="R25" s="26">
        <f t="shared" si="0"/>
        <v>3319.5</v>
      </c>
      <c r="S25" s="54" t="s">
        <v>23</v>
      </c>
      <c r="T25" s="55"/>
      <c r="U25" s="55"/>
    </row>
    <row r="26" spans="1:22">
      <c r="A26" s="22">
        <v>46196</v>
      </c>
      <c r="B26" s="23" t="s">
        <v>19</v>
      </c>
      <c r="C26" s="24">
        <v>2033</v>
      </c>
      <c r="D26" s="23" t="s">
        <v>19</v>
      </c>
      <c r="E26" s="24">
        <v>2237</v>
      </c>
      <c r="F26" s="27">
        <v>7</v>
      </c>
      <c r="G26" s="24">
        <v>130</v>
      </c>
      <c r="H26" s="27">
        <v>17</v>
      </c>
      <c r="I26" s="24">
        <v>525</v>
      </c>
      <c r="J26" s="28">
        <v>6</v>
      </c>
      <c r="K26" s="24">
        <v>158</v>
      </c>
      <c r="L26" s="27">
        <v>4</v>
      </c>
      <c r="M26" s="24">
        <v>125</v>
      </c>
      <c r="N26" s="27">
        <v>1</v>
      </c>
      <c r="O26" s="25">
        <v>0.5</v>
      </c>
      <c r="P26" s="28">
        <v>1</v>
      </c>
      <c r="Q26" s="24">
        <v>28</v>
      </c>
      <c r="R26" s="26">
        <f t="shared" si="0"/>
        <v>5236.5</v>
      </c>
      <c r="S26" s="54" t="s">
        <v>35</v>
      </c>
      <c r="T26" s="55"/>
      <c r="U26" s="55"/>
    </row>
    <row r="27" spans="1:22">
      <c r="A27" s="22">
        <v>46197</v>
      </c>
      <c r="B27" s="23" t="s">
        <v>19</v>
      </c>
      <c r="C27" s="24">
        <v>2080</v>
      </c>
      <c r="D27" s="23" t="s">
        <v>15</v>
      </c>
      <c r="E27" s="24">
        <v>1483</v>
      </c>
      <c r="F27" s="27">
        <v>10</v>
      </c>
      <c r="G27" s="24">
        <v>200</v>
      </c>
      <c r="H27" s="27">
        <v>26</v>
      </c>
      <c r="I27" s="24">
        <v>752</v>
      </c>
      <c r="J27" s="28">
        <v>8</v>
      </c>
      <c r="K27" s="24">
        <v>189</v>
      </c>
      <c r="L27" s="27">
        <v>5</v>
      </c>
      <c r="M27" s="24">
        <v>120</v>
      </c>
      <c r="N27" s="27">
        <v>1</v>
      </c>
      <c r="O27" s="25">
        <v>0.5</v>
      </c>
      <c r="P27" s="28">
        <v>1</v>
      </c>
      <c r="Q27" s="24">
        <v>30</v>
      </c>
      <c r="R27" s="26">
        <f t="shared" si="0"/>
        <v>4854.5</v>
      </c>
      <c r="S27" s="54" t="s">
        <v>35</v>
      </c>
      <c r="T27" s="55"/>
      <c r="U27" s="55"/>
      <c r="V27" t="s">
        <v>36</v>
      </c>
    </row>
    <row r="28" spans="1:22">
      <c r="A28" s="22">
        <v>46198</v>
      </c>
      <c r="B28" s="23" t="s">
        <v>37</v>
      </c>
      <c r="C28" s="24">
        <v>2756</v>
      </c>
      <c r="D28" s="23" t="s">
        <v>37</v>
      </c>
      <c r="E28" s="24">
        <v>2529</v>
      </c>
      <c r="F28" s="27">
        <v>4</v>
      </c>
      <c r="G28" s="24">
        <v>80</v>
      </c>
      <c r="H28" s="27">
        <v>32</v>
      </c>
      <c r="I28" s="24">
        <v>830</v>
      </c>
      <c r="J28" s="28">
        <v>8</v>
      </c>
      <c r="K28" s="24">
        <v>193</v>
      </c>
      <c r="L28" s="27">
        <v>6</v>
      </c>
      <c r="M28" s="24">
        <v>175</v>
      </c>
      <c r="N28" s="27">
        <v>1</v>
      </c>
      <c r="O28" s="25">
        <v>0.5</v>
      </c>
      <c r="P28" s="28">
        <v>1</v>
      </c>
      <c r="Q28" s="24">
        <v>29</v>
      </c>
      <c r="R28" s="26">
        <f t="shared" si="0"/>
        <v>6592.5</v>
      </c>
      <c r="S28" s="54" t="s">
        <v>35</v>
      </c>
      <c r="T28" s="55"/>
      <c r="U28" s="55"/>
      <c r="V28" t="s">
        <v>36</v>
      </c>
    </row>
    <row r="29" spans="1:22">
      <c r="A29" s="22">
        <v>46199</v>
      </c>
      <c r="B29" s="23" t="s">
        <v>15</v>
      </c>
      <c r="C29" s="24">
        <v>1504</v>
      </c>
      <c r="D29" s="23" t="s">
        <v>15</v>
      </c>
      <c r="E29" s="24">
        <v>1486</v>
      </c>
      <c r="F29" s="27">
        <v>8</v>
      </c>
      <c r="G29" s="24">
        <v>175</v>
      </c>
      <c r="H29" s="27">
        <v>27</v>
      </c>
      <c r="I29" s="24">
        <v>765</v>
      </c>
      <c r="J29" s="28">
        <v>7</v>
      </c>
      <c r="K29" s="24">
        <v>181</v>
      </c>
      <c r="L29" s="27">
        <v>4</v>
      </c>
      <c r="M29" s="24">
        <v>120</v>
      </c>
      <c r="N29" s="27">
        <v>1</v>
      </c>
      <c r="O29" s="25">
        <v>0.5</v>
      </c>
      <c r="P29" s="28">
        <v>1</v>
      </c>
      <c r="Q29" s="24">
        <v>30</v>
      </c>
      <c r="R29" s="26">
        <f t="shared" si="0"/>
        <v>4261.5</v>
      </c>
      <c r="S29" s="54" t="s">
        <v>35</v>
      </c>
      <c r="T29" s="55"/>
      <c r="U29" s="55"/>
      <c r="V29" t="s">
        <v>36</v>
      </c>
    </row>
    <row r="30" spans="1:22">
      <c r="A30" s="22">
        <v>46200</v>
      </c>
      <c r="B30" s="23" t="s">
        <v>19</v>
      </c>
      <c r="C30" s="24">
        <v>2080</v>
      </c>
      <c r="D30" s="23" t="s">
        <v>19</v>
      </c>
      <c r="E30" s="24">
        <v>2027</v>
      </c>
      <c r="F30" s="27">
        <v>9</v>
      </c>
      <c r="G30" s="24">
        <v>195</v>
      </c>
      <c r="H30" s="27">
        <v>27</v>
      </c>
      <c r="I30" s="24">
        <v>750</v>
      </c>
      <c r="J30" s="28">
        <v>9</v>
      </c>
      <c r="K30" s="24">
        <v>195</v>
      </c>
      <c r="L30" s="27">
        <v>5</v>
      </c>
      <c r="M30" s="24">
        <v>145</v>
      </c>
      <c r="N30" s="27">
        <v>1</v>
      </c>
      <c r="O30" s="25">
        <v>0.5</v>
      </c>
      <c r="P30" s="28">
        <v>2</v>
      </c>
      <c r="Q30" s="24">
        <v>57</v>
      </c>
      <c r="R30" s="26">
        <f t="shared" si="0"/>
        <v>5449.5</v>
      </c>
      <c r="S30" s="54" t="s">
        <v>35</v>
      </c>
      <c r="T30" s="55"/>
      <c r="U30" s="55"/>
      <c r="V30" t="s">
        <v>36</v>
      </c>
    </row>
    <row r="31" spans="1:22">
      <c r="A31" s="22">
        <v>46202</v>
      </c>
      <c r="B31" s="23" t="s">
        <v>19</v>
      </c>
      <c r="C31" s="24">
        <v>1959</v>
      </c>
      <c r="D31" s="23" t="s">
        <v>15</v>
      </c>
      <c r="E31" s="24">
        <v>1522</v>
      </c>
      <c r="F31" s="27">
        <v>7</v>
      </c>
      <c r="G31" s="24">
        <v>140</v>
      </c>
      <c r="H31" s="27">
        <v>22</v>
      </c>
      <c r="I31" s="24">
        <v>616</v>
      </c>
      <c r="J31" s="28">
        <v>8</v>
      </c>
      <c r="K31" s="24">
        <v>176</v>
      </c>
      <c r="L31" s="27">
        <v>4</v>
      </c>
      <c r="M31" s="24">
        <v>84</v>
      </c>
      <c r="N31" s="27">
        <v>1</v>
      </c>
      <c r="O31" s="25">
        <v>0.75</v>
      </c>
      <c r="P31" s="28">
        <v>2</v>
      </c>
      <c r="Q31" s="24">
        <v>50</v>
      </c>
      <c r="R31" s="26">
        <f>+C31+E31+G31+I31+K31+M31+O31+Q31</f>
        <v>4547.75</v>
      </c>
      <c r="S31" s="54" t="s">
        <v>35</v>
      </c>
      <c r="T31" s="55"/>
      <c r="U31" s="55"/>
      <c r="V31" t="s">
        <v>36</v>
      </c>
    </row>
    <row r="32" spans="1:22">
      <c r="A32" s="22">
        <v>46203</v>
      </c>
      <c r="B32" s="23" t="s">
        <v>17</v>
      </c>
      <c r="C32" s="24">
        <v>1040</v>
      </c>
      <c r="D32" s="23" t="s">
        <v>17</v>
      </c>
      <c r="E32" s="24">
        <v>1040</v>
      </c>
      <c r="F32" s="27">
        <v>4</v>
      </c>
      <c r="G32" s="24">
        <v>110</v>
      </c>
      <c r="H32" s="27">
        <v>12</v>
      </c>
      <c r="I32" s="24">
        <v>332</v>
      </c>
      <c r="J32" s="28">
        <v>5</v>
      </c>
      <c r="K32" s="24">
        <v>109</v>
      </c>
      <c r="L32" s="27">
        <v>3</v>
      </c>
      <c r="M32" s="24">
        <v>75</v>
      </c>
      <c r="N32" s="27">
        <v>1</v>
      </c>
      <c r="O32" s="25">
        <v>0.5</v>
      </c>
      <c r="P32" s="28">
        <v>1</v>
      </c>
      <c r="Q32" s="24">
        <v>28</v>
      </c>
      <c r="R32" s="26">
        <f t="shared" si="0"/>
        <v>2734.5</v>
      </c>
      <c r="S32" s="54" t="s">
        <v>35</v>
      </c>
      <c r="T32" s="55"/>
      <c r="U32" s="55"/>
      <c r="V32" t="s">
        <v>36</v>
      </c>
    </row>
    <row r="33" spans="1:21">
      <c r="A33" s="22"/>
      <c r="B33" s="23"/>
      <c r="C33" s="24"/>
      <c r="D33" s="23"/>
      <c r="E33" s="24"/>
      <c r="F33" s="27"/>
      <c r="G33" s="24"/>
      <c r="H33" s="27"/>
      <c r="I33" s="24"/>
      <c r="J33" s="28"/>
      <c r="K33" s="24"/>
      <c r="L33" s="27"/>
      <c r="M33" s="24"/>
      <c r="N33" s="27"/>
      <c r="O33" s="25"/>
      <c r="P33" s="28"/>
      <c r="Q33" s="24"/>
      <c r="R33" s="26">
        <f t="shared" ref="R33:R37" si="1">+C33+E33+G33+I33+K33+M33+O33+Q33</f>
        <v>0</v>
      </c>
      <c r="S33" s="54"/>
      <c r="T33" s="55"/>
      <c r="U33" s="55"/>
    </row>
    <row r="34" spans="1:21">
      <c r="A34" s="22"/>
      <c r="B34" s="23"/>
      <c r="C34" s="24"/>
      <c r="D34" s="23"/>
      <c r="E34" s="24"/>
      <c r="F34" s="27"/>
      <c r="G34" s="24"/>
      <c r="H34" s="27"/>
      <c r="I34" s="24"/>
      <c r="J34" s="28"/>
      <c r="K34" s="24"/>
      <c r="L34" s="27"/>
      <c r="M34" s="24"/>
      <c r="N34" s="27"/>
      <c r="O34" s="25"/>
      <c r="P34" s="28"/>
      <c r="Q34" s="24"/>
      <c r="R34" s="26">
        <f t="shared" si="1"/>
        <v>0</v>
      </c>
      <c r="S34" s="54"/>
      <c r="T34" s="55"/>
      <c r="U34" s="55"/>
    </row>
    <row r="35" spans="1:21">
      <c r="A35" s="22"/>
      <c r="B35" s="23"/>
      <c r="C35" s="24"/>
      <c r="D35" s="23"/>
      <c r="E35" s="24"/>
      <c r="F35" s="27"/>
      <c r="G35" s="24"/>
      <c r="H35" s="27"/>
      <c r="I35" s="24"/>
      <c r="J35" s="28"/>
      <c r="K35" s="24"/>
      <c r="L35" s="27"/>
      <c r="M35" s="24"/>
      <c r="N35" s="27"/>
      <c r="O35" s="25"/>
      <c r="P35" s="28"/>
      <c r="Q35" s="24"/>
      <c r="R35" s="26">
        <f t="shared" si="1"/>
        <v>0</v>
      </c>
      <c r="S35" s="54"/>
      <c r="T35" s="55"/>
      <c r="U35" s="55"/>
    </row>
    <row r="36" spans="1:21">
      <c r="A36" s="22"/>
      <c r="B36" s="23"/>
      <c r="C36" s="24"/>
      <c r="D36" s="23"/>
      <c r="E36" s="24"/>
      <c r="F36" s="27"/>
      <c r="G36" s="24"/>
      <c r="H36" s="27"/>
      <c r="I36" s="24"/>
      <c r="J36" s="28"/>
      <c r="K36" s="24"/>
      <c r="L36" s="27"/>
      <c r="M36" s="24"/>
      <c r="N36" s="27"/>
      <c r="O36" s="25"/>
      <c r="P36" s="28"/>
      <c r="Q36" s="24"/>
      <c r="R36" s="26">
        <f t="shared" si="1"/>
        <v>0</v>
      </c>
      <c r="S36" s="54"/>
      <c r="T36" s="55"/>
      <c r="U36" s="55"/>
    </row>
    <row r="37" spans="1:21">
      <c r="A37" s="22"/>
      <c r="B37" s="23"/>
      <c r="C37" s="24"/>
      <c r="D37" s="23"/>
      <c r="E37" s="24"/>
      <c r="F37" s="27"/>
      <c r="G37" s="24"/>
      <c r="H37" s="27"/>
      <c r="I37" s="24"/>
      <c r="J37" s="28"/>
      <c r="K37" s="24"/>
      <c r="L37" s="27"/>
      <c r="M37" s="24"/>
      <c r="N37" s="27"/>
      <c r="O37" s="25"/>
      <c r="P37" s="28"/>
      <c r="Q37" s="24"/>
      <c r="R37" s="33">
        <f t="shared" si="1"/>
        <v>0</v>
      </c>
      <c r="S37" s="54"/>
      <c r="T37" s="55"/>
      <c r="U37" s="55"/>
    </row>
    <row r="38" spans="1:21">
      <c r="A38" s="22"/>
      <c r="B38" s="23"/>
      <c r="C38" s="24"/>
      <c r="D38" s="23"/>
      <c r="E38" s="24"/>
      <c r="F38" s="27"/>
      <c r="G38" s="24"/>
      <c r="H38" s="27"/>
      <c r="I38" s="24"/>
      <c r="J38" s="28"/>
      <c r="K38" s="24"/>
      <c r="L38" s="27"/>
      <c r="M38" s="24"/>
      <c r="N38" s="27"/>
      <c r="O38" s="25"/>
      <c r="P38" s="28"/>
      <c r="Q38" s="24"/>
      <c r="R38" s="33"/>
    </row>
    <row r="39" spans="1:21">
      <c r="A39" s="22"/>
      <c r="B39" s="23"/>
      <c r="C39" s="24"/>
      <c r="D39" s="23"/>
      <c r="E39" s="24"/>
      <c r="F39" s="27"/>
      <c r="G39" s="24"/>
      <c r="H39" s="27"/>
      <c r="I39" s="24"/>
      <c r="J39" s="28"/>
      <c r="K39" s="24"/>
      <c r="L39" s="27"/>
      <c r="M39" s="24"/>
      <c r="N39" s="27"/>
      <c r="O39" s="24"/>
      <c r="P39" s="28"/>
      <c r="Q39" s="24"/>
      <c r="R39" s="33"/>
    </row>
    <row r="40" spans="1:21">
      <c r="A40" s="22"/>
      <c r="B40" s="34"/>
      <c r="C40" s="35"/>
      <c r="D40" s="34"/>
      <c r="E40" s="35"/>
      <c r="F40" s="34"/>
      <c r="G40" s="35"/>
      <c r="H40" s="34"/>
      <c r="I40" s="35"/>
      <c r="J40" s="36"/>
      <c r="K40" s="35"/>
      <c r="L40" s="34"/>
      <c r="M40" s="35"/>
      <c r="N40" s="34"/>
      <c r="O40" s="35"/>
      <c r="P40" s="36"/>
      <c r="Q40" s="35"/>
      <c r="R40" s="33"/>
    </row>
    <row r="41" spans="1:21">
      <c r="A41" s="37"/>
      <c r="B41" s="38">
        <f t="shared" ref="B41:R41" si="2">SUM(B5:B40)</f>
        <v>0</v>
      </c>
      <c r="C41" s="38">
        <f t="shared" si="2"/>
        <v>42961</v>
      </c>
      <c r="D41" s="38">
        <f t="shared" si="2"/>
        <v>0</v>
      </c>
      <c r="E41" s="38">
        <f t="shared" si="2"/>
        <v>38534</v>
      </c>
      <c r="F41" s="38">
        <f t="shared" si="2"/>
        <v>128</v>
      </c>
      <c r="G41" s="38">
        <f t="shared" si="2"/>
        <v>2984</v>
      </c>
      <c r="H41" s="38">
        <f t="shared" si="2"/>
        <v>334</v>
      </c>
      <c r="I41" s="38">
        <f t="shared" si="2"/>
        <v>9531</v>
      </c>
      <c r="J41" s="38">
        <f t="shared" si="2"/>
        <v>117</v>
      </c>
      <c r="K41" s="38">
        <f t="shared" si="2"/>
        <v>2869</v>
      </c>
      <c r="L41" s="38">
        <f t="shared" si="2"/>
        <v>99</v>
      </c>
      <c r="M41" s="38">
        <f t="shared" si="2"/>
        <v>2778</v>
      </c>
      <c r="N41" s="38">
        <f t="shared" si="2"/>
        <v>28</v>
      </c>
      <c r="O41" s="38">
        <f t="shared" si="2"/>
        <v>14.25</v>
      </c>
      <c r="P41" s="38">
        <f t="shared" si="2"/>
        <v>30</v>
      </c>
      <c r="Q41" s="38">
        <f t="shared" si="2"/>
        <v>868</v>
      </c>
      <c r="R41" s="39">
        <f t="shared" si="2"/>
        <v>100539.25</v>
      </c>
    </row>
    <row r="42" spans="1:21">
      <c r="A42" s="4"/>
      <c r="B42" s="40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</sheetData>
  <mergeCells count="41">
    <mergeCell ref="S37:U37"/>
    <mergeCell ref="S32:U32"/>
    <mergeCell ref="S33:U33"/>
    <mergeCell ref="S34:U34"/>
    <mergeCell ref="S35:U35"/>
    <mergeCell ref="S36:U36"/>
    <mergeCell ref="S27:U27"/>
    <mergeCell ref="S28:U28"/>
    <mergeCell ref="S29:U29"/>
    <mergeCell ref="S30:U30"/>
    <mergeCell ref="S31:U31"/>
    <mergeCell ref="S22:U22"/>
    <mergeCell ref="S23:U23"/>
    <mergeCell ref="S24:U24"/>
    <mergeCell ref="S25:U25"/>
    <mergeCell ref="S26:U26"/>
    <mergeCell ref="S17:U17"/>
    <mergeCell ref="S18:U18"/>
    <mergeCell ref="S19:U19"/>
    <mergeCell ref="S20:U20"/>
    <mergeCell ref="S21:U21"/>
    <mergeCell ref="S12:U12"/>
    <mergeCell ref="S13:U13"/>
    <mergeCell ref="S14:U14"/>
    <mergeCell ref="S15:U15"/>
    <mergeCell ref="S16:U16"/>
    <mergeCell ref="S7:U7"/>
    <mergeCell ref="S8:U8"/>
    <mergeCell ref="S9:U9"/>
    <mergeCell ref="S10:U10"/>
    <mergeCell ref="S11:U11"/>
    <mergeCell ref="B3:C3"/>
    <mergeCell ref="D3:E3"/>
    <mergeCell ref="L3:M3"/>
    <mergeCell ref="S5:U5"/>
    <mergeCell ref="S6:U6"/>
    <mergeCell ref="B2:E2"/>
    <mergeCell ref="F2:G2"/>
    <mergeCell ref="H2:I2"/>
    <mergeCell ref="J2:K2"/>
    <mergeCell ref="L2:M2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2"/>
  <sheetViews>
    <sheetView tabSelected="1" workbookViewId="0">
      <selection activeCell="Y12" sqref="Y12"/>
    </sheetView>
  </sheetViews>
  <sheetFormatPr defaultColWidth="9" defaultRowHeight="15"/>
  <sheetData>
    <row r="1" spans="1:22">
      <c r="A1" s="1">
        <v>46204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spans="1:22">
      <c r="A2" s="5"/>
      <c r="B2" s="44" t="s">
        <v>0</v>
      </c>
      <c r="C2" s="45"/>
      <c r="D2" s="45"/>
      <c r="E2" s="46"/>
      <c r="F2" s="44" t="s">
        <v>1</v>
      </c>
      <c r="G2" s="46"/>
      <c r="H2" s="44" t="s">
        <v>2</v>
      </c>
      <c r="I2" s="46"/>
      <c r="J2" s="44" t="s">
        <v>3</v>
      </c>
      <c r="K2" s="46"/>
      <c r="L2" s="47" t="s">
        <v>4</v>
      </c>
      <c r="M2" s="48"/>
      <c r="N2" s="6" t="s">
        <v>5</v>
      </c>
      <c r="O2" s="7"/>
      <c r="P2" s="8" t="s">
        <v>6</v>
      </c>
      <c r="Q2" s="7"/>
      <c r="R2" s="9" t="s">
        <v>7</v>
      </c>
    </row>
    <row r="3" spans="1:22">
      <c r="A3" s="10" t="s">
        <v>8</v>
      </c>
      <c r="B3" s="49" t="s">
        <v>9</v>
      </c>
      <c r="C3" s="50"/>
      <c r="D3" s="50" t="s">
        <v>10</v>
      </c>
      <c r="E3" s="51"/>
      <c r="F3" s="42"/>
      <c r="G3" s="43"/>
      <c r="H3" s="42"/>
      <c r="I3" s="43"/>
      <c r="J3" s="42"/>
      <c r="K3" s="43"/>
      <c r="L3" s="52" t="s">
        <v>11</v>
      </c>
      <c r="M3" s="53"/>
      <c r="N3" s="13"/>
      <c r="O3" s="14"/>
      <c r="P3" s="15"/>
      <c r="Q3" s="14"/>
      <c r="R3" s="16" t="s">
        <v>12</v>
      </c>
    </row>
    <row r="4" spans="1:22">
      <c r="A4" s="17"/>
      <c r="B4" s="18" t="s">
        <v>13</v>
      </c>
      <c r="C4" s="19" t="s">
        <v>14</v>
      </c>
      <c r="D4" s="18" t="s">
        <v>13</v>
      </c>
      <c r="E4" s="19" t="s">
        <v>14</v>
      </c>
      <c r="F4" s="18" t="s">
        <v>13</v>
      </c>
      <c r="G4" s="19" t="s">
        <v>14</v>
      </c>
      <c r="H4" s="18" t="s">
        <v>13</v>
      </c>
      <c r="I4" s="17" t="s">
        <v>14</v>
      </c>
      <c r="J4" s="20" t="s">
        <v>13</v>
      </c>
      <c r="K4" s="19" t="s">
        <v>14</v>
      </c>
      <c r="L4" s="18" t="s">
        <v>13</v>
      </c>
      <c r="M4" s="19" t="s">
        <v>14</v>
      </c>
      <c r="N4" s="18" t="s">
        <v>13</v>
      </c>
      <c r="O4" s="19" t="s">
        <v>14</v>
      </c>
      <c r="P4" s="20" t="s">
        <v>13</v>
      </c>
      <c r="Q4" s="19" t="s">
        <v>14</v>
      </c>
      <c r="R4" s="21"/>
    </row>
    <row r="5" spans="1:22">
      <c r="A5" s="22">
        <v>46203</v>
      </c>
      <c r="B5" s="23" t="s">
        <v>17</v>
      </c>
      <c r="C5" s="24">
        <v>1038</v>
      </c>
      <c r="D5" s="23" t="s">
        <v>17</v>
      </c>
      <c r="E5" s="24">
        <v>784</v>
      </c>
      <c r="F5" s="24">
        <v>2</v>
      </c>
      <c r="G5" s="24">
        <v>35</v>
      </c>
      <c r="H5" s="24">
        <v>4</v>
      </c>
      <c r="I5" s="24">
        <v>137</v>
      </c>
      <c r="J5" s="24">
        <v>3</v>
      </c>
      <c r="K5" s="24">
        <v>71</v>
      </c>
      <c r="L5" s="24">
        <v>2</v>
      </c>
      <c r="M5" s="24">
        <v>50</v>
      </c>
      <c r="N5" s="24">
        <v>1</v>
      </c>
      <c r="O5" s="25">
        <v>0.5</v>
      </c>
      <c r="P5" s="24">
        <v>1</v>
      </c>
      <c r="Q5" s="24">
        <v>30</v>
      </c>
      <c r="R5" s="26">
        <f t="shared" ref="R5:R37" si="0">+C5+E5+G5+I5+K5+M5+O5+Q5</f>
        <v>2145.5</v>
      </c>
      <c r="S5" s="54" t="s">
        <v>35</v>
      </c>
      <c r="T5" s="55"/>
      <c r="U5" s="55"/>
      <c r="V5" t="s">
        <v>38</v>
      </c>
    </row>
    <row r="6" spans="1:22">
      <c r="A6" s="22">
        <v>46204</v>
      </c>
      <c r="B6" s="23" t="s">
        <v>20</v>
      </c>
      <c r="C6" s="24">
        <v>2370</v>
      </c>
      <c r="D6" s="23" t="s">
        <v>20</v>
      </c>
      <c r="E6" s="24">
        <v>2486</v>
      </c>
      <c r="F6" s="27">
        <v>13</v>
      </c>
      <c r="G6" s="24">
        <v>315</v>
      </c>
      <c r="H6" s="27">
        <v>21</v>
      </c>
      <c r="I6" s="24">
        <v>607</v>
      </c>
      <c r="J6" s="28">
        <v>9</v>
      </c>
      <c r="K6" s="24">
        <v>226</v>
      </c>
      <c r="L6" s="27">
        <v>4</v>
      </c>
      <c r="M6" s="24">
        <v>100</v>
      </c>
      <c r="N6" s="27">
        <v>1</v>
      </c>
      <c r="O6" s="25">
        <v>0.5</v>
      </c>
      <c r="P6" s="28">
        <v>2</v>
      </c>
      <c r="Q6" s="24">
        <v>48</v>
      </c>
      <c r="R6" s="26">
        <f t="shared" si="0"/>
        <v>6152.5</v>
      </c>
      <c r="S6" s="54" t="s">
        <v>35</v>
      </c>
      <c r="T6" s="55"/>
      <c r="U6" s="55"/>
      <c r="V6" t="s">
        <v>36</v>
      </c>
    </row>
    <row r="7" spans="1:22">
      <c r="A7" s="22">
        <v>46205</v>
      </c>
      <c r="B7" s="23" t="s">
        <v>15</v>
      </c>
      <c r="C7" s="24">
        <v>1545</v>
      </c>
      <c r="D7" s="23" t="s">
        <v>15</v>
      </c>
      <c r="E7" s="24">
        <v>1587</v>
      </c>
      <c r="F7" s="27">
        <v>13</v>
      </c>
      <c r="G7" s="24">
        <v>275</v>
      </c>
      <c r="H7" s="27">
        <v>23</v>
      </c>
      <c r="I7" s="24">
        <v>736</v>
      </c>
      <c r="J7" s="28">
        <v>9</v>
      </c>
      <c r="K7" s="24">
        <v>347</v>
      </c>
      <c r="L7" s="27">
        <v>5</v>
      </c>
      <c r="M7" s="24">
        <v>125</v>
      </c>
      <c r="N7" s="27">
        <v>1</v>
      </c>
      <c r="O7" s="25">
        <v>0.5</v>
      </c>
      <c r="P7" s="28">
        <v>2</v>
      </c>
      <c r="Q7" s="24">
        <v>59</v>
      </c>
      <c r="R7" s="26">
        <f t="shared" si="0"/>
        <v>4674.5</v>
      </c>
      <c r="S7" s="54" t="s">
        <v>35</v>
      </c>
      <c r="T7" s="55"/>
      <c r="U7" s="55"/>
      <c r="V7" t="s">
        <v>36</v>
      </c>
    </row>
    <row r="8" spans="1:22">
      <c r="A8" s="22"/>
      <c r="B8" s="23"/>
      <c r="C8" s="24"/>
      <c r="D8" s="23"/>
      <c r="E8" s="24"/>
      <c r="F8" s="27"/>
      <c r="G8" s="24"/>
      <c r="H8" s="27"/>
      <c r="I8" s="24"/>
      <c r="J8" s="28"/>
      <c r="K8" s="24"/>
      <c r="L8" s="27"/>
      <c r="M8" s="24"/>
      <c r="N8" s="27"/>
      <c r="O8" s="25"/>
      <c r="P8" s="28"/>
      <c r="Q8" s="24"/>
      <c r="R8" s="26">
        <f t="shared" si="0"/>
        <v>0</v>
      </c>
      <c r="S8" s="54"/>
      <c r="T8" s="55"/>
      <c r="U8" s="55"/>
    </row>
    <row r="9" spans="1:22">
      <c r="A9" s="22"/>
      <c r="B9" s="23"/>
      <c r="C9" s="24"/>
      <c r="D9" s="23"/>
      <c r="E9" s="24"/>
      <c r="F9" s="27"/>
      <c r="G9" s="29"/>
      <c r="H9" s="27"/>
      <c r="I9" s="24"/>
      <c r="J9" s="28"/>
      <c r="K9" s="24"/>
      <c r="L9" s="27"/>
      <c r="M9" s="24"/>
      <c r="N9" s="27"/>
      <c r="O9" s="25"/>
      <c r="P9" s="28"/>
      <c r="Q9" s="24"/>
      <c r="R9" s="26">
        <f t="shared" si="0"/>
        <v>0</v>
      </c>
      <c r="S9" s="54"/>
      <c r="T9" s="55"/>
      <c r="U9" s="55"/>
    </row>
    <row r="10" spans="1:22">
      <c r="A10" s="22"/>
      <c r="B10" s="23"/>
      <c r="C10" s="24"/>
      <c r="D10" s="23"/>
      <c r="E10" s="24"/>
      <c r="F10" s="27"/>
      <c r="G10" s="24"/>
      <c r="H10" s="27"/>
      <c r="I10" s="24"/>
      <c r="J10" s="28"/>
      <c r="K10" s="24"/>
      <c r="L10" s="27"/>
      <c r="M10" s="24"/>
      <c r="N10" s="27"/>
      <c r="O10" s="25"/>
      <c r="P10" s="28"/>
      <c r="Q10" s="24"/>
      <c r="R10" s="26">
        <f t="shared" si="0"/>
        <v>0</v>
      </c>
      <c r="S10" s="54"/>
      <c r="T10" s="55"/>
      <c r="U10" s="55"/>
    </row>
    <row r="11" spans="1:22">
      <c r="A11" s="22"/>
      <c r="B11" s="23"/>
      <c r="C11" s="24"/>
      <c r="D11" s="23"/>
      <c r="E11" s="24"/>
      <c r="F11" s="27"/>
      <c r="G11" s="24"/>
      <c r="H11" s="27"/>
      <c r="I11" s="24"/>
      <c r="J11" s="28"/>
      <c r="K11" s="24"/>
      <c r="L11" s="27"/>
      <c r="M11" s="24"/>
      <c r="N11" s="27"/>
      <c r="O11" s="25"/>
      <c r="P11" s="28"/>
      <c r="Q11" s="24"/>
      <c r="R11" s="26">
        <f t="shared" si="0"/>
        <v>0</v>
      </c>
      <c r="S11" s="54"/>
      <c r="T11" s="55"/>
      <c r="U11" s="55"/>
    </row>
    <row r="12" spans="1:22">
      <c r="A12" s="22"/>
      <c r="B12" s="23"/>
      <c r="C12" s="24"/>
      <c r="D12" s="23"/>
      <c r="E12" s="24"/>
      <c r="F12" s="30"/>
      <c r="G12" s="31"/>
      <c r="H12" s="28"/>
      <c r="I12" s="24"/>
      <c r="J12" s="27"/>
      <c r="K12" s="24"/>
      <c r="L12" s="27"/>
      <c r="M12" s="24"/>
      <c r="N12" s="27"/>
      <c r="O12" s="25"/>
      <c r="P12" s="28"/>
      <c r="Q12" s="24"/>
      <c r="R12" s="26">
        <f t="shared" si="0"/>
        <v>0</v>
      </c>
      <c r="S12" s="54"/>
      <c r="T12" s="55"/>
      <c r="U12" s="55"/>
    </row>
    <row r="13" spans="1:22">
      <c r="A13" s="22"/>
      <c r="B13" s="23"/>
      <c r="C13" s="24"/>
      <c r="D13" s="23"/>
      <c r="E13" s="24"/>
      <c r="F13" s="27"/>
      <c r="G13" s="24"/>
      <c r="H13" s="27"/>
      <c r="I13" s="29"/>
      <c r="J13" s="27"/>
      <c r="K13" s="29"/>
      <c r="L13" s="27"/>
      <c r="M13" s="29"/>
      <c r="N13" s="27"/>
      <c r="O13" s="25"/>
      <c r="P13" s="27"/>
      <c r="Q13" s="29"/>
      <c r="R13" s="26">
        <f t="shared" si="0"/>
        <v>0</v>
      </c>
      <c r="S13" s="54"/>
      <c r="T13" s="55"/>
      <c r="U13" s="55"/>
    </row>
    <row r="14" spans="1:22">
      <c r="A14" s="22"/>
      <c r="B14" s="23"/>
      <c r="C14" s="24"/>
      <c r="D14" s="23"/>
      <c r="E14" s="24"/>
      <c r="F14" s="27"/>
      <c r="G14" s="24"/>
      <c r="H14" s="27"/>
      <c r="I14" s="24"/>
      <c r="J14" s="27"/>
      <c r="K14" s="32"/>
      <c r="L14" s="27"/>
      <c r="M14" s="24"/>
      <c r="N14" s="27"/>
      <c r="O14" s="25"/>
      <c r="P14" s="28"/>
      <c r="Q14" s="24"/>
      <c r="R14" s="26">
        <f t="shared" si="0"/>
        <v>0</v>
      </c>
      <c r="S14" s="54"/>
      <c r="T14" s="55"/>
      <c r="U14" s="55"/>
    </row>
    <row r="15" spans="1:22">
      <c r="A15" s="22"/>
      <c r="B15" s="23"/>
      <c r="C15" s="24"/>
      <c r="D15" s="23"/>
      <c r="E15" s="24"/>
      <c r="F15" s="27"/>
      <c r="G15" s="24"/>
      <c r="H15" s="27"/>
      <c r="I15" s="24"/>
      <c r="J15" s="28"/>
      <c r="K15" s="24"/>
      <c r="L15" s="27"/>
      <c r="M15" s="24"/>
      <c r="N15" s="27"/>
      <c r="O15" s="25"/>
      <c r="P15" s="28"/>
      <c r="Q15" s="24"/>
      <c r="R15" s="26">
        <f t="shared" si="0"/>
        <v>0</v>
      </c>
      <c r="S15" s="54"/>
      <c r="T15" s="55"/>
      <c r="U15" s="55"/>
    </row>
    <row r="16" spans="1:22">
      <c r="A16" s="22"/>
      <c r="B16" s="23"/>
      <c r="C16" s="24"/>
      <c r="D16" s="23"/>
      <c r="E16" s="24"/>
      <c r="F16" s="27"/>
      <c r="G16" s="24"/>
      <c r="H16" s="27"/>
      <c r="I16" s="24"/>
      <c r="J16" s="28"/>
      <c r="K16" s="24"/>
      <c r="L16" s="27"/>
      <c r="M16" s="24"/>
      <c r="N16" s="27"/>
      <c r="O16" s="25"/>
      <c r="P16" s="28"/>
      <c r="Q16" s="24"/>
      <c r="R16" s="26">
        <f t="shared" si="0"/>
        <v>0</v>
      </c>
      <c r="S16" s="54"/>
      <c r="T16" s="55"/>
      <c r="U16" s="55"/>
    </row>
    <row r="17" spans="1:21">
      <c r="A17" s="22"/>
      <c r="B17" s="23"/>
      <c r="C17" s="24"/>
      <c r="D17" s="23"/>
      <c r="E17" s="24"/>
      <c r="F17" s="27"/>
      <c r="G17" s="24"/>
      <c r="H17" s="27"/>
      <c r="I17" s="24"/>
      <c r="J17" s="28"/>
      <c r="K17" s="24"/>
      <c r="L17" s="27"/>
      <c r="M17" s="24"/>
      <c r="N17" s="27"/>
      <c r="O17" s="25"/>
      <c r="P17" s="28"/>
      <c r="Q17" s="24"/>
      <c r="R17" s="26">
        <f t="shared" si="0"/>
        <v>0</v>
      </c>
      <c r="S17" s="54"/>
      <c r="T17" s="55"/>
      <c r="U17" s="55"/>
    </row>
    <row r="18" spans="1:21">
      <c r="A18" s="22"/>
      <c r="B18" s="23"/>
      <c r="C18" s="24"/>
      <c r="D18" s="23"/>
      <c r="E18" s="24"/>
      <c r="F18" s="27"/>
      <c r="G18" s="24"/>
      <c r="H18" s="27"/>
      <c r="I18" s="24"/>
      <c r="J18" s="28"/>
      <c r="K18" s="24"/>
      <c r="L18" s="27"/>
      <c r="M18" s="24"/>
      <c r="N18" s="27"/>
      <c r="O18" s="25"/>
      <c r="P18" s="28"/>
      <c r="Q18" s="24"/>
      <c r="R18" s="26">
        <f t="shared" si="0"/>
        <v>0</v>
      </c>
      <c r="S18" s="54"/>
      <c r="T18" s="55"/>
      <c r="U18" s="55"/>
    </row>
    <row r="19" spans="1:21">
      <c r="A19" s="22"/>
      <c r="B19" s="23"/>
      <c r="C19" s="24"/>
      <c r="D19" s="23"/>
      <c r="E19" s="24"/>
      <c r="F19" s="27"/>
      <c r="G19" s="24"/>
      <c r="H19" s="27"/>
      <c r="I19" s="24"/>
      <c r="J19" s="28"/>
      <c r="K19" s="24"/>
      <c r="L19" s="27"/>
      <c r="M19" s="24"/>
      <c r="N19" s="27"/>
      <c r="O19" s="25"/>
      <c r="P19" s="28"/>
      <c r="Q19" s="24"/>
      <c r="R19" s="26">
        <f t="shared" si="0"/>
        <v>0</v>
      </c>
      <c r="S19" s="54"/>
      <c r="T19" s="55"/>
      <c r="U19" s="55"/>
    </row>
    <row r="20" spans="1:21">
      <c r="A20" s="22"/>
      <c r="B20" s="23"/>
      <c r="C20" s="24"/>
      <c r="D20" s="23"/>
      <c r="E20" s="24"/>
      <c r="F20" s="27"/>
      <c r="G20" s="24"/>
      <c r="H20" s="27"/>
      <c r="I20" s="24"/>
      <c r="J20" s="28"/>
      <c r="K20" s="24"/>
      <c r="L20" s="27"/>
      <c r="M20" s="24"/>
      <c r="N20" s="27"/>
      <c r="O20" s="25"/>
      <c r="P20" s="28"/>
      <c r="Q20" s="24"/>
      <c r="R20" s="26">
        <f t="shared" si="0"/>
        <v>0</v>
      </c>
      <c r="S20" s="54"/>
      <c r="T20" s="55"/>
      <c r="U20" s="55"/>
    </row>
    <row r="21" spans="1:21">
      <c r="A21" s="22"/>
      <c r="B21" s="23"/>
      <c r="C21" s="24"/>
      <c r="D21" s="23"/>
      <c r="E21" s="24"/>
      <c r="F21" s="27"/>
      <c r="G21" s="24"/>
      <c r="H21" s="27"/>
      <c r="I21" s="24"/>
      <c r="J21" s="28"/>
      <c r="K21" s="24"/>
      <c r="L21" s="27"/>
      <c r="M21" s="24"/>
      <c r="N21" s="27"/>
      <c r="O21" s="25"/>
      <c r="P21" s="28"/>
      <c r="Q21" s="24"/>
      <c r="R21" s="26">
        <f t="shared" si="0"/>
        <v>0</v>
      </c>
      <c r="S21" s="54"/>
      <c r="T21" s="55"/>
      <c r="U21" s="55"/>
    </row>
    <row r="22" spans="1:21">
      <c r="A22" s="22"/>
      <c r="B22" s="23"/>
      <c r="C22" s="24"/>
      <c r="D22" s="23"/>
      <c r="E22" s="24"/>
      <c r="F22" s="27"/>
      <c r="G22" s="24"/>
      <c r="H22" s="27"/>
      <c r="I22" s="24"/>
      <c r="J22" s="28"/>
      <c r="K22" s="24"/>
      <c r="L22" s="27"/>
      <c r="M22" s="24"/>
      <c r="N22" s="27"/>
      <c r="O22" s="25"/>
      <c r="P22" s="28"/>
      <c r="Q22" s="24"/>
      <c r="R22" s="26">
        <f t="shared" si="0"/>
        <v>0</v>
      </c>
      <c r="S22" s="54"/>
      <c r="T22" s="55"/>
      <c r="U22" s="55"/>
    </row>
    <row r="23" spans="1:21">
      <c r="A23" s="22"/>
      <c r="B23" s="23"/>
      <c r="C23" s="24"/>
      <c r="D23" s="23"/>
      <c r="E23" s="24"/>
      <c r="F23" s="27"/>
      <c r="G23" s="24"/>
      <c r="H23" s="27"/>
      <c r="I23" s="24"/>
      <c r="J23" s="28"/>
      <c r="K23" s="24"/>
      <c r="L23" s="27"/>
      <c r="M23" s="24"/>
      <c r="N23" s="27"/>
      <c r="O23" s="25"/>
      <c r="P23" s="28"/>
      <c r="Q23" s="24"/>
      <c r="R23" s="26">
        <f t="shared" si="0"/>
        <v>0</v>
      </c>
      <c r="S23" s="54"/>
      <c r="T23" s="55"/>
      <c r="U23" s="55"/>
    </row>
    <row r="24" spans="1:21">
      <c r="A24" s="22"/>
      <c r="B24" s="23"/>
      <c r="C24" s="24"/>
      <c r="D24" s="23"/>
      <c r="E24" s="24"/>
      <c r="F24" s="27"/>
      <c r="G24" s="24"/>
      <c r="H24" s="27"/>
      <c r="I24" s="24"/>
      <c r="J24" s="28"/>
      <c r="K24" s="24"/>
      <c r="L24" s="27"/>
      <c r="M24" s="24"/>
      <c r="N24" s="27"/>
      <c r="O24" s="25"/>
      <c r="P24" s="28"/>
      <c r="Q24" s="24"/>
      <c r="R24" s="26">
        <f t="shared" si="0"/>
        <v>0</v>
      </c>
      <c r="S24" s="54"/>
      <c r="T24" s="55"/>
      <c r="U24" s="55"/>
    </row>
    <row r="25" spans="1:21">
      <c r="A25" s="22"/>
      <c r="B25" s="23"/>
      <c r="C25" s="24"/>
      <c r="D25" s="23"/>
      <c r="E25" s="24"/>
      <c r="F25" s="27"/>
      <c r="G25" s="24"/>
      <c r="H25" s="27"/>
      <c r="I25" s="24"/>
      <c r="J25" s="28"/>
      <c r="K25" s="24"/>
      <c r="L25" s="27"/>
      <c r="M25" s="24"/>
      <c r="N25" s="27"/>
      <c r="O25" s="25"/>
      <c r="P25" s="28"/>
      <c r="Q25" s="24"/>
      <c r="R25" s="26">
        <f t="shared" si="0"/>
        <v>0</v>
      </c>
      <c r="S25" s="54"/>
      <c r="T25" s="55"/>
      <c r="U25" s="55"/>
    </row>
    <row r="26" spans="1:21">
      <c r="A26" s="22"/>
      <c r="B26" s="23"/>
      <c r="C26" s="24"/>
      <c r="D26" s="23"/>
      <c r="E26" s="24"/>
      <c r="F26" s="27"/>
      <c r="G26" s="24"/>
      <c r="H26" s="27"/>
      <c r="I26" s="24"/>
      <c r="J26" s="28"/>
      <c r="K26" s="24"/>
      <c r="L26" s="27"/>
      <c r="M26" s="24"/>
      <c r="N26" s="27"/>
      <c r="O26" s="25"/>
      <c r="P26" s="28"/>
      <c r="Q26" s="24"/>
      <c r="R26" s="26">
        <f t="shared" si="0"/>
        <v>0</v>
      </c>
      <c r="S26" s="54"/>
      <c r="T26" s="55"/>
      <c r="U26" s="55"/>
    </row>
    <row r="27" spans="1:21">
      <c r="A27" s="22"/>
      <c r="B27" s="23"/>
      <c r="C27" s="24"/>
      <c r="D27" s="23"/>
      <c r="E27" s="24"/>
      <c r="F27" s="27"/>
      <c r="G27" s="24"/>
      <c r="H27" s="27"/>
      <c r="I27" s="24"/>
      <c r="J27" s="28"/>
      <c r="K27" s="24"/>
      <c r="L27" s="27"/>
      <c r="M27" s="24"/>
      <c r="N27" s="27"/>
      <c r="O27" s="25"/>
      <c r="P27" s="28"/>
      <c r="Q27" s="24"/>
      <c r="R27" s="26">
        <f t="shared" si="0"/>
        <v>0</v>
      </c>
      <c r="S27" s="54"/>
      <c r="T27" s="55"/>
      <c r="U27" s="55"/>
    </row>
    <row r="28" spans="1:21">
      <c r="A28" s="22"/>
      <c r="B28" s="23"/>
      <c r="C28" s="24"/>
      <c r="D28" s="23"/>
      <c r="E28" s="24"/>
      <c r="F28" s="27"/>
      <c r="G28" s="24"/>
      <c r="H28" s="27"/>
      <c r="I28" s="24"/>
      <c r="J28" s="28"/>
      <c r="K28" s="24"/>
      <c r="L28" s="27"/>
      <c r="M28" s="24"/>
      <c r="N28" s="27"/>
      <c r="O28" s="25"/>
      <c r="P28" s="28"/>
      <c r="Q28" s="24"/>
      <c r="R28" s="26">
        <f t="shared" si="0"/>
        <v>0</v>
      </c>
      <c r="S28" s="54"/>
      <c r="T28" s="55"/>
      <c r="U28" s="55"/>
    </row>
    <row r="29" spans="1:21">
      <c r="A29" s="22"/>
      <c r="B29" s="23"/>
      <c r="C29" s="24"/>
      <c r="D29" s="23"/>
      <c r="E29" s="24"/>
      <c r="F29" s="27"/>
      <c r="G29" s="24"/>
      <c r="H29" s="27"/>
      <c r="I29" s="24"/>
      <c r="J29" s="28"/>
      <c r="K29" s="24"/>
      <c r="L29" s="27"/>
      <c r="M29" s="24"/>
      <c r="N29" s="27"/>
      <c r="O29" s="25"/>
      <c r="P29" s="28"/>
      <c r="Q29" s="24"/>
      <c r="R29" s="26">
        <f t="shared" si="0"/>
        <v>0</v>
      </c>
      <c r="S29" s="54"/>
      <c r="T29" s="55"/>
      <c r="U29" s="55"/>
    </row>
    <row r="30" spans="1:21">
      <c r="A30" s="22"/>
      <c r="B30" s="23"/>
      <c r="C30" s="24"/>
      <c r="D30" s="23"/>
      <c r="E30" s="24"/>
      <c r="F30" s="27"/>
      <c r="G30" s="24"/>
      <c r="H30" s="27"/>
      <c r="I30" s="24"/>
      <c r="J30" s="28"/>
      <c r="K30" s="24"/>
      <c r="L30" s="27"/>
      <c r="M30" s="24"/>
      <c r="N30" s="27"/>
      <c r="O30" s="25"/>
      <c r="P30" s="28"/>
      <c r="Q30" s="24"/>
      <c r="R30" s="26">
        <f t="shared" si="0"/>
        <v>0</v>
      </c>
      <c r="S30" s="54"/>
      <c r="T30" s="55"/>
      <c r="U30" s="55"/>
    </row>
    <row r="31" spans="1:21">
      <c r="A31" s="22"/>
      <c r="B31" s="23"/>
      <c r="C31" s="24"/>
      <c r="D31" s="23"/>
      <c r="E31" s="24"/>
      <c r="F31" s="27"/>
      <c r="G31" s="24"/>
      <c r="H31" s="27"/>
      <c r="I31" s="24"/>
      <c r="J31" s="28"/>
      <c r="K31" s="24"/>
      <c r="L31" s="27"/>
      <c r="M31" s="24"/>
      <c r="N31" s="27"/>
      <c r="O31" s="25"/>
      <c r="P31" s="28"/>
      <c r="Q31" s="24"/>
      <c r="R31" s="26">
        <f>+C31+E31+G31+I31+K31+M31+O31+Q31</f>
        <v>0</v>
      </c>
      <c r="S31" s="54"/>
      <c r="T31" s="55"/>
      <c r="U31" s="55"/>
    </row>
    <row r="32" spans="1:21">
      <c r="A32" s="22"/>
      <c r="B32" s="23"/>
      <c r="C32" s="24"/>
      <c r="D32" s="23"/>
      <c r="E32" s="24"/>
      <c r="F32" s="27"/>
      <c r="G32" s="24"/>
      <c r="H32" s="27"/>
      <c r="I32" s="24"/>
      <c r="J32" s="28"/>
      <c r="K32" s="24"/>
      <c r="L32" s="27"/>
      <c r="M32" s="24"/>
      <c r="N32" s="27"/>
      <c r="O32" s="25"/>
      <c r="P32" s="28"/>
      <c r="Q32" s="24"/>
      <c r="R32" s="26">
        <f t="shared" si="0"/>
        <v>0</v>
      </c>
      <c r="S32" s="54"/>
      <c r="T32" s="55"/>
      <c r="U32" s="55"/>
    </row>
    <row r="33" spans="1:21">
      <c r="A33" s="22"/>
      <c r="B33" s="23"/>
      <c r="C33" s="24"/>
      <c r="D33" s="23"/>
      <c r="E33" s="24"/>
      <c r="F33" s="27"/>
      <c r="G33" s="24"/>
      <c r="H33" s="27"/>
      <c r="I33" s="24"/>
      <c r="J33" s="28"/>
      <c r="K33" s="24"/>
      <c r="L33" s="27"/>
      <c r="M33" s="24"/>
      <c r="N33" s="27"/>
      <c r="O33" s="25"/>
      <c r="P33" s="28"/>
      <c r="Q33" s="24"/>
      <c r="R33" s="26">
        <f t="shared" si="0"/>
        <v>0</v>
      </c>
      <c r="S33" s="54"/>
      <c r="T33" s="55"/>
      <c r="U33" s="55"/>
    </row>
    <row r="34" spans="1:21">
      <c r="A34" s="22"/>
      <c r="B34" s="23"/>
      <c r="C34" s="24"/>
      <c r="D34" s="23"/>
      <c r="E34" s="24"/>
      <c r="F34" s="27"/>
      <c r="G34" s="24"/>
      <c r="H34" s="27"/>
      <c r="I34" s="24"/>
      <c r="J34" s="28"/>
      <c r="K34" s="24"/>
      <c r="L34" s="27"/>
      <c r="M34" s="24"/>
      <c r="N34" s="27"/>
      <c r="O34" s="25"/>
      <c r="P34" s="28"/>
      <c r="Q34" s="24"/>
      <c r="R34" s="26">
        <f t="shared" si="0"/>
        <v>0</v>
      </c>
      <c r="S34" s="54"/>
      <c r="T34" s="55"/>
      <c r="U34" s="55"/>
    </row>
    <row r="35" spans="1:21">
      <c r="A35" s="22"/>
      <c r="B35" s="23"/>
      <c r="C35" s="24"/>
      <c r="D35" s="23"/>
      <c r="E35" s="24"/>
      <c r="F35" s="27"/>
      <c r="G35" s="24"/>
      <c r="H35" s="27"/>
      <c r="I35" s="24"/>
      <c r="J35" s="28"/>
      <c r="K35" s="24"/>
      <c r="L35" s="27"/>
      <c r="M35" s="24"/>
      <c r="N35" s="27"/>
      <c r="O35" s="25"/>
      <c r="P35" s="28"/>
      <c r="Q35" s="24"/>
      <c r="R35" s="26">
        <f t="shared" si="0"/>
        <v>0</v>
      </c>
      <c r="S35" s="54"/>
      <c r="T35" s="55"/>
      <c r="U35" s="55"/>
    </row>
    <row r="36" spans="1:21">
      <c r="A36" s="22"/>
      <c r="B36" s="23"/>
      <c r="C36" s="24"/>
      <c r="D36" s="23"/>
      <c r="E36" s="24"/>
      <c r="F36" s="27"/>
      <c r="G36" s="24"/>
      <c r="H36" s="27"/>
      <c r="I36" s="24"/>
      <c r="J36" s="28"/>
      <c r="K36" s="24"/>
      <c r="L36" s="27"/>
      <c r="M36" s="24"/>
      <c r="N36" s="27"/>
      <c r="O36" s="25"/>
      <c r="P36" s="28"/>
      <c r="Q36" s="24"/>
      <c r="R36" s="26">
        <f t="shared" si="0"/>
        <v>0</v>
      </c>
      <c r="S36" s="54"/>
      <c r="T36" s="55"/>
      <c r="U36" s="55"/>
    </row>
    <row r="37" spans="1:21">
      <c r="A37" s="22"/>
      <c r="B37" s="23"/>
      <c r="C37" s="24"/>
      <c r="D37" s="23"/>
      <c r="E37" s="24"/>
      <c r="F37" s="27"/>
      <c r="G37" s="24"/>
      <c r="H37" s="27"/>
      <c r="I37" s="24"/>
      <c r="J37" s="28"/>
      <c r="K37" s="24"/>
      <c r="L37" s="27"/>
      <c r="M37" s="24"/>
      <c r="N37" s="27"/>
      <c r="O37" s="25"/>
      <c r="P37" s="28"/>
      <c r="Q37" s="24"/>
      <c r="R37" s="33">
        <f t="shared" si="0"/>
        <v>0</v>
      </c>
      <c r="S37" s="54"/>
      <c r="T37" s="55"/>
      <c r="U37" s="55"/>
    </row>
    <row r="38" spans="1:21">
      <c r="A38" s="22"/>
      <c r="B38" s="23"/>
      <c r="C38" s="24"/>
      <c r="D38" s="23"/>
      <c r="E38" s="24"/>
      <c r="F38" s="27"/>
      <c r="G38" s="24"/>
      <c r="H38" s="27"/>
      <c r="I38" s="24"/>
      <c r="J38" s="28"/>
      <c r="K38" s="24"/>
      <c r="L38" s="27"/>
      <c r="M38" s="24"/>
      <c r="N38" s="27"/>
      <c r="O38" s="25"/>
      <c r="P38" s="28"/>
      <c r="Q38" s="24"/>
      <c r="R38" s="33"/>
    </row>
    <row r="39" spans="1:21">
      <c r="A39" s="22"/>
      <c r="B39" s="23"/>
      <c r="C39" s="24"/>
      <c r="D39" s="23"/>
      <c r="E39" s="24"/>
      <c r="F39" s="27"/>
      <c r="G39" s="24"/>
      <c r="H39" s="27"/>
      <c r="I39" s="24"/>
      <c r="J39" s="28"/>
      <c r="K39" s="24"/>
      <c r="L39" s="27"/>
      <c r="M39" s="24"/>
      <c r="N39" s="27"/>
      <c r="O39" s="24"/>
      <c r="P39" s="28"/>
      <c r="Q39" s="24"/>
      <c r="R39" s="33"/>
    </row>
    <row r="40" spans="1:21" ht="15.75" thickBot="1">
      <c r="A40" s="22"/>
      <c r="B40" s="34"/>
      <c r="C40" s="35"/>
      <c r="D40" s="34"/>
      <c r="E40" s="35"/>
      <c r="F40" s="34"/>
      <c r="G40" s="35"/>
      <c r="H40" s="34"/>
      <c r="I40" s="35"/>
      <c r="J40" s="36"/>
      <c r="K40" s="35"/>
      <c r="L40" s="34"/>
      <c r="M40" s="35"/>
      <c r="N40" s="34"/>
      <c r="O40" s="35"/>
      <c r="P40" s="36"/>
      <c r="Q40" s="35"/>
      <c r="R40" s="33"/>
    </row>
    <row r="41" spans="1:21" ht="15.75" thickTop="1">
      <c r="A41" s="37"/>
      <c r="B41" s="38">
        <f t="shared" ref="B41:R41" si="1">SUM(B5:B40)</f>
        <v>0</v>
      </c>
      <c r="C41" s="38">
        <f t="shared" si="1"/>
        <v>4953</v>
      </c>
      <c r="D41" s="38">
        <f t="shared" si="1"/>
        <v>0</v>
      </c>
      <c r="E41" s="38">
        <f t="shared" si="1"/>
        <v>4857</v>
      </c>
      <c r="F41" s="38">
        <f t="shared" si="1"/>
        <v>28</v>
      </c>
      <c r="G41" s="38">
        <f t="shared" si="1"/>
        <v>625</v>
      </c>
      <c r="H41" s="38">
        <f t="shared" si="1"/>
        <v>48</v>
      </c>
      <c r="I41" s="38">
        <f t="shared" si="1"/>
        <v>1480</v>
      </c>
      <c r="J41" s="38">
        <f t="shared" si="1"/>
        <v>21</v>
      </c>
      <c r="K41" s="38">
        <f t="shared" si="1"/>
        <v>644</v>
      </c>
      <c r="L41" s="38">
        <f t="shared" si="1"/>
        <v>11</v>
      </c>
      <c r="M41" s="38">
        <f t="shared" si="1"/>
        <v>275</v>
      </c>
      <c r="N41" s="38">
        <f t="shared" si="1"/>
        <v>3</v>
      </c>
      <c r="O41" s="38">
        <f t="shared" si="1"/>
        <v>1.5</v>
      </c>
      <c r="P41" s="38">
        <f t="shared" si="1"/>
        <v>5</v>
      </c>
      <c r="Q41" s="38">
        <f t="shared" si="1"/>
        <v>137</v>
      </c>
      <c r="R41" s="39">
        <f t="shared" si="1"/>
        <v>12972.5</v>
      </c>
    </row>
    <row r="42" spans="1:21">
      <c r="A42" s="4"/>
      <c r="B42" s="40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</sheetData>
  <mergeCells count="41">
    <mergeCell ref="S35:U35"/>
    <mergeCell ref="S36:U36"/>
    <mergeCell ref="S37:U37"/>
    <mergeCell ref="S29:U29"/>
    <mergeCell ref="S30:U30"/>
    <mergeCell ref="S31:U31"/>
    <mergeCell ref="S32:U32"/>
    <mergeCell ref="S33:U33"/>
    <mergeCell ref="S34:U34"/>
    <mergeCell ref="S28:U28"/>
    <mergeCell ref="S17:U17"/>
    <mergeCell ref="S18:U18"/>
    <mergeCell ref="S19:U19"/>
    <mergeCell ref="S20:U20"/>
    <mergeCell ref="S21:U21"/>
    <mergeCell ref="S22:U22"/>
    <mergeCell ref="S23:U23"/>
    <mergeCell ref="S24:U24"/>
    <mergeCell ref="S25:U25"/>
    <mergeCell ref="S26:U26"/>
    <mergeCell ref="S27:U27"/>
    <mergeCell ref="S16:U16"/>
    <mergeCell ref="S5:U5"/>
    <mergeCell ref="S6:U6"/>
    <mergeCell ref="S7:U7"/>
    <mergeCell ref="S8:U8"/>
    <mergeCell ref="S9:U9"/>
    <mergeCell ref="S10:U10"/>
    <mergeCell ref="S11:U11"/>
    <mergeCell ref="S12:U12"/>
    <mergeCell ref="S13:U13"/>
    <mergeCell ref="S14:U14"/>
    <mergeCell ref="S15:U15"/>
    <mergeCell ref="B3:C3"/>
    <mergeCell ref="D3:E3"/>
    <mergeCell ref="L3:M3"/>
    <mergeCell ref="B2:E2"/>
    <mergeCell ref="F2:G2"/>
    <mergeCell ref="H2:I2"/>
    <mergeCell ref="J2:K2"/>
    <mergeCell ref="L2:M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JANUARY 2026</vt:lpstr>
      <vt:lpstr>FEBRUARY 2026</vt:lpstr>
      <vt:lpstr>MARCH 2026</vt:lpstr>
      <vt:lpstr> APRIL 2026</vt:lpstr>
      <vt:lpstr>MAY 2026</vt:lpstr>
      <vt:lpstr>JUNE 2026</vt:lpstr>
      <vt:lpstr>JULY 2026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01</dc:creator>
  <cp:lastModifiedBy>Admin 01</cp:lastModifiedBy>
  <dcterms:created xsi:type="dcterms:W3CDTF">2026-01-03T00:46:00Z</dcterms:created>
  <dcterms:modified xsi:type="dcterms:W3CDTF">2026-07-03T01:52:11Z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22B09FE479DE4D9F9A13AAF53D7D67AB_13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