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X50" sheetId="1" r:id="rId5"/>
    <sheet state="visible" name="6X50" sheetId="2" r:id="rId6"/>
    <sheet state="visible" name="2X6" sheetId="3" r:id="rId7"/>
    <sheet state="visible" name="Kuraray 3x50" sheetId="4" r:id="rId8"/>
    <sheet state="visible" name="4X8" sheetId="5" r:id="rId9"/>
  </sheets>
  <definedNames/>
  <calcPr/>
</workbook>
</file>

<file path=xl/sharedStrings.xml><?xml version="1.0" encoding="utf-8"?>
<sst xmlns="http://schemas.openxmlformats.org/spreadsheetml/2006/main" count="1488" uniqueCount="277">
  <si>
    <t>8X50 INVENTORY</t>
  </si>
  <si>
    <t>KURARAY 3X50 INVENTORY</t>
  </si>
  <si>
    <t>2X6 INVENTORY</t>
  </si>
  <si>
    <t>6X50 INVENTORY</t>
  </si>
  <si>
    <t>TYPE</t>
  </si>
  <si>
    <t>FLEC/SKS</t>
  </si>
  <si>
    <t>KG</t>
  </si>
  <si>
    <t>BLOCK</t>
  </si>
  <si>
    <t>REMARKS</t>
  </si>
  <si>
    <t>PROD</t>
  </si>
  <si>
    <t>30 bags (old stock)</t>
  </si>
  <si>
    <t>ASH TRESHOLD : 1.5</t>
  </si>
  <si>
    <t>ASH TRESHOLD : 1.7</t>
  </si>
  <si>
    <t>AYAG</t>
  </si>
  <si>
    <t>ASH TRESHOLD : 2.00</t>
  </si>
  <si>
    <t>50 ME UNDER : 2.00</t>
  </si>
  <si>
    <t>MAGNET</t>
  </si>
  <si>
    <t>FINAL</t>
  </si>
  <si>
    <t>OLD PROD</t>
  </si>
  <si>
    <t>VANS READY SHIP OUT</t>
  </si>
  <si>
    <t>BLENDED</t>
  </si>
  <si>
    <t>SUNDRY</t>
  </si>
  <si>
    <t>RECLASS</t>
  </si>
  <si>
    <t>FLECON STARTING BALANCE</t>
  </si>
  <si>
    <t>AS OF AUGUST 30, 2025</t>
  </si>
  <si>
    <t>FLECON RUNNING BALANCE</t>
  </si>
  <si>
    <t>Note: 7 bags from final are from feb prod with all black flecon and 56 bags in SUNDRY FLECON</t>
  </si>
  <si>
    <t>DATE</t>
  </si>
  <si>
    <t>FLEC / SKS</t>
  </si>
  <si>
    <t>SEPTEMBER 23 SHIPMENT (HAIDEE/FG)</t>
  </si>
  <si>
    <t>OLD STOCK/ BLEND WITH ACTUAL KURARAY 3X50 PROD</t>
  </si>
  <si>
    <t>reworks</t>
  </si>
  <si>
    <t>WT ADJUST FROM FINAL</t>
  </si>
  <si>
    <t>20,19,24</t>
  </si>
  <si>
    <t>WEIGHT ADJUSTMENT (BAG #4)</t>
  </si>
  <si>
    <t>-3 ayag</t>
  </si>
  <si>
    <t>10,12,49</t>
  </si>
  <si>
    <t>-3 magnet</t>
  </si>
  <si>
    <t>WEIGHT ADJUSTMENT</t>
  </si>
  <si>
    <t>LAST DAY OF PRODUCTION</t>
  </si>
  <si>
    <t>RE-AYAG</t>
  </si>
  <si>
    <t>7,8,17,18,27,28,29,30,23</t>
  </si>
  <si>
    <t>WEIGHT ADJUSTMENT (BAG #5)</t>
  </si>
  <si>
    <t>-9 ayag</t>
  </si>
  <si>
    <t>11,19,20,24,28,29</t>
  </si>
  <si>
    <t>-6 magnet</t>
  </si>
  <si>
    <t>WEIGHT ADJUSTMENT (BAG #6)</t>
  </si>
  <si>
    <t>22,26,21,25,13,14,16,4,3</t>
  </si>
  <si>
    <t>SEPTEMBER 16 SHIPMENT (HAIDEE/FG)</t>
  </si>
  <si>
    <t>WEIGHT ADJUSTMENT (BAG #7)</t>
  </si>
  <si>
    <t>WEIGHT ADJUSTMENT (BAG #48)</t>
  </si>
  <si>
    <t>8,23,7,17,18,30</t>
  </si>
  <si>
    <t>-6 ayag</t>
  </si>
  <si>
    <t>RETAG FROM 11 AYAG AND 9 MAGNET</t>
  </si>
  <si>
    <t>WEIGHT ADJUSTMENT (BAG #55 AND #82)</t>
  </si>
  <si>
    <t>6,5,15,60,77,78,41,42,59</t>
  </si>
  <si>
    <t>WEIGHT ADJUSTMENT (BAG #81 AND #92)</t>
  </si>
  <si>
    <t>27,68,67,76,69,70</t>
  </si>
  <si>
    <t>FOR RE-MAGNET</t>
  </si>
  <si>
    <t>WEIGHT ADJUSTMENT (BAG #63)</t>
  </si>
  <si>
    <t>RESIKO FROM SUNDRY</t>
  </si>
  <si>
    <t>37,38,39,40,54,63,64,65,66</t>
  </si>
  <si>
    <t>RETAG FROM 89 AYAG AND 4 MAGNET</t>
  </si>
  <si>
    <t>62,71,72,73,74,75,</t>
  </si>
  <si>
    <t>BALANCE ADJUSTMENT</t>
  </si>
  <si>
    <t xml:space="preserve">RETAG FROM 5 AYAG </t>
  </si>
  <si>
    <t>134 WT ADJUST FROM FINAL</t>
  </si>
  <si>
    <t>108,109,110,107,91,92,84,79,80</t>
  </si>
  <si>
    <t>RETAG FROM 131 PROD</t>
  </si>
  <si>
    <t>JANUARY SHIPMENT (1 VAN)</t>
  </si>
  <si>
    <t>61,46,45,37,38,54</t>
  </si>
  <si>
    <t>56 WEIGHT ADJUSTMENT</t>
  </si>
  <si>
    <t>FEBRUARY SHIPMENT (1 VAN)</t>
  </si>
  <si>
    <t>RETAG FROM 25 MAGNET</t>
  </si>
  <si>
    <t>83,85,86,87,88,53,58,105,106</t>
  </si>
  <si>
    <t>DECEMBER SHIPMENT (HAIDEE/FG)</t>
  </si>
  <si>
    <t>124,31,32,123,129,130</t>
  </si>
  <si>
    <t>Note: Bag 1-7 will be used for weight adjustment.(puhon)</t>
  </si>
  <si>
    <t>SEPTEMBER SHIPMENT</t>
  </si>
  <si>
    <t xml:space="preserve"> </t>
  </si>
  <si>
    <t xml:space="preserve">RETAG FROM 11 AYAG </t>
  </si>
  <si>
    <t>57,56,55,101,102,103,104,81,82</t>
  </si>
  <si>
    <t>RETAG FROM 35 PROD</t>
  </si>
  <si>
    <t>120,119,86,85,55,56</t>
  </si>
  <si>
    <t>30,40,41,47,55</t>
  </si>
  <si>
    <t>-5 ayag</t>
  </si>
  <si>
    <t>31,32,33,34,36,24,19,38</t>
  </si>
  <si>
    <t xml:space="preserve">RETAG FROM 10 AYAG </t>
  </si>
  <si>
    <t>118,117,94,93,116,115,112,111,114</t>
  </si>
  <si>
    <t>30,31,32</t>
  </si>
  <si>
    <t>RETAG FROM 20 PROD</t>
  </si>
  <si>
    <t>101,58,53,118,117,94</t>
  </si>
  <si>
    <t>23,21,17,16,15,14</t>
  </si>
  <si>
    <t>37,25,12,39,78,47</t>
  </si>
  <si>
    <t>113,90,89,98,96,95,97,99,100</t>
  </si>
  <si>
    <t>9,29,53,52,13,37</t>
  </si>
  <si>
    <t>115,104,102,112,116,89</t>
  </si>
  <si>
    <t>AYAG &amp; MAGNET</t>
  </si>
  <si>
    <t>99,100,96,97,98,103</t>
  </si>
  <si>
    <t>58,55,33,62,76,84</t>
  </si>
  <si>
    <t>90,95,82,111,93,113</t>
  </si>
  <si>
    <t>72,85,66,87,91,96</t>
  </si>
  <si>
    <t>RETAG FROM 6 MAGNET AND 11 AYAG</t>
  </si>
  <si>
    <t>105,106,114,81,57,210</t>
  </si>
  <si>
    <t>89,90,60,79,81,63</t>
  </si>
  <si>
    <t>26,27</t>
  </si>
  <si>
    <t>4 FROM AYAG AND 2 MAGNET ONLY</t>
  </si>
  <si>
    <t>-2 magnet</t>
  </si>
  <si>
    <t>RETAG FROM PROD</t>
  </si>
  <si>
    <t>RETAG FROM  MAGNET</t>
  </si>
  <si>
    <t>RETAG FROM AYAG</t>
  </si>
  <si>
    <t xml:space="preserve">RETAG FROM MAGNET </t>
  </si>
  <si>
    <t>5 FROM AYAG AND 1 MAGNET ONLY</t>
  </si>
  <si>
    <t>3,6</t>
  </si>
  <si>
    <t>-7 magnet</t>
  </si>
  <si>
    <t>165-168,170,178,185</t>
  </si>
  <si>
    <t>OLD STOCK/ BLEND WITH ACTUAL 3X50 PROD</t>
  </si>
  <si>
    <t>-4 ayag</t>
  </si>
  <si>
    <t>3 FROM AYAG AND 3 MAGNET ONLY</t>
  </si>
  <si>
    <t>211-214,220-224,235,236,244</t>
  </si>
  <si>
    <t>-12 magnet</t>
  </si>
  <si>
    <t>228,283,,227,251,252,324,344,343,253,291,292,320</t>
  </si>
  <si>
    <t>231-234,245-246,254,293-394,319,331-332</t>
  </si>
  <si>
    <t>225-226,239-240,247,277-278,297,298,345-346,455</t>
  </si>
  <si>
    <t xml:space="preserve">OLD STOCK/ BLEND WITH ACTUAL 3X50 PROD </t>
  </si>
  <si>
    <t>-72 retag to final</t>
  </si>
  <si>
    <t>-4 retag to final</t>
  </si>
  <si>
    <t>238-348-241-424-423(failed 9 bags)</t>
  </si>
  <si>
    <t>-12 magnet (406,466,347,330,405,334,333)</t>
  </si>
  <si>
    <t>FAILED MAGNET 9 BAGS</t>
  </si>
  <si>
    <t>-6 MAGNET</t>
  </si>
  <si>
    <t>407,426,425,282,281,314,</t>
  </si>
  <si>
    <t>-12 magnet (392-394,311-313)</t>
  </si>
  <si>
    <t>-11 magnet</t>
  </si>
  <si>
    <t>retag to final</t>
  </si>
  <si>
    <t>MAY SHIPMENT 5 VANS</t>
  </si>
  <si>
    <t>RETAG FROM 23 AYAG, 34 MAGNET, AND 14 PROD</t>
  </si>
  <si>
    <t>shipment</t>
  </si>
  <si>
    <t>FOR OCTOBER SHIPMENT (HAIDEE/FG)</t>
  </si>
  <si>
    <t>APRIL SHIPMENT</t>
  </si>
  <si>
    <t>1:1</t>
  </si>
  <si>
    <t>2:1</t>
  </si>
  <si>
    <t xml:space="preserve">WEIGHT ADJUSTMENT </t>
  </si>
  <si>
    <t>-5 sundry</t>
  </si>
  <si>
    <t>WITH 29:29 INVERTER</t>
  </si>
  <si>
    <t>18,17,16,15,13,19</t>
  </si>
  <si>
    <t>WEIGHT ADJUSTMENT #6 (february)</t>
  </si>
  <si>
    <t>16(MORNING)+ 6(OT)</t>
  </si>
  <si>
    <t>17 (RESIKO FROM SUNDRY)</t>
  </si>
  <si>
    <t>WEIGHT ADJUSTMENT #3(february)</t>
  </si>
  <si>
    <t>-11 sundry</t>
  </si>
  <si>
    <t>16(MORNING)+ 8(OT)</t>
  </si>
  <si>
    <t>20,23,25,26,27,67,71,72,73,74,83</t>
  </si>
  <si>
    <t>DECEMBER SHIPMENT 4 VANS</t>
  </si>
  <si>
    <t>WEIGHT ADJUSTMENT #4 and #5(february)</t>
  </si>
  <si>
    <t>-3 sundry</t>
  </si>
  <si>
    <t>21(MORNING)+ 8(OT)</t>
  </si>
  <si>
    <t>79,81,82</t>
  </si>
  <si>
    <t>6,5,10</t>
  </si>
  <si>
    <t>6 (RESIKO FROM SUNDRY) and -2 sundry</t>
  </si>
  <si>
    <t>7,8,9,84</t>
  </si>
  <si>
    <t>-4 SUNDRY</t>
  </si>
  <si>
    <t>2,11,12</t>
  </si>
  <si>
    <t>2:1 (PROD:BLENDED)</t>
  </si>
  <si>
    <t>-3 SUNDRY</t>
  </si>
  <si>
    <t>90,91,94</t>
  </si>
  <si>
    <t>1,3,4,85,86</t>
  </si>
  <si>
    <t>-5 SUNDRY</t>
  </si>
  <si>
    <t>3:1 (PROD:BLENDED)</t>
  </si>
  <si>
    <t>-2 AYAG</t>
  </si>
  <si>
    <t>-3 MAGNET 14,25,79</t>
  </si>
  <si>
    <t>RETAG FROM 39 SUNDRY</t>
  </si>
  <si>
    <t>-5 AYAG</t>
  </si>
  <si>
    <t>-1 WEIGHT ADJUSTMENT-109</t>
  </si>
  <si>
    <t>WEIGHT ADJUSTMENT (#99)</t>
  </si>
  <si>
    <t>2,5,7,910,11,12,90,91</t>
  </si>
  <si>
    <t xml:space="preserve">-9 ayag </t>
  </si>
  <si>
    <t>4,7,8,10,15,26</t>
  </si>
  <si>
    <t>13,19,99,98,102,105,134,136,137,138,142</t>
  </si>
  <si>
    <t>-11 ayag</t>
  </si>
  <si>
    <t>2,5,9,12,13,19</t>
  </si>
  <si>
    <t>3:1 (PROD:BLENDED) 9,21,55,99,100,103</t>
  </si>
  <si>
    <t>158,147,146,144,154,152,151,65,62,61,56,54</t>
  </si>
  <si>
    <t>-12 AYAG</t>
  </si>
  <si>
    <t>90,99,11,146,144,158</t>
  </si>
  <si>
    <t>NOTE: 8 BAGS IN FINAL ARE FOR TIMBOL (FEB PROD)</t>
  </si>
  <si>
    <t>170,45,159,35,24,30,23,22</t>
  </si>
  <si>
    <t>rebag</t>
  </si>
  <si>
    <t>147,159,138,170,136,24</t>
  </si>
  <si>
    <t>rebag (3 PEOPLE MORNING THEN AFTERNOON 4 PEOPLE)</t>
  </si>
  <si>
    <t>WEGHT ADJUSTMENT-90</t>
  </si>
  <si>
    <t>6 people</t>
  </si>
  <si>
    <t>61,56,54,151,152,134</t>
  </si>
  <si>
    <t>22,30,35,45,142,91</t>
  </si>
  <si>
    <t xml:space="preserve">-6 magnet </t>
  </si>
  <si>
    <t>2nd reblending (15% vm)</t>
  </si>
  <si>
    <t>89,97,106,108,23,137</t>
  </si>
  <si>
    <t>103,101.100,110,112,113</t>
  </si>
  <si>
    <t>111,93,80,124,116,115</t>
  </si>
  <si>
    <t>135,139,140,156,150,87</t>
  </si>
  <si>
    <t>149,148,143,77,64,53</t>
  </si>
  <si>
    <t>63,50,49,60,59,40</t>
  </si>
  <si>
    <t>39,51,52,58,55,48</t>
  </si>
  <si>
    <t>57,46,42,203,21,75</t>
  </si>
  <si>
    <t>176,31,173,199,194,172</t>
  </si>
  <si>
    <t>165,167,83,81,82,16</t>
  </si>
  <si>
    <t>20,71,72,27,84</t>
  </si>
  <si>
    <t>-5 magnet</t>
  </si>
  <si>
    <t>RETAG FROM 47 AYAG</t>
  </si>
  <si>
    <t>RETAG FROM 128 MAGNET</t>
  </si>
  <si>
    <t>RETAG FROM 25 PROD</t>
  </si>
  <si>
    <t>71,72,74</t>
  </si>
  <si>
    <t>73,70,69,67</t>
  </si>
  <si>
    <t>64,63,62,61,60,59</t>
  </si>
  <si>
    <t>66,65,26,35,53,40</t>
  </si>
  <si>
    <t>50,30,54,16,7,14</t>
  </si>
  <si>
    <t>18,19,15,52,51,42</t>
  </si>
  <si>
    <t>56,55,23,104,103,102</t>
  </si>
  <si>
    <t>101,90,89,92,93,100</t>
  </si>
  <si>
    <t>WEIGHT ADJUSTMENT #82 DAMAGED BY TRUCK DRIVER DEC</t>
  </si>
  <si>
    <t>123,124,99,118,119,128</t>
  </si>
  <si>
    <t>retag prod to final</t>
  </si>
  <si>
    <t>retag magnet to final</t>
  </si>
  <si>
    <t>MARCH SHIPMENT</t>
  </si>
  <si>
    <t>MAY SHIPMENT</t>
  </si>
  <si>
    <t>2,14,20</t>
  </si>
  <si>
    <t>23,5</t>
  </si>
  <si>
    <t>5,15,25,26,28,29</t>
  </si>
  <si>
    <t>32-36,40</t>
  </si>
  <si>
    <t>49-53</t>
  </si>
  <si>
    <t>4,3,11,12,17,58</t>
  </si>
  <si>
    <t>56,57,53,66,63,71</t>
  </si>
  <si>
    <t>-1 MAGNET</t>
  </si>
  <si>
    <t>4X8 INVENTORY</t>
  </si>
  <si>
    <t>ASH THRESHOLD : 1.5</t>
  </si>
  <si>
    <t>50 ME UNDER : 3.00</t>
  </si>
  <si>
    <t>VM : 15 MAX</t>
  </si>
  <si>
    <t>9,13,14,15,18,24</t>
  </si>
  <si>
    <t>2,4,10,11,12,13</t>
  </si>
  <si>
    <t>11(morning) + 4(OT)</t>
  </si>
  <si>
    <t>17,19-20,25-26,28-29,32</t>
  </si>
  <si>
    <t>-8 AYAG</t>
  </si>
  <si>
    <t>1,5,6,7,8</t>
  </si>
  <si>
    <t>-5 MAGNET</t>
  </si>
  <si>
    <t>WEIGHT ADJUSTMENT BAG #24</t>
  </si>
  <si>
    <t>RETAG TO FINAL</t>
  </si>
  <si>
    <t>8(morning) + 3(OT)</t>
  </si>
  <si>
    <t>6,51,54,57-60</t>
  </si>
  <si>
    <t>-7 AYAG</t>
  </si>
  <si>
    <t>32,33,37,42</t>
  </si>
  <si>
    <t>-4 MAGNET</t>
  </si>
  <si>
    <t>9(morning) + 4(OT)</t>
  </si>
  <si>
    <t>62-66,68-70</t>
  </si>
  <si>
    <t>46-47,50,55,56</t>
  </si>
  <si>
    <t>11(morning) + 3(OT)</t>
  </si>
  <si>
    <t>71-74,45,55,77-79</t>
  </si>
  <si>
    <t>-9 AYAG</t>
  </si>
  <si>
    <t>59,61,62</t>
  </si>
  <si>
    <t>-3 MAGNET</t>
  </si>
  <si>
    <t>WEIGHT ADJUSTMENT BAG #69</t>
  </si>
  <si>
    <t>10(morning) + 4(OT)</t>
  </si>
  <si>
    <t>51-53,47-50,63,76</t>
  </si>
  <si>
    <t>73,75,78,79,77,80</t>
  </si>
  <si>
    <t>46,56,64,65,67,100,101</t>
  </si>
  <si>
    <t>92-93</t>
  </si>
  <si>
    <t>10(morning) + 5(OT)</t>
  </si>
  <si>
    <t>61,62,66,68,70,75,96,97,105,113,115</t>
  </si>
  <si>
    <t>-11 AYAG</t>
  </si>
  <si>
    <t>WEIGHT ADJUSTMENT BAG #25</t>
  </si>
  <si>
    <t>9(morning) + 2(OT)</t>
  </si>
  <si>
    <t>9(morning) + 3(OT)</t>
  </si>
  <si>
    <t>174-176</t>
  </si>
  <si>
    <t>183,184,189,194-196,200</t>
  </si>
  <si>
    <t>WEIGHT ADJUSTMENT BAG #29</t>
  </si>
  <si>
    <t>retag to magnet</t>
  </si>
  <si>
    <t>weight adjustment (#125)</t>
  </si>
  <si>
    <t>AUGUST SHIPMENT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</si>
</sst>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_(* #,##0_);_(* (#,##0);_(* &quot;-&quot;??_);_(@_)"/>
    <numFmt numFmtId="166" formatCode="_(* #,##0.00_);_(* (#,##0.00);_(* &quot;-&quot;??.00_);_(@_)"/>
    <numFmt numFmtId="167" formatCode="m/d/yyyy"/>
  </numFmts>
  <fonts count="11">
    <font>
      <sz val="10.0"/>
      <color rgb="FF000000"/>
      <name val="Arial"/>
      <scheme val="minor"/>
    </font>
    <font>
      <b/>
      <sz val="10.0"/>
      <color rgb="FFFF0000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i/>
      <sz val="8.0"/>
      <color theme="1"/>
      <name val="Arial"/>
      <scheme val="minor"/>
    </font>
    <font>
      <b/>
      <sz val="8.0"/>
      <color rgb="FFFF0000"/>
      <name val="Arial"/>
      <scheme val="minor"/>
    </font>
    <font/>
    <font>
      <i/>
      <sz val="8.0"/>
      <color theme="1"/>
      <name val="Arial"/>
      <scheme val="minor"/>
    </font>
    <font>
      <b/>
      <i/>
      <sz val="6.0"/>
      <color rgb="FF000000"/>
      <name val="Arial"/>
      <scheme val="minor"/>
    </font>
    <font>
      <i/>
      <sz val="8.0"/>
      <color rgb="FFFF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3" numFmtId="165" xfId="0" applyAlignment="1" applyFont="1" applyNumberFormat="1">
      <alignment horizontal="center"/>
    </xf>
    <xf borderId="0" fillId="0" fontId="3" numFmtId="4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2" fillId="0" fontId="3" numFmtId="164" xfId="0" applyAlignment="1" applyBorder="1" applyFont="1" applyNumberFormat="1">
      <alignment readingOrder="0"/>
    </xf>
    <xf borderId="2" fillId="0" fontId="3" numFmtId="165" xfId="0" applyBorder="1" applyFont="1" applyNumberFormat="1"/>
    <xf borderId="2" fillId="0" fontId="3" numFmtId="165" xfId="0" applyAlignment="1" applyBorder="1" applyFont="1" applyNumberFormat="1">
      <alignment horizontal="center"/>
    </xf>
    <xf borderId="3" fillId="0" fontId="3" numFmtId="165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 readingOrder="0"/>
    </xf>
    <xf borderId="0" fillId="0" fontId="3" numFmtId="165" xfId="0" applyFont="1" applyNumberFormat="1"/>
    <xf borderId="0" fillId="0" fontId="3" numFmtId="43" xfId="0" applyFont="1" applyNumberFormat="1"/>
    <xf borderId="0" fillId="0" fontId="3" numFmtId="43" xfId="0" applyAlignment="1" applyFont="1" applyNumberFormat="1">
      <alignment readingOrder="0"/>
    </xf>
    <xf borderId="2" fillId="0" fontId="3" numFmtId="0" xfId="0" applyAlignment="1" applyBorder="1" applyFont="1">
      <alignment readingOrder="0"/>
    </xf>
    <xf borderId="0" fillId="0" fontId="5" numFmtId="43" xfId="0" applyFont="1" applyNumberFormat="1"/>
    <xf borderId="0" fillId="0" fontId="5" numFmtId="43" xfId="0" applyAlignment="1" applyFont="1" applyNumberFormat="1">
      <alignment horizontal="right" readingOrder="0"/>
    </xf>
    <xf borderId="0" fillId="0" fontId="5" numFmtId="166" xfId="0" applyFont="1" applyNumberFormat="1"/>
    <xf borderId="0" fillId="2" fontId="3" numFmtId="165" xfId="0" applyAlignment="1" applyFill="1" applyFont="1" applyNumberFormat="1">
      <alignment horizontal="center" readingOrder="0"/>
    </xf>
    <xf borderId="0" fillId="2" fontId="3" numFmtId="43" xfId="0" applyAlignment="1" applyFill="1" applyFont="1" applyNumberFormat="1">
      <alignment horizontal="center" readingOrder="0"/>
    </xf>
    <xf borderId="4" fillId="3" fontId="3" numFmtId="165" xfId="0" applyAlignment="1" applyBorder="1" applyFill="1" applyFont="1" applyNumberFormat="1">
      <alignment horizontal="center" readingOrder="0" vertical="center"/>
    </xf>
    <xf borderId="5" fillId="0" fontId="6" numFmtId="0" xfId="0" applyBorder="1" applyFont="1"/>
    <xf borderId="6" fillId="0" fontId="6" numFmtId="0" xfId="0" applyBorder="1" applyFont="1"/>
    <xf borderId="7" fillId="0" fontId="3" numFmtId="164" xfId="0" applyAlignment="1" applyBorder="1" applyFont="1" applyNumberFormat="1">
      <alignment readingOrder="0"/>
    </xf>
    <xf borderId="7" fillId="0" fontId="3" numFmtId="165" xfId="0" applyBorder="1" applyFont="1" applyNumberFormat="1"/>
    <xf borderId="7" fillId="0" fontId="3" numFmtId="165" xfId="0" applyAlignment="1" applyBorder="1" applyFont="1" applyNumberFormat="1">
      <alignment horizontal="center"/>
    </xf>
    <xf borderId="8" fillId="0" fontId="3" numFmtId="165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horizontal="center" readingOrder="0"/>
    </xf>
    <xf borderId="1" fillId="0" fontId="7" numFmtId="165" xfId="0" applyAlignment="1" applyBorder="1" applyFont="1" applyNumberFormat="1">
      <alignment readingOrder="0"/>
    </xf>
    <xf borderId="1" fillId="0" fontId="7" numFmtId="43" xfId="0" applyBorder="1" applyFont="1" applyNumberFormat="1"/>
    <xf borderId="0" fillId="0" fontId="4" numFmtId="0" xfId="0" applyAlignment="1" applyFont="1">
      <alignment readingOrder="0"/>
    </xf>
    <xf borderId="0" fillId="0" fontId="3" numFmtId="164" xfId="0" applyFont="1" applyNumberFormat="1"/>
    <xf borderId="0" fillId="0" fontId="3" numFmtId="0" xfId="0" applyFont="1"/>
    <xf borderId="0" fillId="0" fontId="7" numFmtId="0" xfId="0" applyFont="1"/>
    <xf borderId="4" fillId="2" fontId="3" numFmtId="165" xfId="0" applyAlignment="1" applyBorder="1" applyFill="1" applyFont="1" applyNumberFormat="1">
      <alignment horizontal="center" readingOrder="0" vertical="center"/>
    </xf>
    <xf borderId="0" fillId="0" fontId="4" numFmtId="0" xfId="0" applyFont="1"/>
    <xf borderId="1" fillId="0" fontId="5" numFmtId="165" xfId="0" applyBorder="1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5" numFmtId="165" xfId="0" applyAlignment="1" applyBorder="1" applyFont="1" applyNumberFormat="1">
      <alignment readingOrder="0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3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9" fillId="2" fontId="8" numFmtId="43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9" fillId="2" fontId="8" numFmtId="49" xfId="0" applyAlignment="1" applyBorder="1" applyFill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2" fillId="0" fontId="3" numFmtId="165" xfId="0" applyAlignment="1" applyBorder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 shrinkToFit="0" vertical="center" wrapText="0"/>
    </xf>
    <xf borderId="0" fillId="0" fontId="7" numFmtId="3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" numFmtId="3" xfId="0" applyAlignment="1" applyFont="1" applyNumberForma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5">
    <tableStyle count="4" pivot="0" name="2X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X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uraray 3x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X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X8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2:L1005" displayName="PC_8X50" name="PC_8X50" id="1">
  <tableColumns count="12">
    <tableColumn name="DATE" id="1"/>
    <tableColumn name="TYPE" id="2"/>
    <tableColumn name="FLEC / SKS" id="3"/>
    <tableColumn name="KG" id="4"/>
    <tableColumn name="REMARKS" id="5"/>
    <tableColumn name="PROD" id="6"/>
    <tableColumn name="AYAG" id="7"/>
    <tableColumn name="MAGNET" id="8"/>
    <tableColumn name="FINAL" id="9"/>
    <tableColumn name="BLENDED" id="10"/>
    <tableColumn name="SUNDRY" id="11"/>
    <tableColumn name="RECLASS" id="12"/>
  </tableColumns>
  <tableStyleInfo name="8X50-style" showColumnStripes="0" showFirstColumn="1" showLastColumn="1" showRowStripes="1"/>
</table>
</file>

<file path=xl/tables/table2.xml><?xml version="1.0" encoding="utf-8"?>
<table xmlns="http://schemas.openxmlformats.org/spreadsheetml/2006/main" ref="A12:L1014" displayName="PC_6X50" name="PC_6X50" id="4">
  <tableColumns count="12">
    <tableColumn name="DATE" id="1"/>
    <tableColumn name="TYPE" id="2"/>
    <tableColumn name="FLEC / SKS" id="3"/>
    <tableColumn name="KG" id="4"/>
    <tableColumn name="REMARKS" id="5"/>
    <tableColumn name="PROD" id="6"/>
    <tableColumn name="AYAG" id="7"/>
    <tableColumn name="MAGNET" id="8"/>
    <tableColumn name="FINAL" id="9"/>
    <tableColumn name="BLENDED" id="10"/>
    <tableColumn name="SUNDRY" id="11"/>
    <tableColumn name="RECLASS" id="12"/>
  </tableColumns>
  <tableStyleInfo name="6X50-style" showColumnStripes="0" showFirstColumn="1" showLastColumn="1" showRowStripes="1"/>
</table>
</file>

<file path=xl/tables/table3.xml><?xml version="1.0" encoding="utf-8"?>
<table xmlns="http://schemas.openxmlformats.org/spreadsheetml/2006/main" ref="A12:L1021" displayName="PC_2X6" name="PC_2X6" id="2">
  <tableColumns count="12">
    <tableColumn name="DATE" id="1"/>
    <tableColumn name="TYPE" id="2"/>
    <tableColumn name="FLEC / SKS" id="3"/>
    <tableColumn name="KG" id="4"/>
    <tableColumn name="REMARKS" id="5"/>
    <tableColumn name="PROD" id="6"/>
    <tableColumn name="AYAG" id="7"/>
    <tableColumn name="MAGNET" id="8"/>
    <tableColumn name="FINAL" id="9"/>
    <tableColumn name="BLENDED" id="10"/>
    <tableColumn name="SUNDRY" id="11"/>
    <tableColumn name="RECLASS" id="12"/>
  </tableColumns>
  <tableStyleInfo name="2X6-style" showColumnStripes="0" showFirstColumn="1" showLastColumn="1" showRowStripes="1"/>
</table>
</file>

<file path=xl/tables/table4.xml><?xml version="1.0" encoding="utf-8"?>
<table xmlns="http://schemas.openxmlformats.org/spreadsheetml/2006/main" ref="A13:M1010" displayName="PC_3X50" name="PC_3X50" id="3">
  <tableColumns count="13">
    <tableColumn name="DATE" id="1"/>
    <tableColumn name="TYPE" id="2"/>
    <tableColumn name="FLEC / SKS" id="3"/>
    <tableColumn name="KG" id="4"/>
    <tableColumn name="REMARKS" id="5"/>
    <tableColumn name="PROD" id="6"/>
    <tableColumn name="OLD PROD" id="7"/>
    <tableColumn name="AYAG" id="8"/>
    <tableColumn name="MAGNET" id="9"/>
    <tableColumn name="FINAL" id="10"/>
    <tableColumn name="BLENDED" id="11"/>
    <tableColumn name="SUNDRY" id="12"/>
    <tableColumn name="RECLASS" id="13"/>
  </tableColumns>
  <tableStyleInfo name="Kuraray 3x50-style" showColumnStripes="0" showFirstColumn="1" showLastColumn="1" showRowStripes="1"/>
</table>
</file>

<file path=xl/tables/table5.xml><?xml version="1.0" encoding="utf-8"?>
<table xmlns="http://schemas.openxmlformats.org/spreadsheetml/2006/main" ref="A12:L1013" displayName="PC4X8_2" name="PC4X8_2" id="5">
  <tableColumns count="12">
    <tableColumn name="DATE" id="1"/>
    <tableColumn name="TYPE" id="2"/>
    <tableColumn name="FLEC / SKS" id="3"/>
    <tableColumn name="KG" id="4"/>
    <tableColumn name="REMARKS" id="5"/>
    <tableColumn name="PROD" id="6"/>
    <tableColumn name="AYAG" id="7"/>
    <tableColumn name="MAGNET" id="8"/>
    <tableColumn name="FINAL" id="9"/>
    <tableColumn name="BLENDED" id="10"/>
    <tableColumn name="SUNDRY" id="11"/>
    <tableColumn name="RECLASS" id="12"/>
  </tableColumns>
  <tableStyleInfo name="4X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4" width="9.75"/>
    <col customWidth="1" min="5" max="5" width="38.5"/>
    <col customWidth="1" min="6" max="12" width="8.75"/>
  </cols>
  <sheetData>
    <row r="1" ht="15.0" customHeight="1">
      <c r="A1" s="1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0" customHeight="1">
      <c r="A2" s="4" t="s">
        <v>4</v>
      </c>
      <c r="B2" s="5" t="s">
        <v>5</v>
      </c>
      <c r="C2" s="6" t="s">
        <v>6</v>
      </c>
      <c r="D2" s="6" t="s">
        <v>7</v>
      </c>
      <c r="E2" s="7" t="s">
        <v>8</v>
      </c>
      <c r="F2" s="8"/>
      <c r="G2" s="9"/>
      <c r="H2" s="9"/>
      <c r="I2" s="8"/>
      <c r="J2" s="9"/>
      <c r="K2" s="9"/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0" customHeight="1">
      <c r="A3" s="11" t="s">
        <v>9</v>
      </c>
      <c r="B3" s="12">
        <f>F11</f>
        <v>0</v>
      </c>
      <c r="C3" s="13"/>
      <c r="D3" s="14"/>
      <c r="E3" s="15"/>
      <c r="F3" s="16"/>
      <c r="G3" s="17"/>
      <c r="H3" s="17"/>
      <c r="I3" s="16"/>
      <c r="J3" s="17"/>
      <c r="K3" s="17"/>
      <c r="L3" s="1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0" customHeight="1">
      <c r="A4" s="11" t="s">
        <v>13</v>
      </c>
      <c r="B4" s="12">
        <f>G11</f>
        <v>0</v>
      </c>
      <c r="C4" s="13"/>
      <c r="D4" s="14"/>
      <c r="E4" s="15"/>
      <c r="F4" s="16"/>
      <c r="G4" s="17"/>
      <c r="H4" s="17"/>
      <c r="I4" s="16"/>
      <c r="J4" s="17"/>
      <c r="K4" s="17"/>
      <c r="L4" s="1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0" customHeight="1">
      <c r="A5" s="11" t="s">
        <v>16</v>
      </c>
      <c r="B5" s="12">
        <f>H11</f>
        <v>0</v>
      </c>
      <c r="C5" s="13"/>
      <c r="D5" s="14"/>
      <c r="E5" s="15"/>
      <c r="F5" s="16"/>
      <c r="G5" s="17"/>
      <c r="H5" s="17"/>
      <c r="I5" s="16"/>
      <c r="J5" s="17"/>
      <c r="K5" s="17"/>
      <c r="L5" s="1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0" customHeight="1">
      <c r="A6" s="11" t="s">
        <v>17</v>
      </c>
      <c r="B6" s="12">
        <f>I11</f>
        <v>59</v>
      </c>
      <c r="C6" s="13"/>
      <c r="D6" s="14"/>
      <c r="E6" s="15"/>
      <c r="F6" s="16"/>
      <c r="G6" s="20"/>
      <c r="H6" s="21" t="s">
        <v>19</v>
      </c>
      <c r="I6" s="22">
        <f>I11/44</f>
        <v>1.340909091</v>
      </c>
      <c r="J6" s="17"/>
      <c r="K6" s="17"/>
      <c r="L6" s="1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0" customHeight="1">
      <c r="A7" s="11" t="s">
        <v>20</v>
      </c>
      <c r="B7" s="12">
        <f>J11</f>
        <v>0</v>
      </c>
      <c r="C7" s="13"/>
      <c r="D7" s="14"/>
      <c r="E7" s="15"/>
      <c r="F7" s="23" t="s">
        <v>9</v>
      </c>
      <c r="G7" s="24" t="s">
        <v>13</v>
      </c>
      <c r="H7" s="24" t="s">
        <v>16</v>
      </c>
      <c r="I7" s="23" t="s">
        <v>17</v>
      </c>
      <c r="J7" s="24" t="s">
        <v>20</v>
      </c>
      <c r="K7" s="24" t="s">
        <v>21</v>
      </c>
      <c r="L7" s="24" t="s">
        <v>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0" customHeight="1">
      <c r="A8" s="19" t="s">
        <v>21</v>
      </c>
      <c r="B8" s="12">
        <f>K11</f>
        <v>0</v>
      </c>
      <c r="C8" s="13"/>
      <c r="D8" s="14"/>
      <c r="E8" s="15"/>
      <c r="F8" s="25" t="s">
        <v>23</v>
      </c>
      <c r="G8" s="26"/>
      <c r="H8" s="26"/>
      <c r="I8" s="26"/>
      <c r="J8" s="26"/>
      <c r="K8" s="26"/>
      <c r="L8" s="2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0" customHeight="1">
      <c r="A9" s="28" t="s">
        <v>22</v>
      </c>
      <c r="B9" s="29">
        <f>L11</f>
        <v>0</v>
      </c>
      <c r="C9" s="30"/>
      <c r="D9" s="31"/>
      <c r="E9" s="32"/>
      <c r="F9" s="33">
        <v>32.0</v>
      </c>
      <c r="G9" s="34"/>
      <c r="H9" s="34"/>
      <c r="I9" s="33">
        <v>147.0</v>
      </c>
      <c r="J9" s="34"/>
      <c r="K9" s="34"/>
      <c r="L9" s="34"/>
      <c r="M9" s="35" t="s">
        <v>24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0" customHeight="1">
      <c r="A10" s="36"/>
      <c r="B10" s="37"/>
      <c r="C10" s="8"/>
      <c r="D10" s="8"/>
      <c r="E10" s="38"/>
      <c r="F10" s="39" t="s">
        <v>25</v>
      </c>
      <c r="G10" s="26"/>
      <c r="H10" s="26"/>
      <c r="I10" s="26"/>
      <c r="J10" s="26"/>
      <c r="K10" s="26"/>
      <c r="L10" s="2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0" customHeight="1">
      <c r="A11" s="36"/>
      <c r="B11" s="37"/>
      <c r="C11" s="8"/>
      <c r="D11" s="8"/>
      <c r="E11" s="40"/>
      <c r="F11" s="41">
        <f t="shared" ref="F11:L11" si="1">SUMIFS($C$13:$C1005,$B$13:$B1005,F$7)+F$9</f>
        <v>0</v>
      </c>
      <c r="G11" s="41">
        <f t="shared" si="1"/>
        <v>0</v>
      </c>
      <c r="H11" s="41">
        <f t="shared" si="1"/>
        <v>0</v>
      </c>
      <c r="I11" s="41">
        <f t="shared" si="1"/>
        <v>59</v>
      </c>
      <c r="J11" s="41">
        <f t="shared" si="1"/>
        <v>0</v>
      </c>
      <c r="K11" s="41">
        <f t="shared" si="1"/>
        <v>0</v>
      </c>
      <c r="L11" s="41">
        <f t="shared" si="1"/>
        <v>0</v>
      </c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ht="24.75" customHeight="1">
      <c r="A12" s="45" t="s">
        <v>27</v>
      </c>
      <c r="B12" s="46" t="s">
        <v>4</v>
      </c>
      <c r="C12" s="47" t="s">
        <v>28</v>
      </c>
      <c r="D12" s="47" t="s">
        <v>6</v>
      </c>
      <c r="E12" s="48" t="s">
        <v>8</v>
      </c>
      <c r="F12" s="49" t="s">
        <v>9</v>
      </c>
      <c r="G12" s="49" t="s">
        <v>13</v>
      </c>
      <c r="H12" s="49" t="s">
        <v>16</v>
      </c>
      <c r="I12" s="49" t="s">
        <v>17</v>
      </c>
      <c r="J12" s="49" t="s">
        <v>20</v>
      </c>
      <c r="K12" s="49" t="s">
        <v>21</v>
      </c>
      <c r="L12" s="49" t="s">
        <v>22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</row>
    <row r="13" ht="15.0" customHeight="1">
      <c r="A13" s="52">
        <v>45901.0</v>
      </c>
      <c r="B13" s="53" t="s">
        <v>9</v>
      </c>
      <c r="C13" s="54">
        <v>10.0</v>
      </c>
      <c r="D13" s="55">
        <f t="shared" ref="D13:D1005" si="3">550*C13</f>
        <v>5500</v>
      </c>
      <c r="E13" s="57"/>
      <c r="F13" s="58">
        <f t="shared" ref="F13:L13" si="2">SUMIFS($C13,$B13,F$7)+F9</f>
        <v>42</v>
      </c>
      <c r="G13" s="58">
        <f t="shared" si="2"/>
        <v>0</v>
      </c>
      <c r="H13" s="58">
        <f t="shared" si="2"/>
        <v>0</v>
      </c>
      <c r="I13" s="58">
        <f t="shared" si="2"/>
        <v>147</v>
      </c>
      <c r="J13" s="58">
        <f t="shared" si="2"/>
        <v>0</v>
      </c>
      <c r="K13" s="58">
        <f t="shared" si="2"/>
        <v>0</v>
      </c>
      <c r="L13" s="58">
        <f t="shared" si="2"/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0" customHeight="1">
      <c r="A14" s="52">
        <v>45901.0</v>
      </c>
      <c r="B14" s="53" t="s">
        <v>9</v>
      </c>
      <c r="C14" s="54">
        <v>-8.0</v>
      </c>
      <c r="D14" s="55">
        <f t="shared" si="3"/>
        <v>-4400</v>
      </c>
      <c r="E14" s="60" t="s">
        <v>31</v>
      </c>
      <c r="F14" s="58">
        <f t="shared" ref="F14:L14" si="4">SUMIFS($C14,$B14,F$7)+F13</f>
        <v>34</v>
      </c>
      <c r="G14" s="58">
        <f t="shared" si="4"/>
        <v>0</v>
      </c>
      <c r="H14" s="58">
        <f t="shared" si="4"/>
        <v>0</v>
      </c>
      <c r="I14" s="58">
        <f t="shared" si="4"/>
        <v>147</v>
      </c>
      <c r="J14" s="58">
        <f t="shared" si="4"/>
        <v>0</v>
      </c>
      <c r="K14" s="58">
        <f t="shared" si="4"/>
        <v>0</v>
      </c>
      <c r="L14" s="58">
        <f t="shared" si="4"/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0" customHeight="1">
      <c r="A15" s="52">
        <v>45901.0</v>
      </c>
      <c r="B15" s="53" t="s">
        <v>17</v>
      </c>
      <c r="C15" s="54">
        <v>8.0</v>
      </c>
      <c r="D15" s="55">
        <f t="shared" si="3"/>
        <v>4400</v>
      </c>
      <c r="E15" s="57"/>
      <c r="F15" s="58">
        <f t="shared" ref="F15:L15" si="5">SUMIFS($C15,$B15,F$7)+F14</f>
        <v>34</v>
      </c>
      <c r="G15" s="58">
        <f t="shared" si="5"/>
        <v>0</v>
      </c>
      <c r="H15" s="58">
        <f t="shared" si="5"/>
        <v>0</v>
      </c>
      <c r="I15" s="58">
        <f t="shared" si="5"/>
        <v>155</v>
      </c>
      <c r="J15" s="58">
        <f t="shared" si="5"/>
        <v>0</v>
      </c>
      <c r="K15" s="58">
        <f t="shared" si="5"/>
        <v>0</v>
      </c>
      <c r="L15" s="58">
        <f t="shared" si="5"/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0" customHeight="1">
      <c r="A16" s="52">
        <v>45901.0</v>
      </c>
      <c r="B16" s="53" t="s">
        <v>17</v>
      </c>
      <c r="C16" s="54">
        <v>-1.0</v>
      </c>
      <c r="D16" s="55">
        <f t="shared" si="3"/>
        <v>-550</v>
      </c>
      <c r="E16" s="60" t="s">
        <v>32</v>
      </c>
      <c r="F16" s="58">
        <f t="shared" ref="F16:L16" si="6">SUMIFS($C16,$B16,F$7)+F15</f>
        <v>34</v>
      </c>
      <c r="G16" s="58">
        <f t="shared" si="6"/>
        <v>0</v>
      </c>
      <c r="H16" s="58">
        <f t="shared" si="6"/>
        <v>0</v>
      </c>
      <c r="I16" s="58">
        <f t="shared" si="6"/>
        <v>154</v>
      </c>
      <c r="J16" s="58">
        <f t="shared" si="6"/>
        <v>0</v>
      </c>
      <c r="K16" s="58">
        <f t="shared" si="6"/>
        <v>0</v>
      </c>
      <c r="L16" s="58">
        <f t="shared" si="6"/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0" customHeight="1">
      <c r="A17" s="61"/>
      <c r="B17" s="62"/>
      <c r="C17" s="55"/>
      <c r="D17" s="55">
        <f t="shared" si="3"/>
        <v>0</v>
      </c>
      <c r="E17" s="57"/>
      <c r="F17" s="58">
        <f t="shared" ref="F17:L17" si="7">SUMIFS($C17,$B17,F$7)+F16</f>
        <v>34</v>
      </c>
      <c r="G17" s="58">
        <f t="shared" si="7"/>
        <v>0</v>
      </c>
      <c r="H17" s="58">
        <f t="shared" si="7"/>
        <v>0</v>
      </c>
      <c r="I17" s="58">
        <f t="shared" si="7"/>
        <v>154</v>
      </c>
      <c r="J17" s="58">
        <f t="shared" si="7"/>
        <v>0</v>
      </c>
      <c r="K17" s="58">
        <f t="shared" si="7"/>
        <v>0</v>
      </c>
      <c r="L17" s="58">
        <f t="shared" si="7"/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0" customHeight="1">
      <c r="A18" s="52">
        <v>45902.0</v>
      </c>
      <c r="B18" s="53" t="s">
        <v>9</v>
      </c>
      <c r="C18" s="54">
        <v>11.0</v>
      </c>
      <c r="D18" s="55">
        <f t="shared" si="3"/>
        <v>6050</v>
      </c>
      <c r="E18" s="57"/>
      <c r="F18" s="58">
        <f t="shared" ref="F18:L18" si="8">SUMIFS($C18,$B18,F$7)+F17</f>
        <v>45</v>
      </c>
      <c r="G18" s="58">
        <f t="shared" si="8"/>
        <v>0</v>
      </c>
      <c r="H18" s="58">
        <f t="shared" si="8"/>
        <v>0</v>
      </c>
      <c r="I18" s="58">
        <f t="shared" si="8"/>
        <v>154</v>
      </c>
      <c r="J18" s="58">
        <f t="shared" si="8"/>
        <v>0</v>
      </c>
      <c r="K18" s="58">
        <f t="shared" si="8"/>
        <v>0</v>
      </c>
      <c r="L18" s="58">
        <f t="shared" si="8"/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0" customHeight="1">
      <c r="A19" s="52">
        <v>45902.0</v>
      </c>
      <c r="B19" s="53" t="s">
        <v>9</v>
      </c>
      <c r="C19" s="54">
        <v>-12.0</v>
      </c>
      <c r="D19" s="55">
        <f t="shared" si="3"/>
        <v>-6600</v>
      </c>
      <c r="E19" s="60" t="s">
        <v>31</v>
      </c>
      <c r="F19" s="58">
        <f t="shared" ref="F19:L19" si="9">SUMIFS($C19,$B19,F$7)+F18</f>
        <v>33</v>
      </c>
      <c r="G19" s="58">
        <f t="shared" si="9"/>
        <v>0</v>
      </c>
      <c r="H19" s="58">
        <f t="shared" si="9"/>
        <v>0</v>
      </c>
      <c r="I19" s="58">
        <f t="shared" si="9"/>
        <v>154</v>
      </c>
      <c r="J19" s="58">
        <f t="shared" si="9"/>
        <v>0</v>
      </c>
      <c r="K19" s="58">
        <f t="shared" si="9"/>
        <v>0</v>
      </c>
      <c r="L19" s="58">
        <f t="shared" si="9"/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0" customHeight="1">
      <c r="A20" s="52">
        <v>45902.0</v>
      </c>
      <c r="B20" s="53" t="s">
        <v>17</v>
      </c>
      <c r="C20" s="54">
        <v>12.0</v>
      </c>
      <c r="D20" s="55">
        <f t="shared" si="3"/>
        <v>6600</v>
      </c>
      <c r="E20" s="57"/>
      <c r="F20" s="58">
        <f t="shared" ref="F20:L20" si="10">SUMIFS($C20,$B20,F$7)+F19</f>
        <v>33</v>
      </c>
      <c r="G20" s="58">
        <f t="shared" si="10"/>
        <v>0</v>
      </c>
      <c r="H20" s="58">
        <f t="shared" si="10"/>
        <v>0</v>
      </c>
      <c r="I20" s="58">
        <f t="shared" si="10"/>
        <v>166</v>
      </c>
      <c r="J20" s="58">
        <f t="shared" si="10"/>
        <v>0</v>
      </c>
      <c r="K20" s="58">
        <f t="shared" si="10"/>
        <v>0</v>
      </c>
      <c r="L20" s="58">
        <f t="shared" si="10"/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0" customHeight="1">
      <c r="A21" s="52">
        <v>45902.0</v>
      </c>
      <c r="B21" s="53" t="s">
        <v>17</v>
      </c>
      <c r="C21" s="54">
        <v>-2.0</v>
      </c>
      <c r="D21" s="55">
        <f t="shared" si="3"/>
        <v>-1100</v>
      </c>
      <c r="E21" s="60" t="s">
        <v>32</v>
      </c>
      <c r="F21" s="58">
        <f t="shared" ref="F21:L21" si="11">SUMIFS($C21,$B21,F$7)+F20</f>
        <v>33</v>
      </c>
      <c r="G21" s="58">
        <f t="shared" si="11"/>
        <v>0</v>
      </c>
      <c r="H21" s="58">
        <f t="shared" si="11"/>
        <v>0</v>
      </c>
      <c r="I21" s="58">
        <f t="shared" si="11"/>
        <v>164</v>
      </c>
      <c r="J21" s="58">
        <f t="shared" si="11"/>
        <v>0</v>
      </c>
      <c r="K21" s="58">
        <f t="shared" si="11"/>
        <v>0</v>
      </c>
      <c r="L21" s="58">
        <f t="shared" si="11"/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0" customHeight="1">
      <c r="A22" s="61"/>
      <c r="B22" s="62"/>
      <c r="C22" s="55"/>
      <c r="D22" s="55">
        <f t="shared" si="3"/>
        <v>0</v>
      </c>
      <c r="E22" s="57"/>
      <c r="F22" s="58">
        <f t="shared" ref="F22:L22" si="12">SUMIFS($C22,$B22,F$7)+F21</f>
        <v>33</v>
      </c>
      <c r="G22" s="58">
        <f t="shared" si="12"/>
        <v>0</v>
      </c>
      <c r="H22" s="58">
        <f t="shared" si="12"/>
        <v>0</v>
      </c>
      <c r="I22" s="58">
        <f t="shared" si="12"/>
        <v>164</v>
      </c>
      <c r="J22" s="58">
        <f t="shared" si="12"/>
        <v>0</v>
      </c>
      <c r="K22" s="58">
        <f t="shared" si="12"/>
        <v>0</v>
      </c>
      <c r="L22" s="58">
        <f t="shared" si="12"/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0" customHeight="1">
      <c r="A23" s="52">
        <v>45903.0</v>
      </c>
      <c r="B23" s="53" t="s">
        <v>9</v>
      </c>
      <c r="C23" s="54">
        <v>2.0</v>
      </c>
      <c r="D23" s="55">
        <f t="shared" si="3"/>
        <v>1100</v>
      </c>
      <c r="E23" s="60" t="s">
        <v>39</v>
      </c>
      <c r="F23" s="58">
        <f t="shared" ref="F23:L23" si="13">SUMIFS($C23,$B23,F$7)+F22</f>
        <v>35</v>
      </c>
      <c r="G23" s="58">
        <f t="shared" si="13"/>
        <v>0</v>
      </c>
      <c r="H23" s="58">
        <f t="shared" si="13"/>
        <v>0</v>
      </c>
      <c r="I23" s="58">
        <f t="shared" si="13"/>
        <v>164</v>
      </c>
      <c r="J23" s="58">
        <f t="shared" si="13"/>
        <v>0</v>
      </c>
      <c r="K23" s="58">
        <f t="shared" si="13"/>
        <v>0</v>
      </c>
      <c r="L23" s="58">
        <f t="shared" si="13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0" customHeight="1">
      <c r="A24" s="52">
        <v>45903.0</v>
      </c>
      <c r="B24" s="53" t="s">
        <v>9</v>
      </c>
      <c r="C24" s="54">
        <v>-6.0</v>
      </c>
      <c r="D24" s="55">
        <f t="shared" si="3"/>
        <v>-3300</v>
      </c>
      <c r="E24" s="60" t="s">
        <v>31</v>
      </c>
      <c r="F24" s="58">
        <f t="shared" ref="F24:L24" si="14">SUMIFS($C24,$B24,F$7)+F23</f>
        <v>29</v>
      </c>
      <c r="G24" s="58">
        <f t="shared" si="14"/>
        <v>0</v>
      </c>
      <c r="H24" s="58">
        <f t="shared" si="14"/>
        <v>0</v>
      </c>
      <c r="I24" s="58">
        <f t="shared" si="14"/>
        <v>164</v>
      </c>
      <c r="J24" s="58">
        <f t="shared" si="14"/>
        <v>0</v>
      </c>
      <c r="K24" s="58">
        <f t="shared" si="14"/>
        <v>0</v>
      </c>
      <c r="L24" s="58">
        <f t="shared" si="14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0" customHeight="1">
      <c r="A25" s="52">
        <v>45903.0</v>
      </c>
      <c r="B25" s="53" t="s">
        <v>17</v>
      </c>
      <c r="C25" s="54">
        <v>6.0</v>
      </c>
      <c r="D25" s="55">
        <f t="shared" si="3"/>
        <v>3300</v>
      </c>
      <c r="E25" s="57"/>
      <c r="F25" s="58">
        <f t="shared" ref="F25:L25" si="15">SUMIFS($C25,$B25,F$7)+F24</f>
        <v>29</v>
      </c>
      <c r="G25" s="58">
        <f t="shared" si="15"/>
        <v>0</v>
      </c>
      <c r="H25" s="58">
        <f t="shared" si="15"/>
        <v>0</v>
      </c>
      <c r="I25" s="58">
        <f t="shared" si="15"/>
        <v>170</v>
      </c>
      <c r="J25" s="58">
        <f t="shared" si="15"/>
        <v>0</v>
      </c>
      <c r="K25" s="58">
        <f t="shared" si="15"/>
        <v>0</v>
      </c>
      <c r="L25" s="58">
        <f t="shared" si="15"/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0" customHeight="1">
      <c r="A26" s="52">
        <v>45903.0</v>
      </c>
      <c r="B26" s="53" t="s">
        <v>17</v>
      </c>
      <c r="C26" s="54">
        <v>-1.0</v>
      </c>
      <c r="D26" s="55">
        <f t="shared" si="3"/>
        <v>-550</v>
      </c>
      <c r="E26" s="60" t="s">
        <v>32</v>
      </c>
      <c r="F26" s="58">
        <f t="shared" ref="F26:L26" si="16">SUMIFS($C26,$B26,F$7)+F25</f>
        <v>29</v>
      </c>
      <c r="G26" s="58">
        <f t="shared" si="16"/>
        <v>0</v>
      </c>
      <c r="H26" s="58">
        <f t="shared" si="16"/>
        <v>0</v>
      </c>
      <c r="I26" s="58">
        <f t="shared" si="16"/>
        <v>169</v>
      </c>
      <c r="J26" s="58">
        <f t="shared" si="16"/>
        <v>0</v>
      </c>
      <c r="K26" s="58">
        <f t="shared" si="16"/>
        <v>0</v>
      </c>
      <c r="L26" s="58">
        <f t="shared" si="16"/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0" customHeight="1">
      <c r="A27" s="61"/>
      <c r="B27" s="62"/>
      <c r="C27" s="55"/>
      <c r="D27" s="55">
        <f t="shared" si="3"/>
        <v>0</v>
      </c>
      <c r="E27" s="57"/>
      <c r="F27" s="58">
        <f t="shared" ref="F27:L27" si="17">SUMIFS($C27,$B27,F$7)+F26</f>
        <v>29</v>
      </c>
      <c r="G27" s="58">
        <f t="shared" si="17"/>
        <v>0</v>
      </c>
      <c r="H27" s="58">
        <f t="shared" si="17"/>
        <v>0</v>
      </c>
      <c r="I27" s="58">
        <f t="shared" si="17"/>
        <v>169</v>
      </c>
      <c r="J27" s="58">
        <f t="shared" si="17"/>
        <v>0</v>
      </c>
      <c r="K27" s="58">
        <f t="shared" si="17"/>
        <v>0</v>
      </c>
      <c r="L27" s="58">
        <f t="shared" si="17"/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0" customHeight="1">
      <c r="A28" s="52">
        <v>45904.0</v>
      </c>
      <c r="B28" s="53" t="s">
        <v>9</v>
      </c>
      <c r="C28" s="54">
        <v>-9.0</v>
      </c>
      <c r="D28" s="55">
        <f t="shared" si="3"/>
        <v>-4950</v>
      </c>
      <c r="E28" s="60" t="s">
        <v>31</v>
      </c>
      <c r="F28" s="58">
        <f t="shared" ref="F28:L28" si="18">SUMIFS($C28,$B28,F$7)+F27</f>
        <v>20</v>
      </c>
      <c r="G28" s="58">
        <f t="shared" si="18"/>
        <v>0</v>
      </c>
      <c r="H28" s="58">
        <f t="shared" si="18"/>
        <v>0</v>
      </c>
      <c r="I28" s="58">
        <f t="shared" si="18"/>
        <v>169</v>
      </c>
      <c r="J28" s="58">
        <f t="shared" si="18"/>
        <v>0</v>
      </c>
      <c r="K28" s="58">
        <f t="shared" si="18"/>
        <v>0</v>
      </c>
      <c r="L28" s="58">
        <f t="shared" si="18"/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0" customHeight="1">
      <c r="A29" s="52">
        <v>45904.0</v>
      </c>
      <c r="B29" s="53" t="s">
        <v>17</v>
      </c>
      <c r="C29" s="54">
        <v>9.0</v>
      </c>
      <c r="D29" s="55">
        <f t="shared" si="3"/>
        <v>4950</v>
      </c>
      <c r="E29" s="57"/>
      <c r="F29" s="58">
        <f t="shared" ref="F29:L29" si="19">SUMIFS($C29,$B29,F$7)+F28</f>
        <v>20</v>
      </c>
      <c r="G29" s="58">
        <f t="shared" si="19"/>
        <v>0</v>
      </c>
      <c r="H29" s="58">
        <f t="shared" si="19"/>
        <v>0</v>
      </c>
      <c r="I29" s="58">
        <f t="shared" si="19"/>
        <v>178</v>
      </c>
      <c r="J29" s="58">
        <f t="shared" si="19"/>
        <v>0</v>
      </c>
      <c r="K29" s="58">
        <f t="shared" si="19"/>
        <v>0</v>
      </c>
      <c r="L29" s="58">
        <f t="shared" si="19"/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0" customHeight="1">
      <c r="A30" s="61"/>
      <c r="B30" s="62"/>
      <c r="C30" s="55"/>
      <c r="D30" s="55">
        <f t="shared" si="3"/>
        <v>0</v>
      </c>
      <c r="E30" s="57"/>
      <c r="F30" s="58">
        <f t="shared" ref="F30:L30" si="20">SUMIFS($C30,$B30,F$7)+F29</f>
        <v>20</v>
      </c>
      <c r="G30" s="58">
        <f t="shared" si="20"/>
        <v>0</v>
      </c>
      <c r="H30" s="58">
        <f t="shared" si="20"/>
        <v>0</v>
      </c>
      <c r="I30" s="58">
        <f t="shared" si="20"/>
        <v>178</v>
      </c>
      <c r="J30" s="58">
        <f t="shared" si="20"/>
        <v>0</v>
      </c>
      <c r="K30" s="58">
        <f t="shared" si="20"/>
        <v>0</v>
      </c>
      <c r="L30" s="58">
        <f t="shared" si="20"/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0" customHeight="1">
      <c r="A31" s="52">
        <v>45905.0</v>
      </c>
      <c r="B31" s="53" t="s">
        <v>9</v>
      </c>
      <c r="C31" s="54">
        <v>-6.0</v>
      </c>
      <c r="D31" s="55">
        <f t="shared" si="3"/>
        <v>-3300</v>
      </c>
      <c r="E31" s="60" t="s">
        <v>31</v>
      </c>
      <c r="F31" s="58">
        <f t="shared" ref="F31:L31" si="21">SUMIFS($C31,$B31,F$7)+F30</f>
        <v>14</v>
      </c>
      <c r="G31" s="58">
        <f t="shared" si="21"/>
        <v>0</v>
      </c>
      <c r="H31" s="58">
        <f t="shared" si="21"/>
        <v>0</v>
      </c>
      <c r="I31" s="58">
        <f t="shared" si="21"/>
        <v>178</v>
      </c>
      <c r="J31" s="58">
        <f t="shared" si="21"/>
        <v>0</v>
      </c>
      <c r="K31" s="58">
        <f t="shared" si="21"/>
        <v>0</v>
      </c>
      <c r="L31" s="58">
        <f t="shared" si="21"/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0" customHeight="1">
      <c r="A32" s="68">
        <v>45905.0</v>
      </c>
      <c r="B32" s="64" t="s">
        <v>17</v>
      </c>
      <c r="C32" s="65">
        <v>6.0</v>
      </c>
      <c r="D32" s="66">
        <f t="shared" si="3"/>
        <v>3300</v>
      </c>
      <c r="E32" s="67"/>
      <c r="F32" s="58">
        <f t="shared" ref="F32:L32" si="22">SUMIFS($C32,$B32,F$7)+F31</f>
        <v>14</v>
      </c>
      <c r="G32" s="58">
        <f t="shared" si="22"/>
        <v>0</v>
      </c>
      <c r="H32" s="58">
        <f t="shared" si="22"/>
        <v>0</v>
      </c>
      <c r="I32" s="58">
        <f t="shared" si="22"/>
        <v>184</v>
      </c>
      <c r="J32" s="58">
        <f t="shared" si="22"/>
        <v>0</v>
      </c>
      <c r="K32" s="58">
        <f t="shared" si="22"/>
        <v>0</v>
      </c>
      <c r="L32" s="58">
        <f t="shared" si="22"/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0" customHeight="1">
      <c r="A33" s="70"/>
      <c r="B33" s="71"/>
      <c r="C33" s="66"/>
      <c r="D33" s="66">
        <f t="shared" si="3"/>
        <v>0</v>
      </c>
      <c r="E33" s="67"/>
      <c r="F33" s="58">
        <f t="shared" ref="F33:L33" si="23">SUMIFS($C33,$B33,F$7)+F32</f>
        <v>14</v>
      </c>
      <c r="G33" s="58">
        <f t="shared" si="23"/>
        <v>0</v>
      </c>
      <c r="H33" s="58">
        <f t="shared" si="23"/>
        <v>0</v>
      </c>
      <c r="I33" s="58">
        <f t="shared" si="23"/>
        <v>184</v>
      </c>
      <c r="J33" s="58">
        <f t="shared" si="23"/>
        <v>0</v>
      </c>
      <c r="K33" s="58">
        <f t="shared" si="23"/>
        <v>0</v>
      </c>
      <c r="L33" s="58">
        <f t="shared" si="23"/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0" customHeight="1">
      <c r="A34" s="68">
        <v>45906.0</v>
      </c>
      <c r="B34" s="64" t="s">
        <v>9</v>
      </c>
      <c r="C34" s="65">
        <v>-12.0</v>
      </c>
      <c r="D34" s="66">
        <f t="shared" si="3"/>
        <v>-6600</v>
      </c>
      <c r="E34" s="56" t="s">
        <v>31</v>
      </c>
      <c r="F34" s="58">
        <f t="shared" ref="F34:L34" si="24">SUMIFS($C34,$B34,F$7)+F33</f>
        <v>2</v>
      </c>
      <c r="G34" s="58">
        <f t="shared" si="24"/>
        <v>0</v>
      </c>
      <c r="H34" s="58">
        <f t="shared" si="24"/>
        <v>0</v>
      </c>
      <c r="I34" s="58">
        <f t="shared" si="24"/>
        <v>184</v>
      </c>
      <c r="J34" s="58">
        <f t="shared" si="24"/>
        <v>0</v>
      </c>
      <c r="K34" s="58">
        <f t="shared" si="24"/>
        <v>0</v>
      </c>
      <c r="L34" s="58">
        <f t="shared" si="24"/>
        <v>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0" customHeight="1">
      <c r="A35" s="68">
        <v>45906.0</v>
      </c>
      <c r="B35" s="64" t="s">
        <v>17</v>
      </c>
      <c r="C35" s="65">
        <v>12.0</v>
      </c>
      <c r="D35" s="66">
        <f t="shared" si="3"/>
        <v>6600</v>
      </c>
      <c r="E35" s="67"/>
      <c r="F35" s="58">
        <f t="shared" ref="F35:L35" si="25">SUMIFS($C35,$B35,F$7)+F34</f>
        <v>2</v>
      </c>
      <c r="G35" s="58">
        <f t="shared" si="25"/>
        <v>0</v>
      </c>
      <c r="H35" s="58">
        <f t="shared" si="25"/>
        <v>0</v>
      </c>
      <c r="I35" s="58">
        <f t="shared" si="25"/>
        <v>196</v>
      </c>
      <c r="J35" s="58">
        <f t="shared" si="25"/>
        <v>0</v>
      </c>
      <c r="K35" s="58">
        <f t="shared" si="25"/>
        <v>0</v>
      </c>
      <c r="L35" s="58">
        <f t="shared" si="25"/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0" customHeight="1">
      <c r="A36" s="68">
        <v>45906.0</v>
      </c>
      <c r="B36" s="64" t="s">
        <v>17</v>
      </c>
      <c r="C36" s="65">
        <v>-2.0</v>
      </c>
      <c r="D36" s="66">
        <f t="shared" si="3"/>
        <v>-1100</v>
      </c>
      <c r="E36" s="56" t="s">
        <v>32</v>
      </c>
      <c r="F36" s="58">
        <f t="shared" ref="F36:L36" si="26">SUMIFS($C36,$B36,F$7)+F35</f>
        <v>2</v>
      </c>
      <c r="G36" s="58">
        <f t="shared" si="26"/>
        <v>0</v>
      </c>
      <c r="H36" s="58">
        <f t="shared" si="26"/>
        <v>0</v>
      </c>
      <c r="I36" s="58">
        <f t="shared" si="26"/>
        <v>194</v>
      </c>
      <c r="J36" s="58">
        <f t="shared" si="26"/>
        <v>0</v>
      </c>
      <c r="K36" s="58">
        <f t="shared" si="26"/>
        <v>0</v>
      </c>
      <c r="L36" s="58">
        <f t="shared" si="26"/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0" customHeight="1">
      <c r="A37" s="68">
        <v>45906.0</v>
      </c>
      <c r="B37" s="64" t="s">
        <v>9</v>
      </c>
      <c r="C37" s="65">
        <v>5.0</v>
      </c>
      <c r="D37" s="66">
        <f t="shared" si="3"/>
        <v>2750</v>
      </c>
      <c r="E37" s="56" t="s">
        <v>58</v>
      </c>
      <c r="F37" s="58">
        <f t="shared" ref="F37:L37" si="27">SUMIFS($C37,$B37,F$7)+F36</f>
        <v>7</v>
      </c>
      <c r="G37" s="58">
        <f t="shared" si="27"/>
        <v>0</v>
      </c>
      <c r="H37" s="58">
        <f t="shared" si="27"/>
        <v>0</v>
      </c>
      <c r="I37" s="58">
        <f t="shared" si="27"/>
        <v>194</v>
      </c>
      <c r="J37" s="58">
        <f t="shared" si="27"/>
        <v>0</v>
      </c>
      <c r="K37" s="58">
        <f t="shared" si="27"/>
        <v>0</v>
      </c>
      <c r="L37" s="58">
        <f t="shared" si="27"/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0" customHeight="1">
      <c r="A38" s="68">
        <v>45906.0</v>
      </c>
      <c r="B38" s="64" t="s">
        <v>17</v>
      </c>
      <c r="C38" s="65">
        <v>-5.0</v>
      </c>
      <c r="D38" s="66">
        <f t="shared" si="3"/>
        <v>-2750</v>
      </c>
      <c r="E38" s="56" t="s">
        <v>58</v>
      </c>
      <c r="F38" s="58">
        <f t="shared" ref="F38:L38" si="28">SUMIFS($C38,$B38,F$7)+F37</f>
        <v>7</v>
      </c>
      <c r="G38" s="58">
        <f t="shared" si="28"/>
        <v>0</v>
      </c>
      <c r="H38" s="58">
        <f t="shared" si="28"/>
        <v>0</v>
      </c>
      <c r="I38" s="58">
        <f t="shared" si="28"/>
        <v>189</v>
      </c>
      <c r="J38" s="58">
        <f t="shared" si="28"/>
        <v>0</v>
      </c>
      <c r="K38" s="58">
        <f t="shared" si="28"/>
        <v>0</v>
      </c>
      <c r="L38" s="58">
        <f t="shared" si="28"/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0" customHeight="1">
      <c r="A39" s="68">
        <v>45906.0</v>
      </c>
      <c r="B39" s="64" t="s">
        <v>9</v>
      </c>
      <c r="C39" s="65">
        <v>-1.0</v>
      </c>
      <c r="D39" s="66">
        <f t="shared" si="3"/>
        <v>-550</v>
      </c>
      <c r="E39" s="56" t="s">
        <v>60</v>
      </c>
      <c r="F39" s="58">
        <f t="shared" ref="F39:L39" si="29">SUMIFS($C39,$B39,F$7)+F38</f>
        <v>6</v>
      </c>
      <c r="G39" s="58">
        <f t="shared" si="29"/>
        <v>0</v>
      </c>
      <c r="H39" s="58">
        <f t="shared" si="29"/>
        <v>0</v>
      </c>
      <c r="I39" s="58">
        <f t="shared" si="29"/>
        <v>189</v>
      </c>
      <c r="J39" s="58">
        <f t="shared" si="29"/>
        <v>0</v>
      </c>
      <c r="K39" s="58">
        <f t="shared" si="29"/>
        <v>0</v>
      </c>
      <c r="L39" s="58">
        <f t="shared" si="29"/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0" customHeight="1">
      <c r="A40" s="70"/>
      <c r="B40" s="71"/>
      <c r="C40" s="66"/>
      <c r="D40" s="66">
        <f t="shared" si="3"/>
        <v>0</v>
      </c>
      <c r="E40" s="67"/>
      <c r="F40" s="58">
        <f t="shared" ref="F40:L40" si="30">SUMIFS($C40,$B40,F$7)+F39</f>
        <v>6</v>
      </c>
      <c r="G40" s="58">
        <f t="shared" si="30"/>
        <v>0</v>
      </c>
      <c r="H40" s="58">
        <f t="shared" si="30"/>
        <v>0</v>
      </c>
      <c r="I40" s="58">
        <f t="shared" si="30"/>
        <v>189</v>
      </c>
      <c r="J40" s="58">
        <f t="shared" si="30"/>
        <v>0</v>
      </c>
      <c r="K40" s="58">
        <f t="shared" si="30"/>
        <v>0</v>
      </c>
      <c r="L40" s="58">
        <f t="shared" si="30"/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0" customHeight="1">
      <c r="A41" s="68">
        <v>45908.0</v>
      </c>
      <c r="B41" s="64" t="s">
        <v>9</v>
      </c>
      <c r="C41" s="65">
        <v>-7.0</v>
      </c>
      <c r="D41" s="66">
        <f t="shared" si="3"/>
        <v>-3850</v>
      </c>
      <c r="E41" s="67"/>
      <c r="F41" s="58">
        <f t="shared" ref="F41:L41" si="31">SUMIFS($C41,$B41,F$7)+F40</f>
        <v>-1</v>
      </c>
      <c r="G41" s="58">
        <f t="shared" si="31"/>
        <v>0</v>
      </c>
      <c r="H41" s="58">
        <f t="shared" si="31"/>
        <v>0</v>
      </c>
      <c r="I41" s="58">
        <f t="shared" si="31"/>
        <v>189</v>
      </c>
      <c r="J41" s="58">
        <f t="shared" si="31"/>
        <v>0</v>
      </c>
      <c r="K41" s="58">
        <f t="shared" si="31"/>
        <v>0</v>
      </c>
      <c r="L41" s="58">
        <f t="shared" si="31"/>
        <v>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0" customHeight="1">
      <c r="A42" s="68">
        <v>45908.0</v>
      </c>
      <c r="B42" s="64" t="s">
        <v>17</v>
      </c>
      <c r="C42" s="65">
        <v>7.0</v>
      </c>
      <c r="D42" s="66">
        <f t="shared" si="3"/>
        <v>3850</v>
      </c>
      <c r="E42" s="67"/>
      <c r="F42" s="58">
        <f t="shared" ref="F42:L42" si="32">SUMIFS($C42,$B42,F$7)+F41</f>
        <v>-1</v>
      </c>
      <c r="G42" s="58">
        <f t="shared" si="32"/>
        <v>0</v>
      </c>
      <c r="H42" s="58">
        <f t="shared" si="32"/>
        <v>0</v>
      </c>
      <c r="I42" s="58">
        <f t="shared" si="32"/>
        <v>196</v>
      </c>
      <c r="J42" s="58">
        <f t="shared" si="32"/>
        <v>0</v>
      </c>
      <c r="K42" s="58">
        <f t="shared" si="32"/>
        <v>0</v>
      </c>
      <c r="L42" s="58">
        <f t="shared" si="32"/>
        <v>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0" customHeight="1">
      <c r="A43" s="68">
        <v>45908.0</v>
      </c>
      <c r="B43" s="64" t="s">
        <v>17</v>
      </c>
      <c r="C43" s="65">
        <v>-1.0</v>
      </c>
      <c r="D43" s="66">
        <f t="shared" si="3"/>
        <v>-550</v>
      </c>
      <c r="E43" s="56" t="s">
        <v>32</v>
      </c>
      <c r="F43" s="58">
        <f t="shared" ref="F43:L43" si="33">SUMIFS($C43,$B43,F$7)+F42</f>
        <v>-1</v>
      </c>
      <c r="G43" s="58">
        <f t="shared" si="33"/>
        <v>0</v>
      </c>
      <c r="H43" s="58">
        <f t="shared" si="33"/>
        <v>0</v>
      </c>
      <c r="I43" s="58">
        <f t="shared" si="33"/>
        <v>195</v>
      </c>
      <c r="J43" s="58">
        <f t="shared" si="33"/>
        <v>0</v>
      </c>
      <c r="K43" s="58">
        <f t="shared" si="33"/>
        <v>0</v>
      </c>
      <c r="L43" s="58">
        <f t="shared" si="33"/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0" customHeight="1">
      <c r="A44" s="68">
        <v>45908.0</v>
      </c>
      <c r="B44" s="64" t="s">
        <v>9</v>
      </c>
      <c r="C44" s="65">
        <v>1.0</v>
      </c>
      <c r="D44" s="66">
        <f t="shared" si="3"/>
        <v>550</v>
      </c>
      <c r="E44" s="56" t="s">
        <v>64</v>
      </c>
      <c r="F44" s="58">
        <f t="shared" ref="F44:L44" si="34">SUMIFS($C44,$B44,F$7)+F43</f>
        <v>0</v>
      </c>
      <c r="G44" s="58">
        <f t="shared" si="34"/>
        <v>0</v>
      </c>
      <c r="H44" s="58">
        <f t="shared" si="34"/>
        <v>0</v>
      </c>
      <c r="I44" s="58">
        <f t="shared" si="34"/>
        <v>195</v>
      </c>
      <c r="J44" s="58">
        <f t="shared" si="34"/>
        <v>0</v>
      </c>
      <c r="K44" s="58">
        <f t="shared" si="34"/>
        <v>0</v>
      </c>
      <c r="L44" s="58">
        <f t="shared" si="34"/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0" customHeight="1">
      <c r="A45" s="68">
        <v>45908.0</v>
      </c>
      <c r="B45" s="64" t="s">
        <v>17</v>
      </c>
      <c r="C45" s="65">
        <v>-1.0</v>
      </c>
      <c r="D45" s="66">
        <f t="shared" si="3"/>
        <v>-550</v>
      </c>
      <c r="E45" s="56" t="s">
        <v>64</v>
      </c>
      <c r="F45" s="58">
        <f t="shared" ref="F45:L45" si="35">SUMIFS($C45,$B45,F$7)+F44</f>
        <v>0</v>
      </c>
      <c r="G45" s="58">
        <f t="shared" si="35"/>
        <v>0</v>
      </c>
      <c r="H45" s="58">
        <f t="shared" si="35"/>
        <v>0</v>
      </c>
      <c r="I45" s="58">
        <f t="shared" si="35"/>
        <v>194</v>
      </c>
      <c r="J45" s="58">
        <f t="shared" si="35"/>
        <v>0</v>
      </c>
      <c r="K45" s="58">
        <f t="shared" si="35"/>
        <v>0</v>
      </c>
      <c r="L45" s="58">
        <f t="shared" si="35"/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0" customHeight="1">
      <c r="A46" s="70"/>
      <c r="B46" s="71"/>
      <c r="C46" s="66"/>
      <c r="D46" s="66">
        <f t="shared" si="3"/>
        <v>0</v>
      </c>
      <c r="E46" s="67"/>
      <c r="F46" s="58">
        <f t="shared" ref="F46:L46" si="36">SUMIFS($C46,$B46,F$7)+F45</f>
        <v>0</v>
      </c>
      <c r="G46" s="58">
        <f t="shared" si="36"/>
        <v>0</v>
      </c>
      <c r="H46" s="58">
        <f t="shared" si="36"/>
        <v>0</v>
      </c>
      <c r="I46" s="58">
        <f t="shared" si="36"/>
        <v>194</v>
      </c>
      <c r="J46" s="58">
        <f t="shared" si="36"/>
        <v>0</v>
      </c>
      <c r="K46" s="58">
        <f t="shared" si="36"/>
        <v>0</v>
      </c>
      <c r="L46" s="58">
        <f t="shared" si="36"/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0" customHeight="1">
      <c r="A47" s="68">
        <v>46035.0</v>
      </c>
      <c r="B47" s="64" t="s">
        <v>17</v>
      </c>
      <c r="C47" s="65">
        <v>-1.0</v>
      </c>
      <c r="D47" s="66">
        <f t="shared" si="3"/>
        <v>-550</v>
      </c>
      <c r="E47" s="56" t="s">
        <v>66</v>
      </c>
      <c r="F47" s="58">
        <f t="shared" ref="F47:L47" si="37">SUMIFS($C47,$B47,F$7)+F46</f>
        <v>0</v>
      </c>
      <c r="G47" s="58">
        <f t="shared" si="37"/>
        <v>0</v>
      </c>
      <c r="H47" s="58">
        <f t="shared" si="37"/>
        <v>0</v>
      </c>
      <c r="I47" s="58">
        <f t="shared" si="37"/>
        <v>193</v>
      </c>
      <c r="J47" s="58">
        <f t="shared" si="37"/>
        <v>0</v>
      </c>
      <c r="K47" s="58">
        <f t="shared" si="37"/>
        <v>0</v>
      </c>
      <c r="L47" s="58">
        <f t="shared" si="37"/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0" customHeight="1">
      <c r="A48" s="70"/>
      <c r="B48" s="71"/>
      <c r="C48" s="66"/>
      <c r="D48" s="66">
        <f t="shared" si="3"/>
        <v>0</v>
      </c>
      <c r="E48" s="67"/>
      <c r="F48" s="58">
        <f t="shared" ref="F48:L48" si="38">SUMIFS($C48,$B48,F$7)+F47</f>
        <v>0</v>
      </c>
      <c r="G48" s="58">
        <f t="shared" si="38"/>
        <v>0</v>
      </c>
      <c r="H48" s="58">
        <f t="shared" si="38"/>
        <v>0</v>
      </c>
      <c r="I48" s="58">
        <f t="shared" si="38"/>
        <v>193</v>
      </c>
      <c r="J48" s="58">
        <f t="shared" si="38"/>
        <v>0</v>
      </c>
      <c r="K48" s="58">
        <f t="shared" si="38"/>
        <v>0</v>
      </c>
      <c r="L48" s="58">
        <f t="shared" si="38"/>
        <v>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0" customHeight="1">
      <c r="A49" s="68">
        <v>46037.0</v>
      </c>
      <c r="B49" s="64" t="s">
        <v>17</v>
      </c>
      <c r="C49" s="65">
        <v>-44.0</v>
      </c>
      <c r="D49" s="66">
        <f t="shared" si="3"/>
        <v>-24200</v>
      </c>
      <c r="E49" s="56" t="s">
        <v>69</v>
      </c>
      <c r="F49" s="58">
        <f t="shared" ref="F49:L49" si="39">SUMIFS($C49,$B49,F$7)+F48</f>
        <v>0</v>
      </c>
      <c r="G49" s="58">
        <f t="shared" si="39"/>
        <v>0</v>
      </c>
      <c r="H49" s="58">
        <f t="shared" si="39"/>
        <v>0</v>
      </c>
      <c r="I49" s="58">
        <f t="shared" si="39"/>
        <v>149</v>
      </c>
      <c r="J49" s="58">
        <f t="shared" si="39"/>
        <v>0</v>
      </c>
      <c r="K49" s="58">
        <f t="shared" si="39"/>
        <v>0</v>
      </c>
      <c r="L49" s="58">
        <f t="shared" si="39"/>
        <v>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0" customHeight="1">
      <c r="A50" s="70"/>
      <c r="B50" s="71"/>
      <c r="C50" s="66"/>
      <c r="D50" s="66">
        <f t="shared" si="3"/>
        <v>0</v>
      </c>
      <c r="E50" s="67"/>
      <c r="F50" s="58">
        <f t="shared" ref="F50:L50" si="40">SUMIFS($C50,$B50,F$7)+F49</f>
        <v>0</v>
      </c>
      <c r="G50" s="58">
        <f t="shared" si="40"/>
        <v>0</v>
      </c>
      <c r="H50" s="58">
        <f t="shared" si="40"/>
        <v>0</v>
      </c>
      <c r="I50" s="58">
        <f t="shared" si="40"/>
        <v>149</v>
      </c>
      <c r="J50" s="58">
        <f t="shared" si="40"/>
        <v>0</v>
      </c>
      <c r="K50" s="58">
        <f t="shared" si="40"/>
        <v>0</v>
      </c>
      <c r="L50" s="58">
        <f t="shared" si="40"/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0" customHeight="1">
      <c r="A51" s="68">
        <v>46058.0</v>
      </c>
      <c r="B51" s="64" t="s">
        <v>17</v>
      </c>
      <c r="C51" s="65">
        <v>-1.0</v>
      </c>
      <c r="D51" s="66">
        <f t="shared" si="3"/>
        <v>-550</v>
      </c>
      <c r="E51" s="56" t="s">
        <v>71</v>
      </c>
      <c r="F51" s="58">
        <f t="shared" ref="F51:L51" si="41">SUMIFS($C51,$B51,F$7)+F50</f>
        <v>0</v>
      </c>
      <c r="G51" s="58">
        <f t="shared" si="41"/>
        <v>0</v>
      </c>
      <c r="H51" s="58">
        <f t="shared" si="41"/>
        <v>0</v>
      </c>
      <c r="I51" s="58">
        <f t="shared" si="41"/>
        <v>148</v>
      </c>
      <c r="J51" s="58">
        <f t="shared" si="41"/>
        <v>0</v>
      </c>
      <c r="K51" s="58">
        <f t="shared" si="41"/>
        <v>0</v>
      </c>
      <c r="L51" s="58">
        <f t="shared" si="41"/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0" customHeight="1">
      <c r="A52" s="70"/>
      <c r="B52" s="71"/>
      <c r="C52" s="66"/>
      <c r="D52" s="66">
        <f t="shared" si="3"/>
        <v>0</v>
      </c>
      <c r="E52" s="67"/>
      <c r="F52" s="58">
        <f t="shared" ref="F52:L52" si="42">SUMIFS($C52,$B52,F$7)+F51</f>
        <v>0</v>
      </c>
      <c r="G52" s="58">
        <f t="shared" si="42"/>
        <v>0</v>
      </c>
      <c r="H52" s="58">
        <f t="shared" si="42"/>
        <v>0</v>
      </c>
      <c r="I52" s="58">
        <f t="shared" si="42"/>
        <v>148</v>
      </c>
      <c r="J52" s="58">
        <f t="shared" si="42"/>
        <v>0</v>
      </c>
      <c r="K52" s="58">
        <f t="shared" si="42"/>
        <v>0</v>
      </c>
      <c r="L52" s="58">
        <f t="shared" si="42"/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0" customHeight="1">
      <c r="A53" s="68">
        <v>46062.0</v>
      </c>
      <c r="B53" s="64" t="s">
        <v>17</v>
      </c>
      <c r="C53" s="65">
        <v>-44.0</v>
      </c>
      <c r="D53" s="66">
        <f t="shared" si="3"/>
        <v>-24200</v>
      </c>
      <c r="E53" s="56" t="s">
        <v>72</v>
      </c>
      <c r="F53" s="58">
        <f t="shared" ref="F53:L53" si="43">SUMIFS($C53,$B53,F$7)+F52</f>
        <v>0</v>
      </c>
      <c r="G53" s="58">
        <f t="shared" si="43"/>
        <v>0</v>
      </c>
      <c r="H53" s="58">
        <f t="shared" si="43"/>
        <v>0</v>
      </c>
      <c r="I53" s="58">
        <f t="shared" si="43"/>
        <v>104</v>
      </c>
      <c r="J53" s="58">
        <f t="shared" si="43"/>
        <v>0</v>
      </c>
      <c r="K53" s="58">
        <f t="shared" si="43"/>
        <v>0</v>
      </c>
      <c r="L53" s="58">
        <f t="shared" si="43"/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0" customHeight="1">
      <c r="A54" s="70"/>
      <c r="B54" s="71"/>
      <c r="C54" s="66"/>
      <c r="D54" s="66">
        <f t="shared" si="3"/>
        <v>0</v>
      </c>
      <c r="E54" s="67"/>
      <c r="F54" s="58">
        <f t="shared" ref="F54:L54" si="44">SUMIFS($C54,$B54,F$7)+F53</f>
        <v>0</v>
      </c>
      <c r="G54" s="58">
        <f t="shared" si="44"/>
        <v>0</v>
      </c>
      <c r="H54" s="58">
        <f t="shared" si="44"/>
        <v>0</v>
      </c>
      <c r="I54" s="58">
        <f t="shared" si="44"/>
        <v>104</v>
      </c>
      <c r="J54" s="58">
        <f t="shared" si="44"/>
        <v>0</v>
      </c>
      <c r="K54" s="58">
        <f t="shared" si="44"/>
        <v>0</v>
      </c>
      <c r="L54" s="58">
        <f t="shared" si="44"/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0" customHeight="1">
      <c r="A55" s="68">
        <v>46238.0</v>
      </c>
      <c r="B55" s="64" t="s">
        <v>17</v>
      </c>
      <c r="C55" s="65">
        <v>-1.0</v>
      </c>
      <c r="D55" s="66">
        <f t="shared" si="3"/>
        <v>-550</v>
      </c>
      <c r="E55" s="56" t="s">
        <v>38</v>
      </c>
      <c r="F55" s="58">
        <f t="shared" ref="F55:L55" si="45">SUMIFS($C55,$B55,F$7)+F54</f>
        <v>0</v>
      </c>
      <c r="G55" s="58">
        <f t="shared" si="45"/>
        <v>0</v>
      </c>
      <c r="H55" s="58">
        <f t="shared" si="45"/>
        <v>0</v>
      </c>
      <c r="I55" s="58">
        <f t="shared" si="45"/>
        <v>103</v>
      </c>
      <c r="J55" s="58">
        <f t="shared" si="45"/>
        <v>0</v>
      </c>
      <c r="K55" s="58">
        <f t="shared" si="45"/>
        <v>0</v>
      </c>
      <c r="L55" s="58">
        <f t="shared" si="45"/>
        <v>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0" customHeight="1">
      <c r="A56" s="70"/>
      <c r="B56" s="71"/>
      <c r="C56" s="66"/>
      <c r="D56" s="66">
        <f t="shared" si="3"/>
        <v>0</v>
      </c>
      <c r="E56" s="67"/>
      <c r="F56" s="58">
        <f t="shared" ref="F56:L56" si="46">SUMIFS($C56,$B56,F$7)+F55</f>
        <v>0</v>
      </c>
      <c r="G56" s="58">
        <f t="shared" si="46"/>
        <v>0</v>
      </c>
      <c r="H56" s="58">
        <f t="shared" si="46"/>
        <v>0</v>
      </c>
      <c r="I56" s="58">
        <f t="shared" si="46"/>
        <v>103</v>
      </c>
      <c r="J56" s="58">
        <f t="shared" si="46"/>
        <v>0</v>
      </c>
      <c r="K56" s="58">
        <f t="shared" si="46"/>
        <v>0</v>
      </c>
      <c r="L56" s="58">
        <f t="shared" si="46"/>
        <v>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0" customHeight="1">
      <c r="A57" s="68">
        <v>46261.0</v>
      </c>
      <c r="B57" s="64" t="s">
        <v>17</v>
      </c>
      <c r="C57" s="65">
        <v>-44.0</v>
      </c>
      <c r="D57" s="66">
        <f t="shared" si="3"/>
        <v>-24200</v>
      </c>
      <c r="E57" s="56" t="s">
        <v>78</v>
      </c>
      <c r="F57" s="58">
        <f t="shared" ref="F57:L57" si="47">SUMIFS($C57,$B57,F$7)+F56</f>
        <v>0</v>
      </c>
      <c r="G57" s="58">
        <f t="shared" si="47"/>
        <v>0</v>
      </c>
      <c r="H57" s="58">
        <f t="shared" si="47"/>
        <v>0</v>
      </c>
      <c r="I57" s="58">
        <f t="shared" si="47"/>
        <v>59</v>
      </c>
      <c r="J57" s="58">
        <f t="shared" si="47"/>
        <v>0</v>
      </c>
      <c r="K57" s="58">
        <f t="shared" si="47"/>
        <v>0</v>
      </c>
      <c r="L57" s="58">
        <f t="shared" si="47"/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0" customHeight="1">
      <c r="A58" s="70"/>
      <c r="B58" s="71"/>
      <c r="C58" s="66"/>
      <c r="D58" s="66">
        <f t="shared" si="3"/>
        <v>0</v>
      </c>
      <c r="E58" s="67"/>
      <c r="F58" s="58">
        <f t="shared" ref="F58:L58" si="48">SUMIFS($C58,$B58,F$7)+F57</f>
        <v>0</v>
      </c>
      <c r="G58" s="58">
        <f t="shared" si="48"/>
        <v>0</v>
      </c>
      <c r="H58" s="58">
        <f t="shared" si="48"/>
        <v>0</v>
      </c>
      <c r="I58" s="58">
        <f t="shared" si="48"/>
        <v>59</v>
      </c>
      <c r="J58" s="58">
        <f t="shared" si="48"/>
        <v>0</v>
      </c>
      <c r="K58" s="58">
        <f t="shared" si="48"/>
        <v>0</v>
      </c>
      <c r="L58" s="58">
        <f t="shared" si="48"/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0" customHeight="1">
      <c r="A59" s="70"/>
      <c r="B59" s="71"/>
      <c r="C59" s="66"/>
      <c r="D59" s="66">
        <f t="shared" si="3"/>
        <v>0</v>
      </c>
      <c r="E59" s="67"/>
      <c r="F59" s="58">
        <f t="shared" ref="F59:L59" si="49">SUMIFS($C59,$B59,F$7)+F58</f>
        <v>0</v>
      </c>
      <c r="G59" s="58">
        <f t="shared" si="49"/>
        <v>0</v>
      </c>
      <c r="H59" s="58">
        <f t="shared" si="49"/>
        <v>0</v>
      </c>
      <c r="I59" s="58">
        <f t="shared" si="49"/>
        <v>59</v>
      </c>
      <c r="J59" s="58">
        <f t="shared" si="49"/>
        <v>0</v>
      </c>
      <c r="K59" s="58">
        <f t="shared" si="49"/>
        <v>0</v>
      </c>
      <c r="L59" s="58">
        <f t="shared" si="49"/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0" customHeight="1">
      <c r="A60" s="70"/>
      <c r="B60" s="71"/>
      <c r="C60" s="66"/>
      <c r="D60" s="66">
        <f t="shared" si="3"/>
        <v>0</v>
      </c>
      <c r="E60" s="67"/>
      <c r="F60" s="58">
        <f t="shared" ref="F60:L60" si="50">SUMIFS($C60,$B60,F$7)+F59</f>
        <v>0</v>
      </c>
      <c r="G60" s="58">
        <f t="shared" si="50"/>
        <v>0</v>
      </c>
      <c r="H60" s="58">
        <f t="shared" si="50"/>
        <v>0</v>
      </c>
      <c r="I60" s="58">
        <f t="shared" si="50"/>
        <v>59</v>
      </c>
      <c r="J60" s="58">
        <f t="shared" si="50"/>
        <v>0</v>
      </c>
      <c r="K60" s="58">
        <f t="shared" si="50"/>
        <v>0</v>
      </c>
      <c r="L60" s="58">
        <f t="shared" si="50"/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0" customHeight="1">
      <c r="A61" s="70"/>
      <c r="B61" s="71"/>
      <c r="C61" s="66"/>
      <c r="D61" s="66">
        <f t="shared" si="3"/>
        <v>0</v>
      </c>
      <c r="E61" s="67"/>
      <c r="F61" s="58">
        <f t="shared" ref="F61:L61" si="51">SUMIFS($C61,$B61,F$7)+F60</f>
        <v>0</v>
      </c>
      <c r="G61" s="58">
        <f t="shared" si="51"/>
        <v>0</v>
      </c>
      <c r="H61" s="58">
        <f t="shared" si="51"/>
        <v>0</v>
      </c>
      <c r="I61" s="58">
        <f t="shared" si="51"/>
        <v>59</v>
      </c>
      <c r="J61" s="58">
        <f t="shared" si="51"/>
        <v>0</v>
      </c>
      <c r="K61" s="58">
        <f t="shared" si="51"/>
        <v>0</v>
      </c>
      <c r="L61" s="58">
        <f t="shared" si="51"/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0" customHeight="1">
      <c r="A62" s="70"/>
      <c r="B62" s="71"/>
      <c r="C62" s="66"/>
      <c r="D62" s="66">
        <f t="shared" si="3"/>
        <v>0</v>
      </c>
      <c r="E62" s="67"/>
      <c r="F62" s="58">
        <f t="shared" ref="F62:L62" si="52">SUMIFS($C62,$B62,F$7)+F61</f>
        <v>0</v>
      </c>
      <c r="G62" s="58">
        <f t="shared" si="52"/>
        <v>0</v>
      </c>
      <c r="H62" s="58">
        <f t="shared" si="52"/>
        <v>0</v>
      </c>
      <c r="I62" s="58">
        <f t="shared" si="52"/>
        <v>59</v>
      </c>
      <c r="J62" s="58">
        <f t="shared" si="52"/>
        <v>0</v>
      </c>
      <c r="K62" s="58">
        <f t="shared" si="52"/>
        <v>0</v>
      </c>
      <c r="L62" s="58">
        <f t="shared" si="52"/>
        <v>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0" customHeight="1">
      <c r="A63" s="70"/>
      <c r="B63" s="71"/>
      <c r="C63" s="66"/>
      <c r="D63" s="66">
        <f t="shared" si="3"/>
        <v>0</v>
      </c>
      <c r="E63" s="67"/>
      <c r="F63" s="58">
        <f t="shared" ref="F63:L63" si="53">SUMIFS($C63,$B63,F$7)+F62</f>
        <v>0</v>
      </c>
      <c r="G63" s="58">
        <f t="shared" si="53"/>
        <v>0</v>
      </c>
      <c r="H63" s="58">
        <f t="shared" si="53"/>
        <v>0</v>
      </c>
      <c r="I63" s="58">
        <f t="shared" si="53"/>
        <v>59</v>
      </c>
      <c r="J63" s="58">
        <f t="shared" si="53"/>
        <v>0</v>
      </c>
      <c r="K63" s="58">
        <f t="shared" si="53"/>
        <v>0</v>
      </c>
      <c r="L63" s="58">
        <f t="shared" si="53"/>
        <v>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0" customHeight="1">
      <c r="A64" s="70"/>
      <c r="B64" s="71"/>
      <c r="C64" s="66"/>
      <c r="D64" s="66">
        <f t="shared" si="3"/>
        <v>0</v>
      </c>
      <c r="E64" s="67"/>
      <c r="F64" s="58">
        <f t="shared" ref="F64:L64" si="54">SUMIFS($C64,$B64,F$7)+F63</f>
        <v>0</v>
      </c>
      <c r="G64" s="58">
        <f t="shared" si="54"/>
        <v>0</v>
      </c>
      <c r="H64" s="58">
        <f t="shared" si="54"/>
        <v>0</v>
      </c>
      <c r="I64" s="58">
        <f t="shared" si="54"/>
        <v>59</v>
      </c>
      <c r="J64" s="58">
        <f t="shared" si="54"/>
        <v>0</v>
      </c>
      <c r="K64" s="58">
        <f t="shared" si="54"/>
        <v>0</v>
      </c>
      <c r="L64" s="58">
        <f t="shared" si="54"/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0" customHeight="1">
      <c r="A65" s="70"/>
      <c r="B65" s="71"/>
      <c r="C65" s="66"/>
      <c r="D65" s="66">
        <f t="shared" si="3"/>
        <v>0</v>
      </c>
      <c r="E65" s="67"/>
      <c r="F65" s="58">
        <f t="shared" ref="F65:L65" si="55">SUMIFS($C65,$B65,F$7)+F64</f>
        <v>0</v>
      </c>
      <c r="G65" s="58">
        <f t="shared" si="55"/>
        <v>0</v>
      </c>
      <c r="H65" s="58">
        <f t="shared" si="55"/>
        <v>0</v>
      </c>
      <c r="I65" s="58">
        <f t="shared" si="55"/>
        <v>59</v>
      </c>
      <c r="J65" s="58">
        <f t="shared" si="55"/>
        <v>0</v>
      </c>
      <c r="K65" s="58">
        <f t="shared" si="55"/>
        <v>0</v>
      </c>
      <c r="L65" s="58">
        <f t="shared" si="55"/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0" customHeight="1">
      <c r="A66" s="70"/>
      <c r="B66" s="71"/>
      <c r="C66" s="66"/>
      <c r="D66" s="66">
        <f t="shared" si="3"/>
        <v>0</v>
      </c>
      <c r="E66" s="67"/>
      <c r="F66" s="58">
        <f t="shared" ref="F66:L66" si="56">SUMIFS($C66,$B66,F$7)+F65</f>
        <v>0</v>
      </c>
      <c r="G66" s="58">
        <f t="shared" si="56"/>
        <v>0</v>
      </c>
      <c r="H66" s="58">
        <f t="shared" si="56"/>
        <v>0</v>
      </c>
      <c r="I66" s="58">
        <f t="shared" si="56"/>
        <v>59</v>
      </c>
      <c r="J66" s="58">
        <f t="shared" si="56"/>
        <v>0</v>
      </c>
      <c r="K66" s="58">
        <f t="shared" si="56"/>
        <v>0</v>
      </c>
      <c r="L66" s="58">
        <f t="shared" si="56"/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0" customHeight="1">
      <c r="A67" s="70"/>
      <c r="B67" s="71"/>
      <c r="C67" s="66"/>
      <c r="D67" s="66">
        <f t="shared" si="3"/>
        <v>0</v>
      </c>
      <c r="E67" s="67"/>
      <c r="F67" s="58">
        <f t="shared" ref="F67:L67" si="57">SUMIFS($C67,$B67,F$7)+F66</f>
        <v>0</v>
      </c>
      <c r="G67" s="58">
        <f t="shared" si="57"/>
        <v>0</v>
      </c>
      <c r="H67" s="58">
        <f t="shared" si="57"/>
        <v>0</v>
      </c>
      <c r="I67" s="58">
        <f t="shared" si="57"/>
        <v>59</v>
      </c>
      <c r="J67" s="58">
        <f t="shared" si="57"/>
        <v>0</v>
      </c>
      <c r="K67" s="58">
        <f t="shared" si="57"/>
        <v>0</v>
      </c>
      <c r="L67" s="58">
        <f t="shared" si="57"/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0" customHeight="1">
      <c r="A68" s="70"/>
      <c r="B68" s="71"/>
      <c r="C68" s="66"/>
      <c r="D68" s="66">
        <f t="shared" si="3"/>
        <v>0</v>
      </c>
      <c r="E68" s="67"/>
      <c r="F68" s="58">
        <f t="shared" ref="F68:L68" si="58">SUMIFS($C68,$B68,F$7)+F67</f>
        <v>0</v>
      </c>
      <c r="G68" s="58">
        <f t="shared" si="58"/>
        <v>0</v>
      </c>
      <c r="H68" s="58">
        <f t="shared" si="58"/>
        <v>0</v>
      </c>
      <c r="I68" s="58">
        <f t="shared" si="58"/>
        <v>59</v>
      </c>
      <c r="J68" s="58">
        <f t="shared" si="58"/>
        <v>0</v>
      </c>
      <c r="K68" s="58">
        <f t="shared" si="58"/>
        <v>0</v>
      </c>
      <c r="L68" s="58">
        <f t="shared" si="58"/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0" customHeight="1">
      <c r="A69" s="70"/>
      <c r="B69" s="71"/>
      <c r="C69" s="66"/>
      <c r="D69" s="66">
        <f t="shared" si="3"/>
        <v>0</v>
      </c>
      <c r="E69" s="67"/>
      <c r="F69" s="58">
        <f t="shared" ref="F69:L69" si="59">SUMIFS($C69,$B69,F$7)+F68</f>
        <v>0</v>
      </c>
      <c r="G69" s="58">
        <f t="shared" si="59"/>
        <v>0</v>
      </c>
      <c r="H69" s="58">
        <f t="shared" si="59"/>
        <v>0</v>
      </c>
      <c r="I69" s="58">
        <f t="shared" si="59"/>
        <v>59</v>
      </c>
      <c r="J69" s="58">
        <f t="shared" si="59"/>
        <v>0</v>
      </c>
      <c r="K69" s="58">
        <f t="shared" si="59"/>
        <v>0</v>
      </c>
      <c r="L69" s="58">
        <f t="shared" si="59"/>
        <v>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0" customHeight="1">
      <c r="A70" s="70"/>
      <c r="B70" s="71"/>
      <c r="C70" s="66"/>
      <c r="D70" s="66">
        <f t="shared" si="3"/>
        <v>0</v>
      </c>
      <c r="E70" s="67"/>
      <c r="F70" s="58">
        <f t="shared" ref="F70:L70" si="60">SUMIFS($C70,$B70,F$7)+F69</f>
        <v>0</v>
      </c>
      <c r="G70" s="58">
        <f t="shared" si="60"/>
        <v>0</v>
      </c>
      <c r="H70" s="58">
        <f t="shared" si="60"/>
        <v>0</v>
      </c>
      <c r="I70" s="58">
        <f t="shared" si="60"/>
        <v>59</v>
      </c>
      <c r="J70" s="58">
        <f t="shared" si="60"/>
        <v>0</v>
      </c>
      <c r="K70" s="58">
        <f t="shared" si="60"/>
        <v>0</v>
      </c>
      <c r="L70" s="58">
        <f t="shared" si="60"/>
        <v>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0" customHeight="1">
      <c r="A71" s="70"/>
      <c r="B71" s="71"/>
      <c r="C71" s="66"/>
      <c r="D71" s="66">
        <f t="shared" si="3"/>
        <v>0</v>
      </c>
      <c r="E71" s="67"/>
      <c r="F71" s="58">
        <f t="shared" ref="F71:L71" si="61">SUMIFS($C71,$B71,F$7)+F70</f>
        <v>0</v>
      </c>
      <c r="G71" s="58">
        <f t="shared" si="61"/>
        <v>0</v>
      </c>
      <c r="H71" s="58">
        <f t="shared" si="61"/>
        <v>0</v>
      </c>
      <c r="I71" s="58">
        <f t="shared" si="61"/>
        <v>59</v>
      </c>
      <c r="J71" s="58">
        <f t="shared" si="61"/>
        <v>0</v>
      </c>
      <c r="K71" s="58">
        <f t="shared" si="61"/>
        <v>0</v>
      </c>
      <c r="L71" s="58">
        <f t="shared" si="61"/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0" customHeight="1">
      <c r="A72" s="70"/>
      <c r="B72" s="71"/>
      <c r="C72" s="66"/>
      <c r="D72" s="66">
        <f t="shared" si="3"/>
        <v>0</v>
      </c>
      <c r="E72" s="67"/>
      <c r="F72" s="58">
        <f t="shared" ref="F72:L72" si="62">SUMIFS($C72,$B72,F$7)+F71</f>
        <v>0</v>
      </c>
      <c r="G72" s="58">
        <f t="shared" si="62"/>
        <v>0</v>
      </c>
      <c r="H72" s="58">
        <f t="shared" si="62"/>
        <v>0</v>
      </c>
      <c r="I72" s="58">
        <f t="shared" si="62"/>
        <v>59</v>
      </c>
      <c r="J72" s="58">
        <f t="shared" si="62"/>
        <v>0</v>
      </c>
      <c r="K72" s="58">
        <f t="shared" si="62"/>
        <v>0</v>
      </c>
      <c r="L72" s="58">
        <f t="shared" si="62"/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0" customHeight="1">
      <c r="A73" s="70"/>
      <c r="B73" s="71"/>
      <c r="C73" s="66"/>
      <c r="D73" s="66">
        <f t="shared" si="3"/>
        <v>0</v>
      </c>
      <c r="E73" s="67"/>
      <c r="F73" s="58">
        <f t="shared" ref="F73:L73" si="63">SUMIFS($C73,$B73,F$7)+F72</f>
        <v>0</v>
      </c>
      <c r="G73" s="58">
        <f t="shared" si="63"/>
        <v>0</v>
      </c>
      <c r="H73" s="58">
        <f t="shared" si="63"/>
        <v>0</v>
      </c>
      <c r="I73" s="58">
        <f t="shared" si="63"/>
        <v>59</v>
      </c>
      <c r="J73" s="58">
        <f t="shared" si="63"/>
        <v>0</v>
      </c>
      <c r="K73" s="58">
        <f t="shared" si="63"/>
        <v>0</v>
      </c>
      <c r="L73" s="58">
        <f t="shared" si="63"/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0" customHeight="1">
      <c r="A74" s="70"/>
      <c r="B74" s="71"/>
      <c r="C74" s="66"/>
      <c r="D74" s="66">
        <f t="shared" si="3"/>
        <v>0</v>
      </c>
      <c r="E74" s="67"/>
      <c r="F74" s="58">
        <f t="shared" ref="F74:L74" si="64">SUMIFS($C74,$B74,F$7)+F73</f>
        <v>0</v>
      </c>
      <c r="G74" s="58">
        <f t="shared" si="64"/>
        <v>0</v>
      </c>
      <c r="H74" s="58">
        <f t="shared" si="64"/>
        <v>0</v>
      </c>
      <c r="I74" s="58">
        <f t="shared" si="64"/>
        <v>59</v>
      </c>
      <c r="J74" s="58">
        <f t="shared" si="64"/>
        <v>0</v>
      </c>
      <c r="K74" s="58">
        <f t="shared" si="64"/>
        <v>0</v>
      </c>
      <c r="L74" s="58">
        <f t="shared" si="64"/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0" customHeight="1">
      <c r="A75" s="70"/>
      <c r="B75" s="71"/>
      <c r="C75" s="66"/>
      <c r="D75" s="66">
        <f t="shared" si="3"/>
        <v>0</v>
      </c>
      <c r="E75" s="67"/>
      <c r="F75" s="58">
        <f t="shared" ref="F75:L75" si="65">SUMIFS($C75,$B75,F$7)+F74</f>
        <v>0</v>
      </c>
      <c r="G75" s="58">
        <f t="shared" si="65"/>
        <v>0</v>
      </c>
      <c r="H75" s="58">
        <f t="shared" si="65"/>
        <v>0</v>
      </c>
      <c r="I75" s="58">
        <f t="shared" si="65"/>
        <v>59</v>
      </c>
      <c r="J75" s="58">
        <f t="shared" si="65"/>
        <v>0</v>
      </c>
      <c r="K75" s="58">
        <f t="shared" si="65"/>
        <v>0</v>
      </c>
      <c r="L75" s="58">
        <f t="shared" si="65"/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0" customHeight="1">
      <c r="A76" s="70"/>
      <c r="B76" s="71"/>
      <c r="C76" s="66"/>
      <c r="D76" s="66">
        <f t="shared" si="3"/>
        <v>0</v>
      </c>
      <c r="E76" s="67"/>
      <c r="F76" s="58">
        <f t="shared" ref="F76:L76" si="66">SUMIFS($C76,$B76,F$7)+F75</f>
        <v>0</v>
      </c>
      <c r="G76" s="58">
        <f t="shared" si="66"/>
        <v>0</v>
      </c>
      <c r="H76" s="58">
        <f t="shared" si="66"/>
        <v>0</v>
      </c>
      <c r="I76" s="58">
        <f t="shared" si="66"/>
        <v>59</v>
      </c>
      <c r="J76" s="58">
        <f t="shared" si="66"/>
        <v>0</v>
      </c>
      <c r="K76" s="58">
        <f t="shared" si="66"/>
        <v>0</v>
      </c>
      <c r="L76" s="58">
        <f t="shared" si="66"/>
        <v>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0" customHeight="1">
      <c r="A77" s="70"/>
      <c r="B77" s="71"/>
      <c r="C77" s="66"/>
      <c r="D77" s="66">
        <f t="shared" si="3"/>
        <v>0</v>
      </c>
      <c r="E77" s="67"/>
      <c r="F77" s="58">
        <f t="shared" ref="F77:L77" si="67">SUMIFS($C77,$B77,F$7)+F76</f>
        <v>0</v>
      </c>
      <c r="G77" s="58">
        <f t="shared" si="67"/>
        <v>0</v>
      </c>
      <c r="H77" s="58">
        <f t="shared" si="67"/>
        <v>0</v>
      </c>
      <c r="I77" s="58">
        <f t="shared" si="67"/>
        <v>59</v>
      </c>
      <c r="J77" s="58">
        <f t="shared" si="67"/>
        <v>0</v>
      </c>
      <c r="K77" s="58">
        <f t="shared" si="67"/>
        <v>0</v>
      </c>
      <c r="L77" s="58">
        <f t="shared" si="67"/>
        <v>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0" customHeight="1">
      <c r="A78" s="70"/>
      <c r="B78" s="71"/>
      <c r="C78" s="66"/>
      <c r="D78" s="66">
        <f t="shared" si="3"/>
        <v>0</v>
      </c>
      <c r="E78" s="67"/>
      <c r="F78" s="58">
        <f t="shared" ref="F78:L78" si="68">SUMIFS($C78,$B78,F$7)+F77</f>
        <v>0</v>
      </c>
      <c r="G78" s="58">
        <f t="shared" si="68"/>
        <v>0</v>
      </c>
      <c r="H78" s="58">
        <f t="shared" si="68"/>
        <v>0</v>
      </c>
      <c r="I78" s="58">
        <f t="shared" si="68"/>
        <v>59</v>
      </c>
      <c r="J78" s="58">
        <f t="shared" si="68"/>
        <v>0</v>
      </c>
      <c r="K78" s="58">
        <f t="shared" si="68"/>
        <v>0</v>
      </c>
      <c r="L78" s="58">
        <f t="shared" si="68"/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0" customHeight="1">
      <c r="A79" s="70"/>
      <c r="B79" s="71"/>
      <c r="C79" s="66"/>
      <c r="D79" s="66">
        <f t="shared" si="3"/>
        <v>0</v>
      </c>
      <c r="E79" s="67"/>
      <c r="F79" s="58">
        <f t="shared" ref="F79:L79" si="69">SUMIFS($C79,$B79,F$7)+F78</f>
        <v>0</v>
      </c>
      <c r="G79" s="58">
        <f t="shared" si="69"/>
        <v>0</v>
      </c>
      <c r="H79" s="58">
        <f t="shared" si="69"/>
        <v>0</v>
      </c>
      <c r="I79" s="58">
        <f t="shared" si="69"/>
        <v>59</v>
      </c>
      <c r="J79" s="58">
        <f t="shared" si="69"/>
        <v>0</v>
      </c>
      <c r="K79" s="58">
        <f t="shared" si="69"/>
        <v>0</v>
      </c>
      <c r="L79" s="58">
        <f t="shared" si="69"/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0" customHeight="1">
      <c r="A80" s="70"/>
      <c r="B80" s="71"/>
      <c r="C80" s="66"/>
      <c r="D80" s="66">
        <f t="shared" si="3"/>
        <v>0</v>
      </c>
      <c r="E80" s="67"/>
      <c r="F80" s="58">
        <f t="shared" ref="F80:L80" si="70">SUMIFS($C80,$B80,F$7)+F79</f>
        <v>0</v>
      </c>
      <c r="G80" s="58">
        <f t="shared" si="70"/>
        <v>0</v>
      </c>
      <c r="H80" s="58">
        <f t="shared" si="70"/>
        <v>0</v>
      </c>
      <c r="I80" s="58">
        <f t="shared" si="70"/>
        <v>59</v>
      </c>
      <c r="J80" s="58">
        <f t="shared" si="70"/>
        <v>0</v>
      </c>
      <c r="K80" s="58">
        <f t="shared" si="70"/>
        <v>0</v>
      </c>
      <c r="L80" s="58">
        <f t="shared" si="70"/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0" customHeight="1">
      <c r="A81" s="70"/>
      <c r="B81" s="71"/>
      <c r="C81" s="66"/>
      <c r="D81" s="66">
        <f t="shared" si="3"/>
        <v>0</v>
      </c>
      <c r="E81" s="67"/>
      <c r="F81" s="58">
        <f t="shared" ref="F81:L81" si="71">SUMIFS($C81,$B81,F$7)+F80</f>
        <v>0</v>
      </c>
      <c r="G81" s="58">
        <f t="shared" si="71"/>
        <v>0</v>
      </c>
      <c r="H81" s="58">
        <f t="shared" si="71"/>
        <v>0</v>
      </c>
      <c r="I81" s="58">
        <f t="shared" si="71"/>
        <v>59</v>
      </c>
      <c r="J81" s="58">
        <f t="shared" si="71"/>
        <v>0</v>
      </c>
      <c r="K81" s="58">
        <f t="shared" si="71"/>
        <v>0</v>
      </c>
      <c r="L81" s="58">
        <f t="shared" si="71"/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0" customHeight="1">
      <c r="A82" s="70"/>
      <c r="B82" s="71"/>
      <c r="C82" s="66"/>
      <c r="D82" s="66">
        <f t="shared" si="3"/>
        <v>0</v>
      </c>
      <c r="E82" s="67"/>
      <c r="F82" s="58">
        <f t="shared" ref="F82:L82" si="72">SUMIFS($C82,$B82,F$7)+F81</f>
        <v>0</v>
      </c>
      <c r="G82" s="58">
        <f t="shared" si="72"/>
        <v>0</v>
      </c>
      <c r="H82" s="58">
        <f t="shared" si="72"/>
        <v>0</v>
      </c>
      <c r="I82" s="58">
        <f t="shared" si="72"/>
        <v>59</v>
      </c>
      <c r="J82" s="58">
        <f t="shared" si="72"/>
        <v>0</v>
      </c>
      <c r="K82" s="58">
        <f t="shared" si="72"/>
        <v>0</v>
      </c>
      <c r="L82" s="58">
        <f t="shared" si="72"/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0" customHeight="1">
      <c r="A83" s="70"/>
      <c r="B83" s="71"/>
      <c r="C83" s="66"/>
      <c r="D83" s="66">
        <f t="shared" si="3"/>
        <v>0</v>
      </c>
      <c r="E83" s="67"/>
      <c r="F83" s="58">
        <f t="shared" ref="F83:L83" si="73">SUMIFS($C83,$B83,F$7)+F82</f>
        <v>0</v>
      </c>
      <c r="G83" s="58">
        <f t="shared" si="73"/>
        <v>0</v>
      </c>
      <c r="H83" s="58">
        <f t="shared" si="73"/>
        <v>0</v>
      </c>
      <c r="I83" s="58">
        <f t="shared" si="73"/>
        <v>59</v>
      </c>
      <c r="J83" s="58">
        <f t="shared" si="73"/>
        <v>0</v>
      </c>
      <c r="K83" s="58">
        <f t="shared" si="73"/>
        <v>0</v>
      </c>
      <c r="L83" s="58">
        <f t="shared" si="73"/>
        <v>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0" customHeight="1">
      <c r="A84" s="70"/>
      <c r="B84" s="71"/>
      <c r="C84" s="66"/>
      <c r="D84" s="66">
        <f t="shared" si="3"/>
        <v>0</v>
      </c>
      <c r="E84" s="67"/>
      <c r="F84" s="58">
        <f t="shared" ref="F84:L84" si="74">SUMIFS($C84,$B84,F$7)+F83</f>
        <v>0</v>
      </c>
      <c r="G84" s="58">
        <f t="shared" si="74"/>
        <v>0</v>
      </c>
      <c r="H84" s="58">
        <f t="shared" si="74"/>
        <v>0</v>
      </c>
      <c r="I84" s="58">
        <f t="shared" si="74"/>
        <v>59</v>
      </c>
      <c r="J84" s="58">
        <f t="shared" si="74"/>
        <v>0</v>
      </c>
      <c r="K84" s="58">
        <f t="shared" si="74"/>
        <v>0</v>
      </c>
      <c r="L84" s="58">
        <f t="shared" si="74"/>
        <v>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0" customHeight="1">
      <c r="A85" s="70"/>
      <c r="B85" s="71"/>
      <c r="C85" s="66"/>
      <c r="D85" s="66">
        <f t="shared" si="3"/>
        <v>0</v>
      </c>
      <c r="E85" s="67"/>
      <c r="F85" s="58">
        <f t="shared" ref="F85:L85" si="75">SUMIFS($C85,$B85,F$7)+F84</f>
        <v>0</v>
      </c>
      <c r="G85" s="58">
        <f t="shared" si="75"/>
        <v>0</v>
      </c>
      <c r="H85" s="58">
        <f t="shared" si="75"/>
        <v>0</v>
      </c>
      <c r="I85" s="58">
        <f t="shared" si="75"/>
        <v>59</v>
      </c>
      <c r="J85" s="58">
        <f t="shared" si="75"/>
        <v>0</v>
      </c>
      <c r="K85" s="58">
        <f t="shared" si="75"/>
        <v>0</v>
      </c>
      <c r="L85" s="58">
        <f t="shared" si="75"/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0" customHeight="1">
      <c r="A86" s="70"/>
      <c r="B86" s="71"/>
      <c r="C86" s="66"/>
      <c r="D86" s="66">
        <f t="shared" si="3"/>
        <v>0</v>
      </c>
      <c r="E86" s="67"/>
      <c r="F86" s="58">
        <f t="shared" ref="F86:L86" si="76">SUMIFS($C86,$B86,F$7)+F85</f>
        <v>0</v>
      </c>
      <c r="G86" s="58">
        <f t="shared" si="76"/>
        <v>0</v>
      </c>
      <c r="H86" s="58">
        <f t="shared" si="76"/>
        <v>0</v>
      </c>
      <c r="I86" s="58">
        <f t="shared" si="76"/>
        <v>59</v>
      </c>
      <c r="J86" s="58">
        <f t="shared" si="76"/>
        <v>0</v>
      </c>
      <c r="K86" s="58">
        <f t="shared" si="76"/>
        <v>0</v>
      </c>
      <c r="L86" s="58">
        <f t="shared" si="76"/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0" customHeight="1">
      <c r="A87" s="70"/>
      <c r="B87" s="71"/>
      <c r="C87" s="66"/>
      <c r="D87" s="66">
        <f t="shared" si="3"/>
        <v>0</v>
      </c>
      <c r="E87" s="67"/>
      <c r="F87" s="58">
        <f t="shared" ref="F87:L87" si="77">SUMIFS($C87,$B87,F$7)+F86</f>
        <v>0</v>
      </c>
      <c r="G87" s="58">
        <f t="shared" si="77"/>
        <v>0</v>
      </c>
      <c r="H87" s="58">
        <f t="shared" si="77"/>
        <v>0</v>
      </c>
      <c r="I87" s="58">
        <f t="shared" si="77"/>
        <v>59</v>
      </c>
      <c r="J87" s="58">
        <f t="shared" si="77"/>
        <v>0</v>
      </c>
      <c r="K87" s="58">
        <f t="shared" si="77"/>
        <v>0</v>
      </c>
      <c r="L87" s="58">
        <f t="shared" si="77"/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0" customHeight="1">
      <c r="A88" s="70"/>
      <c r="B88" s="71"/>
      <c r="C88" s="66"/>
      <c r="D88" s="66">
        <f t="shared" si="3"/>
        <v>0</v>
      </c>
      <c r="E88" s="67"/>
      <c r="F88" s="58">
        <f t="shared" ref="F88:L88" si="78">SUMIFS($C88,$B88,F$7)+F87</f>
        <v>0</v>
      </c>
      <c r="G88" s="58">
        <f t="shared" si="78"/>
        <v>0</v>
      </c>
      <c r="H88" s="58">
        <f t="shared" si="78"/>
        <v>0</v>
      </c>
      <c r="I88" s="58">
        <f t="shared" si="78"/>
        <v>59</v>
      </c>
      <c r="J88" s="58">
        <f t="shared" si="78"/>
        <v>0</v>
      </c>
      <c r="K88" s="58">
        <f t="shared" si="78"/>
        <v>0</v>
      </c>
      <c r="L88" s="58">
        <f t="shared" si="78"/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0" customHeight="1">
      <c r="A89" s="70"/>
      <c r="B89" s="71"/>
      <c r="C89" s="66"/>
      <c r="D89" s="66">
        <f t="shared" si="3"/>
        <v>0</v>
      </c>
      <c r="E89" s="67"/>
      <c r="F89" s="58">
        <f t="shared" ref="F89:L89" si="79">SUMIFS($C89,$B89,F$7)+F88</f>
        <v>0</v>
      </c>
      <c r="G89" s="58">
        <f t="shared" si="79"/>
        <v>0</v>
      </c>
      <c r="H89" s="58">
        <f t="shared" si="79"/>
        <v>0</v>
      </c>
      <c r="I89" s="58">
        <f t="shared" si="79"/>
        <v>59</v>
      </c>
      <c r="J89" s="58">
        <f t="shared" si="79"/>
        <v>0</v>
      </c>
      <c r="K89" s="58">
        <f t="shared" si="79"/>
        <v>0</v>
      </c>
      <c r="L89" s="58">
        <f t="shared" si="79"/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0" customHeight="1">
      <c r="A90" s="70"/>
      <c r="B90" s="71"/>
      <c r="C90" s="66"/>
      <c r="D90" s="66">
        <f t="shared" si="3"/>
        <v>0</v>
      </c>
      <c r="E90" s="67"/>
      <c r="F90" s="58">
        <f t="shared" ref="F90:L90" si="80">SUMIFS($C90,$B90,F$7)+F89</f>
        <v>0</v>
      </c>
      <c r="G90" s="58">
        <f t="shared" si="80"/>
        <v>0</v>
      </c>
      <c r="H90" s="58">
        <f t="shared" si="80"/>
        <v>0</v>
      </c>
      <c r="I90" s="58">
        <f t="shared" si="80"/>
        <v>59</v>
      </c>
      <c r="J90" s="58">
        <f t="shared" si="80"/>
        <v>0</v>
      </c>
      <c r="K90" s="58">
        <f t="shared" si="80"/>
        <v>0</v>
      </c>
      <c r="L90" s="58">
        <f t="shared" si="80"/>
        <v>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0" customHeight="1">
      <c r="A91" s="70"/>
      <c r="B91" s="71"/>
      <c r="C91" s="66"/>
      <c r="D91" s="66">
        <f t="shared" si="3"/>
        <v>0</v>
      </c>
      <c r="E91" s="67"/>
      <c r="F91" s="58">
        <f t="shared" ref="F91:L91" si="81">SUMIFS($C91,$B91,F$7)+F90</f>
        <v>0</v>
      </c>
      <c r="G91" s="58">
        <f t="shared" si="81"/>
        <v>0</v>
      </c>
      <c r="H91" s="58">
        <f t="shared" si="81"/>
        <v>0</v>
      </c>
      <c r="I91" s="58">
        <f t="shared" si="81"/>
        <v>59</v>
      </c>
      <c r="J91" s="58">
        <f t="shared" si="81"/>
        <v>0</v>
      </c>
      <c r="K91" s="58">
        <f t="shared" si="81"/>
        <v>0</v>
      </c>
      <c r="L91" s="58">
        <f t="shared" si="81"/>
        <v>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0" customHeight="1">
      <c r="A92" s="70"/>
      <c r="B92" s="71"/>
      <c r="C92" s="66"/>
      <c r="D92" s="66">
        <f t="shared" si="3"/>
        <v>0</v>
      </c>
      <c r="E92" s="67"/>
      <c r="F92" s="58">
        <f t="shared" ref="F92:L92" si="82">SUMIFS($C92,$B92,F$7)+F91</f>
        <v>0</v>
      </c>
      <c r="G92" s="58">
        <f t="shared" si="82"/>
        <v>0</v>
      </c>
      <c r="H92" s="58">
        <f t="shared" si="82"/>
        <v>0</v>
      </c>
      <c r="I92" s="58">
        <f t="shared" si="82"/>
        <v>59</v>
      </c>
      <c r="J92" s="58">
        <f t="shared" si="82"/>
        <v>0</v>
      </c>
      <c r="K92" s="58">
        <f t="shared" si="82"/>
        <v>0</v>
      </c>
      <c r="L92" s="58">
        <f t="shared" si="82"/>
        <v>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0" customHeight="1">
      <c r="A93" s="70"/>
      <c r="B93" s="71"/>
      <c r="C93" s="66"/>
      <c r="D93" s="66">
        <f t="shared" si="3"/>
        <v>0</v>
      </c>
      <c r="E93" s="67"/>
      <c r="F93" s="58">
        <f t="shared" ref="F93:L93" si="83">SUMIFS($C93,$B93,F$7)+F92</f>
        <v>0</v>
      </c>
      <c r="G93" s="58">
        <f t="shared" si="83"/>
        <v>0</v>
      </c>
      <c r="H93" s="58">
        <f t="shared" si="83"/>
        <v>0</v>
      </c>
      <c r="I93" s="58">
        <f t="shared" si="83"/>
        <v>59</v>
      </c>
      <c r="J93" s="58">
        <f t="shared" si="83"/>
        <v>0</v>
      </c>
      <c r="K93" s="58">
        <f t="shared" si="83"/>
        <v>0</v>
      </c>
      <c r="L93" s="58">
        <f t="shared" si="83"/>
        <v>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0" customHeight="1">
      <c r="A94" s="70"/>
      <c r="B94" s="71"/>
      <c r="C94" s="66"/>
      <c r="D94" s="66">
        <f t="shared" si="3"/>
        <v>0</v>
      </c>
      <c r="E94" s="67"/>
      <c r="F94" s="58">
        <f t="shared" ref="F94:L94" si="84">SUMIFS($C94,$B94,F$7)+F93</f>
        <v>0</v>
      </c>
      <c r="G94" s="58">
        <f t="shared" si="84"/>
        <v>0</v>
      </c>
      <c r="H94" s="58">
        <f t="shared" si="84"/>
        <v>0</v>
      </c>
      <c r="I94" s="58">
        <f t="shared" si="84"/>
        <v>59</v>
      </c>
      <c r="J94" s="58">
        <f t="shared" si="84"/>
        <v>0</v>
      </c>
      <c r="K94" s="58">
        <f t="shared" si="84"/>
        <v>0</v>
      </c>
      <c r="L94" s="58">
        <f t="shared" si="84"/>
        <v>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0" customHeight="1">
      <c r="A95" s="70"/>
      <c r="B95" s="71"/>
      <c r="C95" s="66"/>
      <c r="D95" s="66">
        <f t="shared" si="3"/>
        <v>0</v>
      </c>
      <c r="E95" s="67"/>
      <c r="F95" s="58">
        <f t="shared" ref="F95:L95" si="85">SUMIFS($C95,$B95,F$7)+F94</f>
        <v>0</v>
      </c>
      <c r="G95" s="58">
        <f t="shared" si="85"/>
        <v>0</v>
      </c>
      <c r="H95" s="58">
        <f t="shared" si="85"/>
        <v>0</v>
      </c>
      <c r="I95" s="58">
        <f t="shared" si="85"/>
        <v>59</v>
      </c>
      <c r="J95" s="58">
        <f t="shared" si="85"/>
        <v>0</v>
      </c>
      <c r="K95" s="58">
        <f t="shared" si="85"/>
        <v>0</v>
      </c>
      <c r="L95" s="58">
        <f t="shared" si="85"/>
        <v>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0" customHeight="1">
      <c r="A96" s="70"/>
      <c r="B96" s="71"/>
      <c r="C96" s="66"/>
      <c r="D96" s="66">
        <f t="shared" si="3"/>
        <v>0</v>
      </c>
      <c r="E96" s="67"/>
      <c r="F96" s="58">
        <f t="shared" ref="F96:L96" si="86">SUMIFS($C96,$B96,F$7)+F95</f>
        <v>0</v>
      </c>
      <c r="G96" s="58">
        <f t="shared" si="86"/>
        <v>0</v>
      </c>
      <c r="H96" s="58">
        <f t="shared" si="86"/>
        <v>0</v>
      </c>
      <c r="I96" s="58">
        <f t="shared" si="86"/>
        <v>59</v>
      </c>
      <c r="J96" s="58">
        <f t="shared" si="86"/>
        <v>0</v>
      </c>
      <c r="K96" s="58">
        <f t="shared" si="86"/>
        <v>0</v>
      </c>
      <c r="L96" s="58">
        <f t="shared" si="86"/>
        <v>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0" customHeight="1">
      <c r="A97" s="70"/>
      <c r="B97" s="71"/>
      <c r="C97" s="66"/>
      <c r="D97" s="66">
        <f t="shared" si="3"/>
        <v>0</v>
      </c>
      <c r="E97" s="67"/>
      <c r="F97" s="58">
        <f t="shared" ref="F97:L97" si="87">SUMIFS($C97,$B97,F$7)+F96</f>
        <v>0</v>
      </c>
      <c r="G97" s="58">
        <f t="shared" si="87"/>
        <v>0</v>
      </c>
      <c r="H97" s="58">
        <f t="shared" si="87"/>
        <v>0</v>
      </c>
      <c r="I97" s="58">
        <f t="shared" si="87"/>
        <v>59</v>
      </c>
      <c r="J97" s="58">
        <f t="shared" si="87"/>
        <v>0</v>
      </c>
      <c r="K97" s="58">
        <f t="shared" si="87"/>
        <v>0</v>
      </c>
      <c r="L97" s="58">
        <f t="shared" si="87"/>
        <v>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0" customHeight="1">
      <c r="A98" s="70"/>
      <c r="B98" s="71"/>
      <c r="C98" s="66"/>
      <c r="D98" s="66">
        <f t="shared" si="3"/>
        <v>0</v>
      </c>
      <c r="E98" s="67"/>
      <c r="F98" s="58">
        <f t="shared" ref="F98:L98" si="88">SUMIFS($C98,$B98,F$7)+F97</f>
        <v>0</v>
      </c>
      <c r="G98" s="58">
        <f t="shared" si="88"/>
        <v>0</v>
      </c>
      <c r="H98" s="58">
        <f t="shared" si="88"/>
        <v>0</v>
      </c>
      <c r="I98" s="58">
        <f t="shared" si="88"/>
        <v>59</v>
      </c>
      <c r="J98" s="58">
        <f t="shared" si="88"/>
        <v>0</v>
      </c>
      <c r="K98" s="58">
        <f t="shared" si="88"/>
        <v>0</v>
      </c>
      <c r="L98" s="58">
        <f t="shared" si="88"/>
        <v>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0" customHeight="1">
      <c r="A99" s="70"/>
      <c r="B99" s="71"/>
      <c r="C99" s="66"/>
      <c r="D99" s="66">
        <f t="shared" si="3"/>
        <v>0</v>
      </c>
      <c r="E99" s="67"/>
      <c r="F99" s="58">
        <f t="shared" ref="F99:L99" si="89">SUMIFS($C99,$B99,F$7)+F98</f>
        <v>0</v>
      </c>
      <c r="G99" s="58">
        <f t="shared" si="89"/>
        <v>0</v>
      </c>
      <c r="H99" s="58">
        <f t="shared" si="89"/>
        <v>0</v>
      </c>
      <c r="I99" s="58">
        <f t="shared" si="89"/>
        <v>59</v>
      </c>
      <c r="J99" s="58">
        <f t="shared" si="89"/>
        <v>0</v>
      </c>
      <c r="K99" s="58">
        <f t="shared" si="89"/>
        <v>0</v>
      </c>
      <c r="L99" s="58">
        <f t="shared" si="89"/>
        <v>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0" customHeight="1">
      <c r="A100" s="70"/>
      <c r="B100" s="71"/>
      <c r="C100" s="66"/>
      <c r="D100" s="66">
        <f t="shared" si="3"/>
        <v>0</v>
      </c>
      <c r="E100" s="67"/>
      <c r="F100" s="58">
        <f t="shared" ref="F100:L100" si="90">SUMIFS($C100,$B100,F$7)+F99</f>
        <v>0</v>
      </c>
      <c r="G100" s="58">
        <f t="shared" si="90"/>
        <v>0</v>
      </c>
      <c r="H100" s="58">
        <f t="shared" si="90"/>
        <v>0</v>
      </c>
      <c r="I100" s="58">
        <f t="shared" si="90"/>
        <v>59</v>
      </c>
      <c r="J100" s="58">
        <f t="shared" si="90"/>
        <v>0</v>
      </c>
      <c r="K100" s="58">
        <f t="shared" si="90"/>
        <v>0</v>
      </c>
      <c r="L100" s="58">
        <f t="shared" si="90"/>
        <v>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0" customHeight="1">
      <c r="A101" s="70"/>
      <c r="B101" s="71"/>
      <c r="C101" s="66"/>
      <c r="D101" s="66">
        <f t="shared" si="3"/>
        <v>0</v>
      </c>
      <c r="E101" s="67"/>
      <c r="F101" s="58">
        <f t="shared" ref="F101:L101" si="91">SUMIFS($C101,$B101,F$7)+F100</f>
        <v>0</v>
      </c>
      <c r="G101" s="58">
        <f t="shared" si="91"/>
        <v>0</v>
      </c>
      <c r="H101" s="58">
        <f t="shared" si="91"/>
        <v>0</v>
      </c>
      <c r="I101" s="58">
        <f t="shared" si="91"/>
        <v>59</v>
      </c>
      <c r="J101" s="58">
        <f t="shared" si="91"/>
        <v>0</v>
      </c>
      <c r="K101" s="58">
        <f t="shared" si="91"/>
        <v>0</v>
      </c>
      <c r="L101" s="58">
        <f t="shared" si="91"/>
        <v>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0" customHeight="1">
      <c r="A102" s="70"/>
      <c r="B102" s="71"/>
      <c r="C102" s="66"/>
      <c r="D102" s="66">
        <f t="shared" si="3"/>
        <v>0</v>
      </c>
      <c r="E102" s="67"/>
      <c r="F102" s="58">
        <f t="shared" ref="F102:L102" si="92">SUMIFS($C102,$B102,F$7)+F101</f>
        <v>0</v>
      </c>
      <c r="G102" s="58">
        <f t="shared" si="92"/>
        <v>0</v>
      </c>
      <c r="H102" s="58">
        <f t="shared" si="92"/>
        <v>0</v>
      </c>
      <c r="I102" s="58">
        <f t="shared" si="92"/>
        <v>59</v>
      </c>
      <c r="J102" s="58">
        <f t="shared" si="92"/>
        <v>0</v>
      </c>
      <c r="K102" s="58">
        <f t="shared" si="92"/>
        <v>0</v>
      </c>
      <c r="L102" s="58">
        <f t="shared" si="92"/>
        <v>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0" customHeight="1">
      <c r="A103" s="70"/>
      <c r="B103" s="71"/>
      <c r="C103" s="66"/>
      <c r="D103" s="66">
        <f t="shared" si="3"/>
        <v>0</v>
      </c>
      <c r="E103" s="67"/>
      <c r="F103" s="58">
        <f t="shared" ref="F103:L103" si="93">SUMIFS($C103,$B103,F$7)+F102</f>
        <v>0</v>
      </c>
      <c r="G103" s="58">
        <f t="shared" si="93"/>
        <v>0</v>
      </c>
      <c r="H103" s="58">
        <f t="shared" si="93"/>
        <v>0</v>
      </c>
      <c r="I103" s="58">
        <f t="shared" si="93"/>
        <v>59</v>
      </c>
      <c r="J103" s="58">
        <f t="shared" si="93"/>
        <v>0</v>
      </c>
      <c r="K103" s="58">
        <f t="shared" si="93"/>
        <v>0</v>
      </c>
      <c r="L103" s="58">
        <f t="shared" si="93"/>
        <v>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0" customHeight="1">
      <c r="A104" s="70"/>
      <c r="B104" s="71"/>
      <c r="C104" s="66"/>
      <c r="D104" s="66">
        <f t="shared" si="3"/>
        <v>0</v>
      </c>
      <c r="E104" s="67"/>
      <c r="F104" s="58">
        <f t="shared" ref="F104:L104" si="94">SUMIFS($C104,$B104,F$7)+F103</f>
        <v>0</v>
      </c>
      <c r="G104" s="58">
        <f t="shared" si="94"/>
        <v>0</v>
      </c>
      <c r="H104" s="58">
        <f t="shared" si="94"/>
        <v>0</v>
      </c>
      <c r="I104" s="58">
        <f t="shared" si="94"/>
        <v>59</v>
      </c>
      <c r="J104" s="58">
        <f t="shared" si="94"/>
        <v>0</v>
      </c>
      <c r="K104" s="58">
        <f t="shared" si="94"/>
        <v>0</v>
      </c>
      <c r="L104" s="58">
        <f t="shared" si="94"/>
        <v>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0" customHeight="1">
      <c r="A105" s="70"/>
      <c r="B105" s="71"/>
      <c r="C105" s="66"/>
      <c r="D105" s="66">
        <f t="shared" si="3"/>
        <v>0</v>
      </c>
      <c r="E105" s="67"/>
      <c r="F105" s="58">
        <f t="shared" ref="F105:L105" si="95">SUMIFS($C105,$B105,F$7)+F104</f>
        <v>0</v>
      </c>
      <c r="G105" s="58">
        <f t="shared" si="95"/>
        <v>0</v>
      </c>
      <c r="H105" s="58">
        <f t="shared" si="95"/>
        <v>0</v>
      </c>
      <c r="I105" s="58">
        <f t="shared" si="95"/>
        <v>59</v>
      </c>
      <c r="J105" s="58">
        <f t="shared" si="95"/>
        <v>0</v>
      </c>
      <c r="K105" s="58">
        <f t="shared" si="95"/>
        <v>0</v>
      </c>
      <c r="L105" s="58">
        <f t="shared" si="95"/>
        <v>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0" customHeight="1">
      <c r="A106" s="70"/>
      <c r="B106" s="71"/>
      <c r="C106" s="66"/>
      <c r="D106" s="66">
        <f t="shared" si="3"/>
        <v>0</v>
      </c>
      <c r="E106" s="67"/>
      <c r="F106" s="58">
        <f t="shared" ref="F106:L106" si="96">SUMIFS($C106,$B106,F$7)+F105</f>
        <v>0</v>
      </c>
      <c r="G106" s="58">
        <f t="shared" si="96"/>
        <v>0</v>
      </c>
      <c r="H106" s="58">
        <f t="shared" si="96"/>
        <v>0</v>
      </c>
      <c r="I106" s="58">
        <f t="shared" si="96"/>
        <v>59</v>
      </c>
      <c r="J106" s="58">
        <f t="shared" si="96"/>
        <v>0</v>
      </c>
      <c r="K106" s="58">
        <f t="shared" si="96"/>
        <v>0</v>
      </c>
      <c r="L106" s="58">
        <f t="shared" si="96"/>
        <v>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0" customHeight="1">
      <c r="A107" s="70"/>
      <c r="B107" s="71"/>
      <c r="C107" s="66"/>
      <c r="D107" s="66">
        <f t="shared" si="3"/>
        <v>0</v>
      </c>
      <c r="E107" s="67"/>
      <c r="F107" s="58">
        <f t="shared" ref="F107:L107" si="97">SUMIFS($C107,$B107,F$7)+F106</f>
        <v>0</v>
      </c>
      <c r="G107" s="58">
        <f t="shared" si="97"/>
        <v>0</v>
      </c>
      <c r="H107" s="58">
        <f t="shared" si="97"/>
        <v>0</v>
      </c>
      <c r="I107" s="58">
        <f t="shared" si="97"/>
        <v>59</v>
      </c>
      <c r="J107" s="58">
        <f t="shared" si="97"/>
        <v>0</v>
      </c>
      <c r="K107" s="58">
        <f t="shared" si="97"/>
        <v>0</v>
      </c>
      <c r="L107" s="58">
        <f t="shared" si="97"/>
        <v>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0" customHeight="1">
      <c r="A108" s="70"/>
      <c r="B108" s="71"/>
      <c r="C108" s="66"/>
      <c r="D108" s="66">
        <f t="shared" si="3"/>
        <v>0</v>
      </c>
      <c r="E108" s="67"/>
      <c r="F108" s="58">
        <f t="shared" ref="F108:L108" si="98">SUMIFS($C108,$B108,F$7)+F107</f>
        <v>0</v>
      </c>
      <c r="G108" s="58">
        <f t="shared" si="98"/>
        <v>0</v>
      </c>
      <c r="H108" s="58">
        <f t="shared" si="98"/>
        <v>0</v>
      </c>
      <c r="I108" s="58">
        <f t="shared" si="98"/>
        <v>59</v>
      </c>
      <c r="J108" s="58">
        <f t="shared" si="98"/>
        <v>0</v>
      </c>
      <c r="K108" s="58">
        <f t="shared" si="98"/>
        <v>0</v>
      </c>
      <c r="L108" s="58">
        <f t="shared" si="98"/>
        <v>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0" customHeight="1">
      <c r="A109" s="70"/>
      <c r="B109" s="71"/>
      <c r="C109" s="66"/>
      <c r="D109" s="66">
        <f t="shared" si="3"/>
        <v>0</v>
      </c>
      <c r="E109" s="67"/>
      <c r="F109" s="58">
        <f t="shared" ref="F109:L109" si="99">SUMIFS($C109,$B109,F$7)+F108</f>
        <v>0</v>
      </c>
      <c r="G109" s="58">
        <f t="shared" si="99"/>
        <v>0</v>
      </c>
      <c r="H109" s="58">
        <f t="shared" si="99"/>
        <v>0</v>
      </c>
      <c r="I109" s="58">
        <f t="shared" si="99"/>
        <v>59</v>
      </c>
      <c r="J109" s="58">
        <f t="shared" si="99"/>
        <v>0</v>
      </c>
      <c r="K109" s="58">
        <f t="shared" si="99"/>
        <v>0</v>
      </c>
      <c r="L109" s="58">
        <f t="shared" si="99"/>
        <v>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0" customHeight="1">
      <c r="A110" s="70"/>
      <c r="B110" s="71"/>
      <c r="C110" s="66"/>
      <c r="D110" s="66">
        <f t="shared" si="3"/>
        <v>0</v>
      </c>
      <c r="E110" s="67"/>
      <c r="F110" s="58">
        <f t="shared" ref="F110:L110" si="100">SUMIFS($C110,$B110,F$7)+F109</f>
        <v>0</v>
      </c>
      <c r="G110" s="58">
        <f t="shared" si="100"/>
        <v>0</v>
      </c>
      <c r="H110" s="58">
        <f t="shared" si="100"/>
        <v>0</v>
      </c>
      <c r="I110" s="58">
        <f t="shared" si="100"/>
        <v>59</v>
      </c>
      <c r="J110" s="58">
        <f t="shared" si="100"/>
        <v>0</v>
      </c>
      <c r="K110" s="58">
        <f t="shared" si="100"/>
        <v>0</v>
      </c>
      <c r="L110" s="58">
        <f t="shared" si="100"/>
        <v>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0" customHeight="1">
      <c r="A111" s="70"/>
      <c r="B111" s="71"/>
      <c r="C111" s="66"/>
      <c r="D111" s="66">
        <f t="shared" si="3"/>
        <v>0</v>
      </c>
      <c r="E111" s="67"/>
      <c r="F111" s="58">
        <f t="shared" ref="F111:L111" si="101">SUMIFS($C111,$B111,F$7)+F110</f>
        <v>0</v>
      </c>
      <c r="G111" s="58">
        <f t="shared" si="101"/>
        <v>0</v>
      </c>
      <c r="H111" s="58">
        <f t="shared" si="101"/>
        <v>0</v>
      </c>
      <c r="I111" s="58">
        <f t="shared" si="101"/>
        <v>59</v>
      </c>
      <c r="J111" s="58">
        <f t="shared" si="101"/>
        <v>0</v>
      </c>
      <c r="K111" s="58">
        <f t="shared" si="101"/>
        <v>0</v>
      </c>
      <c r="L111" s="58">
        <f t="shared" si="101"/>
        <v>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0" customHeight="1">
      <c r="A112" s="70"/>
      <c r="B112" s="71"/>
      <c r="C112" s="66"/>
      <c r="D112" s="66">
        <f t="shared" si="3"/>
        <v>0</v>
      </c>
      <c r="E112" s="67"/>
      <c r="F112" s="58">
        <f t="shared" ref="F112:L112" si="102">SUMIFS($C112,$B112,F$7)+F111</f>
        <v>0</v>
      </c>
      <c r="G112" s="58">
        <f t="shared" si="102"/>
        <v>0</v>
      </c>
      <c r="H112" s="58">
        <f t="shared" si="102"/>
        <v>0</v>
      </c>
      <c r="I112" s="58">
        <f t="shared" si="102"/>
        <v>59</v>
      </c>
      <c r="J112" s="58">
        <f t="shared" si="102"/>
        <v>0</v>
      </c>
      <c r="K112" s="58">
        <f t="shared" si="102"/>
        <v>0</v>
      </c>
      <c r="L112" s="58">
        <f t="shared" si="102"/>
        <v>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0" customHeight="1">
      <c r="A113" s="70"/>
      <c r="B113" s="71"/>
      <c r="C113" s="66"/>
      <c r="D113" s="66">
        <f t="shared" si="3"/>
        <v>0</v>
      </c>
      <c r="E113" s="67"/>
      <c r="F113" s="58">
        <f t="shared" ref="F113:L113" si="103">SUMIFS($C113,$B113,F$7)+F112</f>
        <v>0</v>
      </c>
      <c r="G113" s="58">
        <f t="shared" si="103"/>
        <v>0</v>
      </c>
      <c r="H113" s="58">
        <f t="shared" si="103"/>
        <v>0</v>
      </c>
      <c r="I113" s="58">
        <f t="shared" si="103"/>
        <v>59</v>
      </c>
      <c r="J113" s="58">
        <f t="shared" si="103"/>
        <v>0</v>
      </c>
      <c r="K113" s="58">
        <f t="shared" si="103"/>
        <v>0</v>
      </c>
      <c r="L113" s="58">
        <f t="shared" si="103"/>
        <v>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0" customHeight="1">
      <c r="A114" s="70"/>
      <c r="B114" s="71"/>
      <c r="C114" s="66"/>
      <c r="D114" s="66">
        <f t="shared" si="3"/>
        <v>0</v>
      </c>
      <c r="E114" s="67"/>
      <c r="F114" s="58">
        <f t="shared" ref="F114:L114" si="104">SUMIFS($C114,$B114,F$7)+F113</f>
        <v>0</v>
      </c>
      <c r="G114" s="58">
        <f t="shared" si="104"/>
        <v>0</v>
      </c>
      <c r="H114" s="58">
        <f t="shared" si="104"/>
        <v>0</v>
      </c>
      <c r="I114" s="58">
        <f t="shared" si="104"/>
        <v>59</v>
      </c>
      <c r="J114" s="58">
        <f t="shared" si="104"/>
        <v>0</v>
      </c>
      <c r="K114" s="58">
        <f t="shared" si="104"/>
        <v>0</v>
      </c>
      <c r="L114" s="58">
        <f t="shared" si="104"/>
        <v>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0" customHeight="1">
      <c r="A115" s="70"/>
      <c r="B115" s="71"/>
      <c r="C115" s="66"/>
      <c r="D115" s="66">
        <f t="shared" si="3"/>
        <v>0</v>
      </c>
      <c r="E115" s="67"/>
      <c r="F115" s="58">
        <f t="shared" ref="F115:L115" si="105">SUMIFS($C115,$B115,F$7)+F114</f>
        <v>0</v>
      </c>
      <c r="G115" s="58">
        <f t="shared" si="105"/>
        <v>0</v>
      </c>
      <c r="H115" s="58">
        <f t="shared" si="105"/>
        <v>0</v>
      </c>
      <c r="I115" s="58">
        <f t="shared" si="105"/>
        <v>59</v>
      </c>
      <c r="J115" s="58">
        <f t="shared" si="105"/>
        <v>0</v>
      </c>
      <c r="K115" s="58">
        <f t="shared" si="105"/>
        <v>0</v>
      </c>
      <c r="L115" s="58">
        <f t="shared" si="105"/>
        <v>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0" customHeight="1">
      <c r="A116" s="70"/>
      <c r="B116" s="71"/>
      <c r="C116" s="66"/>
      <c r="D116" s="66">
        <f t="shared" si="3"/>
        <v>0</v>
      </c>
      <c r="E116" s="67"/>
      <c r="F116" s="58">
        <f t="shared" ref="F116:L116" si="106">SUMIFS($C116,$B116,F$7)+F115</f>
        <v>0</v>
      </c>
      <c r="G116" s="58">
        <f t="shared" si="106"/>
        <v>0</v>
      </c>
      <c r="H116" s="58">
        <f t="shared" si="106"/>
        <v>0</v>
      </c>
      <c r="I116" s="58">
        <f t="shared" si="106"/>
        <v>59</v>
      </c>
      <c r="J116" s="58">
        <f t="shared" si="106"/>
        <v>0</v>
      </c>
      <c r="K116" s="58">
        <f t="shared" si="106"/>
        <v>0</v>
      </c>
      <c r="L116" s="58">
        <f t="shared" si="106"/>
        <v>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0" customHeight="1">
      <c r="A117" s="70"/>
      <c r="B117" s="71"/>
      <c r="C117" s="66"/>
      <c r="D117" s="66">
        <f t="shared" si="3"/>
        <v>0</v>
      </c>
      <c r="E117" s="67"/>
      <c r="F117" s="58">
        <f t="shared" ref="F117:L117" si="107">SUMIFS($C117,$B117,F$7)+F116</f>
        <v>0</v>
      </c>
      <c r="G117" s="58">
        <f t="shared" si="107"/>
        <v>0</v>
      </c>
      <c r="H117" s="58">
        <f t="shared" si="107"/>
        <v>0</v>
      </c>
      <c r="I117" s="58">
        <f t="shared" si="107"/>
        <v>59</v>
      </c>
      <c r="J117" s="58">
        <f t="shared" si="107"/>
        <v>0</v>
      </c>
      <c r="K117" s="58">
        <f t="shared" si="107"/>
        <v>0</v>
      </c>
      <c r="L117" s="58">
        <f t="shared" si="107"/>
        <v>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0" customHeight="1">
      <c r="A118" s="70"/>
      <c r="B118" s="71"/>
      <c r="C118" s="66"/>
      <c r="D118" s="66">
        <f t="shared" si="3"/>
        <v>0</v>
      </c>
      <c r="E118" s="67"/>
      <c r="F118" s="58">
        <f t="shared" ref="F118:L118" si="108">SUMIFS($C118,$B118,F$7)+F117</f>
        <v>0</v>
      </c>
      <c r="G118" s="58">
        <f t="shared" si="108"/>
        <v>0</v>
      </c>
      <c r="H118" s="58">
        <f t="shared" si="108"/>
        <v>0</v>
      </c>
      <c r="I118" s="58">
        <f t="shared" si="108"/>
        <v>59</v>
      </c>
      <c r="J118" s="58">
        <f t="shared" si="108"/>
        <v>0</v>
      </c>
      <c r="K118" s="58">
        <f t="shared" si="108"/>
        <v>0</v>
      </c>
      <c r="L118" s="58">
        <f t="shared" si="108"/>
        <v>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0" customHeight="1">
      <c r="A119" s="70"/>
      <c r="B119" s="71"/>
      <c r="C119" s="66"/>
      <c r="D119" s="66">
        <f t="shared" si="3"/>
        <v>0</v>
      </c>
      <c r="E119" s="67"/>
      <c r="F119" s="58">
        <f t="shared" ref="F119:L119" si="109">SUMIFS($C119,$B119,F$7)+F118</f>
        <v>0</v>
      </c>
      <c r="G119" s="58">
        <f t="shared" si="109"/>
        <v>0</v>
      </c>
      <c r="H119" s="58">
        <f t="shared" si="109"/>
        <v>0</v>
      </c>
      <c r="I119" s="58">
        <f t="shared" si="109"/>
        <v>59</v>
      </c>
      <c r="J119" s="58">
        <f t="shared" si="109"/>
        <v>0</v>
      </c>
      <c r="K119" s="58">
        <f t="shared" si="109"/>
        <v>0</v>
      </c>
      <c r="L119" s="58">
        <f t="shared" si="109"/>
        <v>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0" customHeight="1">
      <c r="A120" s="70"/>
      <c r="B120" s="71"/>
      <c r="C120" s="66"/>
      <c r="D120" s="66">
        <f t="shared" si="3"/>
        <v>0</v>
      </c>
      <c r="E120" s="67"/>
      <c r="F120" s="58">
        <f t="shared" ref="F120:L120" si="110">SUMIFS($C120,$B120,F$7)+F119</f>
        <v>0</v>
      </c>
      <c r="G120" s="58">
        <f t="shared" si="110"/>
        <v>0</v>
      </c>
      <c r="H120" s="58">
        <f t="shared" si="110"/>
        <v>0</v>
      </c>
      <c r="I120" s="58">
        <f t="shared" si="110"/>
        <v>59</v>
      </c>
      <c r="J120" s="58">
        <f t="shared" si="110"/>
        <v>0</v>
      </c>
      <c r="K120" s="58">
        <f t="shared" si="110"/>
        <v>0</v>
      </c>
      <c r="L120" s="58">
        <f t="shared" si="110"/>
        <v>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0" customHeight="1">
      <c r="A121" s="70"/>
      <c r="B121" s="71"/>
      <c r="C121" s="66"/>
      <c r="D121" s="66">
        <f t="shared" si="3"/>
        <v>0</v>
      </c>
      <c r="E121" s="67"/>
      <c r="F121" s="58">
        <f t="shared" ref="F121:L121" si="111">SUMIFS($C121,$B121,F$7)+F120</f>
        <v>0</v>
      </c>
      <c r="G121" s="58">
        <f t="shared" si="111"/>
        <v>0</v>
      </c>
      <c r="H121" s="58">
        <f t="shared" si="111"/>
        <v>0</v>
      </c>
      <c r="I121" s="58">
        <f t="shared" si="111"/>
        <v>59</v>
      </c>
      <c r="J121" s="58">
        <f t="shared" si="111"/>
        <v>0</v>
      </c>
      <c r="K121" s="58">
        <f t="shared" si="111"/>
        <v>0</v>
      </c>
      <c r="L121" s="58">
        <f t="shared" si="111"/>
        <v>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0" customHeight="1">
      <c r="A122" s="70"/>
      <c r="B122" s="71"/>
      <c r="C122" s="66"/>
      <c r="D122" s="66">
        <f t="shared" si="3"/>
        <v>0</v>
      </c>
      <c r="E122" s="67"/>
      <c r="F122" s="58">
        <f t="shared" ref="F122:L122" si="112">SUMIFS($C122,$B122,F$7)+F121</f>
        <v>0</v>
      </c>
      <c r="G122" s="58">
        <f t="shared" si="112"/>
        <v>0</v>
      </c>
      <c r="H122" s="58">
        <f t="shared" si="112"/>
        <v>0</v>
      </c>
      <c r="I122" s="58">
        <f t="shared" si="112"/>
        <v>59</v>
      </c>
      <c r="J122" s="58">
        <f t="shared" si="112"/>
        <v>0</v>
      </c>
      <c r="K122" s="58">
        <f t="shared" si="112"/>
        <v>0</v>
      </c>
      <c r="L122" s="58">
        <f t="shared" si="112"/>
        <v>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0" customHeight="1">
      <c r="A123" s="70"/>
      <c r="B123" s="71"/>
      <c r="C123" s="66"/>
      <c r="D123" s="66">
        <f t="shared" si="3"/>
        <v>0</v>
      </c>
      <c r="E123" s="67"/>
      <c r="F123" s="58">
        <f t="shared" ref="F123:L123" si="113">SUMIFS($C123,$B123,F$7)+F122</f>
        <v>0</v>
      </c>
      <c r="G123" s="58">
        <f t="shared" si="113"/>
        <v>0</v>
      </c>
      <c r="H123" s="58">
        <f t="shared" si="113"/>
        <v>0</v>
      </c>
      <c r="I123" s="58">
        <f t="shared" si="113"/>
        <v>59</v>
      </c>
      <c r="J123" s="58">
        <f t="shared" si="113"/>
        <v>0</v>
      </c>
      <c r="K123" s="58">
        <f t="shared" si="113"/>
        <v>0</v>
      </c>
      <c r="L123" s="58">
        <f t="shared" si="113"/>
        <v>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0" customHeight="1">
      <c r="A124" s="70"/>
      <c r="B124" s="71"/>
      <c r="C124" s="66"/>
      <c r="D124" s="66">
        <f t="shared" si="3"/>
        <v>0</v>
      </c>
      <c r="E124" s="67"/>
      <c r="F124" s="58">
        <f t="shared" ref="F124:L124" si="114">SUMIFS($C124,$B124,F$7)+F123</f>
        <v>0</v>
      </c>
      <c r="G124" s="58">
        <f t="shared" si="114"/>
        <v>0</v>
      </c>
      <c r="H124" s="58">
        <f t="shared" si="114"/>
        <v>0</v>
      </c>
      <c r="I124" s="58">
        <f t="shared" si="114"/>
        <v>59</v>
      </c>
      <c r="J124" s="58">
        <f t="shared" si="114"/>
        <v>0</v>
      </c>
      <c r="K124" s="58">
        <f t="shared" si="114"/>
        <v>0</v>
      </c>
      <c r="L124" s="58">
        <f t="shared" si="114"/>
        <v>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0" customHeight="1">
      <c r="A125" s="70"/>
      <c r="B125" s="71"/>
      <c r="C125" s="66"/>
      <c r="D125" s="66">
        <f t="shared" si="3"/>
        <v>0</v>
      </c>
      <c r="E125" s="67"/>
      <c r="F125" s="58">
        <f t="shared" ref="F125:L125" si="115">SUMIFS($C125,$B125,F$7)+F124</f>
        <v>0</v>
      </c>
      <c r="G125" s="58">
        <f t="shared" si="115"/>
        <v>0</v>
      </c>
      <c r="H125" s="58">
        <f t="shared" si="115"/>
        <v>0</v>
      </c>
      <c r="I125" s="58">
        <f t="shared" si="115"/>
        <v>59</v>
      </c>
      <c r="J125" s="58">
        <f t="shared" si="115"/>
        <v>0</v>
      </c>
      <c r="K125" s="58">
        <f t="shared" si="115"/>
        <v>0</v>
      </c>
      <c r="L125" s="58">
        <f t="shared" si="115"/>
        <v>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0" customHeight="1">
      <c r="A126" s="70"/>
      <c r="B126" s="71"/>
      <c r="C126" s="66"/>
      <c r="D126" s="66">
        <f t="shared" si="3"/>
        <v>0</v>
      </c>
      <c r="E126" s="67"/>
      <c r="F126" s="58">
        <f t="shared" ref="F126:L126" si="116">SUMIFS($C126,$B126,F$7)+F125</f>
        <v>0</v>
      </c>
      <c r="G126" s="58">
        <f t="shared" si="116"/>
        <v>0</v>
      </c>
      <c r="H126" s="58">
        <f t="shared" si="116"/>
        <v>0</v>
      </c>
      <c r="I126" s="58">
        <f t="shared" si="116"/>
        <v>59</v>
      </c>
      <c r="J126" s="58">
        <f t="shared" si="116"/>
        <v>0</v>
      </c>
      <c r="K126" s="58">
        <f t="shared" si="116"/>
        <v>0</v>
      </c>
      <c r="L126" s="58">
        <f t="shared" si="116"/>
        <v>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0" customHeight="1">
      <c r="A127" s="70"/>
      <c r="B127" s="71"/>
      <c r="C127" s="66"/>
      <c r="D127" s="66">
        <f t="shared" si="3"/>
        <v>0</v>
      </c>
      <c r="E127" s="67"/>
      <c r="F127" s="58">
        <f t="shared" ref="F127:L127" si="117">SUMIFS($C127,$B127,F$7)+F126</f>
        <v>0</v>
      </c>
      <c r="G127" s="58">
        <f t="shared" si="117"/>
        <v>0</v>
      </c>
      <c r="H127" s="58">
        <f t="shared" si="117"/>
        <v>0</v>
      </c>
      <c r="I127" s="58">
        <f t="shared" si="117"/>
        <v>59</v>
      </c>
      <c r="J127" s="58">
        <f t="shared" si="117"/>
        <v>0</v>
      </c>
      <c r="K127" s="58">
        <f t="shared" si="117"/>
        <v>0</v>
      </c>
      <c r="L127" s="58">
        <f t="shared" si="117"/>
        <v>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0" customHeight="1">
      <c r="A128" s="70"/>
      <c r="B128" s="71"/>
      <c r="C128" s="66"/>
      <c r="D128" s="66">
        <f t="shared" si="3"/>
        <v>0</v>
      </c>
      <c r="E128" s="67"/>
      <c r="F128" s="58">
        <f t="shared" ref="F128:L128" si="118">SUMIFS($C128,$B128,F$7)+F127</f>
        <v>0</v>
      </c>
      <c r="G128" s="58">
        <f t="shared" si="118"/>
        <v>0</v>
      </c>
      <c r="H128" s="58">
        <f t="shared" si="118"/>
        <v>0</v>
      </c>
      <c r="I128" s="58">
        <f t="shared" si="118"/>
        <v>59</v>
      </c>
      <c r="J128" s="58">
        <f t="shared" si="118"/>
        <v>0</v>
      </c>
      <c r="K128" s="58">
        <f t="shared" si="118"/>
        <v>0</v>
      </c>
      <c r="L128" s="58">
        <f t="shared" si="118"/>
        <v>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0" customHeight="1">
      <c r="A129" s="70"/>
      <c r="B129" s="71"/>
      <c r="C129" s="66"/>
      <c r="D129" s="66">
        <f t="shared" si="3"/>
        <v>0</v>
      </c>
      <c r="E129" s="67"/>
      <c r="F129" s="58">
        <f t="shared" ref="F129:L129" si="119">SUMIFS($C129,$B129,F$7)+F128</f>
        <v>0</v>
      </c>
      <c r="G129" s="58">
        <f t="shared" si="119"/>
        <v>0</v>
      </c>
      <c r="H129" s="58">
        <f t="shared" si="119"/>
        <v>0</v>
      </c>
      <c r="I129" s="58">
        <f t="shared" si="119"/>
        <v>59</v>
      </c>
      <c r="J129" s="58">
        <f t="shared" si="119"/>
        <v>0</v>
      </c>
      <c r="K129" s="58">
        <f t="shared" si="119"/>
        <v>0</v>
      </c>
      <c r="L129" s="58">
        <f t="shared" si="119"/>
        <v>0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0" customHeight="1">
      <c r="A130" s="70"/>
      <c r="B130" s="71"/>
      <c r="C130" s="66"/>
      <c r="D130" s="66">
        <f t="shared" si="3"/>
        <v>0</v>
      </c>
      <c r="E130" s="67"/>
      <c r="F130" s="58">
        <f t="shared" ref="F130:L130" si="120">SUMIFS($C130,$B130,F$7)+F129</f>
        <v>0</v>
      </c>
      <c r="G130" s="58">
        <f t="shared" si="120"/>
        <v>0</v>
      </c>
      <c r="H130" s="58">
        <f t="shared" si="120"/>
        <v>0</v>
      </c>
      <c r="I130" s="58">
        <f t="shared" si="120"/>
        <v>59</v>
      </c>
      <c r="J130" s="58">
        <f t="shared" si="120"/>
        <v>0</v>
      </c>
      <c r="K130" s="58">
        <f t="shared" si="120"/>
        <v>0</v>
      </c>
      <c r="L130" s="58">
        <f t="shared" si="120"/>
        <v>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0" customHeight="1">
      <c r="A131" s="70"/>
      <c r="B131" s="71"/>
      <c r="C131" s="66"/>
      <c r="D131" s="66">
        <f t="shared" si="3"/>
        <v>0</v>
      </c>
      <c r="E131" s="67"/>
      <c r="F131" s="58">
        <f t="shared" ref="F131:L131" si="121">SUMIFS($C131,$B131,F$7)+F130</f>
        <v>0</v>
      </c>
      <c r="G131" s="58">
        <f t="shared" si="121"/>
        <v>0</v>
      </c>
      <c r="H131" s="58">
        <f t="shared" si="121"/>
        <v>0</v>
      </c>
      <c r="I131" s="58">
        <f t="shared" si="121"/>
        <v>59</v>
      </c>
      <c r="J131" s="58">
        <f t="shared" si="121"/>
        <v>0</v>
      </c>
      <c r="K131" s="58">
        <f t="shared" si="121"/>
        <v>0</v>
      </c>
      <c r="L131" s="58">
        <f t="shared" si="121"/>
        <v>0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0" customHeight="1">
      <c r="A132" s="70"/>
      <c r="B132" s="71"/>
      <c r="C132" s="66"/>
      <c r="D132" s="66">
        <f t="shared" si="3"/>
        <v>0</v>
      </c>
      <c r="E132" s="67"/>
      <c r="F132" s="58">
        <f t="shared" ref="F132:L132" si="122">SUMIFS($C132,$B132,F$7)+F131</f>
        <v>0</v>
      </c>
      <c r="G132" s="58">
        <f t="shared" si="122"/>
        <v>0</v>
      </c>
      <c r="H132" s="58">
        <f t="shared" si="122"/>
        <v>0</v>
      </c>
      <c r="I132" s="58">
        <f t="shared" si="122"/>
        <v>59</v>
      </c>
      <c r="J132" s="58">
        <f t="shared" si="122"/>
        <v>0</v>
      </c>
      <c r="K132" s="58">
        <f t="shared" si="122"/>
        <v>0</v>
      </c>
      <c r="L132" s="58">
        <f t="shared" si="122"/>
        <v>0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0" customHeight="1">
      <c r="A133" s="70"/>
      <c r="B133" s="71"/>
      <c r="C133" s="66"/>
      <c r="D133" s="66">
        <f t="shared" si="3"/>
        <v>0</v>
      </c>
      <c r="E133" s="67"/>
      <c r="F133" s="58">
        <f t="shared" ref="F133:L133" si="123">SUMIFS($C133,$B133,F$7)+F132</f>
        <v>0</v>
      </c>
      <c r="G133" s="58">
        <f t="shared" si="123"/>
        <v>0</v>
      </c>
      <c r="H133" s="58">
        <f t="shared" si="123"/>
        <v>0</v>
      </c>
      <c r="I133" s="58">
        <f t="shared" si="123"/>
        <v>59</v>
      </c>
      <c r="J133" s="58">
        <f t="shared" si="123"/>
        <v>0</v>
      </c>
      <c r="K133" s="58">
        <f t="shared" si="123"/>
        <v>0</v>
      </c>
      <c r="L133" s="58">
        <f t="shared" si="123"/>
        <v>0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0" customHeight="1">
      <c r="A134" s="70"/>
      <c r="B134" s="71"/>
      <c r="C134" s="66"/>
      <c r="D134" s="66">
        <f t="shared" si="3"/>
        <v>0</v>
      </c>
      <c r="E134" s="67"/>
      <c r="F134" s="58">
        <f t="shared" ref="F134:L134" si="124">SUMIFS($C134,$B134,F$7)+F133</f>
        <v>0</v>
      </c>
      <c r="G134" s="58">
        <f t="shared" si="124"/>
        <v>0</v>
      </c>
      <c r="H134" s="58">
        <f t="shared" si="124"/>
        <v>0</v>
      </c>
      <c r="I134" s="58">
        <f t="shared" si="124"/>
        <v>59</v>
      </c>
      <c r="J134" s="58">
        <f t="shared" si="124"/>
        <v>0</v>
      </c>
      <c r="K134" s="58">
        <f t="shared" si="124"/>
        <v>0</v>
      </c>
      <c r="L134" s="58">
        <f t="shared" si="124"/>
        <v>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0" customHeight="1">
      <c r="A135" s="70"/>
      <c r="B135" s="71"/>
      <c r="C135" s="66"/>
      <c r="D135" s="66">
        <f t="shared" si="3"/>
        <v>0</v>
      </c>
      <c r="E135" s="67"/>
      <c r="F135" s="58">
        <f t="shared" ref="F135:L135" si="125">SUMIFS($C135,$B135,F$7)+F134</f>
        <v>0</v>
      </c>
      <c r="G135" s="58">
        <f t="shared" si="125"/>
        <v>0</v>
      </c>
      <c r="H135" s="58">
        <f t="shared" si="125"/>
        <v>0</v>
      </c>
      <c r="I135" s="58">
        <f t="shared" si="125"/>
        <v>59</v>
      </c>
      <c r="J135" s="58">
        <f t="shared" si="125"/>
        <v>0</v>
      </c>
      <c r="K135" s="58">
        <f t="shared" si="125"/>
        <v>0</v>
      </c>
      <c r="L135" s="58">
        <f t="shared" si="125"/>
        <v>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0" customHeight="1">
      <c r="A136" s="70"/>
      <c r="B136" s="71"/>
      <c r="C136" s="66"/>
      <c r="D136" s="66">
        <f t="shared" si="3"/>
        <v>0</v>
      </c>
      <c r="E136" s="67"/>
      <c r="F136" s="58">
        <f t="shared" ref="F136:L136" si="126">SUMIFS($C136,$B136,F$7)+F135</f>
        <v>0</v>
      </c>
      <c r="G136" s="58">
        <f t="shared" si="126"/>
        <v>0</v>
      </c>
      <c r="H136" s="58">
        <f t="shared" si="126"/>
        <v>0</v>
      </c>
      <c r="I136" s="58">
        <f t="shared" si="126"/>
        <v>59</v>
      </c>
      <c r="J136" s="58">
        <f t="shared" si="126"/>
        <v>0</v>
      </c>
      <c r="K136" s="58">
        <f t="shared" si="126"/>
        <v>0</v>
      </c>
      <c r="L136" s="58">
        <f t="shared" si="126"/>
        <v>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0" customHeight="1">
      <c r="A137" s="70"/>
      <c r="B137" s="71"/>
      <c r="C137" s="66"/>
      <c r="D137" s="66">
        <f t="shared" si="3"/>
        <v>0</v>
      </c>
      <c r="E137" s="67"/>
      <c r="F137" s="58">
        <f t="shared" ref="F137:L137" si="127">SUMIFS($C137,$B137,F$7)+F136</f>
        <v>0</v>
      </c>
      <c r="G137" s="58">
        <f t="shared" si="127"/>
        <v>0</v>
      </c>
      <c r="H137" s="58">
        <f t="shared" si="127"/>
        <v>0</v>
      </c>
      <c r="I137" s="58">
        <f t="shared" si="127"/>
        <v>59</v>
      </c>
      <c r="J137" s="58">
        <f t="shared" si="127"/>
        <v>0</v>
      </c>
      <c r="K137" s="58">
        <f t="shared" si="127"/>
        <v>0</v>
      </c>
      <c r="L137" s="58">
        <f t="shared" si="127"/>
        <v>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0" customHeight="1">
      <c r="A138" s="70"/>
      <c r="B138" s="71"/>
      <c r="C138" s="66"/>
      <c r="D138" s="66">
        <f t="shared" si="3"/>
        <v>0</v>
      </c>
      <c r="E138" s="67"/>
      <c r="F138" s="58">
        <f t="shared" ref="F138:L138" si="128">SUMIFS($C138,$B138,F$7)+F137</f>
        <v>0</v>
      </c>
      <c r="G138" s="58">
        <f t="shared" si="128"/>
        <v>0</v>
      </c>
      <c r="H138" s="58">
        <f t="shared" si="128"/>
        <v>0</v>
      </c>
      <c r="I138" s="58">
        <f t="shared" si="128"/>
        <v>59</v>
      </c>
      <c r="J138" s="58">
        <f t="shared" si="128"/>
        <v>0</v>
      </c>
      <c r="K138" s="58">
        <f t="shared" si="128"/>
        <v>0</v>
      </c>
      <c r="L138" s="58">
        <f t="shared" si="128"/>
        <v>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0" customHeight="1">
      <c r="A139" s="70"/>
      <c r="B139" s="71"/>
      <c r="C139" s="66"/>
      <c r="D139" s="66">
        <f t="shared" si="3"/>
        <v>0</v>
      </c>
      <c r="E139" s="67"/>
      <c r="F139" s="58">
        <f t="shared" ref="F139:L139" si="129">SUMIFS($C139,$B139,F$7)+F138</f>
        <v>0</v>
      </c>
      <c r="G139" s="58">
        <f t="shared" si="129"/>
        <v>0</v>
      </c>
      <c r="H139" s="58">
        <f t="shared" si="129"/>
        <v>0</v>
      </c>
      <c r="I139" s="58">
        <f t="shared" si="129"/>
        <v>59</v>
      </c>
      <c r="J139" s="58">
        <f t="shared" si="129"/>
        <v>0</v>
      </c>
      <c r="K139" s="58">
        <f t="shared" si="129"/>
        <v>0</v>
      </c>
      <c r="L139" s="58">
        <f t="shared" si="129"/>
        <v>0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0" customHeight="1">
      <c r="A140" s="70"/>
      <c r="B140" s="71"/>
      <c r="C140" s="66"/>
      <c r="D140" s="66">
        <f t="shared" si="3"/>
        <v>0</v>
      </c>
      <c r="E140" s="67"/>
      <c r="F140" s="58">
        <f t="shared" ref="F140:L140" si="130">SUMIFS($C140,$B140,F$7)+F139</f>
        <v>0</v>
      </c>
      <c r="G140" s="58">
        <f t="shared" si="130"/>
        <v>0</v>
      </c>
      <c r="H140" s="58">
        <f t="shared" si="130"/>
        <v>0</v>
      </c>
      <c r="I140" s="58">
        <f t="shared" si="130"/>
        <v>59</v>
      </c>
      <c r="J140" s="58">
        <f t="shared" si="130"/>
        <v>0</v>
      </c>
      <c r="K140" s="58">
        <f t="shared" si="130"/>
        <v>0</v>
      </c>
      <c r="L140" s="58">
        <f t="shared" si="130"/>
        <v>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0" customHeight="1">
      <c r="A141" s="70"/>
      <c r="B141" s="71"/>
      <c r="C141" s="66"/>
      <c r="D141" s="66">
        <f t="shared" si="3"/>
        <v>0</v>
      </c>
      <c r="E141" s="67"/>
      <c r="F141" s="58">
        <f t="shared" ref="F141:L141" si="131">SUMIFS($C141,$B141,F$7)+F140</f>
        <v>0</v>
      </c>
      <c r="G141" s="58">
        <f t="shared" si="131"/>
        <v>0</v>
      </c>
      <c r="H141" s="58">
        <f t="shared" si="131"/>
        <v>0</v>
      </c>
      <c r="I141" s="58">
        <f t="shared" si="131"/>
        <v>59</v>
      </c>
      <c r="J141" s="58">
        <f t="shared" si="131"/>
        <v>0</v>
      </c>
      <c r="K141" s="58">
        <f t="shared" si="131"/>
        <v>0</v>
      </c>
      <c r="L141" s="58">
        <f t="shared" si="131"/>
        <v>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0" customHeight="1">
      <c r="A142" s="70"/>
      <c r="B142" s="71"/>
      <c r="C142" s="66"/>
      <c r="D142" s="66">
        <f t="shared" si="3"/>
        <v>0</v>
      </c>
      <c r="E142" s="67"/>
      <c r="F142" s="58">
        <f t="shared" ref="F142:L142" si="132">SUMIFS($C142,$B142,F$7)+F141</f>
        <v>0</v>
      </c>
      <c r="G142" s="58">
        <f t="shared" si="132"/>
        <v>0</v>
      </c>
      <c r="H142" s="58">
        <f t="shared" si="132"/>
        <v>0</v>
      </c>
      <c r="I142" s="58">
        <f t="shared" si="132"/>
        <v>59</v>
      </c>
      <c r="J142" s="58">
        <f t="shared" si="132"/>
        <v>0</v>
      </c>
      <c r="K142" s="58">
        <f t="shared" si="132"/>
        <v>0</v>
      </c>
      <c r="L142" s="58">
        <f t="shared" si="132"/>
        <v>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0" customHeight="1">
      <c r="A143" s="70"/>
      <c r="B143" s="71"/>
      <c r="C143" s="66"/>
      <c r="D143" s="66">
        <f t="shared" si="3"/>
        <v>0</v>
      </c>
      <c r="E143" s="67"/>
      <c r="F143" s="58">
        <f t="shared" ref="F143:L143" si="133">SUMIFS($C143,$B143,F$7)+F142</f>
        <v>0</v>
      </c>
      <c r="G143" s="58">
        <f t="shared" si="133"/>
        <v>0</v>
      </c>
      <c r="H143" s="58">
        <f t="shared" si="133"/>
        <v>0</v>
      </c>
      <c r="I143" s="58">
        <f t="shared" si="133"/>
        <v>59</v>
      </c>
      <c r="J143" s="58">
        <f t="shared" si="133"/>
        <v>0</v>
      </c>
      <c r="K143" s="58">
        <f t="shared" si="133"/>
        <v>0</v>
      </c>
      <c r="L143" s="58">
        <f t="shared" si="133"/>
        <v>0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0" customHeight="1">
      <c r="A144" s="70"/>
      <c r="B144" s="71"/>
      <c r="C144" s="66"/>
      <c r="D144" s="66">
        <f t="shared" si="3"/>
        <v>0</v>
      </c>
      <c r="E144" s="67"/>
      <c r="F144" s="58">
        <f t="shared" ref="F144:L144" si="134">SUMIFS($C144,$B144,F$7)+F143</f>
        <v>0</v>
      </c>
      <c r="G144" s="58">
        <f t="shared" si="134"/>
        <v>0</v>
      </c>
      <c r="H144" s="58">
        <f t="shared" si="134"/>
        <v>0</v>
      </c>
      <c r="I144" s="58">
        <f t="shared" si="134"/>
        <v>59</v>
      </c>
      <c r="J144" s="58">
        <f t="shared" si="134"/>
        <v>0</v>
      </c>
      <c r="K144" s="58">
        <f t="shared" si="134"/>
        <v>0</v>
      </c>
      <c r="L144" s="58">
        <f t="shared" si="134"/>
        <v>0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0" customHeight="1">
      <c r="A145" s="70"/>
      <c r="B145" s="71"/>
      <c r="C145" s="66"/>
      <c r="D145" s="66">
        <f t="shared" si="3"/>
        <v>0</v>
      </c>
      <c r="E145" s="67"/>
      <c r="F145" s="58">
        <f t="shared" ref="F145:L145" si="135">SUMIFS($C145,$B145,F$7)+F144</f>
        <v>0</v>
      </c>
      <c r="G145" s="58">
        <f t="shared" si="135"/>
        <v>0</v>
      </c>
      <c r="H145" s="58">
        <f t="shared" si="135"/>
        <v>0</v>
      </c>
      <c r="I145" s="58">
        <f t="shared" si="135"/>
        <v>59</v>
      </c>
      <c r="J145" s="58">
        <f t="shared" si="135"/>
        <v>0</v>
      </c>
      <c r="K145" s="58">
        <f t="shared" si="135"/>
        <v>0</v>
      </c>
      <c r="L145" s="58">
        <f t="shared" si="135"/>
        <v>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0" customHeight="1">
      <c r="A146" s="70"/>
      <c r="B146" s="71"/>
      <c r="C146" s="66"/>
      <c r="D146" s="66">
        <f t="shared" si="3"/>
        <v>0</v>
      </c>
      <c r="E146" s="67"/>
      <c r="F146" s="58">
        <f t="shared" ref="F146:L146" si="136">SUMIFS($C146,$B146,F$7)+F145</f>
        <v>0</v>
      </c>
      <c r="G146" s="58">
        <f t="shared" si="136"/>
        <v>0</v>
      </c>
      <c r="H146" s="58">
        <f t="shared" si="136"/>
        <v>0</v>
      </c>
      <c r="I146" s="58">
        <f t="shared" si="136"/>
        <v>59</v>
      </c>
      <c r="J146" s="58">
        <f t="shared" si="136"/>
        <v>0</v>
      </c>
      <c r="K146" s="58">
        <f t="shared" si="136"/>
        <v>0</v>
      </c>
      <c r="L146" s="58">
        <f t="shared" si="136"/>
        <v>0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0" customHeight="1">
      <c r="A147" s="70"/>
      <c r="B147" s="71"/>
      <c r="C147" s="66"/>
      <c r="D147" s="66">
        <f t="shared" si="3"/>
        <v>0</v>
      </c>
      <c r="E147" s="67"/>
      <c r="F147" s="58">
        <f t="shared" ref="F147:L147" si="137">SUMIFS($C147,$B147,F$7)+F146</f>
        <v>0</v>
      </c>
      <c r="G147" s="58">
        <f t="shared" si="137"/>
        <v>0</v>
      </c>
      <c r="H147" s="58">
        <f t="shared" si="137"/>
        <v>0</v>
      </c>
      <c r="I147" s="58">
        <f t="shared" si="137"/>
        <v>59</v>
      </c>
      <c r="J147" s="58">
        <f t="shared" si="137"/>
        <v>0</v>
      </c>
      <c r="K147" s="58">
        <f t="shared" si="137"/>
        <v>0</v>
      </c>
      <c r="L147" s="58">
        <f t="shared" si="137"/>
        <v>0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0" customHeight="1">
      <c r="A148" s="70"/>
      <c r="B148" s="71"/>
      <c r="C148" s="66"/>
      <c r="D148" s="66">
        <f t="shared" si="3"/>
        <v>0</v>
      </c>
      <c r="E148" s="67"/>
      <c r="F148" s="58">
        <f t="shared" ref="F148:L148" si="138">SUMIFS($C148,$B148,F$7)+F147</f>
        <v>0</v>
      </c>
      <c r="G148" s="58">
        <f t="shared" si="138"/>
        <v>0</v>
      </c>
      <c r="H148" s="58">
        <f t="shared" si="138"/>
        <v>0</v>
      </c>
      <c r="I148" s="58">
        <f t="shared" si="138"/>
        <v>59</v>
      </c>
      <c r="J148" s="58">
        <f t="shared" si="138"/>
        <v>0</v>
      </c>
      <c r="K148" s="58">
        <f t="shared" si="138"/>
        <v>0</v>
      </c>
      <c r="L148" s="58">
        <f t="shared" si="138"/>
        <v>0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0" customHeight="1">
      <c r="A149" s="70"/>
      <c r="B149" s="71"/>
      <c r="C149" s="66"/>
      <c r="D149" s="66">
        <f t="shared" si="3"/>
        <v>0</v>
      </c>
      <c r="E149" s="67"/>
      <c r="F149" s="58">
        <f t="shared" ref="F149:L149" si="139">SUMIFS($C149,$B149,F$7)+F148</f>
        <v>0</v>
      </c>
      <c r="G149" s="58">
        <f t="shared" si="139"/>
        <v>0</v>
      </c>
      <c r="H149" s="58">
        <f t="shared" si="139"/>
        <v>0</v>
      </c>
      <c r="I149" s="58">
        <f t="shared" si="139"/>
        <v>59</v>
      </c>
      <c r="J149" s="58">
        <f t="shared" si="139"/>
        <v>0</v>
      </c>
      <c r="K149" s="58">
        <f t="shared" si="139"/>
        <v>0</v>
      </c>
      <c r="L149" s="58">
        <f t="shared" si="139"/>
        <v>0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0" customHeight="1">
      <c r="A150" s="70"/>
      <c r="B150" s="71"/>
      <c r="C150" s="66"/>
      <c r="D150" s="66">
        <f t="shared" si="3"/>
        <v>0</v>
      </c>
      <c r="E150" s="67"/>
      <c r="F150" s="58">
        <f t="shared" ref="F150:L150" si="140">SUMIFS($C150,$B150,F$7)+F149</f>
        <v>0</v>
      </c>
      <c r="G150" s="58">
        <f t="shared" si="140"/>
        <v>0</v>
      </c>
      <c r="H150" s="58">
        <f t="shared" si="140"/>
        <v>0</v>
      </c>
      <c r="I150" s="58">
        <f t="shared" si="140"/>
        <v>59</v>
      </c>
      <c r="J150" s="58">
        <f t="shared" si="140"/>
        <v>0</v>
      </c>
      <c r="K150" s="58">
        <f t="shared" si="140"/>
        <v>0</v>
      </c>
      <c r="L150" s="58">
        <f t="shared" si="140"/>
        <v>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0" customHeight="1">
      <c r="A151" s="70"/>
      <c r="B151" s="71"/>
      <c r="C151" s="66"/>
      <c r="D151" s="66">
        <f t="shared" si="3"/>
        <v>0</v>
      </c>
      <c r="E151" s="67"/>
      <c r="F151" s="58">
        <f t="shared" ref="F151:L151" si="141">SUMIFS($C151,$B151,F$7)+F150</f>
        <v>0</v>
      </c>
      <c r="G151" s="58">
        <f t="shared" si="141"/>
        <v>0</v>
      </c>
      <c r="H151" s="58">
        <f t="shared" si="141"/>
        <v>0</v>
      </c>
      <c r="I151" s="58">
        <f t="shared" si="141"/>
        <v>59</v>
      </c>
      <c r="J151" s="58">
        <f t="shared" si="141"/>
        <v>0</v>
      </c>
      <c r="K151" s="58">
        <f t="shared" si="141"/>
        <v>0</v>
      </c>
      <c r="L151" s="58">
        <f t="shared" si="141"/>
        <v>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0" customHeight="1">
      <c r="A152" s="70"/>
      <c r="B152" s="71"/>
      <c r="C152" s="66"/>
      <c r="D152" s="66">
        <f t="shared" si="3"/>
        <v>0</v>
      </c>
      <c r="E152" s="67"/>
      <c r="F152" s="58">
        <f t="shared" ref="F152:L152" si="142">SUMIFS($C152,$B152,F$7)+F151</f>
        <v>0</v>
      </c>
      <c r="G152" s="58">
        <f t="shared" si="142"/>
        <v>0</v>
      </c>
      <c r="H152" s="58">
        <f t="shared" si="142"/>
        <v>0</v>
      </c>
      <c r="I152" s="58">
        <f t="shared" si="142"/>
        <v>59</v>
      </c>
      <c r="J152" s="58">
        <f t="shared" si="142"/>
        <v>0</v>
      </c>
      <c r="K152" s="58">
        <f t="shared" si="142"/>
        <v>0</v>
      </c>
      <c r="L152" s="58">
        <f t="shared" si="142"/>
        <v>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0" customHeight="1">
      <c r="A153" s="70"/>
      <c r="B153" s="71"/>
      <c r="C153" s="66"/>
      <c r="D153" s="66">
        <f t="shared" si="3"/>
        <v>0</v>
      </c>
      <c r="E153" s="67"/>
      <c r="F153" s="58">
        <f t="shared" ref="F153:L153" si="143">SUMIFS($C153,$B153,F$7)+F152</f>
        <v>0</v>
      </c>
      <c r="G153" s="58">
        <f t="shared" si="143"/>
        <v>0</v>
      </c>
      <c r="H153" s="58">
        <f t="shared" si="143"/>
        <v>0</v>
      </c>
      <c r="I153" s="58">
        <f t="shared" si="143"/>
        <v>59</v>
      </c>
      <c r="J153" s="58">
        <f t="shared" si="143"/>
        <v>0</v>
      </c>
      <c r="K153" s="58">
        <f t="shared" si="143"/>
        <v>0</v>
      </c>
      <c r="L153" s="58">
        <f t="shared" si="143"/>
        <v>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0" customHeight="1">
      <c r="A154" s="70"/>
      <c r="B154" s="71"/>
      <c r="C154" s="66"/>
      <c r="D154" s="66">
        <f t="shared" si="3"/>
        <v>0</v>
      </c>
      <c r="E154" s="67"/>
      <c r="F154" s="58">
        <f t="shared" ref="F154:L154" si="144">SUMIFS($C154,$B154,F$7)+F153</f>
        <v>0</v>
      </c>
      <c r="G154" s="58">
        <f t="shared" si="144"/>
        <v>0</v>
      </c>
      <c r="H154" s="58">
        <f t="shared" si="144"/>
        <v>0</v>
      </c>
      <c r="I154" s="58">
        <f t="shared" si="144"/>
        <v>59</v>
      </c>
      <c r="J154" s="58">
        <f t="shared" si="144"/>
        <v>0</v>
      </c>
      <c r="K154" s="58">
        <f t="shared" si="144"/>
        <v>0</v>
      </c>
      <c r="L154" s="58">
        <f t="shared" si="144"/>
        <v>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0" customHeight="1">
      <c r="A155" s="70"/>
      <c r="B155" s="71"/>
      <c r="C155" s="66"/>
      <c r="D155" s="66">
        <f t="shared" si="3"/>
        <v>0</v>
      </c>
      <c r="E155" s="67"/>
      <c r="F155" s="58">
        <f t="shared" ref="F155:L155" si="145">SUMIFS($C155,$B155,F$7)+F154</f>
        <v>0</v>
      </c>
      <c r="G155" s="58">
        <f t="shared" si="145"/>
        <v>0</v>
      </c>
      <c r="H155" s="58">
        <f t="shared" si="145"/>
        <v>0</v>
      </c>
      <c r="I155" s="58">
        <f t="shared" si="145"/>
        <v>59</v>
      </c>
      <c r="J155" s="58">
        <f t="shared" si="145"/>
        <v>0</v>
      </c>
      <c r="K155" s="58">
        <f t="shared" si="145"/>
        <v>0</v>
      </c>
      <c r="L155" s="58">
        <f t="shared" si="145"/>
        <v>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0" customHeight="1">
      <c r="A156" s="70"/>
      <c r="B156" s="71"/>
      <c r="C156" s="66"/>
      <c r="D156" s="66">
        <f t="shared" si="3"/>
        <v>0</v>
      </c>
      <c r="E156" s="67"/>
      <c r="F156" s="58">
        <f t="shared" ref="F156:L156" si="146">SUMIFS($C156,$B156,F$7)+F155</f>
        <v>0</v>
      </c>
      <c r="G156" s="58">
        <f t="shared" si="146"/>
        <v>0</v>
      </c>
      <c r="H156" s="58">
        <f t="shared" si="146"/>
        <v>0</v>
      </c>
      <c r="I156" s="58">
        <f t="shared" si="146"/>
        <v>59</v>
      </c>
      <c r="J156" s="58">
        <f t="shared" si="146"/>
        <v>0</v>
      </c>
      <c r="K156" s="58">
        <f t="shared" si="146"/>
        <v>0</v>
      </c>
      <c r="L156" s="58">
        <f t="shared" si="146"/>
        <v>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0" customHeight="1">
      <c r="A157" s="70"/>
      <c r="B157" s="71"/>
      <c r="C157" s="66"/>
      <c r="D157" s="66">
        <f t="shared" si="3"/>
        <v>0</v>
      </c>
      <c r="E157" s="67"/>
      <c r="F157" s="58">
        <f t="shared" ref="F157:L157" si="147">SUMIFS($C157,$B157,F$7)+F156</f>
        <v>0</v>
      </c>
      <c r="G157" s="58">
        <f t="shared" si="147"/>
        <v>0</v>
      </c>
      <c r="H157" s="58">
        <f t="shared" si="147"/>
        <v>0</v>
      </c>
      <c r="I157" s="58">
        <f t="shared" si="147"/>
        <v>59</v>
      </c>
      <c r="J157" s="58">
        <f t="shared" si="147"/>
        <v>0</v>
      </c>
      <c r="K157" s="58">
        <f t="shared" si="147"/>
        <v>0</v>
      </c>
      <c r="L157" s="58">
        <f t="shared" si="147"/>
        <v>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0" customHeight="1">
      <c r="A158" s="70"/>
      <c r="B158" s="71"/>
      <c r="C158" s="66"/>
      <c r="D158" s="66">
        <f t="shared" si="3"/>
        <v>0</v>
      </c>
      <c r="E158" s="67"/>
      <c r="F158" s="58">
        <f t="shared" ref="F158:L158" si="148">SUMIFS($C158,$B158,F$7)+F157</f>
        <v>0</v>
      </c>
      <c r="G158" s="58">
        <f t="shared" si="148"/>
        <v>0</v>
      </c>
      <c r="H158" s="58">
        <f t="shared" si="148"/>
        <v>0</v>
      </c>
      <c r="I158" s="58">
        <f t="shared" si="148"/>
        <v>59</v>
      </c>
      <c r="J158" s="58">
        <f t="shared" si="148"/>
        <v>0</v>
      </c>
      <c r="K158" s="58">
        <f t="shared" si="148"/>
        <v>0</v>
      </c>
      <c r="L158" s="58">
        <f t="shared" si="148"/>
        <v>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0" customHeight="1">
      <c r="A159" s="70"/>
      <c r="B159" s="71"/>
      <c r="C159" s="66"/>
      <c r="D159" s="66">
        <f t="shared" si="3"/>
        <v>0</v>
      </c>
      <c r="E159" s="67"/>
      <c r="F159" s="58">
        <f t="shared" ref="F159:L159" si="149">SUMIFS($C159,$B159,F$7)+F158</f>
        <v>0</v>
      </c>
      <c r="G159" s="58">
        <f t="shared" si="149"/>
        <v>0</v>
      </c>
      <c r="H159" s="58">
        <f t="shared" si="149"/>
        <v>0</v>
      </c>
      <c r="I159" s="58">
        <f t="shared" si="149"/>
        <v>59</v>
      </c>
      <c r="J159" s="58">
        <f t="shared" si="149"/>
        <v>0</v>
      </c>
      <c r="K159" s="58">
        <f t="shared" si="149"/>
        <v>0</v>
      </c>
      <c r="L159" s="58">
        <f t="shared" si="149"/>
        <v>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0" customHeight="1">
      <c r="A160" s="70"/>
      <c r="B160" s="71"/>
      <c r="C160" s="66"/>
      <c r="D160" s="66">
        <f t="shared" si="3"/>
        <v>0</v>
      </c>
      <c r="E160" s="67"/>
      <c r="F160" s="58">
        <f t="shared" ref="F160:L160" si="150">SUMIFS($C160,$B160,F$7)+F159</f>
        <v>0</v>
      </c>
      <c r="G160" s="58">
        <f t="shared" si="150"/>
        <v>0</v>
      </c>
      <c r="H160" s="58">
        <f t="shared" si="150"/>
        <v>0</v>
      </c>
      <c r="I160" s="58">
        <f t="shared" si="150"/>
        <v>59</v>
      </c>
      <c r="J160" s="58">
        <f t="shared" si="150"/>
        <v>0</v>
      </c>
      <c r="K160" s="58">
        <f t="shared" si="150"/>
        <v>0</v>
      </c>
      <c r="L160" s="58">
        <f t="shared" si="150"/>
        <v>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0" customHeight="1">
      <c r="A161" s="70"/>
      <c r="B161" s="71"/>
      <c r="C161" s="66"/>
      <c r="D161" s="66">
        <f t="shared" si="3"/>
        <v>0</v>
      </c>
      <c r="E161" s="67"/>
      <c r="F161" s="58">
        <f t="shared" ref="F161:L161" si="151">SUMIFS($C161,$B161,F$7)+F160</f>
        <v>0</v>
      </c>
      <c r="G161" s="58">
        <f t="shared" si="151"/>
        <v>0</v>
      </c>
      <c r="H161" s="58">
        <f t="shared" si="151"/>
        <v>0</v>
      </c>
      <c r="I161" s="58">
        <f t="shared" si="151"/>
        <v>59</v>
      </c>
      <c r="J161" s="58">
        <f t="shared" si="151"/>
        <v>0</v>
      </c>
      <c r="K161" s="58">
        <f t="shared" si="151"/>
        <v>0</v>
      </c>
      <c r="L161" s="58">
        <f t="shared" si="151"/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0" customHeight="1">
      <c r="A162" s="70"/>
      <c r="B162" s="71"/>
      <c r="C162" s="66"/>
      <c r="D162" s="66">
        <f t="shared" si="3"/>
        <v>0</v>
      </c>
      <c r="E162" s="67"/>
      <c r="F162" s="58">
        <f t="shared" ref="F162:L162" si="152">SUMIFS($C162,$B162,F$7)+F161</f>
        <v>0</v>
      </c>
      <c r="G162" s="58">
        <f t="shared" si="152"/>
        <v>0</v>
      </c>
      <c r="H162" s="58">
        <f t="shared" si="152"/>
        <v>0</v>
      </c>
      <c r="I162" s="58">
        <f t="shared" si="152"/>
        <v>59</v>
      </c>
      <c r="J162" s="58">
        <f t="shared" si="152"/>
        <v>0</v>
      </c>
      <c r="K162" s="58">
        <f t="shared" si="152"/>
        <v>0</v>
      </c>
      <c r="L162" s="58">
        <f t="shared" si="152"/>
        <v>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0" customHeight="1">
      <c r="A163" s="70"/>
      <c r="B163" s="71"/>
      <c r="C163" s="66"/>
      <c r="D163" s="66">
        <f t="shared" si="3"/>
        <v>0</v>
      </c>
      <c r="E163" s="67"/>
      <c r="F163" s="58">
        <f t="shared" ref="F163:L163" si="153">SUMIFS($C163,$B163,F$7)+F162</f>
        <v>0</v>
      </c>
      <c r="G163" s="58">
        <f t="shared" si="153"/>
        <v>0</v>
      </c>
      <c r="H163" s="58">
        <f t="shared" si="153"/>
        <v>0</v>
      </c>
      <c r="I163" s="58">
        <f t="shared" si="153"/>
        <v>59</v>
      </c>
      <c r="J163" s="58">
        <f t="shared" si="153"/>
        <v>0</v>
      </c>
      <c r="K163" s="58">
        <f t="shared" si="153"/>
        <v>0</v>
      </c>
      <c r="L163" s="58">
        <f t="shared" si="153"/>
        <v>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0" customHeight="1">
      <c r="A164" s="70"/>
      <c r="B164" s="71"/>
      <c r="C164" s="66"/>
      <c r="D164" s="66">
        <f t="shared" si="3"/>
        <v>0</v>
      </c>
      <c r="E164" s="67"/>
      <c r="F164" s="58">
        <f t="shared" ref="F164:L164" si="154">SUMIFS($C164,$B164,F$7)+F163</f>
        <v>0</v>
      </c>
      <c r="G164" s="58">
        <f t="shared" si="154"/>
        <v>0</v>
      </c>
      <c r="H164" s="58">
        <f t="shared" si="154"/>
        <v>0</v>
      </c>
      <c r="I164" s="58">
        <f t="shared" si="154"/>
        <v>59</v>
      </c>
      <c r="J164" s="58">
        <f t="shared" si="154"/>
        <v>0</v>
      </c>
      <c r="K164" s="58">
        <f t="shared" si="154"/>
        <v>0</v>
      </c>
      <c r="L164" s="58">
        <f t="shared" si="154"/>
        <v>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0" customHeight="1">
      <c r="A165" s="70"/>
      <c r="B165" s="71"/>
      <c r="C165" s="66"/>
      <c r="D165" s="66">
        <f t="shared" si="3"/>
        <v>0</v>
      </c>
      <c r="E165" s="67"/>
      <c r="F165" s="58">
        <f t="shared" ref="F165:L165" si="155">SUMIFS($C165,$B165,F$7)+F164</f>
        <v>0</v>
      </c>
      <c r="G165" s="58">
        <f t="shared" si="155"/>
        <v>0</v>
      </c>
      <c r="H165" s="58">
        <f t="shared" si="155"/>
        <v>0</v>
      </c>
      <c r="I165" s="58">
        <f t="shared" si="155"/>
        <v>59</v>
      </c>
      <c r="J165" s="58">
        <f t="shared" si="155"/>
        <v>0</v>
      </c>
      <c r="K165" s="58">
        <f t="shared" si="155"/>
        <v>0</v>
      </c>
      <c r="L165" s="58">
        <f t="shared" si="155"/>
        <v>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0" customHeight="1">
      <c r="A166" s="70"/>
      <c r="B166" s="71"/>
      <c r="C166" s="66"/>
      <c r="D166" s="66">
        <f t="shared" si="3"/>
        <v>0</v>
      </c>
      <c r="E166" s="67"/>
      <c r="F166" s="58">
        <f t="shared" ref="F166:L166" si="156">SUMIFS($C166,$B166,F$7)+F165</f>
        <v>0</v>
      </c>
      <c r="G166" s="58">
        <f t="shared" si="156"/>
        <v>0</v>
      </c>
      <c r="H166" s="58">
        <f t="shared" si="156"/>
        <v>0</v>
      </c>
      <c r="I166" s="58">
        <f t="shared" si="156"/>
        <v>59</v>
      </c>
      <c r="J166" s="58">
        <f t="shared" si="156"/>
        <v>0</v>
      </c>
      <c r="K166" s="58">
        <f t="shared" si="156"/>
        <v>0</v>
      </c>
      <c r="L166" s="58">
        <f t="shared" si="156"/>
        <v>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0" customHeight="1">
      <c r="A167" s="70"/>
      <c r="B167" s="71"/>
      <c r="C167" s="66"/>
      <c r="D167" s="66">
        <f t="shared" si="3"/>
        <v>0</v>
      </c>
      <c r="E167" s="67"/>
      <c r="F167" s="58">
        <f t="shared" ref="F167:L167" si="157">SUMIFS($C167,$B167,F$7)+F166</f>
        <v>0</v>
      </c>
      <c r="G167" s="58">
        <f t="shared" si="157"/>
        <v>0</v>
      </c>
      <c r="H167" s="58">
        <f t="shared" si="157"/>
        <v>0</v>
      </c>
      <c r="I167" s="58">
        <f t="shared" si="157"/>
        <v>59</v>
      </c>
      <c r="J167" s="58">
        <f t="shared" si="157"/>
        <v>0</v>
      </c>
      <c r="K167" s="58">
        <f t="shared" si="157"/>
        <v>0</v>
      </c>
      <c r="L167" s="58">
        <f t="shared" si="157"/>
        <v>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0" customHeight="1">
      <c r="A168" s="70"/>
      <c r="B168" s="71"/>
      <c r="C168" s="66"/>
      <c r="D168" s="66">
        <f t="shared" si="3"/>
        <v>0</v>
      </c>
      <c r="E168" s="67"/>
      <c r="F168" s="58">
        <f t="shared" ref="F168:L168" si="158">SUMIFS($C168,$B168,F$7)+F167</f>
        <v>0</v>
      </c>
      <c r="G168" s="58">
        <f t="shared" si="158"/>
        <v>0</v>
      </c>
      <c r="H168" s="58">
        <f t="shared" si="158"/>
        <v>0</v>
      </c>
      <c r="I168" s="58">
        <f t="shared" si="158"/>
        <v>59</v>
      </c>
      <c r="J168" s="58">
        <f t="shared" si="158"/>
        <v>0</v>
      </c>
      <c r="K168" s="58">
        <f t="shared" si="158"/>
        <v>0</v>
      </c>
      <c r="L168" s="58">
        <f t="shared" si="158"/>
        <v>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0" customHeight="1">
      <c r="A169" s="70"/>
      <c r="B169" s="71"/>
      <c r="C169" s="66"/>
      <c r="D169" s="66">
        <f t="shared" si="3"/>
        <v>0</v>
      </c>
      <c r="E169" s="67"/>
      <c r="F169" s="58">
        <f t="shared" ref="F169:L169" si="159">SUMIFS($C169,$B169,F$7)+F168</f>
        <v>0</v>
      </c>
      <c r="G169" s="58">
        <f t="shared" si="159"/>
        <v>0</v>
      </c>
      <c r="H169" s="58">
        <f t="shared" si="159"/>
        <v>0</v>
      </c>
      <c r="I169" s="58">
        <f t="shared" si="159"/>
        <v>59</v>
      </c>
      <c r="J169" s="58">
        <f t="shared" si="159"/>
        <v>0</v>
      </c>
      <c r="K169" s="58">
        <f t="shared" si="159"/>
        <v>0</v>
      </c>
      <c r="L169" s="58">
        <f t="shared" si="159"/>
        <v>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0" customHeight="1">
      <c r="A170" s="70"/>
      <c r="B170" s="71"/>
      <c r="C170" s="66"/>
      <c r="D170" s="66">
        <f t="shared" si="3"/>
        <v>0</v>
      </c>
      <c r="E170" s="67"/>
      <c r="F170" s="58">
        <f t="shared" ref="F170:L170" si="160">SUMIFS($C170,$B170,F$7)+F169</f>
        <v>0</v>
      </c>
      <c r="G170" s="58">
        <f t="shared" si="160"/>
        <v>0</v>
      </c>
      <c r="H170" s="58">
        <f t="shared" si="160"/>
        <v>0</v>
      </c>
      <c r="I170" s="58">
        <f t="shared" si="160"/>
        <v>59</v>
      </c>
      <c r="J170" s="58">
        <f t="shared" si="160"/>
        <v>0</v>
      </c>
      <c r="K170" s="58">
        <f t="shared" si="160"/>
        <v>0</v>
      </c>
      <c r="L170" s="58">
        <f t="shared" si="160"/>
        <v>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0" customHeight="1">
      <c r="A171" s="70"/>
      <c r="B171" s="71"/>
      <c r="C171" s="66"/>
      <c r="D171" s="66">
        <f t="shared" si="3"/>
        <v>0</v>
      </c>
      <c r="E171" s="67"/>
      <c r="F171" s="58">
        <f t="shared" ref="F171:L171" si="161">SUMIFS($C171,$B171,F$7)+F170</f>
        <v>0</v>
      </c>
      <c r="G171" s="58">
        <f t="shared" si="161"/>
        <v>0</v>
      </c>
      <c r="H171" s="58">
        <f t="shared" si="161"/>
        <v>0</v>
      </c>
      <c r="I171" s="58">
        <f t="shared" si="161"/>
        <v>59</v>
      </c>
      <c r="J171" s="58">
        <f t="shared" si="161"/>
        <v>0</v>
      </c>
      <c r="K171" s="58">
        <f t="shared" si="161"/>
        <v>0</v>
      </c>
      <c r="L171" s="58">
        <f t="shared" si="161"/>
        <v>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0" customHeight="1">
      <c r="A172" s="70"/>
      <c r="B172" s="71"/>
      <c r="C172" s="66"/>
      <c r="D172" s="66">
        <f t="shared" si="3"/>
        <v>0</v>
      </c>
      <c r="E172" s="67"/>
      <c r="F172" s="58">
        <f t="shared" ref="F172:L172" si="162">SUMIFS($C172,$B172,F$7)+F171</f>
        <v>0</v>
      </c>
      <c r="G172" s="58">
        <f t="shared" si="162"/>
        <v>0</v>
      </c>
      <c r="H172" s="58">
        <f t="shared" si="162"/>
        <v>0</v>
      </c>
      <c r="I172" s="58">
        <f t="shared" si="162"/>
        <v>59</v>
      </c>
      <c r="J172" s="58">
        <f t="shared" si="162"/>
        <v>0</v>
      </c>
      <c r="K172" s="58">
        <f t="shared" si="162"/>
        <v>0</v>
      </c>
      <c r="L172" s="58">
        <f t="shared" si="162"/>
        <v>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0" customHeight="1">
      <c r="A173" s="70"/>
      <c r="B173" s="71"/>
      <c r="C173" s="66"/>
      <c r="D173" s="66">
        <f t="shared" si="3"/>
        <v>0</v>
      </c>
      <c r="E173" s="67"/>
      <c r="F173" s="58">
        <f t="shared" ref="F173:L173" si="163">SUMIFS($C173,$B173,F$7)+F172</f>
        <v>0</v>
      </c>
      <c r="G173" s="58">
        <f t="shared" si="163"/>
        <v>0</v>
      </c>
      <c r="H173" s="58">
        <f t="shared" si="163"/>
        <v>0</v>
      </c>
      <c r="I173" s="58">
        <f t="shared" si="163"/>
        <v>59</v>
      </c>
      <c r="J173" s="58">
        <f t="shared" si="163"/>
        <v>0</v>
      </c>
      <c r="K173" s="58">
        <f t="shared" si="163"/>
        <v>0</v>
      </c>
      <c r="L173" s="58">
        <f t="shared" si="163"/>
        <v>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0" customHeight="1">
      <c r="A174" s="70"/>
      <c r="B174" s="71"/>
      <c r="C174" s="66"/>
      <c r="D174" s="66">
        <f t="shared" si="3"/>
        <v>0</v>
      </c>
      <c r="E174" s="67"/>
      <c r="F174" s="58">
        <f t="shared" ref="F174:L174" si="164">SUMIFS($C174,$B174,F$7)+F173</f>
        <v>0</v>
      </c>
      <c r="G174" s="58">
        <f t="shared" si="164"/>
        <v>0</v>
      </c>
      <c r="H174" s="58">
        <f t="shared" si="164"/>
        <v>0</v>
      </c>
      <c r="I174" s="58">
        <f t="shared" si="164"/>
        <v>59</v>
      </c>
      <c r="J174" s="58">
        <f t="shared" si="164"/>
        <v>0</v>
      </c>
      <c r="K174" s="58">
        <f t="shared" si="164"/>
        <v>0</v>
      </c>
      <c r="L174" s="58">
        <f t="shared" si="164"/>
        <v>0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0" customHeight="1">
      <c r="A175" s="70"/>
      <c r="B175" s="71"/>
      <c r="C175" s="66"/>
      <c r="D175" s="66">
        <f t="shared" si="3"/>
        <v>0</v>
      </c>
      <c r="E175" s="67"/>
      <c r="F175" s="58">
        <f t="shared" ref="F175:L175" si="165">SUMIFS($C175,$B175,F$7)+F174</f>
        <v>0</v>
      </c>
      <c r="G175" s="58">
        <f t="shared" si="165"/>
        <v>0</v>
      </c>
      <c r="H175" s="58">
        <f t="shared" si="165"/>
        <v>0</v>
      </c>
      <c r="I175" s="58">
        <f t="shared" si="165"/>
        <v>59</v>
      </c>
      <c r="J175" s="58">
        <f t="shared" si="165"/>
        <v>0</v>
      </c>
      <c r="K175" s="58">
        <f t="shared" si="165"/>
        <v>0</v>
      </c>
      <c r="L175" s="58">
        <f t="shared" si="165"/>
        <v>0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0" customHeight="1">
      <c r="A176" s="70"/>
      <c r="B176" s="71"/>
      <c r="C176" s="66"/>
      <c r="D176" s="66">
        <f t="shared" si="3"/>
        <v>0</v>
      </c>
      <c r="E176" s="67"/>
      <c r="F176" s="58">
        <f t="shared" ref="F176:L176" si="166">SUMIFS($C176,$B176,F$7)+F175</f>
        <v>0</v>
      </c>
      <c r="G176" s="58">
        <f t="shared" si="166"/>
        <v>0</v>
      </c>
      <c r="H176" s="58">
        <f t="shared" si="166"/>
        <v>0</v>
      </c>
      <c r="I176" s="58">
        <f t="shared" si="166"/>
        <v>59</v>
      </c>
      <c r="J176" s="58">
        <f t="shared" si="166"/>
        <v>0</v>
      </c>
      <c r="K176" s="58">
        <f t="shared" si="166"/>
        <v>0</v>
      </c>
      <c r="L176" s="58">
        <f t="shared" si="166"/>
        <v>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0" customHeight="1">
      <c r="A177" s="70"/>
      <c r="B177" s="71"/>
      <c r="C177" s="66"/>
      <c r="D177" s="66">
        <f t="shared" si="3"/>
        <v>0</v>
      </c>
      <c r="E177" s="67"/>
      <c r="F177" s="58">
        <f t="shared" ref="F177:L177" si="167">SUMIFS($C177,$B177,F$7)+F176</f>
        <v>0</v>
      </c>
      <c r="G177" s="58">
        <f t="shared" si="167"/>
        <v>0</v>
      </c>
      <c r="H177" s="58">
        <f t="shared" si="167"/>
        <v>0</v>
      </c>
      <c r="I177" s="58">
        <f t="shared" si="167"/>
        <v>59</v>
      </c>
      <c r="J177" s="58">
        <f t="shared" si="167"/>
        <v>0</v>
      </c>
      <c r="K177" s="58">
        <f t="shared" si="167"/>
        <v>0</v>
      </c>
      <c r="L177" s="58">
        <f t="shared" si="167"/>
        <v>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0" customHeight="1">
      <c r="A178" s="70"/>
      <c r="B178" s="71"/>
      <c r="C178" s="66"/>
      <c r="D178" s="66">
        <f t="shared" si="3"/>
        <v>0</v>
      </c>
      <c r="E178" s="67"/>
      <c r="F178" s="58">
        <f t="shared" ref="F178:L178" si="168">SUMIFS($C178,$B178,F$7)+F177</f>
        <v>0</v>
      </c>
      <c r="G178" s="58">
        <f t="shared" si="168"/>
        <v>0</v>
      </c>
      <c r="H178" s="58">
        <f t="shared" si="168"/>
        <v>0</v>
      </c>
      <c r="I178" s="58">
        <f t="shared" si="168"/>
        <v>59</v>
      </c>
      <c r="J178" s="58">
        <f t="shared" si="168"/>
        <v>0</v>
      </c>
      <c r="K178" s="58">
        <f t="shared" si="168"/>
        <v>0</v>
      </c>
      <c r="L178" s="58">
        <f t="shared" si="168"/>
        <v>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0" customHeight="1">
      <c r="A179" s="70"/>
      <c r="B179" s="71"/>
      <c r="C179" s="66"/>
      <c r="D179" s="66">
        <f t="shared" si="3"/>
        <v>0</v>
      </c>
      <c r="E179" s="67"/>
      <c r="F179" s="58">
        <f t="shared" ref="F179:L179" si="169">SUMIFS($C179,$B179,F$7)+F178</f>
        <v>0</v>
      </c>
      <c r="G179" s="58">
        <f t="shared" si="169"/>
        <v>0</v>
      </c>
      <c r="H179" s="58">
        <f t="shared" si="169"/>
        <v>0</v>
      </c>
      <c r="I179" s="58">
        <f t="shared" si="169"/>
        <v>59</v>
      </c>
      <c r="J179" s="58">
        <f t="shared" si="169"/>
        <v>0</v>
      </c>
      <c r="K179" s="58">
        <f t="shared" si="169"/>
        <v>0</v>
      </c>
      <c r="L179" s="58">
        <f t="shared" si="169"/>
        <v>0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0" customHeight="1">
      <c r="A180" s="70"/>
      <c r="B180" s="71"/>
      <c r="C180" s="66"/>
      <c r="D180" s="66">
        <f t="shared" si="3"/>
        <v>0</v>
      </c>
      <c r="E180" s="67"/>
      <c r="F180" s="58">
        <f t="shared" ref="F180:L180" si="170">SUMIFS($C180,$B180,F$7)+F179</f>
        <v>0</v>
      </c>
      <c r="G180" s="58">
        <f t="shared" si="170"/>
        <v>0</v>
      </c>
      <c r="H180" s="58">
        <f t="shared" si="170"/>
        <v>0</v>
      </c>
      <c r="I180" s="58">
        <f t="shared" si="170"/>
        <v>59</v>
      </c>
      <c r="J180" s="58">
        <f t="shared" si="170"/>
        <v>0</v>
      </c>
      <c r="K180" s="58">
        <f t="shared" si="170"/>
        <v>0</v>
      </c>
      <c r="L180" s="58">
        <f t="shared" si="170"/>
        <v>0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0" customHeight="1">
      <c r="A181" s="70"/>
      <c r="B181" s="71"/>
      <c r="C181" s="66"/>
      <c r="D181" s="66">
        <f t="shared" si="3"/>
        <v>0</v>
      </c>
      <c r="E181" s="67"/>
      <c r="F181" s="58">
        <f t="shared" ref="F181:L181" si="171">SUMIFS($C181,$B181,F$7)+F180</f>
        <v>0</v>
      </c>
      <c r="G181" s="58">
        <f t="shared" si="171"/>
        <v>0</v>
      </c>
      <c r="H181" s="58">
        <f t="shared" si="171"/>
        <v>0</v>
      </c>
      <c r="I181" s="58">
        <f t="shared" si="171"/>
        <v>59</v>
      </c>
      <c r="J181" s="58">
        <f t="shared" si="171"/>
        <v>0</v>
      </c>
      <c r="K181" s="58">
        <f t="shared" si="171"/>
        <v>0</v>
      </c>
      <c r="L181" s="58">
        <f t="shared" si="171"/>
        <v>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0" customHeight="1">
      <c r="A182" s="70"/>
      <c r="B182" s="71"/>
      <c r="C182" s="66"/>
      <c r="D182" s="66">
        <f t="shared" si="3"/>
        <v>0</v>
      </c>
      <c r="E182" s="67"/>
      <c r="F182" s="58">
        <f t="shared" ref="F182:L182" si="172">SUMIFS($C182,$B182,F$7)+F181</f>
        <v>0</v>
      </c>
      <c r="G182" s="58">
        <f t="shared" si="172"/>
        <v>0</v>
      </c>
      <c r="H182" s="58">
        <f t="shared" si="172"/>
        <v>0</v>
      </c>
      <c r="I182" s="58">
        <f t="shared" si="172"/>
        <v>59</v>
      </c>
      <c r="J182" s="58">
        <f t="shared" si="172"/>
        <v>0</v>
      </c>
      <c r="K182" s="58">
        <f t="shared" si="172"/>
        <v>0</v>
      </c>
      <c r="L182" s="58">
        <f t="shared" si="172"/>
        <v>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0" customHeight="1">
      <c r="A183" s="70"/>
      <c r="B183" s="71"/>
      <c r="C183" s="66"/>
      <c r="D183" s="66">
        <f t="shared" si="3"/>
        <v>0</v>
      </c>
      <c r="E183" s="67"/>
      <c r="F183" s="58">
        <f t="shared" ref="F183:L183" si="173">SUMIFS($C183,$B183,F$7)+F182</f>
        <v>0</v>
      </c>
      <c r="G183" s="58">
        <f t="shared" si="173"/>
        <v>0</v>
      </c>
      <c r="H183" s="58">
        <f t="shared" si="173"/>
        <v>0</v>
      </c>
      <c r="I183" s="58">
        <f t="shared" si="173"/>
        <v>59</v>
      </c>
      <c r="J183" s="58">
        <f t="shared" si="173"/>
        <v>0</v>
      </c>
      <c r="K183" s="58">
        <f t="shared" si="173"/>
        <v>0</v>
      </c>
      <c r="L183" s="58">
        <f t="shared" si="173"/>
        <v>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0" customHeight="1">
      <c r="A184" s="70"/>
      <c r="B184" s="71"/>
      <c r="C184" s="66"/>
      <c r="D184" s="66">
        <f t="shared" si="3"/>
        <v>0</v>
      </c>
      <c r="E184" s="67"/>
      <c r="F184" s="58">
        <f t="shared" ref="F184:L184" si="174">SUMIFS($C184,$B184,F$7)+F183</f>
        <v>0</v>
      </c>
      <c r="G184" s="58">
        <f t="shared" si="174"/>
        <v>0</v>
      </c>
      <c r="H184" s="58">
        <f t="shared" si="174"/>
        <v>0</v>
      </c>
      <c r="I184" s="58">
        <f t="shared" si="174"/>
        <v>59</v>
      </c>
      <c r="J184" s="58">
        <f t="shared" si="174"/>
        <v>0</v>
      </c>
      <c r="K184" s="58">
        <f t="shared" si="174"/>
        <v>0</v>
      </c>
      <c r="L184" s="58">
        <f t="shared" si="174"/>
        <v>0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0" customHeight="1">
      <c r="A185" s="70"/>
      <c r="B185" s="71"/>
      <c r="C185" s="66"/>
      <c r="D185" s="66">
        <f t="shared" si="3"/>
        <v>0</v>
      </c>
      <c r="E185" s="67"/>
      <c r="F185" s="58">
        <f t="shared" ref="F185:L185" si="175">SUMIFS($C185,$B185,F$7)+F184</f>
        <v>0</v>
      </c>
      <c r="G185" s="58">
        <f t="shared" si="175"/>
        <v>0</v>
      </c>
      <c r="H185" s="58">
        <f t="shared" si="175"/>
        <v>0</v>
      </c>
      <c r="I185" s="58">
        <f t="shared" si="175"/>
        <v>59</v>
      </c>
      <c r="J185" s="58">
        <f t="shared" si="175"/>
        <v>0</v>
      </c>
      <c r="K185" s="58">
        <f t="shared" si="175"/>
        <v>0</v>
      </c>
      <c r="L185" s="58">
        <f t="shared" si="175"/>
        <v>0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0" customHeight="1">
      <c r="A186" s="70"/>
      <c r="B186" s="71"/>
      <c r="C186" s="66"/>
      <c r="D186" s="66">
        <f t="shared" si="3"/>
        <v>0</v>
      </c>
      <c r="E186" s="67"/>
      <c r="F186" s="58">
        <f t="shared" ref="F186:L186" si="176">SUMIFS($C186,$B186,F$7)+F185</f>
        <v>0</v>
      </c>
      <c r="G186" s="58">
        <f t="shared" si="176"/>
        <v>0</v>
      </c>
      <c r="H186" s="58">
        <f t="shared" si="176"/>
        <v>0</v>
      </c>
      <c r="I186" s="58">
        <f t="shared" si="176"/>
        <v>59</v>
      </c>
      <c r="J186" s="58">
        <f t="shared" si="176"/>
        <v>0</v>
      </c>
      <c r="K186" s="58">
        <f t="shared" si="176"/>
        <v>0</v>
      </c>
      <c r="L186" s="58">
        <f t="shared" si="176"/>
        <v>0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0" customHeight="1">
      <c r="A187" s="70"/>
      <c r="B187" s="71"/>
      <c r="C187" s="66"/>
      <c r="D187" s="66">
        <f t="shared" si="3"/>
        <v>0</v>
      </c>
      <c r="E187" s="67"/>
      <c r="F187" s="58">
        <f t="shared" ref="F187:L187" si="177">SUMIFS($C187,$B187,F$7)+F186</f>
        <v>0</v>
      </c>
      <c r="G187" s="58">
        <f t="shared" si="177"/>
        <v>0</v>
      </c>
      <c r="H187" s="58">
        <f t="shared" si="177"/>
        <v>0</v>
      </c>
      <c r="I187" s="58">
        <f t="shared" si="177"/>
        <v>59</v>
      </c>
      <c r="J187" s="58">
        <f t="shared" si="177"/>
        <v>0</v>
      </c>
      <c r="K187" s="58">
        <f t="shared" si="177"/>
        <v>0</v>
      </c>
      <c r="L187" s="58">
        <f t="shared" si="177"/>
        <v>0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0" customHeight="1">
      <c r="A188" s="70"/>
      <c r="B188" s="71"/>
      <c r="C188" s="66"/>
      <c r="D188" s="66">
        <f t="shared" si="3"/>
        <v>0</v>
      </c>
      <c r="E188" s="67"/>
      <c r="F188" s="58">
        <f t="shared" ref="F188:L188" si="178">SUMIFS($C188,$B188,F$7)+F187</f>
        <v>0</v>
      </c>
      <c r="G188" s="58">
        <f t="shared" si="178"/>
        <v>0</v>
      </c>
      <c r="H188" s="58">
        <f t="shared" si="178"/>
        <v>0</v>
      </c>
      <c r="I188" s="58">
        <f t="shared" si="178"/>
        <v>59</v>
      </c>
      <c r="J188" s="58">
        <f t="shared" si="178"/>
        <v>0</v>
      </c>
      <c r="K188" s="58">
        <f t="shared" si="178"/>
        <v>0</v>
      </c>
      <c r="L188" s="58">
        <f t="shared" si="178"/>
        <v>0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0" customHeight="1">
      <c r="A189" s="70"/>
      <c r="B189" s="71"/>
      <c r="C189" s="66"/>
      <c r="D189" s="66">
        <f t="shared" si="3"/>
        <v>0</v>
      </c>
      <c r="E189" s="67"/>
      <c r="F189" s="58">
        <f t="shared" ref="F189:L189" si="179">SUMIFS($C189,$B189,F$7)+F188</f>
        <v>0</v>
      </c>
      <c r="G189" s="58">
        <f t="shared" si="179"/>
        <v>0</v>
      </c>
      <c r="H189" s="58">
        <f t="shared" si="179"/>
        <v>0</v>
      </c>
      <c r="I189" s="58">
        <f t="shared" si="179"/>
        <v>59</v>
      </c>
      <c r="J189" s="58">
        <f t="shared" si="179"/>
        <v>0</v>
      </c>
      <c r="K189" s="58">
        <f t="shared" si="179"/>
        <v>0</v>
      </c>
      <c r="L189" s="58">
        <f t="shared" si="179"/>
        <v>0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0" customHeight="1">
      <c r="A190" s="70"/>
      <c r="B190" s="71"/>
      <c r="C190" s="66"/>
      <c r="D190" s="66">
        <f t="shared" si="3"/>
        <v>0</v>
      </c>
      <c r="E190" s="67"/>
      <c r="F190" s="58">
        <f t="shared" ref="F190:L190" si="180">SUMIFS($C190,$B190,F$7)+F189</f>
        <v>0</v>
      </c>
      <c r="G190" s="58">
        <f t="shared" si="180"/>
        <v>0</v>
      </c>
      <c r="H190" s="58">
        <f t="shared" si="180"/>
        <v>0</v>
      </c>
      <c r="I190" s="58">
        <f t="shared" si="180"/>
        <v>59</v>
      </c>
      <c r="J190" s="58">
        <f t="shared" si="180"/>
        <v>0</v>
      </c>
      <c r="K190" s="58">
        <f t="shared" si="180"/>
        <v>0</v>
      </c>
      <c r="L190" s="58">
        <f t="shared" si="180"/>
        <v>0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0" customHeight="1">
      <c r="A191" s="70"/>
      <c r="B191" s="71"/>
      <c r="C191" s="66"/>
      <c r="D191" s="66">
        <f t="shared" si="3"/>
        <v>0</v>
      </c>
      <c r="E191" s="67"/>
      <c r="F191" s="58">
        <f t="shared" ref="F191:L191" si="181">SUMIFS($C191,$B191,F$7)+F190</f>
        <v>0</v>
      </c>
      <c r="G191" s="58">
        <f t="shared" si="181"/>
        <v>0</v>
      </c>
      <c r="H191" s="58">
        <f t="shared" si="181"/>
        <v>0</v>
      </c>
      <c r="I191" s="58">
        <f t="shared" si="181"/>
        <v>59</v>
      </c>
      <c r="J191" s="58">
        <f t="shared" si="181"/>
        <v>0</v>
      </c>
      <c r="K191" s="58">
        <f t="shared" si="181"/>
        <v>0</v>
      </c>
      <c r="L191" s="58">
        <f t="shared" si="181"/>
        <v>0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0" customHeight="1">
      <c r="A192" s="70"/>
      <c r="B192" s="71"/>
      <c r="C192" s="66"/>
      <c r="D192" s="66">
        <f t="shared" si="3"/>
        <v>0</v>
      </c>
      <c r="E192" s="67"/>
      <c r="F192" s="58">
        <f t="shared" ref="F192:L192" si="182">SUMIFS($C192,$B192,F$7)+F191</f>
        <v>0</v>
      </c>
      <c r="G192" s="58">
        <f t="shared" si="182"/>
        <v>0</v>
      </c>
      <c r="H192" s="58">
        <f t="shared" si="182"/>
        <v>0</v>
      </c>
      <c r="I192" s="58">
        <f t="shared" si="182"/>
        <v>59</v>
      </c>
      <c r="J192" s="58">
        <f t="shared" si="182"/>
        <v>0</v>
      </c>
      <c r="K192" s="58">
        <f t="shared" si="182"/>
        <v>0</v>
      </c>
      <c r="L192" s="58">
        <f t="shared" si="182"/>
        <v>0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0" customHeight="1">
      <c r="A193" s="70"/>
      <c r="B193" s="71"/>
      <c r="C193" s="66"/>
      <c r="D193" s="66">
        <f t="shared" si="3"/>
        <v>0</v>
      </c>
      <c r="E193" s="67"/>
      <c r="F193" s="58">
        <f t="shared" ref="F193:L193" si="183">SUMIFS($C193,$B193,F$7)+F192</f>
        <v>0</v>
      </c>
      <c r="G193" s="58">
        <f t="shared" si="183"/>
        <v>0</v>
      </c>
      <c r="H193" s="58">
        <f t="shared" si="183"/>
        <v>0</v>
      </c>
      <c r="I193" s="58">
        <f t="shared" si="183"/>
        <v>59</v>
      </c>
      <c r="J193" s="58">
        <f t="shared" si="183"/>
        <v>0</v>
      </c>
      <c r="K193" s="58">
        <f t="shared" si="183"/>
        <v>0</v>
      </c>
      <c r="L193" s="58">
        <f t="shared" si="183"/>
        <v>0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0" customHeight="1">
      <c r="A194" s="70"/>
      <c r="B194" s="71"/>
      <c r="C194" s="66"/>
      <c r="D194" s="66">
        <f t="shared" si="3"/>
        <v>0</v>
      </c>
      <c r="E194" s="67"/>
      <c r="F194" s="58">
        <f t="shared" ref="F194:L194" si="184">SUMIFS($C194,$B194,F$7)+F193</f>
        <v>0</v>
      </c>
      <c r="G194" s="58">
        <f t="shared" si="184"/>
        <v>0</v>
      </c>
      <c r="H194" s="58">
        <f t="shared" si="184"/>
        <v>0</v>
      </c>
      <c r="I194" s="58">
        <f t="shared" si="184"/>
        <v>59</v>
      </c>
      <c r="J194" s="58">
        <f t="shared" si="184"/>
        <v>0</v>
      </c>
      <c r="K194" s="58">
        <f t="shared" si="184"/>
        <v>0</v>
      </c>
      <c r="L194" s="58">
        <f t="shared" si="184"/>
        <v>0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0" customHeight="1">
      <c r="A195" s="70"/>
      <c r="B195" s="71"/>
      <c r="C195" s="66"/>
      <c r="D195" s="66">
        <f t="shared" si="3"/>
        <v>0</v>
      </c>
      <c r="E195" s="67"/>
      <c r="F195" s="58">
        <f t="shared" ref="F195:L195" si="185">SUMIFS($C195,$B195,F$7)+F194</f>
        <v>0</v>
      </c>
      <c r="G195" s="58">
        <f t="shared" si="185"/>
        <v>0</v>
      </c>
      <c r="H195" s="58">
        <f t="shared" si="185"/>
        <v>0</v>
      </c>
      <c r="I195" s="58">
        <f t="shared" si="185"/>
        <v>59</v>
      </c>
      <c r="J195" s="58">
        <f t="shared" si="185"/>
        <v>0</v>
      </c>
      <c r="K195" s="58">
        <f t="shared" si="185"/>
        <v>0</v>
      </c>
      <c r="L195" s="58">
        <f t="shared" si="185"/>
        <v>0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0" customHeight="1">
      <c r="A196" s="70"/>
      <c r="B196" s="71"/>
      <c r="C196" s="66"/>
      <c r="D196" s="66">
        <f t="shared" si="3"/>
        <v>0</v>
      </c>
      <c r="E196" s="67"/>
      <c r="F196" s="58">
        <f t="shared" ref="F196:L196" si="186">SUMIFS($C196,$B196,F$7)+F195</f>
        <v>0</v>
      </c>
      <c r="G196" s="58">
        <f t="shared" si="186"/>
        <v>0</v>
      </c>
      <c r="H196" s="58">
        <f t="shared" si="186"/>
        <v>0</v>
      </c>
      <c r="I196" s="58">
        <f t="shared" si="186"/>
        <v>59</v>
      </c>
      <c r="J196" s="58">
        <f t="shared" si="186"/>
        <v>0</v>
      </c>
      <c r="K196" s="58">
        <f t="shared" si="186"/>
        <v>0</v>
      </c>
      <c r="L196" s="58">
        <f t="shared" si="186"/>
        <v>0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0" customHeight="1">
      <c r="A197" s="70"/>
      <c r="B197" s="71"/>
      <c r="C197" s="66"/>
      <c r="D197" s="66">
        <f t="shared" si="3"/>
        <v>0</v>
      </c>
      <c r="E197" s="67"/>
      <c r="F197" s="58">
        <f t="shared" ref="F197:L197" si="187">SUMIFS($C197,$B197,F$7)+F196</f>
        <v>0</v>
      </c>
      <c r="G197" s="58">
        <f t="shared" si="187"/>
        <v>0</v>
      </c>
      <c r="H197" s="58">
        <f t="shared" si="187"/>
        <v>0</v>
      </c>
      <c r="I197" s="58">
        <f t="shared" si="187"/>
        <v>59</v>
      </c>
      <c r="J197" s="58">
        <f t="shared" si="187"/>
        <v>0</v>
      </c>
      <c r="K197" s="58">
        <f t="shared" si="187"/>
        <v>0</v>
      </c>
      <c r="L197" s="58">
        <f t="shared" si="187"/>
        <v>0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0" customHeight="1">
      <c r="A198" s="70"/>
      <c r="B198" s="71"/>
      <c r="C198" s="66"/>
      <c r="D198" s="66">
        <f t="shared" si="3"/>
        <v>0</v>
      </c>
      <c r="E198" s="67"/>
      <c r="F198" s="58">
        <f t="shared" ref="F198:L198" si="188">SUMIFS($C198,$B198,F$7)+F197</f>
        <v>0</v>
      </c>
      <c r="G198" s="58">
        <f t="shared" si="188"/>
        <v>0</v>
      </c>
      <c r="H198" s="58">
        <f t="shared" si="188"/>
        <v>0</v>
      </c>
      <c r="I198" s="58">
        <f t="shared" si="188"/>
        <v>59</v>
      </c>
      <c r="J198" s="58">
        <f t="shared" si="188"/>
        <v>0</v>
      </c>
      <c r="K198" s="58">
        <f t="shared" si="188"/>
        <v>0</v>
      </c>
      <c r="L198" s="58">
        <f t="shared" si="188"/>
        <v>0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0" customHeight="1">
      <c r="A199" s="70"/>
      <c r="B199" s="71"/>
      <c r="C199" s="66"/>
      <c r="D199" s="66">
        <f t="shared" si="3"/>
        <v>0</v>
      </c>
      <c r="E199" s="67"/>
      <c r="F199" s="58">
        <f t="shared" ref="F199:L199" si="189">SUMIFS($C199,$B199,F$7)+F198</f>
        <v>0</v>
      </c>
      <c r="G199" s="58">
        <f t="shared" si="189"/>
        <v>0</v>
      </c>
      <c r="H199" s="58">
        <f t="shared" si="189"/>
        <v>0</v>
      </c>
      <c r="I199" s="58">
        <f t="shared" si="189"/>
        <v>59</v>
      </c>
      <c r="J199" s="58">
        <f t="shared" si="189"/>
        <v>0</v>
      </c>
      <c r="K199" s="58">
        <f t="shared" si="189"/>
        <v>0</v>
      </c>
      <c r="L199" s="58">
        <f t="shared" si="189"/>
        <v>0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0" customHeight="1">
      <c r="A200" s="70"/>
      <c r="B200" s="71"/>
      <c r="C200" s="66"/>
      <c r="D200" s="66">
        <f t="shared" si="3"/>
        <v>0</v>
      </c>
      <c r="E200" s="67"/>
      <c r="F200" s="58">
        <f t="shared" ref="F200:L200" si="190">SUMIFS($C200,$B200,F$7)+F199</f>
        <v>0</v>
      </c>
      <c r="G200" s="58">
        <f t="shared" si="190"/>
        <v>0</v>
      </c>
      <c r="H200" s="58">
        <f t="shared" si="190"/>
        <v>0</v>
      </c>
      <c r="I200" s="58">
        <f t="shared" si="190"/>
        <v>59</v>
      </c>
      <c r="J200" s="58">
        <f t="shared" si="190"/>
        <v>0</v>
      </c>
      <c r="K200" s="58">
        <f t="shared" si="190"/>
        <v>0</v>
      </c>
      <c r="L200" s="58">
        <f t="shared" si="190"/>
        <v>0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0" customHeight="1">
      <c r="A201" s="70"/>
      <c r="B201" s="71"/>
      <c r="C201" s="66"/>
      <c r="D201" s="66">
        <f t="shared" si="3"/>
        <v>0</v>
      </c>
      <c r="E201" s="67"/>
      <c r="F201" s="58">
        <f t="shared" ref="F201:L201" si="191">SUMIFS($C201,$B201,F$7)+F200</f>
        <v>0</v>
      </c>
      <c r="G201" s="58">
        <f t="shared" si="191"/>
        <v>0</v>
      </c>
      <c r="H201" s="58">
        <f t="shared" si="191"/>
        <v>0</v>
      </c>
      <c r="I201" s="58">
        <f t="shared" si="191"/>
        <v>59</v>
      </c>
      <c r="J201" s="58">
        <f t="shared" si="191"/>
        <v>0</v>
      </c>
      <c r="K201" s="58">
        <f t="shared" si="191"/>
        <v>0</v>
      </c>
      <c r="L201" s="58">
        <f t="shared" si="191"/>
        <v>0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0" customHeight="1">
      <c r="A202" s="70"/>
      <c r="B202" s="71"/>
      <c r="C202" s="66"/>
      <c r="D202" s="66">
        <f t="shared" si="3"/>
        <v>0</v>
      </c>
      <c r="E202" s="67"/>
      <c r="F202" s="58">
        <f t="shared" ref="F202:L202" si="192">SUMIFS($C202,$B202,F$7)+F201</f>
        <v>0</v>
      </c>
      <c r="G202" s="58">
        <f t="shared" si="192"/>
        <v>0</v>
      </c>
      <c r="H202" s="58">
        <f t="shared" si="192"/>
        <v>0</v>
      </c>
      <c r="I202" s="58">
        <f t="shared" si="192"/>
        <v>59</v>
      </c>
      <c r="J202" s="58">
        <f t="shared" si="192"/>
        <v>0</v>
      </c>
      <c r="K202" s="58">
        <f t="shared" si="192"/>
        <v>0</v>
      </c>
      <c r="L202" s="58">
        <f t="shared" si="192"/>
        <v>0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0" customHeight="1">
      <c r="A203" s="70"/>
      <c r="B203" s="71"/>
      <c r="C203" s="66"/>
      <c r="D203" s="66">
        <f t="shared" si="3"/>
        <v>0</v>
      </c>
      <c r="E203" s="67"/>
      <c r="F203" s="58">
        <f t="shared" ref="F203:L203" si="193">SUMIFS($C203,$B203,F$7)+F202</f>
        <v>0</v>
      </c>
      <c r="G203" s="58">
        <f t="shared" si="193"/>
        <v>0</v>
      </c>
      <c r="H203" s="58">
        <f t="shared" si="193"/>
        <v>0</v>
      </c>
      <c r="I203" s="58">
        <f t="shared" si="193"/>
        <v>59</v>
      </c>
      <c r="J203" s="58">
        <f t="shared" si="193"/>
        <v>0</v>
      </c>
      <c r="K203" s="58">
        <f t="shared" si="193"/>
        <v>0</v>
      </c>
      <c r="L203" s="58">
        <f t="shared" si="193"/>
        <v>0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0" customHeight="1">
      <c r="A204" s="70"/>
      <c r="B204" s="71"/>
      <c r="C204" s="66"/>
      <c r="D204" s="66">
        <f t="shared" si="3"/>
        <v>0</v>
      </c>
      <c r="E204" s="67"/>
      <c r="F204" s="58">
        <f t="shared" ref="F204:L204" si="194">SUMIFS($C204,$B204,F$7)+F203</f>
        <v>0</v>
      </c>
      <c r="G204" s="58">
        <f t="shared" si="194"/>
        <v>0</v>
      </c>
      <c r="H204" s="58">
        <f t="shared" si="194"/>
        <v>0</v>
      </c>
      <c r="I204" s="58">
        <f t="shared" si="194"/>
        <v>59</v>
      </c>
      <c r="J204" s="58">
        <f t="shared" si="194"/>
        <v>0</v>
      </c>
      <c r="K204" s="58">
        <f t="shared" si="194"/>
        <v>0</v>
      </c>
      <c r="L204" s="58">
        <f t="shared" si="194"/>
        <v>0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0" customHeight="1">
      <c r="A205" s="70"/>
      <c r="B205" s="71"/>
      <c r="C205" s="66"/>
      <c r="D205" s="66">
        <f t="shared" si="3"/>
        <v>0</v>
      </c>
      <c r="E205" s="67"/>
      <c r="F205" s="58">
        <f t="shared" ref="F205:L205" si="195">SUMIFS($C205,$B205,F$7)+F204</f>
        <v>0</v>
      </c>
      <c r="G205" s="58">
        <f t="shared" si="195"/>
        <v>0</v>
      </c>
      <c r="H205" s="58">
        <f t="shared" si="195"/>
        <v>0</v>
      </c>
      <c r="I205" s="58">
        <f t="shared" si="195"/>
        <v>59</v>
      </c>
      <c r="J205" s="58">
        <f t="shared" si="195"/>
        <v>0</v>
      </c>
      <c r="K205" s="58">
        <f t="shared" si="195"/>
        <v>0</v>
      </c>
      <c r="L205" s="58">
        <f t="shared" si="195"/>
        <v>0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0" customHeight="1">
      <c r="A206" s="70"/>
      <c r="B206" s="71"/>
      <c r="C206" s="66"/>
      <c r="D206" s="66">
        <f t="shared" si="3"/>
        <v>0</v>
      </c>
      <c r="E206" s="67"/>
      <c r="F206" s="58">
        <f t="shared" ref="F206:L206" si="196">SUMIFS($C206,$B206,F$7)+F205</f>
        <v>0</v>
      </c>
      <c r="G206" s="58">
        <f t="shared" si="196"/>
        <v>0</v>
      </c>
      <c r="H206" s="58">
        <f t="shared" si="196"/>
        <v>0</v>
      </c>
      <c r="I206" s="58">
        <f t="shared" si="196"/>
        <v>59</v>
      </c>
      <c r="J206" s="58">
        <f t="shared" si="196"/>
        <v>0</v>
      </c>
      <c r="K206" s="58">
        <f t="shared" si="196"/>
        <v>0</v>
      </c>
      <c r="L206" s="58">
        <f t="shared" si="196"/>
        <v>0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0" customHeight="1">
      <c r="A207" s="70"/>
      <c r="B207" s="71"/>
      <c r="C207" s="66"/>
      <c r="D207" s="66">
        <f t="shared" si="3"/>
        <v>0</v>
      </c>
      <c r="E207" s="67"/>
      <c r="F207" s="58">
        <f t="shared" ref="F207:L207" si="197">SUMIFS($C207,$B207,F$7)+F206</f>
        <v>0</v>
      </c>
      <c r="G207" s="58">
        <f t="shared" si="197"/>
        <v>0</v>
      </c>
      <c r="H207" s="58">
        <f t="shared" si="197"/>
        <v>0</v>
      </c>
      <c r="I207" s="58">
        <f t="shared" si="197"/>
        <v>59</v>
      </c>
      <c r="J207" s="58">
        <f t="shared" si="197"/>
        <v>0</v>
      </c>
      <c r="K207" s="58">
        <f t="shared" si="197"/>
        <v>0</v>
      </c>
      <c r="L207" s="58">
        <f t="shared" si="197"/>
        <v>0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0" customHeight="1">
      <c r="A208" s="70"/>
      <c r="B208" s="71"/>
      <c r="C208" s="66"/>
      <c r="D208" s="66">
        <f t="shared" si="3"/>
        <v>0</v>
      </c>
      <c r="E208" s="67"/>
      <c r="F208" s="58">
        <f t="shared" ref="F208:L208" si="198">SUMIFS($C208,$B208,F$7)+F207</f>
        <v>0</v>
      </c>
      <c r="G208" s="58">
        <f t="shared" si="198"/>
        <v>0</v>
      </c>
      <c r="H208" s="58">
        <f t="shared" si="198"/>
        <v>0</v>
      </c>
      <c r="I208" s="58">
        <f t="shared" si="198"/>
        <v>59</v>
      </c>
      <c r="J208" s="58">
        <f t="shared" si="198"/>
        <v>0</v>
      </c>
      <c r="K208" s="58">
        <f t="shared" si="198"/>
        <v>0</v>
      </c>
      <c r="L208" s="58">
        <f t="shared" si="198"/>
        <v>0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0" customHeight="1">
      <c r="A209" s="70"/>
      <c r="B209" s="71"/>
      <c r="C209" s="66"/>
      <c r="D209" s="66">
        <f t="shared" si="3"/>
        <v>0</v>
      </c>
      <c r="E209" s="67"/>
      <c r="F209" s="58">
        <f t="shared" ref="F209:L209" si="199">SUMIFS($C209,$B209,F$7)+F208</f>
        <v>0</v>
      </c>
      <c r="G209" s="58">
        <f t="shared" si="199"/>
        <v>0</v>
      </c>
      <c r="H209" s="58">
        <f t="shared" si="199"/>
        <v>0</v>
      </c>
      <c r="I209" s="58">
        <f t="shared" si="199"/>
        <v>59</v>
      </c>
      <c r="J209" s="58">
        <f t="shared" si="199"/>
        <v>0</v>
      </c>
      <c r="K209" s="58">
        <f t="shared" si="199"/>
        <v>0</v>
      </c>
      <c r="L209" s="58">
        <f t="shared" si="199"/>
        <v>0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0" customHeight="1">
      <c r="A210" s="70"/>
      <c r="B210" s="71"/>
      <c r="C210" s="66"/>
      <c r="D210" s="66">
        <f t="shared" si="3"/>
        <v>0</v>
      </c>
      <c r="E210" s="67"/>
      <c r="F210" s="58">
        <f t="shared" ref="F210:L210" si="200">SUMIFS($C210,$B210,F$7)+F209</f>
        <v>0</v>
      </c>
      <c r="G210" s="58">
        <f t="shared" si="200"/>
        <v>0</v>
      </c>
      <c r="H210" s="58">
        <f t="shared" si="200"/>
        <v>0</v>
      </c>
      <c r="I210" s="58">
        <f t="shared" si="200"/>
        <v>59</v>
      </c>
      <c r="J210" s="58">
        <f t="shared" si="200"/>
        <v>0</v>
      </c>
      <c r="K210" s="58">
        <f t="shared" si="200"/>
        <v>0</v>
      </c>
      <c r="L210" s="58">
        <f t="shared" si="200"/>
        <v>0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0" customHeight="1">
      <c r="A211" s="70"/>
      <c r="B211" s="71"/>
      <c r="C211" s="66"/>
      <c r="D211" s="66">
        <f t="shared" si="3"/>
        <v>0</v>
      </c>
      <c r="E211" s="67"/>
      <c r="F211" s="58">
        <f t="shared" ref="F211:L211" si="201">SUMIFS($C211,$B211,F$7)+F210</f>
        <v>0</v>
      </c>
      <c r="G211" s="58">
        <f t="shared" si="201"/>
        <v>0</v>
      </c>
      <c r="H211" s="58">
        <f t="shared" si="201"/>
        <v>0</v>
      </c>
      <c r="I211" s="58">
        <f t="shared" si="201"/>
        <v>59</v>
      </c>
      <c r="J211" s="58">
        <f t="shared" si="201"/>
        <v>0</v>
      </c>
      <c r="K211" s="58">
        <f t="shared" si="201"/>
        <v>0</v>
      </c>
      <c r="L211" s="58">
        <f t="shared" si="201"/>
        <v>0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0" customHeight="1">
      <c r="A212" s="70"/>
      <c r="B212" s="71"/>
      <c r="C212" s="66"/>
      <c r="D212" s="66">
        <f t="shared" si="3"/>
        <v>0</v>
      </c>
      <c r="E212" s="67"/>
      <c r="F212" s="58">
        <f t="shared" ref="F212:L212" si="202">SUMIFS($C212,$B212,F$7)+F211</f>
        <v>0</v>
      </c>
      <c r="G212" s="58">
        <f t="shared" si="202"/>
        <v>0</v>
      </c>
      <c r="H212" s="58">
        <f t="shared" si="202"/>
        <v>0</v>
      </c>
      <c r="I212" s="58">
        <f t="shared" si="202"/>
        <v>59</v>
      </c>
      <c r="J212" s="58">
        <f t="shared" si="202"/>
        <v>0</v>
      </c>
      <c r="K212" s="58">
        <f t="shared" si="202"/>
        <v>0</v>
      </c>
      <c r="L212" s="58">
        <f t="shared" si="202"/>
        <v>0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0" customHeight="1">
      <c r="A213" s="70"/>
      <c r="B213" s="71"/>
      <c r="C213" s="66"/>
      <c r="D213" s="66">
        <f t="shared" si="3"/>
        <v>0</v>
      </c>
      <c r="E213" s="67"/>
      <c r="F213" s="58">
        <f t="shared" ref="F213:L213" si="203">SUMIFS($C213,$B213,F$7)+F212</f>
        <v>0</v>
      </c>
      <c r="G213" s="58">
        <f t="shared" si="203"/>
        <v>0</v>
      </c>
      <c r="H213" s="58">
        <f t="shared" si="203"/>
        <v>0</v>
      </c>
      <c r="I213" s="58">
        <f t="shared" si="203"/>
        <v>59</v>
      </c>
      <c r="J213" s="58">
        <f t="shared" si="203"/>
        <v>0</v>
      </c>
      <c r="K213" s="58">
        <f t="shared" si="203"/>
        <v>0</v>
      </c>
      <c r="L213" s="58">
        <f t="shared" si="203"/>
        <v>0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0" customHeight="1">
      <c r="A214" s="70"/>
      <c r="B214" s="71"/>
      <c r="C214" s="66"/>
      <c r="D214" s="66">
        <f t="shared" si="3"/>
        <v>0</v>
      </c>
      <c r="E214" s="67"/>
      <c r="F214" s="58">
        <f t="shared" ref="F214:L214" si="204">SUMIFS($C214,$B214,F$7)+F213</f>
        <v>0</v>
      </c>
      <c r="G214" s="58">
        <f t="shared" si="204"/>
        <v>0</v>
      </c>
      <c r="H214" s="58">
        <f t="shared" si="204"/>
        <v>0</v>
      </c>
      <c r="I214" s="58">
        <f t="shared" si="204"/>
        <v>59</v>
      </c>
      <c r="J214" s="58">
        <f t="shared" si="204"/>
        <v>0</v>
      </c>
      <c r="K214" s="58">
        <f t="shared" si="204"/>
        <v>0</v>
      </c>
      <c r="L214" s="58">
        <f t="shared" si="204"/>
        <v>0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0" customHeight="1">
      <c r="A215" s="70"/>
      <c r="B215" s="71"/>
      <c r="C215" s="66"/>
      <c r="D215" s="66">
        <f t="shared" si="3"/>
        <v>0</v>
      </c>
      <c r="E215" s="67"/>
      <c r="F215" s="58">
        <f t="shared" ref="F215:L215" si="205">SUMIFS($C215,$B215,F$7)+F214</f>
        <v>0</v>
      </c>
      <c r="G215" s="58">
        <f t="shared" si="205"/>
        <v>0</v>
      </c>
      <c r="H215" s="58">
        <f t="shared" si="205"/>
        <v>0</v>
      </c>
      <c r="I215" s="58">
        <f t="shared" si="205"/>
        <v>59</v>
      </c>
      <c r="J215" s="58">
        <f t="shared" si="205"/>
        <v>0</v>
      </c>
      <c r="K215" s="58">
        <f t="shared" si="205"/>
        <v>0</v>
      </c>
      <c r="L215" s="58">
        <f t="shared" si="205"/>
        <v>0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0" customHeight="1">
      <c r="A216" s="70"/>
      <c r="B216" s="71"/>
      <c r="C216" s="66"/>
      <c r="D216" s="66">
        <f t="shared" si="3"/>
        <v>0</v>
      </c>
      <c r="E216" s="67"/>
      <c r="F216" s="58">
        <f t="shared" ref="F216:L216" si="206">SUMIFS($C216,$B216,F$7)+F215</f>
        <v>0</v>
      </c>
      <c r="G216" s="58">
        <f t="shared" si="206"/>
        <v>0</v>
      </c>
      <c r="H216" s="58">
        <f t="shared" si="206"/>
        <v>0</v>
      </c>
      <c r="I216" s="58">
        <f t="shared" si="206"/>
        <v>59</v>
      </c>
      <c r="J216" s="58">
        <f t="shared" si="206"/>
        <v>0</v>
      </c>
      <c r="K216" s="58">
        <f t="shared" si="206"/>
        <v>0</v>
      </c>
      <c r="L216" s="58">
        <f t="shared" si="206"/>
        <v>0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0" customHeight="1">
      <c r="A217" s="70"/>
      <c r="B217" s="71"/>
      <c r="C217" s="66"/>
      <c r="D217" s="66">
        <f t="shared" si="3"/>
        <v>0</v>
      </c>
      <c r="E217" s="67"/>
      <c r="F217" s="58">
        <f t="shared" ref="F217:L217" si="207">SUMIFS($C217,$B217,F$7)+F216</f>
        <v>0</v>
      </c>
      <c r="G217" s="58">
        <f t="shared" si="207"/>
        <v>0</v>
      </c>
      <c r="H217" s="58">
        <f t="shared" si="207"/>
        <v>0</v>
      </c>
      <c r="I217" s="58">
        <f t="shared" si="207"/>
        <v>59</v>
      </c>
      <c r="J217" s="58">
        <f t="shared" si="207"/>
        <v>0</v>
      </c>
      <c r="K217" s="58">
        <f t="shared" si="207"/>
        <v>0</v>
      </c>
      <c r="L217" s="58">
        <f t="shared" si="207"/>
        <v>0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0" customHeight="1">
      <c r="A218" s="70"/>
      <c r="B218" s="71"/>
      <c r="C218" s="66"/>
      <c r="D218" s="66">
        <f t="shared" si="3"/>
        <v>0</v>
      </c>
      <c r="E218" s="67"/>
      <c r="F218" s="58">
        <f t="shared" ref="F218:L218" si="208">SUMIFS($C218,$B218,F$7)+F217</f>
        <v>0</v>
      </c>
      <c r="G218" s="58">
        <f t="shared" si="208"/>
        <v>0</v>
      </c>
      <c r="H218" s="58">
        <f t="shared" si="208"/>
        <v>0</v>
      </c>
      <c r="I218" s="58">
        <f t="shared" si="208"/>
        <v>59</v>
      </c>
      <c r="J218" s="58">
        <f t="shared" si="208"/>
        <v>0</v>
      </c>
      <c r="K218" s="58">
        <f t="shared" si="208"/>
        <v>0</v>
      </c>
      <c r="L218" s="58">
        <f t="shared" si="208"/>
        <v>0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0" customHeight="1">
      <c r="A219" s="70"/>
      <c r="B219" s="71"/>
      <c r="C219" s="66"/>
      <c r="D219" s="66">
        <f t="shared" si="3"/>
        <v>0</v>
      </c>
      <c r="E219" s="67"/>
      <c r="F219" s="58">
        <f t="shared" ref="F219:L219" si="209">SUMIFS($C219,$B219,F$7)+F218</f>
        <v>0</v>
      </c>
      <c r="G219" s="58">
        <f t="shared" si="209"/>
        <v>0</v>
      </c>
      <c r="H219" s="58">
        <f t="shared" si="209"/>
        <v>0</v>
      </c>
      <c r="I219" s="58">
        <f t="shared" si="209"/>
        <v>59</v>
      </c>
      <c r="J219" s="58">
        <f t="shared" si="209"/>
        <v>0</v>
      </c>
      <c r="K219" s="58">
        <f t="shared" si="209"/>
        <v>0</v>
      </c>
      <c r="L219" s="58">
        <f t="shared" si="209"/>
        <v>0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0" customHeight="1">
      <c r="A220" s="70"/>
      <c r="B220" s="71"/>
      <c r="C220" s="66"/>
      <c r="D220" s="66">
        <f t="shared" si="3"/>
        <v>0</v>
      </c>
      <c r="E220" s="67"/>
      <c r="F220" s="58">
        <f t="shared" ref="F220:L220" si="210">SUMIFS($C220,$B220,F$7)+F219</f>
        <v>0</v>
      </c>
      <c r="G220" s="58">
        <f t="shared" si="210"/>
        <v>0</v>
      </c>
      <c r="H220" s="58">
        <f t="shared" si="210"/>
        <v>0</v>
      </c>
      <c r="I220" s="58">
        <f t="shared" si="210"/>
        <v>59</v>
      </c>
      <c r="J220" s="58">
        <f t="shared" si="210"/>
        <v>0</v>
      </c>
      <c r="K220" s="58">
        <f t="shared" si="210"/>
        <v>0</v>
      </c>
      <c r="L220" s="58">
        <f t="shared" si="210"/>
        <v>0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0" customHeight="1">
      <c r="A221" s="70"/>
      <c r="B221" s="71"/>
      <c r="C221" s="66"/>
      <c r="D221" s="66">
        <f t="shared" si="3"/>
        <v>0</v>
      </c>
      <c r="E221" s="67"/>
      <c r="F221" s="58">
        <f t="shared" ref="F221:L221" si="211">SUMIFS($C221,$B221,F$7)+F220</f>
        <v>0</v>
      </c>
      <c r="G221" s="58">
        <f t="shared" si="211"/>
        <v>0</v>
      </c>
      <c r="H221" s="58">
        <f t="shared" si="211"/>
        <v>0</v>
      </c>
      <c r="I221" s="58">
        <f t="shared" si="211"/>
        <v>59</v>
      </c>
      <c r="J221" s="58">
        <f t="shared" si="211"/>
        <v>0</v>
      </c>
      <c r="K221" s="58">
        <f t="shared" si="211"/>
        <v>0</v>
      </c>
      <c r="L221" s="58">
        <f t="shared" si="211"/>
        <v>0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0" customHeight="1">
      <c r="A222" s="70"/>
      <c r="B222" s="71"/>
      <c r="C222" s="66"/>
      <c r="D222" s="66">
        <f t="shared" si="3"/>
        <v>0</v>
      </c>
      <c r="E222" s="67"/>
      <c r="F222" s="58">
        <f t="shared" ref="F222:L222" si="212">SUMIFS($C222,$B222,F$7)+F221</f>
        <v>0</v>
      </c>
      <c r="G222" s="58">
        <f t="shared" si="212"/>
        <v>0</v>
      </c>
      <c r="H222" s="58">
        <f t="shared" si="212"/>
        <v>0</v>
      </c>
      <c r="I222" s="58">
        <f t="shared" si="212"/>
        <v>59</v>
      </c>
      <c r="J222" s="58">
        <f t="shared" si="212"/>
        <v>0</v>
      </c>
      <c r="K222" s="58">
        <f t="shared" si="212"/>
        <v>0</v>
      </c>
      <c r="L222" s="58">
        <f t="shared" si="212"/>
        <v>0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0" customHeight="1">
      <c r="A223" s="70"/>
      <c r="B223" s="71"/>
      <c r="C223" s="66"/>
      <c r="D223" s="66">
        <f t="shared" si="3"/>
        <v>0</v>
      </c>
      <c r="E223" s="67"/>
      <c r="F223" s="58">
        <f t="shared" ref="F223:L223" si="213">SUMIFS($C223,$B223,F$7)+F222</f>
        <v>0</v>
      </c>
      <c r="G223" s="58">
        <f t="shared" si="213"/>
        <v>0</v>
      </c>
      <c r="H223" s="58">
        <f t="shared" si="213"/>
        <v>0</v>
      </c>
      <c r="I223" s="58">
        <f t="shared" si="213"/>
        <v>59</v>
      </c>
      <c r="J223" s="58">
        <f t="shared" si="213"/>
        <v>0</v>
      </c>
      <c r="K223" s="58">
        <f t="shared" si="213"/>
        <v>0</v>
      </c>
      <c r="L223" s="58">
        <f t="shared" si="213"/>
        <v>0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0" customHeight="1">
      <c r="A224" s="70"/>
      <c r="B224" s="71"/>
      <c r="C224" s="66"/>
      <c r="D224" s="66">
        <f t="shared" si="3"/>
        <v>0</v>
      </c>
      <c r="E224" s="67"/>
      <c r="F224" s="58">
        <f t="shared" ref="F224:L224" si="214">SUMIFS($C224,$B224,F$7)+F223</f>
        <v>0</v>
      </c>
      <c r="G224" s="58">
        <f t="shared" si="214"/>
        <v>0</v>
      </c>
      <c r="H224" s="58">
        <f t="shared" si="214"/>
        <v>0</v>
      </c>
      <c r="I224" s="58">
        <f t="shared" si="214"/>
        <v>59</v>
      </c>
      <c r="J224" s="58">
        <f t="shared" si="214"/>
        <v>0</v>
      </c>
      <c r="K224" s="58">
        <f t="shared" si="214"/>
        <v>0</v>
      </c>
      <c r="L224" s="58">
        <f t="shared" si="214"/>
        <v>0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0" customHeight="1">
      <c r="A225" s="70"/>
      <c r="B225" s="71"/>
      <c r="C225" s="66"/>
      <c r="D225" s="66">
        <f t="shared" si="3"/>
        <v>0</v>
      </c>
      <c r="E225" s="67"/>
      <c r="F225" s="58">
        <f t="shared" ref="F225:L225" si="215">SUMIFS($C225,$B225,F$7)+F224</f>
        <v>0</v>
      </c>
      <c r="G225" s="58">
        <f t="shared" si="215"/>
        <v>0</v>
      </c>
      <c r="H225" s="58">
        <f t="shared" si="215"/>
        <v>0</v>
      </c>
      <c r="I225" s="58">
        <f t="shared" si="215"/>
        <v>59</v>
      </c>
      <c r="J225" s="58">
        <f t="shared" si="215"/>
        <v>0</v>
      </c>
      <c r="K225" s="58">
        <f t="shared" si="215"/>
        <v>0</v>
      </c>
      <c r="L225" s="58">
        <f t="shared" si="215"/>
        <v>0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0" customHeight="1">
      <c r="A226" s="70"/>
      <c r="B226" s="71"/>
      <c r="C226" s="66"/>
      <c r="D226" s="66">
        <f t="shared" si="3"/>
        <v>0</v>
      </c>
      <c r="E226" s="67"/>
      <c r="F226" s="58">
        <f t="shared" ref="F226:L226" si="216">SUMIFS($C226,$B226,F$7)+F225</f>
        <v>0</v>
      </c>
      <c r="G226" s="58">
        <f t="shared" si="216"/>
        <v>0</v>
      </c>
      <c r="H226" s="58">
        <f t="shared" si="216"/>
        <v>0</v>
      </c>
      <c r="I226" s="58">
        <f t="shared" si="216"/>
        <v>59</v>
      </c>
      <c r="J226" s="58">
        <f t="shared" si="216"/>
        <v>0</v>
      </c>
      <c r="K226" s="58">
        <f t="shared" si="216"/>
        <v>0</v>
      </c>
      <c r="L226" s="58">
        <f t="shared" si="216"/>
        <v>0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0" customHeight="1">
      <c r="A227" s="70"/>
      <c r="B227" s="71"/>
      <c r="C227" s="66"/>
      <c r="D227" s="66">
        <f t="shared" si="3"/>
        <v>0</v>
      </c>
      <c r="E227" s="67"/>
      <c r="F227" s="58">
        <f t="shared" ref="F227:L227" si="217">SUMIFS($C227,$B227,F$7)+F226</f>
        <v>0</v>
      </c>
      <c r="G227" s="58">
        <f t="shared" si="217"/>
        <v>0</v>
      </c>
      <c r="H227" s="58">
        <f t="shared" si="217"/>
        <v>0</v>
      </c>
      <c r="I227" s="58">
        <f t="shared" si="217"/>
        <v>59</v>
      </c>
      <c r="J227" s="58">
        <f t="shared" si="217"/>
        <v>0</v>
      </c>
      <c r="K227" s="58">
        <f t="shared" si="217"/>
        <v>0</v>
      </c>
      <c r="L227" s="58">
        <f t="shared" si="217"/>
        <v>0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0" customHeight="1">
      <c r="A228" s="70"/>
      <c r="B228" s="71"/>
      <c r="C228" s="66"/>
      <c r="D228" s="66">
        <f t="shared" si="3"/>
        <v>0</v>
      </c>
      <c r="E228" s="67"/>
      <c r="F228" s="58">
        <f t="shared" ref="F228:L228" si="218">SUMIFS($C228,$B228,F$7)+F227</f>
        <v>0</v>
      </c>
      <c r="G228" s="58">
        <f t="shared" si="218"/>
        <v>0</v>
      </c>
      <c r="H228" s="58">
        <f t="shared" si="218"/>
        <v>0</v>
      </c>
      <c r="I228" s="58">
        <f t="shared" si="218"/>
        <v>59</v>
      </c>
      <c r="J228" s="58">
        <f t="shared" si="218"/>
        <v>0</v>
      </c>
      <c r="K228" s="58">
        <f t="shared" si="218"/>
        <v>0</v>
      </c>
      <c r="L228" s="58">
        <f t="shared" si="218"/>
        <v>0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0" customHeight="1">
      <c r="A229" s="70"/>
      <c r="B229" s="71"/>
      <c r="C229" s="66"/>
      <c r="D229" s="66">
        <f t="shared" si="3"/>
        <v>0</v>
      </c>
      <c r="E229" s="67"/>
      <c r="F229" s="58">
        <f t="shared" ref="F229:L229" si="219">SUMIFS($C229,$B229,F$7)+F228</f>
        <v>0</v>
      </c>
      <c r="G229" s="58">
        <f t="shared" si="219"/>
        <v>0</v>
      </c>
      <c r="H229" s="58">
        <f t="shared" si="219"/>
        <v>0</v>
      </c>
      <c r="I229" s="58">
        <f t="shared" si="219"/>
        <v>59</v>
      </c>
      <c r="J229" s="58">
        <f t="shared" si="219"/>
        <v>0</v>
      </c>
      <c r="K229" s="58">
        <f t="shared" si="219"/>
        <v>0</v>
      </c>
      <c r="L229" s="58">
        <f t="shared" si="219"/>
        <v>0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0" customHeight="1">
      <c r="A230" s="70"/>
      <c r="B230" s="71"/>
      <c r="C230" s="66"/>
      <c r="D230" s="66">
        <f t="shared" si="3"/>
        <v>0</v>
      </c>
      <c r="E230" s="67"/>
      <c r="F230" s="58">
        <f t="shared" ref="F230:L230" si="220">SUMIFS($C230,$B230,F$7)+F229</f>
        <v>0</v>
      </c>
      <c r="G230" s="58">
        <f t="shared" si="220"/>
        <v>0</v>
      </c>
      <c r="H230" s="58">
        <f t="shared" si="220"/>
        <v>0</v>
      </c>
      <c r="I230" s="58">
        <f t="shared" si="220"/>
        <v>59</v>
      </c>
      <c r="J230" s="58">
        <f t="shared" si="220"/>
        <v>0</v>
      </c>
      <c r="K230" s="58">
        <f t="shared" si="220"/>
        <v>0</v>
      </c>
      <c r="L230" s="58">
        <f t="shared" si="220"/>
        <v>0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0" customHeight="1">
      <c r="A231" s="70"/>
      <c r="B231" s="71"/>
      <c r="C231" s="66"/>
      <c r="D231" s="66">
        <f t="shared" si="3"/>
        <v>0</v>
      </c>
      <c r="E231" s="67"/>
      <c r="F231" s="58">
        <f t="shared" ref="F231:L231" si="221">SUMIFS($C231,$B231,F$7)+F230</f>
        <v>0</v>
      </c>
      <c r="G231" s="58">
        <f t="shared" si="221"/>
        <v>0</v>
      </c>
      <c r="H231" s="58">
        <f t="shared" si="221"/>
        <v>0</v>
      </c>
      <c r="I231" s="58">
        <f t="shared" si="221"/>
        <v>59</v>
      </c>
      <c r="J231" s="58">
        <f t="shared" si="221"/>
        <v>0</v>
      </c>
      <c r="K231" s="58">
        <f t="shared" si="221"/>
        <v>0</v>
      </c>
      <c r="L231" s="58">
        <f t="shared" si="221"/>
        <v>0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0" customHeight="1">
      <c r="A232" s="70"/>
      <c r="B232" s="71"/>
      <c r="C232" s="66"/>
      <c r="D232" s="66">
        <f t="shared" si="3"/>
        <v>0</v>
      </c>
      <c r="E232" s="67"/>
      <c r="F232" s="58">
        <f t="shared" ref="F232:L232" si="222">SUMIFS($C232,$B232,F$7)+F231</f>
        <v>0</v>
      </c>
      <c r="G232" s="58">
        <f t="shared" si="222"/>
        <v>0</v>
      </c>
      <c r="H232" s="58">
        <f t="shared" si="222"/>
        <v>0</v>
      </c>
      <c r="I232" s="58">
        <f t="shared" si="222"/>
        <v>59</v>
      </c>
      <c r="J232" s="58">
        <f t="shared" si="222"/>
        <v>0</v>
      </c>
      <c r="K232" s="58">
        <f t="shared" si="222"/>
        <v>0</v>
      </c>
      <c r="L232" s="58">
        <f t="shared" si="222"/>
        <v>0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0" customHeight="1">
      <c r="A233" s="70"/>
      <c r="B233" s="71"/>
      <c r="C233" s="66"/>
      <c r="D233" s="66">
        <f t="shared" si="3"/>
        <v>0</v>
      </c>
      <c r="E233" s="67"/>
      <c r="F233" s="58">
        <f t="shared" ref="F233:L233" si="223">SUMIFS($C233,$B233,F$7)+F232</f>
        <v>0</v>
      </c>
      <c r="G233" s="58">
        <f t="shared" si="223"/>
        <v>0</v>
      </c>
      <c r="H233" s="58">
        <f t="shared" si="223"/>
        <v>0</v>
      </c>
      <c r="I233" s="58">
        <f t="shared" si="223"/>
        <v>59</v>
      </c>
      <c r="J233" s="58">
        <f t="shared" si="223"/>
        <v>0</v>
      </c>
      <c r="K233" s="58">
        <f t="shared" si="223"/>
        <v>0</v>
      </c>
      <c r="L233" s="58">
        <f t="shared" si="223"/>
        <v>0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0" customHeight="1">
      <c r="A234" s="70"/>
      <c r="B234" s="71"/>
      <c r="C234" s="66"/>
      <c r="D234" s="66">
        <f t="shared" si="3"/>
        <v>0</v>
      </c>
      <c r="E234" s="67"/>
      <c r="F234" s="58">
        <f t="shared" ref="F234:L234" si="224">SUMIFS($C234,$B234,F$7)+F233</f>
        <v>0</v>
      </c>
      <c r="G234" s="58">
        <f t="shared" si="224"/>
        <v>0</v>
      </c>
      <c r="H234" s="58">
        <f t="shared" si="224"/>
        <v>0</v>
      </c>
      <c r="I234" s="58">
        <f t="shared" si="224"/>
        <v>59</v>
      </c>
      <c r="J234" s="58">
        <f t="shared" si="224"/>
        <v>0</v>
      </c>
      <c r="K234" s="58">
        <f t="shared" si="224"/>
        <v>0</v>
      </c>
      <c r="L234" s="58">
        <f t="shared" si="224"/>
        <v>0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0" customHeight="1">
      <c r="A235" s="70"/>
      <c r="B235" s="71"/>
      <c r="C235" s="66"/>
      <c r="D235" s="66">
        <f t="shared" si="3"/>
        <v>0</v>
      </c>
      <c r="E235" s="67"/>
      <c r="F235" s="58">
        <f t="shared" ref="F235:L235" si="225">SUMIFS($C235,$B235,F$7)+F234</f>
        <v>0</v>
      </c>
      <c r="G235" s="58">
        <f t="shared" si="225"/>
        <v>0</v>
      </c>
      <c r="H235" s="58">
        <f t="shared" si="225"/>
        <v>0</v>
      </c>
      <c r="I235" s="58">
        <f t="shared" si="225"/>
        <v>59</v>
      </c>
      <c r="J235" s="58">
        <f t="shared" si="225"/>
        <v>0</v>
      </c>
      <c r="K235" s="58">
        <f t="shared" si="225"/>
        <v>0</v>
      </c>
      <c r="L235" s="58">
        <f t="shared" si="225"/>
        <v>0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0" customHeight="1">
      <c r="A236" s="70"/>
      <c r="B236" s="71"/>
      <c r="C236" s="66"/>
      <c r="D236" s="66">
        <f t="shared" si="3"/>
        <v>0</v>
      </c>
      <c r="E236" s="67"/>
      <c r="F236" s="58">
        <f t="shared" ref="F236:L236" si="226">SUMIFS($C236,$B236,F$7)+F235</f>
        <v>0</v>
      </c>
      <c r="G236" s="58">
        <f t="shared" si="226"/>
        <v>0</v>
      </c>
      <c r="H236" s="58">
        <f t="shared" si="226"/>
        <v>0</v>
      </c>
      <c r="I236" s="58">
        <f t="shared" si="226"/>
        <v>59</v>
      </c>
      <c r="J236" s="58">
        <f t="shared" si="226"/>
        <v>0</v>
      </c>
      <c r="K236" s="58">
        <f t="shared" si="226"/>
        <v>0</v>
      </c>
      <c r="L236" s="58">
        <f t="shared" si="226"/>
        <v>0</v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0" customHeight="1">
      <c r="A237" s="70"/>
      <c r="B237" s="71"/>
      <c r="C237" s="66"/>
      <c r="D237" s="66">
        <f t="shared" si="3"/>
        <v>0</v>
      </c>
      <c r="E237" s="67"/>
      <c r="F237" s="58">
        <f t="shared" ref="F237:L237" si="227">SUMIFS($C237,$B237,F$7)+F236</f>
        <v>0</v>
      </c>
      <c r="G237" s="58">
        <f t="shared" si="227"/>
        <v>0</v>
      </c>
      <c r="H237" s="58">
        <f t="shared" si="227"/>
        <v>0</v>
      </c>
      <c r="I237" s="58">
        <f t="shared" si="227"/>
        <v>59</v>
      </c>
      <c r="J237" s="58">
        <f t="shared" si="227"/>
        <v>0</v>
      </c>
      <c r="K237" s="58">
        <f t="shared" si="227"/>
        <v>0</v>
      </c>
      <c r="L237" s="58">
        <f t="shared" si="227"/>
        <v>0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0" customHeight="1">
      <c r="A238" s="70"/>
      <c r="B238" s="71"/>
      <c r="C238" s="66"/>
      <c r="D238" s="66">
        <f t="shared" si="3"/>
        <v>0</v>
      </c>
      <c r="E238" s="67"/>
      <c r="F238" s="58">
        <f t="shared" ref="F238:L238" si="228">SUMIFS($C238,$B238,F$7)+F237</f>
        <v>0</v>
      </c>
      <c r="G238" s="58">
        <f t="shared" si="228"/>
        <v>0</v>
      </c>
      <c r="H238" s="58">
        <f t="shared" si="228"/>
        <v>0</v>
      </c>
      <c r="I238" s="58">
        <f t="shared" si="228"/>
        <v>59</v>
      </c>
      <c r="J238" s="58">
        <f t="shared" si="228"/>
        <v>0</v>
      </c>
      <c r="K238" s="58">
        <f t="shared" si="228"/>
        <v>0</v>
      </c>
      <c r="L238" s="58">
        <f t="shared" si="228"/>
        <v>0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0" customHeight="1">
      <c r="A239" s="70"/>
      <c r="B239" s="71"/>
      <c r="C239" s="66"/>
      <c r="D239" s="66">
        <f t="shared" si="3"/>
        <v>0</v>
      </c>
      <c r="E239" s="67"/>
      <c r="F239" s="58">
        <f t="shared" ref="F239:L239" si="229">SUMIFS($C239,$B239,F$7)+F238</f>
        <v>0</v>
      </c>
      <c r="G239" s="58">
        <f t="shared" si="229"/>
        <v>0</v>
      </c>
      <c r="H239" s="58">
        <f t="shared" si="229"/>
        <v>0</v>
      </c>
      <c r="I239" s="58">
        <f t="shared" si="229"/>
        <v>59</v>
      </c>
      <c r="J239" s="58">
        <f t="shared" si="229"/>
        <v>0</v>
      </c>
      <c r="K239" s="58">
        <f t="shared" si="229"/>
        <v>0</v>
      </c>
      <c r="L239" s="58">
        <f t="shared" si="229"/>
        <v>0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0" customHeight="1">
      <c r="A240" s="70"/>
      <c r="B240" s="71"/>
      <c r="C240" s="66"/>
      <c r="D240" s="66">
        <f t="shared" si="3"/>
        <v>0</v>
      </c>
      <c r="E240" s="67"/>
      <c r="F240" s="58">
        <f t="shared" ref="F240:L240" si="230">SUMIFS($C240,$B240,F$7)+F239</f>
        <v>0</v>
      </c>
      <c r="G240" s="58">
        <f t="shared" si="230"/>
        <v>0</v>
      </c>
      <c r="H240" s="58">
        <f t="shared" si="230"/>
        <v>0</v>
      </c>
      <c r="I240" s="58">
        <f t="shared" si="230"/>
        <v>59</v>
      </c>
      <c r="J240" s="58">
        <f t="shared" si="230"/>
        <v>0</v>
      </c>
      <c r="K240" s="58">
        <f t="shared" si="230"/>
        <v>0</v>
      </c>
      <c r="L240" s="58">
        <f t="shared" si="230"/>
        <v>0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0" customHeight="1">
      <c r="A241" s="70"/>
      <c r="B241" s="71"/>
      <c r="C241" s="66"/>
      <c r="D241" s="66">
        <f t="shared" si="3"/>
        <v>0</v>
      </c>
      <c r="E241" s="67"/>
      <c r="F241" s="58">
        <f t="shared" ref="F241:L241" si="231">SUMIFS($C241,$B241,F$7)+F240</f>
        <v>0</v>
      </c>
      <c r="G241" s="58">
        <f t="shared" si="231"/>
        <v>0</v>
      </c>
      <c r="H241" s="58">
        <f t="shared" si="231"/>
        <v>0</v>
      </c>
      <c r="I241" s="58">
        <f t="shared" si="231"/>
        <v>59</v>
      </c>
      <c r="J241" s="58">
        <f t="shared" si="231"/>
        <v>0</v>
      </c>
      <c r="K241" s="58">
        <f t="shared" si="231"/>
        <v>0</v>
      </c>
      <c r="L241" s="58">
        <f t="shared" si="231"/>
        <v>0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0" customHeight="1">
      <c r="A242" s="70"/>
      <c r="B242" s="71"/>
      <c r="C242" s="66"/>
      <c r="D242" s="66">
        <f t="shared" si="3"/>
        <v>0</v>
      </c>
      <c r="E242" s="67"/>
      <c r="F242" s="58">
        <f t="shared" ref="F242:L242" si="232">SUMIFS($C242,$B242,F$7)+F241</f>
        <v>0</v>
      </c>
      <c r="G242" s="58">
        <f t="shared" si="232"/>
        <v>0</v>
      </c>
      <c r="H242" s="58">
        <f t="shared" si="232"/>
        <v>0</v>
      </c>
      <c r="I242" s="58">
        <f t="shared" si="232"/>
        <v>59</v>
      </c>
      <c r="J242" s="58">
        <f t="shared" si="232"/>
        <v>0</v>
      </c>
      <c r="K242" s="58">
        <f t="shared" si="232"/>
        <v>0</v>
      </c>
      <c r="L242" s="58">
        <f t="shared" si="232"/>
        <v>0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0" customHeight="1">
      <c r="A243" s="70"/>
      <c r="B243" s="71"/>
      <c r="C243" s="66"/>
      <c r="D243" s="66">
        <f t="shared" si="3"/>
        <v>0</v>
      </c>
      <c r="E243" s="67"/>
      <c r="F243" s="58">
        <f t="shared" ref="F243:L243" si="233">SUMIFS($C243,$B243,F$7)+F242</f>
        <v>0</v>
      </c>
      <c r="G243" s="58">
        <f t="shared" si="233"/>
        <v>0</v>
      </c>
      <c r="H243" s="58">
        <f t="shared" si="233"/>
        <v>0</v>
      </c>
      <c r="I243" s="58">
        <f t="shared" si="233"/>
        <v>59</v>
      </c>
      <c r="J243" s="58">
        <f t="shared" si="233"/>
        <v>0</v>
      </c>
      <c r="K243" s="58">
        <f t="shared" si="233"/>
        <v>0</v>
      </c>
      <c r="L243" s="58">
        <f t="shared" si="233"/>
        <v>0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0" customHeight="1">
      <c r="A244" s="70"/>
      <c r="B244" s="71"/>
      <c r="C244" s="66"/>
      <c r="D244" s="66">
        <f t="shared" si="3"/>
        <v>0</v>
      </c>
      <c r="E244" s="67"/>
      <c r="F244" s="58">
        <f t="shared" ref="F244:L244" si="234">SUMIFS($C244,$B244,F$7)+F243</f>
        <v>0</v>
      </c>
      <c r="G244" s="58">
        <f t="shared" si="234"/>
        <v>0</v>
      </c>
      <c r="H244" s="58">
        <f t="shared" si="234"/>
        <v>0</v>
      </c>
      <c r="I244" s="58">
        <f t="shared" si="234"/>
        <v>59</v>
      </c>
      <c r="J244" s="58">
        <f t="shared" si="234"/>
        <v>0</v>
      </c>
      <c r="K244" s="58">
        <f t="shared" si="234"/>
        <v>0</v>
      </c>
      <c r="L244" s="58">
        <f t="shared" si="234"/>
        <v>0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0" customHeight="1">
      <c r="A245" s="70"/>
      <c r="B245" s="71"/>
      <c r="C245" s="66"/>
      <c r="D245" s="66">
        <f t="shared" si="3"/>
        <v>0</v>
      </c>
      <c r="E245" s="67"/>
      <c r="F245" s="58">
        <f t="shared" ref="F245:L245" si="235">SUMIFS($C245,$B245,F$7)+F244</f>
        <v>0</v>
      </c>
      <c r="G245" s="58">
        <f t="shared" si="235"/>
        <v>0</v>
      </c>
      <c r="H245" s="58">
        <f t="shared" si="235"/>
        <v>0</v>
      </c>
      <c r="I245" s="58">
        <f t="shared" si="235"/>
        <v>59</v>
      </c>
      <c r="J245" s="58">
        <f t="shared" si="235"/>
        <v>0</v>
      </c>
      <c r="K245" s="58">
        <f t="shared" si="235"/>
        <v>0</v>
      </c>
      <c r="L245" s="58">
        <f t="shared" si="235"/>
        <v>0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0" customHeight="1">
      <c r="A246" s="70"/>
      <c r="B246" s="71"/>
      <c r="C246" s="66"/>
      <c r="D246" s="66">
        <f t="shared" si="3"/>
        <v>0</v>
      </c>
      <c r="E246" s="67"/>
      <c r="F246" s="58">
        <f t="shared" ref="F246:L246" si="236">SUMIFS($C246,$B246,F$7)+F245</f>
        <v>0</v>
      </c>
      <c r="G246" s="58">
        <f t="shared" si="236"/>
        <v>0</v>
      </c>
      <c r="H246" s="58">
        <f t="shared" si="236"/>
        <v>0</v>
      </c>
      <c r="I246" s="58">
        <f t="shared" si="236"/>
        <v>59</v>
      </c>
      <c r="J246" s="58">
        <f t="shared" si="236"/>
        <v>0</v>
      </c>
      <c r="K246" s="58">
        <f t="shared" si="236"/>
        <v>0</v>
      </c>
      <c r="L246" s="58">
        <f t="shared" si="236"/>
        <v>0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0" customHeight="1">
      <c r="A247" s="70"/>
      <c r="B247" s="71"/>
      <c r="C247" s="66"/>
      <c r="D247" s="66">
        <f t="shared" si="3"/>
        <v>0</v>
      </c>
      <c r="E247" s="67"/>
      <c r="F247" s="58">
        <f t="shared" ref="F247:L247" si="237">SUMIFS($C247,$B247,F$7)+F246</f>
        <v>0</v>
      </c>
      <c r="G247" s="58">
        <f t="shared" si="237"/>
        <v>0</v>
      </c>
      <c r="H247" s="58">
        <f t="shared" si="237"/>
        <v>0</v>
      </c>
      <c r="I247" s="58">
        <f t="shared" si="237"/>
        <v>59</v>
      </c>
      <c r="J247" s="58">
        <f t="shared" si="237"/>
        <v>0</v>
      </c>
      <c r="K247" s="58">
        <f t="shared" si="237"/>
        <v>0</v>
      </c>
      <c r="L247" s="58">
        <f t="shared" si="237"/>
        <v>0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0" customHeight="1">
      <c r="A248" s="70"/>
      <c r="B248" s="71"/>
      <c r="C248" s="66"/>
      <c r="D248" s="66">
        <f t="shared" si="3"/>
        <v>0</v>
      </c>
      <c r="E248" s="67"/>
      <c r="F248" s="58">
        <f t="shared" ref="F248:L248" si="238">SUMIFS($C248,$B248,F$7)+F247</f>
        <v>0</v>
      </c>
      <c r="G248" s="58">
        <f t="shared" si="238"/>
        <v>0</v>
      </c>
      <c r="H248" s="58">
        <f t="shared" si="238"/>
        <v>0</v>
      </c>
      <c r="I248" s="58">
        <f t="shared" si="238"/>
        <v>59</v>
      </c>
      <c r="J248" s="58">
        <f t="shared" si="238"/>
        <v>0</v>
      </c>
      <c r="K248" s="58">
        <f t="shared" si="238"/>
        <v>0</v>
      </c>
      <c r="L248" s="58">
        <f t="shared" si="238"/>
        <v>0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0" customHeight="1">
      <c r="A249" s="70"/>
      <c r="B249" s="71"/>
      <c r="C249" s="66"/>
      <c r="D249" s="66">
        <f t="shared" si="3"/>
        <v>0</v>
      </c>
      <c r="E249" s="67"/>
      <c r="F249" s="58">
        <f t="shared" ref="F249:L249" si="239">SUMIFS($C249,$B249,F$7)+F248</f>
        <v>0</v>
      </c>
      <c r="G249" s="58">
        <f t="shared" si="239"/>
        <v>0</v>
      </c>
      <c r="H249" s="58">
        <f t="shared" si="239"/>
        <v>0</v>
      </c>
      <c r="I249" s="58">
        <f t="shared" si="239"/>
        <v>59</v>
      </c>
      <c r="J249" s="58">
        <f t="shared" si="239"/>
        <v>0</v>
      </c>
      <c r="K249" s="58">
        <f t="shared" si="239"/>
        <v>0</v>
      </c>
      <c r="L249" s="58">
        <f t="shared" si="239"/>
        <v>0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0" customHeight="1">
      <c r="A250" s="70"/>
      <c r="B250" s="71"/>
      <c r="C250" s="66"/>
      <c r="D250" s="66">
        <f t="shared" si="3"/>
        <v>0</v>
      </c>
      <c r="E250" s="67"/>
      <c r="F250" s="58">
        <f t="shared" ref="F250:L250" si="240">SUMIFS($C250,$B250,F$7)+F249</f>
        <v>0</v>
      </c>
      <c r="G250" s="58">
        <f t="shared" si="240"/>
        <v>0</v>
      </c>
      <c r="H250" s="58">
        <f t="shared" si="240"/>
        <v>0</v>
      </c>
      <c r="I250" s="58">
        <f t="shared" si="240"/>
        <v>59</v>
      </c>
      <c r="J250" s="58">
        <f t="shared" si="240"/>
        <v>0</v>
      </c>
      <c r="K250" s="58">
        <f t="shared" si="240"/>
        <v>0</v>
      </c>
      <c r="L250" s="58">
        <f t="shared" si="240"/>
        <v>0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0" customHeight="1">
      <c r="A251" s="70"/>
      <c r="B251" s="71"/>
      <c r="C251" s="66"/>
      <c r="D251" s="66">
        <f t="shared" si="3"/>
        <v>0</v>
      </c>
      <c r="E251" s="67"/>
      <c r="F251" s="58">
        <f t="shared" ref="F251:L251" si="241">SUMIFS($C251,$B251,F$7)+F250</f>
        <v>0</v>
      </c>
      <c r="G251" s="58">
        <f t="shared" si="241"/>
        <v>0</v>
      </c>
      <c r="H251" s="58">
        <f t="shared" si="241"/>
        <v>0</v>
      </c>
      <c r="I251" s="58">
        <f t="shared" si="241"/>
        <v>59</v>
      </c>
      <c r="J251" s="58">
        <f t="shared" si="241"/>
        <v>0</v>
      </c>
      <c r="K251" s="58">
        <f t="shared" si="241"/>
        <v>0</v>
      </c>
      <c r="L251" s="58">
        <f t="shared" si="241"/>
        <v>0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0" customHeight="1">
      <c r="A252" s="70"/>
      <c r="B252" s="71"/>
      <c r="C252" s="66"/>
      <c r="D252" s="66">
        <f t="shared" si="3"/>
        <v>0</v>
      </c>
      <c r="E252" s="67"/>
      <c r="F252" s="58">
        <f t="shared" ref="F252:L252" si="242">SUMIFS($C252,$B252,F$7)+F251</f>
        <v>0</v>
      </c>
      <c r="G252" s="58">
        <f t="shared" si="242"/>
        <v>0</v>
      </c>
      <c r="H252" s="58">
        <f t="shared" si="242"/>
        <v>0</v>
      </c>
      <c r="I252" s="58">
        <f t="shared" si="242"/>
        <v>59</v>
      </c>
      <c r="J252" s="58">
        <f t="shared" si="242"/>
        <v>0</v>
      </c>
      <c r="K252" s="58">
        <f t="shared" si="242"/>
        <v>0</v>
      </c>
      <c r="L252" s="58">
        <f t="shared" si="242"/>
        <v>0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0" customHeight="1">
      <c r="A253" s="70"/>
      <c r="B253" s="71"/>
      <c r="C253" s="66"/>
      <c r="D253" s="66">
        <f t="shared" si="3"/>
        <v>0</v>
      </c>
      <c r="E253" s="67"/>
      <c r="F253" s="58">
        <f t="shared" ref="F253:L253" si="243">SUMIFS($C253,$B253,F$7)+F252</f>
        <v>0</v>
      </c>
      <c r="G253" s="58">
        <f t="shared" si="243"/>
        <v>0</v>
      </c>
      <c r="H253" s="58">
        <f t="shared" si="243"/>
        <v>0</v>
      </c>
      <c r="I253" s="58">
        <f t="shared" si="243"/>
        <v>59</v>
      </c>
      <c r="J253" s="58">
        <f t="shared" si="243"/>
        <v>0</v>
      </c>
      <c r="K253" s="58">
        <f t="shared" si="243"/>
        <v>0</v>
      </c>
      <c r="L253" s="58">
        <f t="shared" si="243"/>
        <v>0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0" customHeight="1">
      <c r="A254" s="70"/>
      <c r="B254" s="71"/>
      <c r="C254" s="66"/>
      <c r="D254" s="66">
        <f t="shared" si="3"/>
        <v>0</v>
      </c>
      <c r="E254" s="67"/>
      <c r="F254" s="58">
        <f t="shared" ref="F254:L254" si="244">SUMIFS($C254,$B254,F$7)+F253</f>
        <v>0</v>
      </c>
      <c r="G254" s="58">
        <f t="shared" si="244"/>
        <v>0</v>
      </c>
      <c r="H254" s="58">
        <f t="shared" si="244"/>
        <v>0</v>
      </c>
      <c r="I254" s="58">
        <f t="shared" si="244"/>
        <v>59</v>
      </c>
      <c r="J254" s="58">
        <f t="shared" si="244"/>
        <v>0</v>
      </c>
      <c r="K254" s="58">
        <f t="shared" si="244"/>
        <v>0</v>
      </c>
      <c r="L254" s="58">
        <f t="shared" si="244"/>
        <v>0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0" customHeight="1">
      <c r="A255" s="70"/>
      <c r="B255" s="71"/>
      <c r="C255" s="66"/>
      <c r="D255" s="66">
        <f t="shared" si="3"/>
        <v>0</v>
      </c>
      <c r="E255" s="67"/>
      <c r="F255" s="58">
        <f t="shared" ref="F255:L255" si="245">SUMIFS($C255,$B255,F$7)+F254</f>
        <v>0</v>
      </c>
      <c r="G255" s="58">
        <f t="shared" si="245"/>
        <v>0</v>
      </c>
      <c r="H255" s="58">
        <f t="shared" si="245"/>
        <v>0</v>
      </c>
      <c r="I255" s="58">
        <f t="shared" si="245"/>
        <v>59</v>
      </c>
      <c r="J255" s="58">
        <f t="shared" si="245"/>
        <v>0</v>
      </c>
      <c r="K255" s="58">
        <f t="shared" si="245"/>
        <v>0</v>
      </c>
      <c r="L255" s="58">
        <f t="shared" si="245"/>
        <v>0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0" customHeight="1">
      <c r="A256" s="70"/>
      <c r="B256" s="71"/>
      <c r="C256" s="66"/>
      <c r="D256" s="66">
        <f t="shared" si="3"/>
        <v>0</v>
      </c>
      <c r="E256" s="67"/>
      <c r="F256" s="58">
        <f t="shared" ref="F256:L256" si="246">SUMIFS($C256,$B256,F$7)+F255</f>
        <v>0</v>
      </c>
      <c r="G256" s="58">
        <f t="shared" si="246"/>
        <v>0</v>
      </c>
      <c r="H256" s="58">
        <f t="shared" si="246"/>
        <v>0</v>
      </c>
      <c r="I256" s="58">
        <f t="shared" si="246"/>
        <v>59</v>
      </c>
      <c r="J256" s="58">
        <f t="shared" si="246"/>
        <v>0</v>
      </c>
      <c r="K256" s="58">
        <f t="shared" si="246"/>
        <v>0</v>
      </c>
      <c r="L256" s="58">
        <f t="shared" si="246"/>
        <v>0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0" customHeight="1">
      <c r="A257" s="70"/>
      <c r="B257" s="71"/>
      <c r="C257" s="66"/>
      <c r="D257" s="66">
        <f t="shared" si="3"/>
        <v>0</v>
      </c>
      <c r="E257" s="67"/>
      <c r="F257" s="58">
        <f t="shared" ref="F257:L257" si="247">SUMIFS($C257,$B257,F$7)+F256</f>
        <v>0</v>
      </c>
      <c r="G257" s="58">
        <f t="shared" si="247"/>
        <v>0</v>
      </c>
      <c r="H257" s="58">
        <f t="shared" si="247"/>
        <v>0</v>
      </c>
      <c r="I257" s="58">
        <f t="shared" si="247"/>
        <v>59</v>
      </c>
      <c r="J257" s="58">
        <f t="shared" si="247"/>
        <v>0</v>
      </c>
      <c r="K257" s="58">
        <f t="shared" si="247"/>
        <v>0</v>
      </c>
      <c r="L257" s="58">
        <f t="shared" si="247"/>
        <v>0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0" customHeight="1">
      <c r="A258" s="70"/>
      <c r="B258" s="71"/>
      <c r="C258" s="66"/>
      <c r="D258" s="66">
        <f t="shared" si="3"/>
        <v>0</v>
      </c>
      <c r="E258" s="67"/>
      <c r="F258" s="58">
        <f t="shared" ref="F258:L258" si="248">SUMIFS($C258,$B258,F$7)+F257</f>
        <v>0</v>
      </c>
      <c r="G258" s="58">
        <f t="shared" si="248"/>
        <v>0</v>
      </c>
      <c r="H258" s="58">
        <f t="shared" si="248"/>
        <v>0</v>
      </c>
      <c r="I258" s="58">
        <f t="shared" si="248"/>
        <v>59</v>
      </c>
      <c r="J258" s="58">
        <f t="shared" si="248"/>
        <v>0</v>
      </c>
      <c r="K258" s="58">
        <f t="shared" si="248"/>
        <v>0</v>
      </c>
      <c r="L258" s="58">
        <f t="shared" si="248"/>
        <v>0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0" customHeight="1">
      <c r="A259" s="70"/>
      <c r="B259" s="71"/>
      <c r="C259" s="66"/>
      <c r="D259" s="66">
        <f t="shared" si="3"/>
        <v>0</v>
      </c>
      <c r="E259" s="67"/>
      <c r="F259" s="58">
        <f t="shared" ref="F259:L259" si="249">SUMIFS($C259,$B259,F$7)+F258</f>
        <v>0</v>
      </c>
      <c r="G259" s="58">
        <f t="shared" si="249"/>
        <v>0</v>
      </c>
      <c r="H259" s="58">
        <f t="shared" si="249"/>
        <v>0</v>
      </c>
      <c r="I259" s="58">
        <f t="shared" si="249"/>
        <v>59</v>
      </c>
      <c r="J259" s="58">
        <f t="shared" si="249"/>
        <v>0</v>
      </c>
      <c r="K259" s="58">
        <f t="shared" si="249"/>
        <v>0</v>
      </c>
      <c r="L259" s="58">
        <f t="shared" si="249"/>
        <v>0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0" customHeight="1">
      <c r="A260" s="70"/>
      <c r="B260" s="71"/>
      <c r="C260" s="66"/>
      <c r="D260" s="66">
        <f t="shared" si="3"/>
        <v>0</v>
      </c>
      <c r="E260" s="67"/>
      <c r="F260" s="58">
        <f t="shared" ref="F260:L260" si="250">SUMIFS($C260,$B260,F$7)+F259</f>
        <v>0</v>
      </c>
      <c r="G260" s="58">
        <f t="shared" si="250"/>
        <v>0</v>
      </c>
      <c r="H260" s="58">
        <f t="shared" si="250"/>
        <v>0</v>
      </c>
      <c r="I260" s="58">
        <f t="shared" si="250"/>
        <v>59</v>
      </c>
      <c r="J260" s="58">
        <f t="shared" si="250"/>
        <v>0</v>
      </c>
      <c r="K260" s="58">
        <f t="shared" si="250"/>
        <v>0</v>
      </c>
      <c r="L260" s="58">
        <f t="shared" si="250"/>
        <v>0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0" customHeight="1">
      <c r="A261" s="70"/>
      <c r="B261" s="71"/>
      <c r="C261" s="66"/>
      <c r="D261" s="66">
        <f t="shared" si="3"/>
        <v>0</v>
      </c>
      <c r="E261" s="67"/>
      <c r="F261" s="58">
        <f t="shared" ref="F261:L261" si="251">SUMIFS($C261,$B261,F$7)+F260</f>
        <v>0</v>
      </c>
      <c r="G261" s="58">
        <f t="shared" si="251"/>
        <v>0</v>
      </c>
      <c r="H261" s="58">
        <f t="shared" si="251"/>
        <v>0</v>
      </c>
      <c r="I261" s="58">
        <f t="shared" si="251"/>
        <v>59</v>
      </c>
      <c r="J261" s="58">
        <f t="shared" si="251"/>
        <v>0</v>
      </c>
      <c r="K261" s="58">
        <f t="shared" si="251"/>
        <v>0</v>
      </c>
      <c r="L261" s="58">
        <f t="shared" si="251"/>
        <v>0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0" customHeight="1">
      <c r="A262" s="70"/>
      <c r="B262" s="71"/>
      <c r="C262" s="66"/>
      <c r="D262" s="66">
        <f t="shared" si="3"/>
        <v>0</v>
      </c>
      <c r="E262" s="67"/>
      <c r="F262" s="58">
        <f t="shared" ref="F262:L262" si="252">SUMIFS($C262,$B262,F$7)+F261</f>
        <v>0</v>
      </c>
      <c r="G262" s="58">
        <f t="shared" si="252"/>
        <v>0</v>
      </c>
      <c r="H262" s="58">
        <f t="shared" si="252"/>
        <v>0</v>
      </c>
      <c r="I262" s="58">
        <f t="shared" si="252"/>
        <v>59</v>
      </c>
      <c r="J262" s="58">
        <f t="shared" si="252"/>
        <v>0</v>
      </c>
      <c r="K262" s="58">
        <f t="shared" si="252"/>
        <v>0</v>
      </c>
      <c r="L262" s="58">
        <f t="shared" si="252"/>
        <v>0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0" customHeight="1">
      <c r="A263" s="70"/>
      <c r="B263" s="71"/>
      <c r="C263" s="66"/>
      <c r="D263" s="66">
        <f t="shared" si="3"/>
        <v>0</v>
      </c>
      <c r="E263" s="67"/>
      <c r="F263" s="58">
        <f t="shared" ref="F263:L263" si="253">SUMIFS($C263,$B263,F$7)+F262</f>
        <v>0</v>
      </c>
      <c r="G263" s="58">
        <f t="shared" si="253"/>
        <v>0</v>
      </c>
      <c r="H263" s="58">
        <f t="shared" si="253"/>
        <v>0</v>
      </c>
      <c r="I263" s="58">
        <f t="shared" si="253"/>
        <v>59</v>
      </c>
      <c r="J263" s="58">
        <f t="shared" si="253"/>
        <v>0</v>
      </c>
      <c r="K263" s="58">
        <f t="shared" si="253"/>
        <v>0</v>
      </c>
      <c r="L263" s="58">
        <f t="shared" si="253"/>
        <v>0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0" customHeight="1">
      <c r="A264" s="70"/>
      <c r="B264" s="71"/>
      <c r="C264" s="66"/>
      <c r="D264" s="66">
        <f t="shared" si="3"/>
        <v>0</v>
      </c>
      <c r="E264" s="67"/>
      <c r="F264" s="58">
        <f t="shared" ref="F264:L264" si="254">SUMIFS($C264,$B264,F$7)+F263</f>
        <v>0</v>
      </c>
      <c r="G264" s="58">
        <f t="shared" si="254"/>
        <v>0</v>
      </c>
      <c r="H264" s="58">
        <f t="shared" si="254"/>
        <v>0</v>
      </c>
      <c r="I264" s="58">
        <f t="shared" si="254"/>
        <v>59</v>
      </c>
      <c r="J264" s="58">
        <f t="shared" si="254"/>
        <v>0</v>
      </c>
      <c r="K264" s="58">
        <f t="shared" si="254"/>
        <v>0</v>
      </c>
      <c r="L264" s="58">
        <f t="shared" si="254"/>
        <v>0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0" customHeight="1">
      <c r="A265" s="70"/>
      <c r="B265" s="71"/>
      <c r="C265" s="66"/>
      <c r="D265" s="66">
        <f t="shared" si="3"/>
        <v>0</v>
      </c>
      <c r="E265" s="67"/>
      <c r="F265" s="58">
        <f t="shared" ref="F265:L265" si="255">SUMIFS($C265,$B265,F$7)+F264</f>
        <v>0</v>
      </c>
      <c r="G265" s="58">
        <f t="shared" si="255"/>
        <v>0</v>
      </c>
      <c r="H265" s="58">
        <f t="shared" si="255"/>
        <v>0</v>
      </c>
      <c r="I265" s="58">
        <f t="shared" si="255"/>
        <v>59</v>
      </c>
      <c r="J265" s="58">
        <f t="shared" si="255"/>
        <v>0</v>
      </c>
      <c r="K265" s="58">
        <f t="shared" si="255"/>
        <v>0</v>
      </c>
      <c r="L265" s="58">
        <f t="shared" si="255"/>
        <v>0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0" customHeight="1">
      <c r="A266" s="70"/>
      <c r="B266" s="71"/>
      <c r="C266" s="66"/>
      <c r="D266" s="66">
        <f t="shared" si="3"/>
        <v>0</v>
      </c>
      <c r="E266" s="67"/>
      <c r="F266" s="58">
        <f t="shared" ref="F266:L266" si="256">SUMIFS($C266,$B266,F$7)+F265</f>
        <v>0</v>
      </c>
      <c r="G266" s="58">
        <f t="shared" si="256"/>
        <v>0</v>
      </c>
      <c r="H266" s="58">
        <f t="shared" si="256"/>
        <v>0</v>
      </c>
      <c r="I266" s="58">
        <f t="shared" si="256"/>
        <v>59</v>
      </c>
      <c r="J266" s="58">
        <f t="shared" si="256"/>
        <v>0</v>
      </c>
      <c r="K266" s="58">
        <f t="shared" si="256"/>
        <v>0</v>
      </c>
      <c r="L266" s="58">
        <f t="shared" si="256"/>
        <v>0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0" customHeight="1">
      <c r="A267" s="70"/>
      <c r="B267" s="71"/>
      <c r="C267" s="66"/>
      <c r="D267" s="66">
        <f t="shared" si="3"/>
        <v>0</v>
      </c>
      <c r="E267" s="67"/>
      <c r="F267" s="58">
        <f t="shared" ref="F267:L267" si="257">SUMIFS($C267,$B267,F$7)+F266</f>
        <v>0</v>
      </c>
      <c r="G267" s="58">
        <f t="shared" si="257"/>
        <v>0</v>
      </c>
      <c r="H267" s="58">
        <f t="shared" si="257"/>
        <v>0</v>
      </c>
      <c r="I267" s="58">
        <f t="shared" si="257"/>
        <v>59</v>
      </c>
      <c r="J267" s="58">
        <f t="shared" si="257"/>
        <v>0</v>
      </c>
      <c r="K267" s="58">
        <f t="shared" si="257"/>
        <v>0</v>
      </c>
      <c r="L267" s="58">
        <f t="shared" si="257"/>
        <v>0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0" customHeight="1">
      <c r="A268" s="70"/>
      <c r="B268" s="71"/>
      <c r="C268" s="66"/>
      <c r="D268" s="66">
        <f t="shared" si="3"/>
        <v>0</v>
      </c>
      <c r="E268" s="67"/>
      <c r="F268" s="58">
        <f t="shared" ref="F268:L268" si="258">SUMIFS($C268,$B268,F$7)+F267</f>
        <v>0</v>
      </c>
      <c r="G268" s="58">
        <f t="shared" si="258"/>
        <v>0</v>
      </c>
      <c r="H268" s="58">
        <f t="shared" si="258"/>
        <v>0</v>
      </c>
      <c r="I268" s="58">
        <f t="shared" si="258"/>
        <v>59</v>
      </c>
      <c r="J268" s="58">
        <f t="shared" si="258"/>
        <v>0</v>
      </c>
      <c r="K268" s="58">
        <f t="shared" si="258"/>
        <v>0</v>
      </c>
      <c r="L268" s="58">
        <f t="shared" si="258"/>
        <v>0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0" customHeight="1">
      <c r="A269" s="70"/>
      <c r="B269" s="71"/>
      <c r="C269" s="66"/>
      <c r="D269" s="66">
        <f t="shared" si="3"/>
        <v>0</v>
      </c>
      <c r="E269" s="67"/>
      <c r="F269" s="58">
        <f t="shared" ref="F269:L269" si="259">SUMIFS($C269,$B269,F$7)+F268</f>
        <v>0</v>
      </c>
      <c r="G269" s="58">
        <f t="shared" si="259"/>
        <v>0</v>
      </c>
      <c r="H269" s="58">
        <f t="shared" si="259"/>
        <v>0</v>
      </c>
      <c r="I269" s="58">
        <f t="shared" si="259"/>
        <v>59</v>
      </c>
      <c r="J269" s="58">
        <f t="shared" si="259"/>
        <v>0</v>
      </c>
      <c r="K269" s="58">
        <f t="shared" si="259"/>
        <v>0</v>
      </c>
      <c r="L269" s="58">
        <f t="shared" si="259"/>
        <v>0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0" customHeight="1">
      <c r="A270" s="70"/>
      <c r="B270" s="71"/>
      <c r="C270" s="66"/>
      <c r="D270" s="66">
        <f t="shared" si="3"/>
        <v>0</v>
      </c>
      <c r="E270" s="67"/>
      <c r="F270" s="58">
        <f t="shared" ref="F270:L270" si="260">SUMIFS($C270,$B270,F$7)+F269</f>
        <v>0</v>
      </c>
      <c r="G270" s="58">
        <f t="shared" si="260"/>
        <v>0</v>
      </c>
      <c r="H270" s="58">
        <f t="shared" si="260"/>
        <v>0</v>
      </c>
      <c r="I270" s="58">
        <f t="shared" si="260"/>
        <v>59</v>
      </c>
      <c r="J270" s="58">
        <f t="shared" si="260"/>
        <v>0</v>
      </c>
      <c r="K270" s="58">
        <f t="shared" si="260"/>
        <v>0</v>
      </c>
      <c r="L270" s="58">
        <f t="shared" si="260"/>
        <v>0</v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0" customHeight="1">
      <c r="A271" s="70"/>
      <c r="B271" s="71"/>
      <c r="C271" s="66"/>
      <c r="D271" s="66">
        <f t="shared" si="3"/>
        <v>0</v>
      </c>
      <c r="E271" s="67"/>
      <c r="F271" s="58">
        <f t="shared" ref="F271:L271" si="261">SUMIFS($C271,$B271,F$7)+F270</f>
        <v>0</v>
      </c>
      <c r="G271" s="58">
        <f t="shared" si="261"/>
        <v>0</v>
      </c>
      <c r="H271" s="58">
        <f t="shared" si="261"/>
        <v>0</v>
      </c>
      <c r="I271" s="58">
        <f t="shared" si="261"/>
        <v>59</v>
      </c>
      <c r="J271" s="58">
        <f t="shared" si="261"/>
        <v>0</v>
      </c>
      <c r="K271" s="58">
        <f t="shared" si="261"/>
        <v>0</v>
      </c>
      <c r="L271" s="58">
        <f t="shared" si="261"/>
        <v>0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0" customHeight="1">
      <c r="A272" s="70"/>
      <c r="B272" s="71"/>
      <c r="C272" s="66"/>
      <c r="D272" s="66">
        <f t="shared" si="3"/>
        <v>0</v>
      </c>
      <c r="E272" s="67"/>
      <c r="F272" s="58">
        <f t="shared" ref="F272:L272" si="262">SUMIFS($C272,$B272,F$7)+F271</f>
        <v>0</v>
      </c>
      <c r="G272" s="58">
        <f t="shared" si="262"/>
        <v>0</v>
      </c>
      <c r="H272" s="58">
        <f t="shared" si="262"/>
        <v>0</v>
      </c>
      <c r="I272" s="58">
        <f t="shared" si="262"/>
        <v>59</v>
      </c>
      <c r="J272" s="58">
        <f t="shared" si="262"/>
        <v>0</v>
      </c>
      <c r="K272" s="58">
        <f t="shared" si="262"/>
        <v>0</v>
      </c>
      <c r="L272" s="58">
        <f t="shared" si="262"/>
        <v>0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0" customHeight="1">
      <c r="A273" s="70"/>
      <c r="B273" s="71"/>
      <c r="C273" s="66"/>
      <c r="D273" s="66">
        <f t="shared" si="3"/>
        <v>0</v>
      </c>
      <c r="E273" s="67"/>
      <c r="F273" s="58">
        <f t="shared" ref="F273:L273" si="263">SUMIFS($C273,$B273,F$7)+F272</f>
        <v>0</v>
      </c>
      <c r="G273" s="58">
        <f t="shared" si="263"/>
        <v>0</v>
      </c>
      <c r="H273" s="58">
        <f t="shared" si="263"/>
        <v>0</v>
      </c>
      <c r="I273" s="58">
        <f t="shared" si="263"/>
        <v>59</v>
      </c>
      <c r="J273" s="58">
        <f t="shared" si="263"/>
        <v>0</v>
      </c>
      <c r="K273" s="58">
        <f t="shared" si="263"/>
        <v>0</v>
      </c>
      <c r="L273" s="58">
        <f t="shared" si="263"/>
        <v>0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0" customHeight="1">
      <c r="A274" s="70"/>
      <c r="B274" s="71"/>
      <c r="C274" s="66"/>
      <c r="D274" s="66">
        <f t="shared" si="3"/>
        <v>0</v>
      </c>
      <c r="E274" s="67"/>
      <c r="F274" s="58">
        <f t="shared" ref="F274:L274" si="264">SUMIFS($C274,$B274,F$7)+F273</f>
        <v>0</v>
      </c>
      <c r="G274" s="58">
        <f t="shared" si="264"/>
        <v>0</v>
      </c>
      <c r="H274" s="58">
        <f t="shared" si="264"/>
        <v>0</v>
      </c>
      <c r="I274" s="58">
        <f t="shared" si="264"/>
        <v>59</v>
      </c>
      <c r="J274" s="58">
        <f t="shared" si="264"/>
        <v>0</v>
      </c>
      <c r="K274" s="58">
        <f t="shared" si="264"/>
        <v>0</v>
      </c>
      <c r="L274" s="58">
        <f t="shared" si="264"/>
        <v>0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0" customHeight="1">
      <c r="A275" s="70"/>
      <c r="B275" s="71"/>
      <c r="C275" s="66"/>
      <c r="D275" s="66">
        <f t="shared" si="3"/>
        <v>0</v>
      </c>
      <c r="E275" s="67"/>
      <c r="F275" s="58">
        <f t="shared" ref="F275:L275" si="265">SUMIFS($C275,$B275,F$7)+F274</f>
        <v>0</v>
      </c>
      <c r="G275" s="58">
        <f t="shared" si="265"/>
        <v>0</v>
      </c>
      <c r="H275" s="58">
        <f t="shared" si="265"/>
        <v>0</v>
      </c>
      <c r="I275" s="58">
        <f t="shared" si="265"/>
        <v>59</v>
      </c>
      <c r="J275" s="58">
        <f t="shared" si="265"/>
        <v>0</v>
      </c>
      <c r="K275" s="58">
        <f t="shared" si="265"/>
        <v>0</v>
      </c>
      <c r="L275" s="58">
        <f t="shared" si="265"/>
        <v>0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0" customHeight="1">
      <c r="A276" s="70"/>
      <c r="B276" s="71"/>
      <c r="C276" s="66"/>
      <c r="D276" s="66">
        <f t="shared" si="3"/>
        <v>0</v>
      </c>
      <c r="E276" s="67"/>
      <c r="F276" s="58">
        <f t="shared" ref="F276:L276" si="266">SUMIFS($C276,$B276,F$7)+F275</f>
        <v>0</v>
      </c>
      <c r="G276" s="58">
        <f t="shared" si="266"/>
        <v>0</v>
      </c>
      <c r="H276" s="58">
        <f t="shared" si="266"/>
        <v>0</v>
      </c>
      <c r="I276" s="58">
        <f t="shared" si="266"/>
        <v>59</v>
      </c>
      <c r="J276" s="58">
        <f t="shared" si="266"/>
        <v>0</v>
      </c>
      <c r="K276" s="58">
        <f t="shared" si="266"/>
        <v>0</v>
      </c>
      <c r="L276" s="58">
        <f t="shared" si="266"/>
        <v>0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0" customHeight="1">
      <c r="A277" s="70"/>
      <c r="B277" s="71"/>
      <c r="C277" s="66"/>
      <c r="D277" s="66">
        <f t="shared" si="3"/>
        <v>0</v>
      </c>
      <c r="E277" s="67"/>
      <c r="F277" s="58">
        <f t="shared" ref="F277:L277" si="267">SUMIFS($C277,$B277,F$7)+F276</f>
        <v>0</v>
      </c>
      <c r="G277" s="58">
        <f t="shared" si="267"/>
        <v>0</v>
      </c>
      <c r="H277" s="58">
        <f t="shared" si="267"/>
        <v>0</v>
      </c>
      <c r="I277" s="58">
        <f t="shared" si="267"/>
        <v>59</v>
      </c>
      <c r="J277" s="58">
        <f t="shared" si="267"/>
        <v>0</v>
      </c>
      <c r="K277" s="58">
        <f t="shared" si="267"/>
        <v>0</v>
      </c>
      <c r="L277" s="58">
        <f t="shared" si="267"/>
        <v>0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0" customHeight="1">
      <c r="A278" s="70"/>
      <c r="B278" s="71"/>
      <c r="C278" s="66"/>
      <c r="D278" s="66">
        <f t="shared" si="3"/>
        <v>0</v>
      </c>
      <c r="E278" s="67"/>
      <c r="F278" s="58">
        <f t="shared" ref="F278:L278" si="268">SUMIFS($C278,$B278,F$7)+F277</f>
        <v>0</v>
      </c>
      <c r="G278" s="58">
        <f t="shared" si="268"/>
        <v>0</v>
      </c>
      <c r="H278" s="58">
        <f t="shared" si="268"/>
        <v>0</v>
      </c>
      <c r="I278" s="58">
        <f t="shared" si="268"/>
        <v>59</v>
      </c>
      <c r="J278" s="58">
        <f t="shared" si="268"/>
        <v>0</v>
      </c>
      <c r="K278" s="58">
        <f t="shared" si="268"/>
        <v>0</v>
      </c>
      <c r="L278" s="58">
        <f t="shared" si="268"/>
        <v>0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0" customHeight="1">
      <c r="A279" s="70"/>
      <c r="B279" s="71"/>
      <c r="C279" s="66"/>
      <c r="D279" s="66">
        <f t="shared" si="3"/>
        <v>0</v>
      </c>
      <c r="E279" s="67"/>
      <c r="F279" s="58">
        <f t="shared" ref="F279:L279" si="269">SUMIFS($C279,$B279,F$7)+F278</f>
        <v>0</v>
      </c>
      <c r="G279" s="58">
        <f t="shared" si="269"/>
        <v>0</v>
      </c>
      <c r="H279" s="58">
        <f t="shared" si="269"/>
        <v>0</v>
      </c>
      <c r="I279" s="58">
        <f t="shared" si="269"/>
        <v>59</v>
      </c>
      <c r="J279" s="58">
        <f t="shared" si="269"/>
        <v>0</v>
      </c>
      <c r="K279" s="58">
        <f t="shared" si="269"/>
        <v>0</v>
      </c>
      <c r="L279" s="58">
        <f t="shared" si="269"/>
        <v>0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0" customHeight="1">
      <c r="A280" s="70"/>
      <c r="B280" s="71"/>
      <c r="C280" s="66"/>
      <c r="D280" s="66">
        <f t="shared" si="3"/>
        <v>0</v>
      </c>
      <c r="E280" s="67"/>
      <c r="F280" s="58">
        <f t="shared" ref="F280:L280" si="270">SUMIFS($C280,$B280,F$7)+F279</f>
        <v>0</v>
      </c>
      <c r="G280" s="58">
        <f t="shared" si="270"/>
        <v>0</v>
      </c>
      <c r="H280" s="58">
        <f t="shared" si="270"/>
        <v>0</v>
      </c>
      <c r="I280" s="58">
        <f t="shared" si="270"/>
        <v>59</v>
      </c>
      <c r="J280" s="58">
        <f t="shared" si="270"/>
        <v>0</v>
      </c>
      <c r="K280" s="58">
        <f t="shared" si="270"/>
        <v>0</v>
      </c>
      <c r="L280" s="58">
        <f t="shared" si="270"/>
        <v>0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0" customHeight="1">
      <c r="A281" s="70"/>
      <c r="B281" s="71"/>
      <c r="C281" s="66"/>
      <c r="D281" s="66">
        <f t="shared" si="3"/>
        <v>0</v>
      </c>
      <c r="E281" s="67"/>
      <c r="F281" s="58">
        <f t="shared" ref="F281:L281" si="271">SUMIFS($C281,$B281,F$7)+F280</f>
        <v>0</v>
      </c>
      <c r="G281" s="58">
        <f t="shared" si="271"/>
        <v>0</v>
      </c>
      <c r="H281" s="58">
        <f t="shared" si="271"/>
        <v>0</v>
      </c>
      <c r="I281" s="58">
        <f t="shared" si="271"/>
        <v>59</v>
      </c>
      <c r="J281" s="58">
        <f t="shared" si="271"/>
        <v>0</v>
      </c>
      <c r="K281" s="58">
        <f t="shared" si="271"/>
        <v>0</v>
      </c>
      <c r="L281" s="58">
        <f t="shared" si="271"/>
        <v>0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0" customHeight="1">
      <c r="A282" s="70"/>
      <c r="B282" s="71"/>
      <c r="C282" s="66"/>
      <c r="D282" s="66">
        <f t="shared" si="3"/>
        <v>0</v>
      </c>
      <c r="E282" s="67"/>
      <c r="F282" s="58">
        <f t="shared" ref="F282:L282" si="272">SUMIFS($C282,$B282,F$7)+F281</f>
        <v>0</v>
      </c>
      <c r="G282" s="58">
        <f t="shared" si="272"/>
        <v>0</v>
      </c>
      <c r="H282" s="58">
        <f t="shared" si="272"/>
        <v>0</v>
      </c>
      <c r="I282" s="58">
        <f t="shared" si="272"/>
        <v>59</v>
      </c>
      <c r="J282" s="58">
        <f t="shared" si="272"/>
        <v>0</v>
      </c>
      <c r="K282" s="58">
        <f t="shared" si="272"/>
        <v>0</v>
      </c>
      <c r="L282" s="58">
        <f t="shared" si="272"/>
        <v>0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0" customHeight="1">
      <c r="A283" s="70"/>
      <c r="B283" s="71"/>
      <c r="C283" s="66"/>
      <c r="D283" s="66">
        <f t="shared" si="3"/>
        <v>0</v>
      </c>
      <c r="E283" s="67"/>
      <c r="F283" s="58">
        <f t="shared" ref="F283:L283" si="273">SUMIFS($C283,$B283,F$7)+F282</f>
        <v>0</v>
      </c>
      <c r="G283" s="58">
        <f t="shared" si="273"/>
        <v>0</v>
      </c>
      <c r="H283" s="58">
        <f t="shared" si="273"/>
        <v>0</v>
      </c>
      <c r="I283" s="58">
        <f t="shared" si="273"/>
        <v>59</v>
      </c>
      <c r="J283" s="58">
        <f t="shared" si="273"/>
        <v>0</v>
      </c>
      <c r="K283" s="58">
        <f t="shared" si="273"/>
        <v>0</v>
      </c>
      <c r="L283" s="58">
        <f t="shared" si="273"/>
        <v>0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0" customHeight="1">
      <c r="A284" s="70"/>
      <c r="B284" s="71"/>
      <c r="C284" s="66"/>
      <c r="D284" s="66">
        <f t="shared" si="3"/>
        <v>0</v>
      </c>
      <c r="E284" s="67"/>
      <c r="F284" s="58">
        <f t="shared" ref="F284:L284" si="274">SUMIFS($C284,$B284,F$7)+F283</f>
        <v>0</v>
      </c>
      <c r="G284" s="58">
        <f t="shared" si="274"/>
        <v>0</v>
      </c>
      <c r="H284" s="58">
        <f t="shared" si="274"/>
        <v>0</v>
      </c>
      <c r="I284" s="58">
        <f t="shared" si="274"/>
        <v>59</v>
      </c>
      <c r="J284" s="58">
        <f t="shared" si="274"/>
        <v>0</v>
      </c>
      <c r="K284" s="58">
        <f t="shared" si="274"/>
        <v>0</v>
      </c>
      <c r="L284" s="58">
        <f t="shared" si="274"/>
        <v>0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0" customHeight="1">
      <c r="A285" s="70"/>
      <c r="B285" s="71"/>
      <c r="C285" s="66"/>
      <c r="D285" s="66">
        <f t="shared" si="3"/>
        <v>0</v>
      </c>
      <c r="E285" s="67"/>
      <c r="F285" s="58">
        <f t="shared" ref="F285:L285" si="275">SUMIFS($C285,$B285,F$7)+F284</f>
        <v>0</v>
      </c>
      <c r="G285" s="58">
        <f t="shared" si="275"/>
        <v>0</v>
      </c>
      <c r="H285" s="58">
        <f t="shared" si="275"/>
        <v>0</v>
      </c>
      <c r="I285" s="58">
        <f t="shared" si="275"/>
        <v>59</v>
      </c>
      <c r="J285" s="58">
        <f t="shared" si="275"/>
        <v>0</v>
      </c>
      <c r="K285" s="58">
        <f t="shared" si="275"/>
        <v>0</v>
      </c>
      <c r="L285" s="58">
        <f t="shared" si="275"/>
        <v>0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0" customHeight="1">
      <c r="A286" s="70"/>
      <c r="B286" s="71"/>
      <c r="C286" s="66"/>
      <c r="D286" s="66">
        <f t="shared" si="3"/>
        <v>0</v>
      </c>
      <c r="E286" s="67"/>
      <c r="F286" s="58">
        <f t="shared" ref="F286:L286" si="276">SUMIFS($C286,$B286,F$7)+F285</f>
        <v>0</v>
      </c>
      <c r="G286" s="58">
        <f t="shared" si="276"/>
        <v>0</v>
      </c>
      <c r="H286" s="58">
        <f t="shared" si="276"/>
        <v>0</v>
      </c>
      <c r="I286" s="58">
        <f t="shared" si="276"/>
        <v>59</v>
      </c>
      <c r="J286" s="58">
        <f t="shared" si="276"/>
        <v>0</v>
      </c>
      <c r="K286" s="58">
        <f t="shared" si="276"/>
        <v>0</v>
      </c>
      <c r="L286" s="58">
        <f t="shared" si="276"/>
        <v>0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0" customHeight="1">
      <c r="A287" s="70"/>
      <c r="B287" s="71"/>
      <c r="C287" s="66"/>
      <c r="D287" s="66">
        <f t="shared" si="3"/>
        <v>0</v>
      </c>
      <c r="E287" s="67"/>
      <c r="F287" s="58">
        <f t="shared" ref="F287:L287" si="277">SUMIFS($C287,$B287,F$7)+F286</f>
        <v>0</v>
      </c>
      <c r="G287" s="58">
        <f t="shared" si="277"/>
        <v>0</v>
      </c>
      <c r="H287" s="58">
        <f t="shared" si="277"/>
        <v>0</v>
      </c>
      <c r="I287" s="58">
        <f t="shared" si="277"/>
        <v>59</v>
      </c>
      <c r="J287" s="58">
        <f t="shared" si="277"/>
        <v>0</v>
      </c>
      <c r="K287" s="58">
        <f t="shared" si="277"/>
        <v>0</v>
      </c>
      <c r="L287" s="58">
        <f t="shared" si="277"/>
        <v>0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0" customHeight="1">
      <c r="A288" s="70"/>
      <c r="B288" s="71"/>
      <c r="C288" s="66"/>
      <c r="D288" s="66">
        <f t="shared" si="3"/>
        <v>0</v>
      </c>
      <c r="E288" s="67"/>
      <c r="F288" s="58">
        <f t="shared" ref="F288:L288" si="278">SUMIFS($C288,$B288,F$7)+F287</f>
        <v>0</v>
      </c>
      <c r="G288" s="58">
        <f t="shared" si="278"/>
        <v>0</v>
      </c>
      <c r="H288" s="58">
        <f t="shared" si="278"/>
        <v>0</v>
      </c>
      <c r="I288" s="58">
        <f t="shared" si="278"/>
        <v>59</v>
      </c>
      <c r="J288" s="58">
        <f t="shared" si="278"/>
        <v>0</v>
      </c>
      <c r="K288" s="58">
        <f t="shared" si="278"/>
        <v>0</v>
      </c>
      <c r="L288" s="58">
        <f t="shared" si="278"/>
        <v>0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0" customHeight="1">
      <c r="A289" s="70"/>
      <c r="B289" s="71"/>
      <c r="C289" s="66"/>
      <c r="D289" s="66">
        <f t="shared" si="3"/>
        <v>0</v>
      </c>
      <c r="E289" s="67"/>
      <c r="F289" s="58">
        <f t="shared" ref="F289:L289" si="279">SUMIFS($C289,$B289,F$7)+F288</f>
        <v>0</v>
      </c>
      <c r="G289" s="58">
        <f t="shared" si="279"/>
        <v>0</v>
      </c>
      <c r="H289" s="58">
        <f t="shared" si="279"/>
        <v>0</v>
      </c>
      <c r="I289" s="58">
        <f t="shared" si="279"/>
        <v>59</v>
      </c>
      <c r="J289" s="58">
        <f t="shared" si="279"/>
        <v>0</v>
      </c>
      <c r="K289" s="58">
        <f t="shared" si="279"/>
        <v>0</v>
      </c>
      <c r="L289" s="58">
        <f t="shared" si="279"/>
        <v>0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0" customHeight="1">
      <c r="A290" s="70"/>
      <c r="B290" s="71"/>
      <c r="C290" s="66"/>
      <c r="D290" s="66">
        <f t="shared" si="3"/>
        <v>0</v>
      </c>
      <c r="E290" s="67"/>
      <c r="F290" s="58">
        <f t="shared" ref="F290:L290" si="280">SUMIFS($C290,$B290,F$7)+F289</f>
        <v>0</v>
      </c>
      <c r="G290" s="58">
        <f t="shared" si="280"/>
        <v>0</v>
      </c>
      <c r="H290" s="58">
        <f t="shared" si="280"/>
        <v>0</v>
      </c>
      <c r="I290" s="58">
        <f t="shared" si="280"/>
        <v>59</v>
      </c>
      <c r="J290" s="58">
        <f t="shared" si="280"/>
        <v>0</v>
      </c>
      <c r="K290" s="58">
        <f t="shared" si="280"/>
        <v>0</v>
      </c>
      <c r="L290" s="58">
        <f t="shared" si="280"/>
        <v>0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0" customHeight="1">
      <c r="A291" s="70"/>
      <c r="B291" s="71"/>
      <c r="C291" s="66"/>
      <c r="D291" s="66">
        <f t="shared" si="3"/>
        <v>0</v>
      </c>
      <c r="E291" s="67"/>
      <c r="F291" s="58">
        <f t="shared" ref="F291:L291" si="281">SUMIFS($C291,$B291,F$7)+F290</f>
        <v>0</v>
      </c>
      <c r="G291" s="58">
        <f t="shared" si="281"/>
        <v>0</v>
      </c>
      <c r="H291" s="58">
        <f t="shared" si="281"/>
        <v>0</v>
      </c>
      <c r="I291" s="58">
        <f t="shared" si="281"/>
        <v>59</v>
      </c>
      <c r="J291" s="58">
        <f t="shared" si="281"/>
        <v>0</v>
      </c>
      <c r="K291" s="58">
        <f t="shared" si="281"/>
        <v>0</v>
      </c>
      <c r="L291" s="58">
        <f t="shared" si="281"/>
        <v>0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0" customHeight="1">
      <c r="A292" s="70"/>
      <c r="B292" s="71"/>
      <c r="C292" s="66"/>
      <c r="D292" s="66">
        <f t="shared" si="3"/>
        <v>0</v>
      </c>
      <c r="E292" s="67"/>
      <c r="F292" s="58">
        <f t="shared" ref="F292:L292" si="282">SUMIFS($C292,$B292,F$7)+F291</f>
        <v>0</v>
      </c>
      <c r="G292" s="58">
        <f t="shared" si="282"/>
        <v>0</v>
      </c>
      <c r="H292" s="58">
        <f t="shared" si="282"/>
        <v>0</v>
      </c>
      <c r="I292" s="58">
        <f t="shared" si="282"/>
        <v>59</v>
      </c>
      <c r="J292" s="58">
        <f t="shared" si="282"/>
        <v>0</v>
      </c>
      <c r="K292" s="58">
        <f t="shared" si="282"/>
        <v>0</v>
      </c>
      <c r="L292" s="58">
        <f t="shared" si="282"/>
        <v>0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0" customHeight="1">
      <c r="A293" s="70"/>
      <c r="B293" s="71"/>
      <c r="C293" s="66"/>
      <c r="D293" s="66">
        <f t="shared" si="3"/>
        <v>0</v>
      </c>
      <c r="E293" s="67"/>
      <c r="F293" s="58">
        <f t="shared" ref="F293:L293" si="283">SUMIFS($C293,$B293,F$7)+F292</f>
        <v>0</v>
      </c>
      <c r="G293" s="58">
        <f t="shared" si="283"/>
        <v>0</v>
      </c>
      <c r="H293" s="58">
        <f t="shared" si="283"/>
        <v>0</v>
      </c>
      <c r="I293" s="58">
        <f t="shared" si="283"/>
        <v>59</v>
      </c>
      <c r="J293" s="58">
        <f t="shared" si="283"/>
        <v>0</v>
      </c>
      <c r="K293" s="58">
        <f t="shared" si="283"/>
        <v>0</v>
      </c>
      <c r="L293" s="58">
        <f t="shared" si="283"/>
        <v>0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0" customHeight="1">
      <c r="A294" s="70"/>
      <c r="B294" s="71"/>
      <c r="C294" s="66"/>
      <c r="D294" s="66">
        <f t="shared" si="3"/>
        <v>0</v>
      </c>
      <c r="E294" s="67"/>
      <c r="F294" s="58">
        <f t="shared" ref="F294:L294" si="284">SUMIFS($C294,$B294,F$7)+F293</f>
        <v>0</v>
      </c>
      <c r="G294" s="58">
        <f t="shared" si="284"/>
        <v>0</v>
      </c>
      <c r="H294" s="58">
        <f t="shared" si="284"/>
        <v>0</v>
      </c>
      <c r="I294" s="58">
        <f t="shared" si="284"/>
        <v>59</v>
      </c>
      <c r="J294" s="58">
        <f t="shared" si="284"/>
        <v>0</v>
      </c>
      <c r="K294" s="58">
        <f t="shared" si="284"/>
        <v>0</v>
      </c>
      <c r="L294" s="58">
        <f t="shared" si="284"/>
        <v>0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0" customHeight="1">
      <c r="A295" s="70"/>
      <c r="B295" s="71"/>
      <c r="C295" s="66"/>
      <c r="D295" s="66">
        <f t="shared" si="3"/>
        <v>0</v>
      </c>
      <c r="E295" s="67"/>
      <c r="F295" s="58">
        <f t="shared" ref="F295:L295" si="285">SUMIFS($C295,$B295,F$7)+F294</f>
        <v>0</v>
      </c>
      <c r="G295" s="58">
        <f t="shared" si="285"/>
        <v>0</v>
      </c>
      <c r="H295" s="58">
        <f t="shared" si="285"/>
        <v>0</v>
      </c>
      <c r="I295" s="58">
        <f t="shared" si="285"/>
        <v>59</v>
      </c>
      <c r="J295" s="58">
        <f t="shared" si="285"/>
        <v>0</v>
      </c>
      <c r="K295" s="58">
        <f t="shared" si="285"/>
        <v>0</v>
      </c>
      <c r="L295" s="58">
        <f t="shared" si="285"/>
        <v>0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0" customHeight="1">
      <c r="A296" s="70"/>
      <c r="B296" s="71"/>
      <c r="C296" s="66"/>
      <c r="D296" s="66">
        <f t="shared" si="3"/>
        <v>0</v>
      </c>
      <c r="E296" s="67"/>
      <c r="F296" s="58">
        <f t="shared" ref="F296:L296" si="286">SUMIFS($C296,$B296,F$7)+F295</f>
        <v>0</v>
      </c>
      <c r="G296" s="58">
        <f t="shared" si="286"/>
        <v>0</v>
      </c>
      <c r="H296" s="58">
        <f t="shared" si="286"/>
        <v>0</v>
      </c>
      <c r="I296" s="58">
        <f t="shared" si="286"/>
        <v>59</v>
      </c>
      <c r="J296" s="58">
        <f t="shared" si="286"/>
        <v>0</v>
      </c>
      <c r="K296" s="58">
        <f t="shared" si="286"/>
        <v>0</v>
      </c>
      <c r="L296" s="58">
        <f t="shared" si="286"/>
        <v>0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0" customHeight="1">
      <c r="A297" s="70"/>
      <c r="B297" s="71"/>
      <c r="C297" s="66"/>
      <c r="D297" s="66">
        <f t="shared" si="3"/>
        <v>0</v>
      </c>
      <c r="E297" s="67"/>
      <c r="F297" s="58">
        <f t="shared" ref="F297:L297" si="287">SUMIFS($C297,$B297,F$7)+F296</f>
        <v>0</v>
      </c>
      <c r="G297" s="58">
        <f t="shared" si="287"/>
        <v>0</v>
      </c>
      <c r="H297" s="58">
        <f t="shared" si="287"/>
        <v>0</v>
      </c>
      <c r="I297" s="58">
        <f t="shared" si="287"/>
        <v>59</v>
      </c>
      <c r="J297" s="58">
        <f t="shared" si="287"/>
        <v>0</v>
      </c>
      <c r="K297" s="58">
        <f t="shared" si="287"/>
        <v>0</v>
      </c>
      <c r="L297" s="58">
        <f t="shared" si="287"/>
        <v>0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0" customHeight="1">
      <c r="A298" s="70"/>
      <c r="B298" s="71"/>
      <c r="C298" s="66"/>
      <c r="D298" s="66">
        <f t="shared" si="3"/>
        <v>0</v>
      </c>
      <c r="E298" s="67"/>
      <c r="F298" s="58">
        <f t="shared" ref="F298:L298" si="288">SUMIFS($C298,$B298,F$7)+F297</f>
        <v>0</v>
      </c>
      <c r="G298" s="58">
        <f t="shared" si="288"/>
        <v>0</v>
      </c>
      <c r="H298" s="58">
        <f t="shared" si="288"/>
        <v>0</v>
      </c>
      <c r="I298" s="58">
        <f t="shared" si="288"/>
        <v>59</v>
      </c>
      <c r="J298" s="58">
        <f t="shared" si="288"/>
        <v>0</v>
      </c>
      <c r="K298" s="58">
        <f t="shared" si="288"/>
        <v>0</v>
      </c>
      <c r="L298" s="58">
        <f t="shared" si="288"/>
        <v>0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0" customHeight="1">
      <c r="A299" s="70"/>
      <c r="B299" s="71"/>
      <c r="C299" s="66"/>
      <c r="D299" s="66">
        <f t="shared" si="3"/>
        <v>0</v>
      </c>
      <c r="E299" s="67"/>
      <c r="F299" s="58">
        <f t="shared" ref="F299:L299" si="289">SUMIFS($C299,$B299,F$7)+F298</f>
        <v>0</v>
      </c>
      <c r="G299" s="58">
        <f t="shared" si="289"/>
        <v>0</v>
      </c>
      <c r="H299" s="58">
        <f t="shared" si="289"/>
        <v>0</v>
      </c>
      <c r="I299" s="58">
        <f t="shared" si="289"/>
        <v>59</v>
      </c>
      <c r="J299" s="58">
        <f t="shared" si="289"/>
        <v>0</v>
      </c>
      <c r="K299" s="58">
        <f t="shared" si="289"/>
        <v>0</v>
      </c>
      <c r="L299" s="58">
        <f t="shared" si="289"/>
        <v>0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0" customHeight="1">
      <c r="A300" s="70"/>
      <c r="B300" s="71"/>
      <c r="C300" s="66"/>
      <c r="D300" s="66">
        <f t="shared" si="3"/>
        <v>0</v>
      </c>
      <c r="E300" s="67"/>
      <c r="F300" s="58">
        <f t="shared" ref="F300:L300" si="290">SUMIFS($C300,$B300,F$7)+F299</f>
        <v>0</v>
      </c>
      <c r="G300" s="58">
        <f t="shared" si="290"/>
        <v>0</v>
      </c>
      <c r="H300" s="58">
        <f t="shared" si="290"/>
        <v>0</v>
      </c>
      <c r="I300" s="58">
        <f t="shared" si="290"/>
        <v>59</v>
      </c>
      <c r="J300" s="58">
        <f t="shared" si="290"/>
        <v>0</v>
      </c>
      <c r="K300" s="58">
        <f t="shared" si="290"/>
        <v>0</v>
      </c>
      <c r="L300" s="58">
        <f t="shared" si="290"/>
        <v>0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0" customHeight="1">
      <c r="A301" s="70"/>
      <c r="B301" s="71"/>
      <c r="C301" s="66"/>
      <c r="D301" s="66">
        <f t="shared" si="3"/>
        <v>0</v>
      </c>
      <c r="E301" s="67"/>
      <c r="F301" s="58">
        <f t="shared" ref="F301:L301" si="291">SUMIFS($C301,$B301,F$7)+F300</f>
        <v>0</v>
      </c>
      <c r="G301" s="58">
        <f t="shared" si="291"/>
        <v>0</v>
      </c>
      <c r="H301" s="58">
        <f t="shared" si="291"/>
        <v>0</v>
      </c>
      <c r="I301" s="58">
        <f t="shared" si="291"/>
        <v>59</v>
      </c>
      <c r="J301" s="58">
        <f t="shared" si="291"/>
        <v>0</v>
      </c>
      <c r="K301" s="58">
        <f t="shared" si="291"/>
        <v>0</v>
      </c>
      <c r="L301" s="58">
        <f t="shared" si="291"/>
        <v>0</v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0" customHeight="1">
      <c r="A302" s="70"/>
      <c r="B302" s="71"/>
      <c r="C302" s="66"/>
      <c r="D302" s="66">
        <f t="shared" si="3"/>
        <v>0</v>
      </c>
      <c r="E302" s="67"/>
      <c r="F302" s="58">
        <f t="shared" ref="F302:L302" si="292">SUMIFS($C302,$B302,F$7)+F301</f>
        <v>0</v>
      </c>
      <c r="G302" s="58">
        <f t="shared" si="292"/>
        <v>0</v>
      </c>
      <c r="H302" s="58">
        <f t="shared" si="292"/>
        <v>0</v>
      </c>
      <c r="I302" s="58">
        <f t="shared" si="292"/>
        <v>59</v>
      </c>
      <c r="J302" s="58">
        <f t="shared" si="292"/>
        <v>0</v>
      </c>
      <c r="K302" s="58">
        <f t="shared" si="292"/>
        <v>0</v>
      </c>
      <c r="L302" s="58">
        <f t="shared" si="292"/>
        <v>0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0" customHeight="1">
      <c r="A303" s="70"/>
      <c r="B303" s="71"/>
      <c r="C303" s="66"/>
      <c r="D303" s="66">
        <f t="shared" si="3"/>
        <v>0</v>
      </c>
      <c r="E303" s="67"/>
      <c r="F303" s="58">
        <f t="shared" ref="F303:L303" si="293">SUMIFS($C303,$B303,F$7)+F302</f>
        <v>0</v>
      </c>
      <c r="G303" s="58">
        <f t="shared" si="293"/>
        <v>0</v>
      </c>
      <c r="H303" s="58">
        <f t="shared" si="293"/>
        <v>0</v>
      </c>
      <c r="I303" s="58">
        <f t="shared" si="293"/>
        <v>59</v>
      </c>
      <c r="J303" s="58">
        <f t="shared" si="293"/>
        <v>0</v>
      </c>
      <c r="K303" s="58">
        <f t="shared" si="293"/>
        <v>0</v>
      </c>
      <c r="L303" s="58">
        <f t="shared" si="293"/>
        <v>0</v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0" customHeight="1">
      <c r="A304" s="70"/>
      <c r="B304" s="71"/>
      <c r="C304" s="66"/>
      <c r="D304" s="66">
        <f t="shared" si="3"/>
        <v>0</v>
      </c>
      <c r="E304" s="67"/>
      <c r="F304" s="58">
        <f t="shared" ref="F304:L304" si="294">SUMIFS($C304,$B304,F$7)+F303</f>
        <v>0</v>
      </c>
      <c r="G304" s="58">
        <f t="shared" si="294"/>
        <v>0</v>
      </c>
      <c r="H304" s="58">
        <f t="shared" si="294"/>
        <v>0</v>
      </c>
      <c r="I304" s="58">
        <f t="shared" si="294"/>
        <v>59</v>
      </c>
      <c r="J304" s="58">
        <f t="shared" si="294"/>
        <v>0</v>
      </c>
      <c r="K304" s="58">
        <f t="shared" si="294"/>
        <v>0</v>
      </c>
      <c r="L304" s="58">
        <f t="shared" si="294"/>
        <v>0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0" customHeight="1">
      <c r="A305" s="70"/>
      <c r="B305" s="71"/>
      <c r="C305" s="66"/>
      <c r="D305" s="66">
        <f t="shared" si="3"/>
        <v>0</v>
      </c>
      <c r="E305" s="67"/>
      <c r="F305" s="58">
        <f t="shared" ref="F305:L305" si="295">SUMIFS($C305,$B305,F$7)+F304</f>
        <v>0</v>
      </c>
      <c r="G305" s="58">
        <f t="shared" si="295"/>
        <v>0</v>
      </c>
      <c r="H305" s="58">
        <f t="shared" si="295"/>
        <v>0</v>
      </c>
      <c r="I305" s="58">
        <f t="shared" si="295"/>
        <v>59</v>
      </c>
      <c r="J305" s="58">
        <f t="shared" si="295"/>
        <v>0</v>
      </c>
      <c r="K305" s="58">
        <f t="shared" si="295"/>
        <v>0</v>
      </c>
      <c r="L305" s="58">
        <f t="shared" si="295"/>
        <v>0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0" customHeight="1">
      <c r="A306" s="70"/>
      <c r="B306" s="71"/>
      <c r="C306" s="66"/>
      <c r="D306" s="66">
        <f t="shared" si="3"/>
        <v>0</v>
      </c>
      <c r="E306" s="67"/>
      <c r="F306" s="58">
        <f t="shared" ref="F306:L306" si="296">SUMIFS($C306,$B306,F$7)+F305</f>
        <v>0</v>
      </c>
      <c r="G306" s="58">
        <f t="shared" si="296"/>
        <v>0</v>
      </c>
      <c r="H306" s="58">
        <f t="shared" si="296"/>
        <v>0</v>
      </c>
      <c r="I306" s="58">
        <f t="shared" si="296"/>
        <v>59</v>
      </c>
      <c r="J306" s="58">
        <f t="shared" si="296"/>
        <v>0</v>
      </c>
      <c r="K306" s="58">
        <f t="shared" si="296"/>
        <v>0</v>
      </c>
      <c r="L306" s="58">
        <f t="shared" si="296"/>
        <v>0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0" customHeight="1">
      <c r="A307" s="70"/>
      <c r="B307" s="71"/>
      <c r="C307" s="66"/>
      <c r="D307" s="66">
        <f t="shared" si="3"/>
        <v>0</v>
      </c>
      <c r="E307" s="67"/>
      <c r="F307" s="58">
        <f t="shared" ref="F307:L307" si="297">SUMIFS($C307,$B307,F$7)+F306</f>
        <v>0</v>
      </c>
      <c r="G307" s="58">
        <f t="shared" si="297"/>
        <v>0</v>
      </c>
      <c r="H307" s="58">
        <f t="shared" si="297"/>
        <v>0</v>
      </c>
      <c r="I307" s="58">
        <f t="shared" si="297"/>
        <v>59</v>
      </c>
      <c r="J307" s="58">
        <f t="shared" si="297"/>
        <v>0</v>
      </c>
      <c r="K307" s="58">
        <f t="shared" si="297"/>
        <v>0</v>
      </c>
      <c r="L307" s="58">
        <f t="shared" si="297"/>
        <v>0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0" customHeight="1">
      <c r="A308" s="70"/>
      <c r="B308" s="71"/>
      <c r="C308" s="66"/>
      <c r="D308" s="66">
        <f t="shared" si="3"/>
        <v>0</v>
      </c>
      <c r="E308" s="67"/>
      <c r="F308" s="58">
        <f t="shared" ref="F308:L308" si="298">SUMIFS($C308,$B308,F$7)+F307</f>
        <v>0</v>
      </c>
      <c r="G308" s="58">
        <f t="shared" si="298"/>
        <v>0</v>
      </c>
      <c r="H308" s="58">
        <f t="shared" si="298"/>
        <v>0</v>
      </c>
      <c r="I308" s="58">
        <f t="shared" si="298"/>
        <v>59</v>
      </c>
      <c r="J308" s="58">
        <f t="shared" si="298"/>
        <v>0</v>
      </c>
      <c r="K308" s="58">
        <f t="shared" si="298"/>
        <v>0</v>
      </c>
      <c r="L308" s="58">
        <f t="shared" si="298"/>
        <v>0</v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0" customHeight="1">
      <c r="A309" s="70"/>
      <c r="B309" s="71"/>
      <c r="C309" s="66"/>
      <c r="D309" s="66">
        <f t="shared" si="3"/>
        <v>0</v>
      </c>
      <c r="E309" s="67"/>
      <c r="F309" s="58">
        <f t="shared" ref="F309:L309" si="299">SUMIFS($C309,$B309,F$7)+F308</f>
        <v>0</v>
      </c>
      <c r="G309" s="58">
        <f t="shared" si="299"/>
        <v>0</v>
      </c>
      <c r="H309" s="58">
        <f t="shared" si="299"/>
        <v>0</v>
      </c>
      <c r="I309" s="58">
        <f t="shared" si="299"/>
        <v>59</v>
      </c>
      <c r="J309" s="58">
        <f t="shared" si="299"/>
        <v>0</v>
      </c>
      <c r="K309" s="58">
        <f t="shared" si="299"/>
        <v>0</v>
      </c>
      <c r="L309" s="58">
        <f t="shared" si="299"/>
        <v>0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0" customHeight="1">
      <c r="A310" s="70"/>
      <c r="B310" s="71"/>
      <c r="C310" s="66"/>
      <c r="D310" s="66">
        <f t="shared" si="3"/>
        <v>0</v>
      </c>
      <c r="E310" s="67"/>
      <c r="F310" s="58">
        <f t="shared" ref="F310:L310" si="300">SUMIFS($C310,$B310,F$7)+F309</f>
        <v>0</v>
      </c>
      <c r="G310" s="58">
        <f t="shared" si="300"/>
        <v>0</v>
      </c>
      <c r="H310" s="58">
        <f t="shared" si="300"/>
        <v>0</v>
      </c>
      <c r="I310" s="58">
        <f t="shared" si="300"/>
        <v>59</v>
      </c>
      <c r="J310" s="58">
        <f t="shared" si="300"/>
        <v>0</v>
      </c>
      <c r="K310" s="58">
        <f t="shared" si="300"/>
        <v>0</v>
      </c>
      <c r="L310" s="58">
        <f t="shared" si="300"/>
        <v>0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0" customHeight="1">
      <c r="A311" s="70"/>
      <c r="B311" s="71"/>
      <c r="C311" s="66"/>
      <c r="D311" s="66">
        <f t="shared" si="3"/>
        <v>0</v>
      </c>
      <c r="E311" s="67"/>
      <c r="F311" s="58">
        <f t="shared" ref="F311:L311" si="301">SUMIFS($C311,$B311,F$7)+F310</f>
        <v>0</v>
      </c>
      <c r="G311" s="58">
        <f t="shared" si="301"/>
        <v>0</v>
      </c>
      <c r="H311" s="58">
        <f t="shared" si="301"/>
        <v>0</v>
      </c>
      <c r="I311" s="58">
        <f t="shared" si="301"/>
        <v>59</v>
      </c>
      <c r="J311" s="58">
        <f t="shared" si="301"/>
        <v>0</v>
      </c>
      <c r="K311" s="58">
        <f t="shared" si="301"/>
        <v>0</v>
      </c>
      <c r="L311" s="58">
        <f t="shared" si="301"/>
        <v>0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0" customHeight="1">
      <c r="A312" s="70"/>
      <c r="B312" s="71"/>
      <c r="C312" s="66"/>
      <c r="D312" s="66">
        <f t="shared" si="3"/>
        <v>0</v>
      </c>
      <c r="E312" s="67"/>
      <c r="F312" s="58">
        <f t="shared" ref="F312:L312" si="302">SUMIFS($C312,$B312,F$7)+F311</f>
        <v>0</v>
      </c>
      <c r="G312" s="58">
        <f t="shared" si="302"/>
        <v>0</v>
      </c>
      <c r="H312" s="58">
        <f t="shared" si="302"/>
        <v>0</v>
      </c>
      <c r="I312" s="58">
        <f t="shared" si="302"/>
        <v>59</v>
      </c>
      <c r="J312" s="58">
        <f t="shared" si="302"/>
        <v>0</v>
      </c>
      <c r="K312" s="58">
        <f t="shared" si="302"/>
        <v>0</v>
      </c>
      <c r="L312" s="58">
        <f t="shared" si="302"/>
        <v>0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0" customHeight="1">
      <c r="A313" s="70"/>
      <c r="B313" s="71"/>
      <c r="C313" s="66"/>
      <c r="D313" s="66">
        <f t="shared" si="3"/>
        <v>0</v>
      </c>
      <c r="E313" s="67"/>
      <c r="F313" s="58">
        <f t="shared" ref="F313:L313" si="303">SUMIFS($C313,$B313,F$7)+F312</f>
        <v>0</v>
      </c>
      <c r="G313" s="58">
        <f t="shared" si="303"/>
        <v>0</v>
      </c>
      <c r="H313" s="58">
        <f t="shared" si="303"/>
        <v>0</v>
      </c>
      <c r="I313" s="58">
        <f t="shared" si="303"/>
        <v>59</v>
      </c>
      <c r="J313" s="58">
        <f t="shared" si="303"/>
        <v>0</v>
      </c>
      <c r="K313" s="58">
        <f t="shared" si="303"/>
        <v>0</v>
      </c>
      <c r="L313" s="58">
        <f t="shared" si="303"/>
        <v>0</v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0" customHeight="1">
      <c r="A314" s="70"/>
      <c r="B314" s="71"/>
      <c r="C314" s="66"/>
      <c r="D314" s="66">
        <f t="shared" si="3"/>
        <v>0</v>
      </c>
      <c r="E314" s="67"/>
      <c r="F314" s="58">
        <f t="shared" ref="F314:L314" si="304">SUMIFS($C314,$B314,F$7)+F313</f>
        <v>0</v>
      </c>
      <c r="G314" s="58">
        <f t="shared" si="304"/>
        <v>0</v>
      </c>
      <c r="H314" s="58">
        <f t="shared" si="304"/>
        <v>0</v>
      </c>
      <c r="I314" s="58">
        <f t="shared" si="304"/>
        <v>59</v>
      </c>
      <c r="J314" s="58">
        <f t="shared" si="304"/>
        <v>0</v>
      </c>
      <c r="K314" s="58">
        <f t="shared" si="304"/>
        <v>0</v>
      </c>
      <c r="L314" s="58">
        <f t="shared" si="304"/>
        <v>0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0" customHeight="1">
      <c r="A315" s="70"/>
      <c r="B315" s="71"/>
      <c r="C315" s="66"/>
      <c r="D315" s="66">
        <f t="shared" si="3"/>
        <v>0</v>
      </c>
      <c r="E315" s="67"/>
      <c r="F315" s="58">
        <f t="shared" ref="F315:L315" si="305">SUMIFS($C315,$B315,F$7)+F314</f>
        <v>0</v>
      </c>
      <c r="G315" s="58">
        <f t="shared" si="305"/>
        <v>0</v>
      </c>
      <c r="H315" s="58">
        <f t="shared" si="305"/>
        <v>0</v>
      </c>
      <c r="I315" s="58">
        <f t="shared" si="305"/>
        <v>59</v>
      </c>
      <c r="J315" s="58">
        <f t="shared" si="305"/>
        <v>0</v>
      </c>
      <c r="K315" s="58">
        <f t="shared" si="305"/>
        <v>0</v>
      </c>
      <c r="L315" s="58">
        <f t="shared" si="305"/>
        <v>0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0" customHeight="1">
      <c r="A316" s="70"/>
      <c r="B316" s="71"/>
      <c r="C316" s="66"/>
      <c r="D316" s="66">
        <f t="shared" si="3"/>
        <v>0</v>
      </c>
      <c r="E316" s="67"/>
      <c r="F316" s="58">
        <f t="shared" ref="F316:L316" si="306">SUMIFS($C316,$B316,F$7)+F315</f>
        <v>0</v>
      </c>
      <c r="G316" s="58">
        <f t="shared" si="306"/>
        <v>0</v>
      </c>
      <c r="H316" s="58">
        <f t="shared" si="306"/>
        <v>0</v>
      </c>
      <c r="I316" s="58">
        <f t="shared" si="306"/>
        <v>59</v>
      </c>
      <c r="J316" s="58">
        <f t="shared" si="306"/>
        <v>0</v>
      </c>
      <c r="K316" s="58">
        <f t="shared" si="306"/>
        <v>0</v>
      </c>
      <c r="L316" s="58">
        <f t="shared" si="306"/>
        <v>0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0" customHeight="1">
      <c r="A317" s="70"/>
      <c r="B317" s="71"/>
      <c r="C317" s="66"/>
      <c r="D317" s="66">
        <f t="shared" si="3"/>
        <v>0</v>
      </c>
      <c r="E317" s="67"/>
      <c r="F317" s="58">
        <f t="shared" ref="F317:L317" si="307">SUMIFS($C317,$B317,F$7)+F316</f>
        <v>0</v>
      </c>
      <c r="G317" s="58">
        <f t="shared" si="307"/>
        <v>0</v>
      </c>
      <c r="H317" s="58">
        <f t="shared" si="307"/>
        <v>0</v>
      </c>
      <c r="I317" s="58">
        <f t="shared" si="307"/>
        <v>59</v>
      </c>
      <c r="J317" s="58">
        <f t="shared" si="307"/>
        <v>0</v>
      </c>
      <c r="K317" s="58">
        <f t="shared" si="307"/>
        <v>0</v>
      </c>
      <c r="L317" s="58">
        <f t="shared" si="307"/>
        <v>0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0" customHeight="1">
      <c r="A318" s="70"/>
      <c r="B318" s="71"/>
      <c r="C318" s="66"/>
      <c r="D318" s="66">
        <f t="shared" si="3"/>
        <v>0</v>
      </c>
      <c r="E318" s="67"/>
      <c r="F318" s="58">
        <f t="shared" ref="F318:L318" si="308">SUMIFS($C318,$B318,F$7)+F317</f>
        <v>0</v>
      </c>
      <c r="G318" s="58">
        <f t="shared" si="308"/>
        <v>0</v>
      </c>
      <c r="H318" s="58">
        <f t="shared" si="308"/>
        <v>0</v>
      </c>
      <c r="I318" s="58">
        <f t="shared" si="308"/>
        <v>59</v>
      </c>
      <c r="J318" s="58">
        <f t="shared" si="308"/>
        <v>0</v>
      </c>
      <c r="K318" s="58">
        <f t="shared" si="308"/>
        <v>0</v>
      </c>
      <c r="L318" s="58">
        <f t="shared" si="308"/>
        <v>0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0" customHeight="1">
      <c r="A319" s="70"/>
      <c r="B319" s="71"/>
      <c r="C319" s="66"/>
      <c r="D319" s="66">
        <f t="shared" si="3"/>
        <v>0</v>
      </c>
      <c r="E319" s="67"/>
      <c r="F319" s="58">
        <f t="shared" ref="F319:L319" si="309">SUMIFS($C319,$B319,F$7)+F318</f>
        <v>0</v>
      </c>
      <c r="G319" s="58">
        <f t="shared" si="309"/>
        <v>0</v>
      </c>
      <c r="H319" s="58">
        <f t="shared" si="309"/>
        <v>0</v>
      </c>
      <c r="I319" s="58">
        <f t="shared" si="309"/>
        <v>59</v>
      </c>
      <c r="J319" s="58">
        <f t="shared" si="309"/>
        <v>0</v>
      </c>
      <c r="K319" s="58">
        <f t="shared" si="309"/>
        <v>0</v>
      </c>
      <c r="L319" s="58">
        <f t="shared" si="309"/>
        <v>0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0" customHeight="1">
      <c r="A320" s="70"/>
      <c r="B320" s="71"/>
      <c r="C320" s="66"/>
      <c r="D320" s="66">
        <f t="shared" si="3"/>
        <v>0</v>
      </c>
      <c r="E320" s="67"/>
      <c r="F320" s="58">
        <f t="shared" ref="F320:L320" si="310">SUMIFS($C320,$B320,F$7)+F319</f>
        <v>0</v>
      </c>
      <c r="G320" s="58">
        <f t="shared" si="310"/>
        <v>0</v>
      </c>
      <c r="H320" s="58">
        <f t="shared" si="310"/>
        <v>0</v>
      </c>
      <c r="I320" s="58">
        <f t="shared" si="310"/>
        <v>59</v>
      </c>
      <c r="J320" s="58">
        <f t="shared" si="310"/>
        <v>0</v>
      </c>
      <c r="K320" s="58">
        <f t="shared" si="310"/>
        <v>0</v>
      </c>
      <c r="L320" s="58">
        <f t="shared" si="310"/>
        <v>0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0" customHeight="1">
      <c r="A321" s="70"/>
      <c r="B321" s="71"/>
      <c r="C321" s="66"/>
      <c r="D321" s="66">
        <f t="shared" si="3"/>
        <v>0</v>
      </c>
      <c r="E321" s="67"/>
      <c r="F321" s="58">
        <f t="shared" ref="F321:L321" si="311">SUMIFS($C321,$B321,F$7)+F320</f>
        <v>0</v>
      </c>
      <c r="G321" s="58">
        <f t="shared" si="311"/>
        <v>0</v>
      </c>
      <c r="H321" s="58">
        <f t="shared" si="311"/>
        <v>0</v>
      </c>
      <c r="I321" s="58">
        <f t="shared" si="311"/>
        <v>59</v>
      </c>
      <c r="J321" s="58">
        <f t="shared" si="311"/>
        <v>0</v>
      </c>
      <c r="K321" s="58">
        <f t="shared" si="311"/>
        <v>0</v>
      </c>
      <c r="L321" s="58">
        <f t="shared" si="311"/>
        <v>0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0" customHeight="1">
      <c r="A322" s="70"/>
      <c r="B322" s="71"/>
      <c r="C322" s="66"/>
      <c r="D322" s="66">
        <f t="shared" si="3"/>
        <v>0</v>
      </c>
      <c r="E322" s="67"/>
      <c r="F322" s="58">
        <f t="shared" ref="F322:L322" si="312">SUMIFS($C322,$B322,F$7)+F321</f>
        <v>0</v>
      </c>
      <c r="G322" s="58">
        <f t="shared" si="312"/>
        <v>0</v>
      </c>
      <c r="H322" s="58">
        <f t="shared" si="312"/>
        <v>0</v>
      </c>
      <c r="I322" s="58">
        <f t="shared" si="312"/>
        <v>59</v>
      </c>
      <c r="J322" s="58">
        <f t="shared" si="312"/>
        <v>0</v>
      </c>
      <c r="K322" s="58">
        <f t="shared" si="312"/>
        <v>0</v>
      </c>
      <c r="L322" s="58">
        <f t="shared" si="312"/>
        <v>0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0" customHeight="1">
      <c r="A323" s="70"/>
      <c r="B323" s="71"/>
      <c r="C323" s="66"/>
      <c r="D323" s="66">
        <f t="shared" si="3"/>
        <v>0</v>
      </c>
      <c r="E323" s="67"/>
      <c r="F323" s="58">
        <f t="shared" ref="F323:L323" si="313">SUMIFS($C323,$B323,F$7)+F322</f>
        <v>0</v>
      </c>
      <c r="G323" s="58">
        <f t="shared" si="313"/>
        <v>0</v>
      </c>
      <c r="H323" s="58">
        <f t="shared" si="313"/>
        <v>0</v>
      </c>
      <c r="I323" s="58">
        <f t="shared" si="313"/>
        <v>59</v>
      </c>
      <c r="J323" s="58">
        <f t="shared" si="313"/>
        <v>0</v>
      </c>
      <c r="K323" s="58">
        <f t="shared" si="313"/>
        <v>0</v>
      </c>
      <c r="L323" s="58">
        <f t="shared" si="313"/>
        <v>0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0" customHeight="1">
      <c r="A324" s="70"/>
      <c r="B324" s="71"/>
      <c r="C324" s="66"/>
      <c r="D324" s="66">
        <f t="shared" si="3"/>
        <v>0</v>
      </c>
      <c r="E324" s="67"/>
      <c r="F324" s="58">
        <f t="shared" ref="F324:L324" si="314">SUMIFS($C324,$B324,F$7)+F323</f>
        <v>0</v>
      </c>
      <c r="G324" s="58">
        <f t="shared" si="314"/>
        <v>0</v>
      </c>
      <c r="H324" s="58">
        <f t="shared" si="314"/>
        <v>0</v>
      </c>
      <c r="I324" s="58">
        <f t="shared" si="314"/>
        <v>59</v>
      </c>
      <c r="J324" s="58">
        <f t="shared" si="314"/>
        <v>0</v>
      </c>
      <c r="K324" s="58">
        <f t="shared" si="314"/>
        <v>0</v>
      </c>
      <c r="L324" s="58">
        <f t="shared" si="314"/>
        <v>0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0" customHeight="1">
      <c r="A325" s="70"/>
      <c r="B325" s="71"/>
      <c r="C325" s="66"/>
      <c r="D325" s="66">
        <f t="shared" si="3"/>
        <v>0</v>
      </c>
      <c r="E325" s="67"/>
      <c r="F325" s="58">
        <f t="shared" ref="F325:L325" si="315">SUMIFS($C325,$B325,F$7)+F324</f>
        <v>0</v>
      </c>
      <c r="G325" s="58">
        <f t="shared" si="315"/>
        <v>0</v>
      </c>
      <c r="H325" s="58">
        <f t="shared" si="315"/>
        <v>0</v>
      </c>
      <c r="I325" s="58">
        <f t="shared" si="315"/>
        <v>59</v>
      </c>
      <c r="J325" s="58">
        <f t="shared" si="315"/>
        <v>0</v>
      </c>
      <c r="K325" s="58">
        <f t="shared" si="315"/>
        <v>0</v>
      </c>
      <c r="L325" s="58">
        <f t="shared" si="315"/>
        <v>0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0" customHeight="1">
      <c r="A326" s="70"/>
      <c r="B326" s="71"/>
      <c r="C326" s="66"/>
      <c r="D326" s="66">
        <f t="shared" si="3"/>
        <v>0</v>
      </c>
      <c r="E326" s="67"/>
      <c r="F326" s="58">
        <f t="shared" ref="F326:L326" si="316">SUMIFS($C326,$B326,F$7)+F325</f>
        <v>0</v>
      </c>
      <c r="G326" s="58">
        <f t="shared" si="316"/>
        <v>0</v>
      </c>
      <c r="H326" s="58">
        <f t="shared" si="316"/>
        <v>0</v>
      </c>
      <c r="I326" s="58">
        <f t="shared" si="316"/>
        <v>59</v>
      </c>
      <c r="J326" s="58">
        <f t="shared" si="316"/>
        <v>0</v>
      </c>
      <c r="K326" s="58">
        <f t="shared" si="316"/>
        <v>0</v>
      </c>
      <c r="L326" s="58">
        <f t="shared" si="316"/>
        <v>0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0" customHeight="1">
      <c r="A327" s="70"/>
      <c r="B327" s="71"/>
      <c r="C327" s="66"/>
      <c r="D327" s="66">
        <f t="shared" si="3"/>
        <v>0</v>
      </c>
      <c r="E327" s="67"/>
      <c r="F327" s="58">
        <f t="shared" ref="F327:L327" si="317">SUMIFS($C327,$B327,F$7)+F326</f>
        <v>0</v>
      </c>
      <c r="G327" s="58">
        <f t="shared" si="317"/>
        <v>0</v>
      </c>
      <c r="H327" s="58">
        <f t="shared" si="317"/>
        <v>0</v>
      </c>
      <c r="I327" s="58">
        <f t="shared" si="317"/>
        <v>59</v>
      </c>
      <c r="J327" s="58">
        <f t="shared" si="317"/>
        <v>0</v>
      </c>
      <c r="K327" s="58">
        <f t="shared" si="317"/>
        <v>0</v>
      </c>
      <c r="L327" s="58">
        <f t="shared" si="317"/>
        <v>0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0" customHeight="1">
      <c r="A328" s="70"/>
      <c r="B328" s="71"/>
      <c r="C328" s="66"/>
      <c r="D328" s="66">
        <f t="shared" si="3"/>
        <v>0</v>
      </c>
      <c r="E328" s="67"/>
      <c r="F328" s="58">
        <f t="shared" ref="F328:L328" si="318">SUMIFS($C328,$B328,F$7)+F327</f>
        <v>0</v>
      </c>
      <c r="G328" s="58">
        <f t="shared" si="318"/>
        <v>0</v>
      </c>
      <c r="H328" s="58">
        <f t="shared" si="318"/>
        <v>0</v>
      </c>
      <c r="I328" s="58">
        <f t="shared" si="318"/>
        <v>59</v>
      </c>
      <c r="J328" s="58">
        <f t="shared" si="318"/>
        <v>0</v>
      </c>
      <c r="K328" s="58">
        <f t="shared" si="318"/>
        <v>0</v>
      </c>
      <c r="L328" s="58">
        <f t="shared" si="318"/>
        <v>0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0" customHeight="1">
      <c r="A329" s="70"/>
      <c r="B329" s="71"/>
      <c r="C329" s="66"/>
      <c r="D329" s="66">
        <f t="shared" si="3"/>
        <v>0</v>
      </c>
      <c r="E329" s="67"/>
      <c r="F329" s="58">
        <f t="shared" ref="F329:L329" si="319">SUMIFS($C329,$B329,F$7)+F328</f>
        <v>0</v>
      </c>
      <c r="G329" s="58">
        <f t="shared" si="319"/>
        <v>0</v>
      </c>
      <c r="H329" s="58">
        <f t="shared" si="319"/>
        <v>0</v>
      </c>
      <c r="I329" s="58">
        <f t="shared" si="319"/>
        <v>59</v>
      </c>
      <c r="J329" s="58">
        <f t="shared" si="319"/>
        <v>0</v>
      </c>
      <c r="K329" s="58">
        <f t="shared" si="319"/>
        <v>0</v>
      </c>
      <c r="L329" s="58">
        <f t="shared" si="319"/>
        <v>0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0" customHeight="1">
      <c r="A330" s="70"/>
      <c r="B330" s="71"/>
      <c r="C330" s="66"/>
      <c r="D330" s="66">
        <f t="shared" si="3"/>
        <v>0</v>
      </c>
      <c r="E330" s="67"/>
      <c r="F330" s="58">
        <f t="shared" ref="F330:L330" si="320">SUMIFS($C330,$B330,F$7)+F329</f>
        <v>0</v>
      </c>
      <c r="G330" s="58">
        <f t="shared" si="320"/>
        <v>0</v>
      </c>
      <c r="H330" s="58">
        <f t="shared" si="320"/>
        <v>0</v>
      </c>
      <c r="I330" s="58">
        <f t="shared" si="320"/>
        <v>59</v>
      </c>
      <c r="J330" s="58">
        <f t="shared" si="320"/>
        <v>0</v>
      </c>
      <c r="K330" s="58">
        <f t="shared" si="320"/>
        <v>0</v>
      </c>
      <c r="L330" s="58">
        <f t="shared" si="320"/>
        <v>0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0" customHeight="1">
      <c r="A331" s="70"/>
      <c r="B331" s="71"/>
      <c r="C331" s="66"/>
      <c r="D331" s="66">
        <f t="shared" si="3"/>
        <v>0</v>
      </c>
      <c r="E331" s="67"/>
      <c r="F331" s="58">
        <f t="shared" ref="F331:L331" si="321">SUMIFS($C331,$B331,F$7)+F330</f>
        <v>0</v>
      </c>
      <c r="G331" s="58">
        <f t="shared" si="321"/>
        <v>0</v>
      </c>
      <c r="H331" s="58">
        <f t="shared" si="321"/>
        <v>0</v>
      </c>
      <c r="I331" s="58">
        <f t="shared" si="321"/>
        <v>59</v>
      </c>
      <c r="J331" s="58">
        <f t="shared" si="321"/>
        <v>0</v>
      </c>
      <c r="K331" s="58">
        <f t="shared" si="321"/>
        <v>0</v>
      </c>
      <c r="L331" s="58">
        <f t="shared" si="321"/>
        <v>0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0" customHeight="1">
      <c r="A332" s="70"/>
      <c r="B332" s="71"/>
      <c r="C332" s="66"/>
      <c r="D332" s="66">
        <f t="shared" si="3"/>
        <v>0</v>
      </c>
      <c r="E332" s="67"/>
      <c r="F332" s="58">
        <f t="shared" ref="F332:L332" si="322">SUMIFS($C332,$B332,F$7)+F331</f>
        <v>0</v>
      </c>
      <c r="G332" s="58">
        <f t="shared" si="322"/>
        <v>0</v>
      </c>
      <c r="H332" s="58">
        <f t="shared" si="322"/>
        <v>0</v>
      </c>
      <c r="I332" s="58">
        <f t="shared" si="322"/>
        <v>59</v>
      </c>
      <c r="J332" s="58">
        <f t="shared" si="322"/>
        <v>0</v>
      </c>
      <c r="K332" s="58">
        <f t="shared" si="322"/>
        <v>0</v>
      </c>
      <c r="L332" s="58">
        <f t="shared" si="322"/>
        <v>0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0" customHeight="1">
      <c r="A333" s="70"/>
      <c r="B333" s="71"/>
      <c r="C333" s="66"/>
      <c r="D333" s="66">
        <f t="shared" si="3"/>
        <v>0</v>
      </c>
      <c r="E333" s="67"/>
      <c r="F333" s="58">
        <f t="shared" ref="F333:L333" si="323">SUMIFS($C333,$B333,F$7)+F332</f>
        <v>0</v>
      </c>
      <c r="G333" s="58">
        <f t="shared" si="323"/>
        <v>0</v>
      </c>
      <c r="H333" s="58">
        <f t="shared" si="323"/>
        <v>0</v>
      </c>
      <c r="I333" s="58">
        <f t="shared" si="323"/>
        <v>59</v>
      </c>
      <c r="J333" s="58">
        <f t="shared" si="323"/>
        <v>0</v>
      </c>
      <c r="K333" s="58">
        <f t="shared" si="323"/>
        <v>0</v>
      </c>
      <c r="L333" s="58">
        <f t="shared" si="323"/>
        <v>0</v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0" customHeight="1">
      <c r="A334" s="70"/>
      <c r="B334" s="71"/>
      <c r="C334" s="66"/>
      <c r="D334" s="66">
        <f t="shared" si="3"/>
        <v>0</v>
      </c>
      <c r="E334" s="67"/>
      <c r="F334" s="58">
        <f t="shared" ref="F334:L334" si="324">SUMIFS($C334,$B334,F$7)+F333</f>
        <v>0</v>
      </c>
      <c r="G334" s="58">
        <f t="shared" si="324"/>
        <v>0</v>
      </c>
      <c r="H334" s="58">
        <f t="shared" si="324"/>
        <v>0</v>
      </c>
      <c r="I334" s="58">
        <f t="shared" si="324"/>
        <v>59</v>
      </c>
      <c r="J334" s="58">
        <f t="shared" si="324"/>
        <v>0</v>
      </c>
      <c r="K334" s="58">
        <f t="shared" si="324"/>
        <v>0</v>
      </c>
      <c r="L334" s="58">
        <f t="shared" si="324"/>
        <v>0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0" customHeight="1">
      <c r="A335" s="70"/>
      <c r="B335" s="71"/>
      <c r="C335" s="66"/>
      <c r="D335" s="66">
        <f t="shared" si="3"/>
        <v>0</v>
      </c>
      <c r="E335" s="67"/>
      <c r="F335" s="58">
        <f t="shared" ref="F335:L335" si="325">SUMIFS($C335,$B335,F$7)+F334</f>
        <v>0</v>
      </c>
      <c r="G335" s="58">
        <f t="shared" si="325"/>
        <v>0</v>
      </c>
      <c r="H335" s="58">
        <f t="shared" si="325"/>
        <v>0</v>
      </c>
      <c r="I335" s="58">
        <f t="shared" si="325"/>
        <v>59</v>
      </c>
      <c r="J335" s="58">
        <f t="shared" si="325"/>
        <v>0</v>
      </c>
      <c r="K335" s="58">
        <f t="shared" si="325"/>
        <v>0</v>
      </c>
      <c r="L335" s="58">
        <f t="shared" si="325"/>
        <v>0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0" customHeight="1">
      <c r="A336" s="70"/>
      <c r="B336" s="71"/>
      <c r="C336" s="66"/>
      <c r="D336" s="66">
        <f t="shared" si="3"/>
        <v>0</v>
      </c>
      <c r="E336" s="67"/>
      <c r="F336" s="58">
        <f t="shared" ref="F336:L336" si="326">SUMIFS($C336,$B336,F$7)+F335</f>
        <v>0</v>
      </c>
      <c r="G336" s="58">
        <f t="shared" si="326"/>
        <v>0</v>
      </c>
      <c r="H336" s="58">
        <f t="shared" si="326"/>
        <v>0</v>
      </c>
      <c r="I336" s="58">
        <f t="shared" si="326"/>
        <v>59</v>
      </c>
      <c r="J336" s="58">
        <f t="shared" si="326"/>
        <v>0</v>
      </c>
      <c r="K336" s="58">
        <f t="shared" si="326"/>
        <v>0</v>
      </c>
      <c r="L336" s="58">
        <f t="shared" si="326"/>
        <v>0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0" customHeight="1">
      <c r="A337" s="70"/>
      <c r="B337" s="71"/>
      <c r="C337" s="66"/>
      <c r="D337" s="66">
        <f t="shared" si="3"/>
        <v>0</v>
      </c>
      <c r="E337" s="67"/>
      <c r="F337" s="58">
        <f t="shared" ref="F337:L337" si="327">SUMIFS($C337,$B337,F$7)+F336</f>
        <v>0</v>
      </c>
      <c r="G337" s="58">
        <f t="shared" si="327"/>
        <v>0</v>
      </c>
      <c r="H337" s="58">
        <f t="shared" si="327"/>
        <v>0</v>
      </c>
      <c r="I337" s="58">
        <f t="shared" si="327"/>
        <v>59</v>
      </c>
      <c r="J337" s="58">
        <f t="shared" si="327"/>
        <v>0</v>
      </c>
      <c r="K337" s="58">
        <f t="shared" si="327"/>
        <v>0</v>
      </c>
      <c r="L337" s="58">
        <f t="shared" si="327"/>
        <v>0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0" customHeight="1">
      <c r="A338" s="70"/>
      <c r="B338" s="71"/>
      <c r="C338" s="66"/>
      <c r="D338" s="66">
        <f t="shared" si="3"/>
        <v>0</v>
      </c>
      <c r="E338" s="67"/>
      <c r="F338" s="58">
        <f t="shared" ref="F338:L338" si="328">SUMIFS($C338,$B338,F$7)+F337</f>
        <v>0</v>
      </c>
      <c r="G338" s="58">
        <f t="shared" si="328"/>
        <v>0</v>
      </c>
      <c r="H338" s="58">
        <f t="shared" si="328"/>
        <v>0</v>
      </c>
      <c r="I338" s="58">
        <f t="shared" si="328"/>
        <v>59</v>
      </c>
      <c r="J338" s="58">
        <f t="shared" si="328"/>
        <v>0</v>
      </c>
      <c r="K338" s="58">
        <f t="shared" si="328"/>
        <v>0</v>
      </c>
      <c r="L338" s="58">
        <f t="shared" si="328"/>
        <v>0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0" customHeight="1">
      <c r="A339" s="70"/>
      <c r="B339" s="71"/>
      <c r="C339" s="66"/>
      <c r="D339" s="66">
        <f t="shared" si="3"/>
        <v>0</v>
      </c>
      <c r="E339" s="67"/>
      <c r="F339" s="58">
        <f t="shared" ref="F339:L339" si="329">SUMIFS($C339,$B339,F$7)+F338</f>
        <v>0</v>
      </c>
      <c r="G339" s="58">
        <f t="shared" si="329"/>
        <v>0</v>
      </c>
      <c r="H339" s="58">
        <f t="shared" si="329"/>
        <v>0</v>
      </c>
      <c r="I339" s="58">
        <f t="shared" si="329"/>
        <v>59</v>
      </c>
      <c r="J339" s="58">
        <f t="shared" si="329"/>
        <v>0</v>
      </c>
      <c r="K339" s="58">
        <f t="shared" si="329"/>
        <v>0</v>
      </c>
      <c r="L339" s="58">
        <f t="shared" si="329"/>
        <v>0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0" customHeight="1">
      <c r="A340" s="70"/>
      <c r="B340" s="71"/>
      <c r="C340" s="66"/>
      <c r="D340" s="66">
        <f t="shared" si="3"/>
        <v>0</v>
      </c>
      <c r="E340" s="67"/>
      <c r="F340" s="58">
        <f t="shared" ref="F340:L340" si="330">SUMIFS($C340,$B340,F$7)+F339</f>
        <v>0</v>
      </c>
      <c r="G340" s="58">
        <f t="shared" si="330"/>
        <v>0</v>
      </c>
      <c r="H340" s="58">
        <f t="shared" si="330"/>
        <v>0</v>
      </c>
      <c r="I340" s="58">
        <f t="shared" si="330"/>
        <v>59</v>
      </c>
      <c r="J340" s="58">
        <f t="shared" si="330"/>
        <v>0</v>
      </c>
      <c r="K340" s="58">
        <f t="shared" si="330"/>
        <v>0</v>
      </c>
      <c r="L340" s="58">
        <f t="shared" si="330"/>
        <v>0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0" customHeight="1">
      <c r="A341" s="70"/>
      <c r="B341" s="71"/>
      <c r="C341" s="66"/>
      <c r="D341" s="66">
        <f t="shared" si="3"/>
        <v>0</v>
      </c>
      <c r="E341" s="67"/>
      <c r="F341" s="58">
        <f t="shared" ref="F341:L341" si="331">SUMIFS($C341,$B341,F$7)+F340</f>
        <v>0</v>
      </c>
      <c r="G341" s="58">
        <f t="shared" si="331"/>
        <v>0</v>
      </c>
      <c r="H341" s="58">
        <f t="shared" si="331"/>
        <v>0</v>
      </c>
      <c r="I341" s="58">
        <f t="shared" si="331"/>
        <v>59</v>
      </c>
      <c r="J341" s="58">
        <f t="shared" si="331"/>
        <v>0</v>
      </c>
      <c r="K341" s="58">
        <f t="shared" si="331"/>
        <v>0</v>
      </c>
      <c r="L341" s="58">
        <f t="shared" si="331"/>
        <v>0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0" customHeight="1">
      <c r="A342" s="70"/>
      <c r="B342" s="71"/>
      <c r="C342" s="66"/>
      <c r="D342" s="66">
        <f t="shared" si="3"/>
        <v>0</v>
      </c>
      <c r="E342" s="67"/>
      <c r="F342" s="58">
        <f t="shared" ref="F342:L342" si="332">SUMIFS($C342,$B342,F$7)+F341</f>
        <v>0</v>
      </c>
      <c r="G342" s="58">
        <f t="shared" si="332"/>
        <v>0</v>
      </c>
      <c r="H342" s="58">
        <f t="shared" si="332"/>
        <v>0</v>
      </c>
      <c r="I342" s="58">
        <f t="shared" si="332"/>
        <v>59</v>
      </c>
      <c r="J342" s="58">
        <f t="shared" si="332"/>
        <v>0</v>
      </c>
      <c r="K342" s="58">
        <f t="shared" si="332"/>
        <v>0</v>
      </c>
      <c r="L342" s="58">
        <f t="shared" si="332"/>
        <v>0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0" customHeight="1">
      <c r="A343" s="70"/>
      <c r="B343" s="71"/>
      <c r="C343" s="66"/>
      <c r="D343" s="66">
        <f t="shared" si="3"/>
        <v>0</v>
      </c>
      <c r="E343" s="67"/>
      <c r="F343" s="58">
        <f t="shared" ref="F343:L343" si="333">SUMIFS($C343,$B343,F$7)+F342</f>
        <v>0</v>
      </c>
      <c r="G343" s="58">
        <f t="shared" si="333"/>
        <v>0</v>
      </c>
      <c r="H343" s="58">
        <f t="shared" si="333"/>
        <v>0</v>
      </c>
      <c r="I343" s="58">
        <f t="shared" si="333"/>
        <v>59</v>
      </c>
      <c r="J343" s="58">
        <f t="shared" si="333"/>
        <v>0</v>
      </c>
      <c r="K343" s="58">
        <f t="shared" si="333"/>
        <v>0</v>
      </c>
      <c r="L343" s="58">
        <f t="shared" si="333"/>
        <v>0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0" customHeight="1">
      <c r="A344" s="70"/>
      <c r="B344" s="71"/>
      <c r="C344" s="66"/>
      <c r="D344" s="66">
        <f t="shared" si="3"/>
        <v>0</v>
      </c>
      <c r="E344" s="67"/>
      <c r="F344" s="58">
        <f t="shared" ref="F344:L344" si="334">SUMIFS($C344,$B344,F$7)+F343</f>
        <v>0</v>
      </c>
      <c r="G344" s="58">
        <f t="shared" si="334"/>
        <v>0</v>
      </c>
      <c r="H344" s="58">
        <f t="shared" si="334"/>
        <v>0</v>
      </c>
      <c r="I344" s="58">
        <f t="shared" si="334"/>
        <v>59</v>
      </c>
      <c r="J344" s="58">
        <f t="shared" si="334"/>
        <v>0</v>
      </c>
      <c r="K344" s="58">
        <f t="shared" si="334"/>
        <v>0</v>
      </c>
      <c r="L344" s="58">
        <f t="shared" si="334"/>
        <v>0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0" customHeight="1">
      <c r="A345" s="70"/>
      <c r="B345" s="71"/>
      <c r="C345" s="66"/>
      <c r="D345" s="66">
        <f t="shared" si="3"/>
        <v>0</v>
      </c>
      <c r="E345" s="67"/>
      <c r="F345" s="58">
        <f t="shared" ref="F345:L345" si="335">SUMIFS($C345,$B345,F$7)+F344</f>
        <v>0</v>
      </c>
      <c r="G345" s="58">
        <f t="shared" si="335"/>
        <v>0</v>
      </c>
      <c r="H345" s="58">
        <f t="shared" si="335"/>
        <v>0</v>
      </c>
      <c r="I345" s="58">
        <f t="shared" si="335"/>
        <v>59</v>
      </c>
      <c r="J345" s="58">
        <f t="shared" si="335"/>
        <v>0</v>
      </c>
      <c r="K345" s="58">
        <f t="shared" si="335"/>
        <v>0</v>
      </c>
      <c r="L345" s="58">
        <f t="shared" si="335"/>
        <v>0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0" customHeight="1">
      <c r="A346" s="70"/>
      <c r="B346" s="71"/>
      <c r="C346" s="66"/>
      <c r="D346" s="66">
        <f t="shared" si="3"/>
        <v>0</v>
      </c>
      <c r="E346" s="67"/>
      <c r="F346" s="58">
        <f t="shared" ref="F346:L346" si="336">SUMIFS($C346,$B346,F$7)+F345</f>
        <v>0</v>
      </c>
      <c r="G346" s="58">
        <f t="shared" si="336"/>
        <v>0</v>
      </c>
      <c r="H346" s="58">
        <f t="shared" si="336"/>
        <v>0</v>
      </c>
      <c r="I346" s="58">
        <f t="shared" si="336"/>
        <v>59</v>
      </c>
      <c r="J346" s="58">
        <f t="shared" si="336"/>
        <v>0</v>
      </c>
      <c r="K346" s="58">
        <f t="shared" si="336"/>
        <v>0</v>
      </c>
      <c r="L346" s="58">
        <f t="shared" si="336"/>
        <v>0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0" customHeight="1">
      <c r="A347" s="70"/>
      <c r="B347" s="71"/>
      <c r="C347" s="66"/>
      <c r="D347" s="66">
        <f t="shared" si="3"/>
        <v>0</v>
      </c>
      <c r="E347" s="67"/>
      <c r="F347" s="58">
        <f t="shared" ref="F347:L347" si="337">SUMIFS($C347,$B347,F$7)+F346</f>
        <v>0</v>
      </c>
      <c r="G347" s="58">
        <f t="shared" si="337"/>
        <v>0</v>
      </c>
      <c r="H347" s="58">
        <f t="shared" si="337"/>
        <v>0</v>
      </c>
      <c r="I347" s="58">
        <f t="shared" si="337"/>
        <v>59</v>
      </c>
      <c r="J347" s="58">
        <f t="shared" si="337"/>
        <v>0</v>
      </c>
      <c r="K347" s="58">
        <f t="shared" si="337"/>
        <v>0</v>
      </c>
      <c r="L347" s="58">
        <f t="shared" si="337"/>
        <v>0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0" customHeight="1">
      <c r="A348" s="70"/>
      <c r="B348" s="71"/>
      <c r="C348" s="66"/>
      <c r="D348" s="66">
        <f t="shared" si="3"/>
        <v>0</v>
      </c>
      <c r="E348" s="67"/>
      <c r="F348" s="58">
        <f t="shared" ref="F348:L348" si="338">SUMIFS($C348,$B348,F$7)+F347</f>
        <v>0</v>
      </c>
      <c r="G348" s="58">
        <f t="shared" si="338"/>
        <v>0</v>
      </c>
      <c r="H348" s="58">
        <f t="shared" si="338"/>
        <v>0</v>
      </c>
      <c r="I348" s="58">
        <f t="shared" si="338"/>
        <v>59</v>
      </c>
      <c r="J348" s="58">
        <f t="shared" si="338"/>
        <v>0</v>
      </c>
      <c r="K348" s="58">
        <f t="shared" si="338"/>
        <v>0</v>
      </c>
      <c r="L348" s="58">
        <f t="shared" si="338"/>
        <v>0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0" customHeight="1">
      <c r="A349" s="70"/>
      <c r="B349" s="71"/>
      <c r="C349" s="66"/>
      <c r="D349" s="66">
        <f t="shared" si="3"/>
        <v>0</v>
      </c>
      <c r="E349" s="67"/>
      <c r="F349" s="58">
        <f t="shared" ref="F349:L349" si="339">SUMIFS($C349,$B349,F$7)+F348</f>
        <v>0</v>
      </c>
      <c r="G349" s="58">
        <f t="shared" si="339"/>
        <v>0</v>
      </c>
      <c r="H349" s="58">
        <f t="shared" si="339"/>
        <v>0</v>
      </c>
      <c r="I349" s="58">
        <f t="shared" si="339"/>
        <v>59</v>
      </c>
      <c r="J349" s="58">
        <f t="shared" si="339"/>
        <v>0</v>
      </c>
      <c r="K349" s="58">
        <f t="shared" si="339"/>
        <v>0</v>
      </c>
      <c r="L349" s="58">
        <f t="shared" si="339"/>
        <v>0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0" customHeight="1">
      <c r="A350" s="70"/>
      <c r="B350" s="71"/>
      <c r="C350" s="66"/>
      <c r="D350" s="66">
        <f t="shared" si="3"/>
        <v>0</v>
      </c>
      <c r="E350" s="67"/>
      <c r="F350" s="58">
        <f t="shared" ref="F350:L350" si="340">SUMIFS($C350,$B350,F$7)+F349</f>
        <v>0</v>
      </c>
      <c r="G350" s="58">
        <f t="shared" si="340"/>
        <v>0</v>
      </c>
      <c r="H350" s="58">
        <f t="shared" si="340"/>
        <v>0</v>
      </c>
      <c r="I350" s="58">
        <f t="shared" si="340"/>
        <v>59</v>
      </c>
      <c r="J350" s="58">
        <f t="shared" si="340"/>
        <v>0</v>
      </c>
      <c r="K350" s="58">
        <f t="shared" si="340"/>
        <v>0</v>
      </c>
      <c r="L350" s="58">
        <f t="shared" si="340"/>
        <v>0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0" customHeight="1">
      <c r="A351" s="70"/>
      <c r="B351" s="71"/>
      <c r="C351" s="66"/>
      <c r="D351" s="66">
        <f t="shared" si="3"/>
        <v>0</v>
      </c>
      <c r="E351" s="67"/>
      <c r="F351" s="58">
        <f t="shared" ref="F351:L351" si="341">SUMIFS($C351,$B351,F$7)+F350</f>
        <v>0</v>
      </c>
      <c r="G351" s="58">
        <f t="shared" si="341"/>
        <v>0</v>
      </c>
      <c r="H351" s="58">
        <f t="shared" si="341"/>
        <v>0</v>
      </c>
      <c r="I351" s="58">
        <f t="shared" si="341"/>
        <v>59</v>
      </c>
      <c r="J351" s="58">
        <f t="shared" si="341"/>
        <v>0</v>
      </c>
      <c r="K351" s="58">
        <f t="shared" si="341"/>
        <v>0</v>
      </c>
      <c r="L351" s="58">
        <f t="shared" si="341"/>
        <v>0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0" customHeight="1">
      <c r="A352" s="70"/>
      <c r="B352" s="71"/>
      <c r="C352" s="66"/>
      <c r="D352" s="66">
        <f t="shared" si="3"/>
        <v>0</v>
      </c>
      <c r="E352" s="67"/>
      <c r="F352" s="58">
        <f t="shared" ref="F352:L352" si="342">SUMIFS($C352,$B352,F$7)+F351</f>
        <v>0</v>
      </c>
      <c r="G352" s="58">
        <f t="shared" si="342"/>
        <v>0</v>
      </c>
      <c r="H352" s="58">
        <f t="shared" si="342"/>
        <v>0</v>
      </c>
      <c r="I352" s="58">
        <f t="shared" si="342"/>
        <v>59</v>
      </c>
      <c r="J352" s="58">
        <f t="shared" si="342"/>
        <v>0</v>
      </c>
      <c r="K352" s="58">
        <f t="shared" si="342"/>
        <v>0</v>
      </c>
      <c r="L352" s="58">
        <f t="shared" si="342"/>
        <v>0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0" customHeight="1">
      <c r="A353" s="70"/>
      <c r="B353" s="71"/>
      <c r="C353" s="66"/>
      <c r="D353" s="66">
        <f t="shared" si="3"/>
        <v>0</v>
      </c>
      <c r="E353" s="67"/>
      <c r="F353" s="58">
        <f t="shared" ref="F353:L353" si="343">SUMIFS($C353,$B353,F$7)+F352</f>
        <v>0</v>
      </c>
      <c r="G353" s="58">
        <f t="shared" si="343"/>
        <v>0</v>
      </c>
      <c r="H353" s="58">
        <f t="shared" si="343"/>
        <v>0</v>
      </c>
      <c r="I353" s="58">
        <f t="shared" si="343"/>
        <v>59</v>
      </c>
      <c r="J353" s="58">
        <f t="shared" si="343"/>
        <v>0</v>
      </c>
      <c r="K353" s="58">
        <f t="shared" si="343"/>
        <v>0</v>
      </c>
      <c r="L353" s="58">
        <f t="shared" si="343"/>
        <v>0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0" customHeight="1">
      <c r="A354" s="70"/>
      <c r="B354" s="71"/>
      <c r="C354" s="66"/>
      <c r="D354" s="66">
        <f t="shared" si="3"/>
        <v>0</v>
      </c>
      <c r="E354" s="67"/>
      <c r="F354" s="58">
        <f t="shared" ref="F354:L354" si="344">SUMIFS($C354,$B354,F$7)+F353</f>
        <v>0</v>
      </c>
      <c r="G354" s="58">
        <f t="shared" si="344"/>
        <v>0</v>
      </c>
      <c r="H354" s="58">
        <f t="shared" si="344"/>
        <v>0</v>
      </c>
      <c r="I354" s="58">
        <f t="shared" si="344"/>
        <v>59</v>
      </c>
      <c r="J354" s="58">
        <f t="shared" si="344"/>
        <v>0</v>
      </c>
      <c r="K354" s="58">
        <f t="shared" si="344"/>
        <v>0</v>
      </c>
      <c r="L354" s="58">
        <f t="shared" si="344"/>
        <v>0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0" customHeight="1">
      <c r="A355" s="70"/>
      <c r="B355" s="71"/>
      <c r="C355" s="66"/>
      <c r="D355" s="66">
        <f t="shared" si="3"/>
        <v>0</v>
      </c>
      <c r="E355" s="67"/>
      <c r="F355" s="58">
        <f t="shared" ref="F355:L355" si="345">SUMIFS($C355,$B355,F$7)+F354</f>
        <v>0</v>
      </c>
      <c r="G355" s="58">
        <f t="shared" si="345"/>
        <v>0</v>
      </c>
      <c r="H355" s="58">
        <f t="shared" si="345"/>
        <v>0</v>
      </c>
      <c r="I355" s="58">
        <f t="shared" si="345"/>
        <v>59</v>
      </c>
      <c r="J355" s="58">
        <f t="shared" si="345"/>
        <v>0</v>
      </c>
      <c r="K355" s="58">
        <f t="shared" si="345"/>
        <v>0</v>
      </c>
      <c r="L355" s="58">
        <f t="shared" si="345"/>
        <v>0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0" customHeight="1">
      <c r="A356" s="70"/>
      <c r="B356" s="71"/>
      <c r="C356" s="66"/>
      <c r="D356" s="66">
        <f t="shared" si="3"/>
        <v>0</v>
      </c>
      <c r="E356" s="67"/>
      <c r="F356" s="58">
        <f t="shared" ref="F356:L356" si="346">SUMIFS($C356,$B356,F$7)+F355</f>
        <v>0</v>
      </c>
      <c r="G356" s="58">
        <f t="shared" si="346"/>
        <v>0</v>
      </c>
      <c r="H356" s="58">
        <f t="shared" si="346"/>
        <v>0</v>
      </c>
      <c r="I356" s="58">
        <f t="shared" si="346"/>
        <v>59</v>
      </c>
      <c r="J356" s="58">
        <f t="shared" si="346"/>
        <v>0</v>
      </c>
      <c r="K356" s="58">
        <f t="shared" si="346"/>
        <v>0</v>
      </c>
      <c r="L356" s="58">
        <f t="shared" si="346"/>
        <v>0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0" customHeight="1">
      <c r="A357" s="70"/>
      <c r="B357" s="71"/>
      <c r="C357" s="66"/>
      <c r="D357" s="66">
        <f t="shared" si="3"/>
        <v>0</v>
      </c>
      <c r="E357" s="67"/>
      <c r="F357" s="58">
        <f t="shared" ref="F357:L357" si="347">SUMIFS($C357,$B357,F$7)+F356</f>
        <v>0</v>
      </c>
      <c r="G357" s="58">
        <f t="shared" si="347"/>
        <v>0</v>
      </c>
      <c r="H357" s="58">
        <f t="shared" si="347"/>
        <v>0</v>
      </c>
      <c r="I357" s="58">
        <f t="shared" si="347"/>
        <v>59</v>
      </c>
      <c r="J357" s="58">
        <f t="shared" si="347"/>
        <v>0</v>
      </c>
      <c r="K357" s="58">
        <f t="shared" si="347"/>
        <v>0</v>
      </c>
      <c r="L357" s="58">
        <f t="shared" si="347"/>
        <v>0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0" customHeight="1">
      <c r="A358" s="70"/>
      <c r="B358" s="71"/>
      <c r="C358" s="66"/>
      <c r="D358" s="66">
        <f t="shared" si="3"/>
        <v>0</v>
      </c>
      <c r="E358" s="67"/>
      <c r="F358" s="58">
        <f t="shared" ref="F358:L358" si="348">SUMIFS($C358,$B358,F$7)+F357</f>
        <v>0</v>
      </c>
      <c r="G358" s="58">
        <f t="shared" si="348"/>
        <v>0</v>
      </c>
      <c r="H358" s="58">
        <f t="shared" si="348"/>
        <v>0</v>
      </c>
      <c r="I358" s="58">
        <f t="shared" si="348"/>
        <v>59</v>
      </c>
      <c r="J358" s="58">
        <f t="shared" si="348"/>
        <v>0</v>
      </c>
      <c r="K358" s="58">
        <f t="shared" si="348"/>
        <v>0</v>
      </c>
      <c r="L358" s="58">
        <f t="shared" si="348"/>
        <v>0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0" customHeight="1">
      <c r="A359" s="70"/>
      <c r="B359" s="71"/>
      <c r="C359" s="66"/>
      <c r="D359" s="66">
        <f t="shared" si="3"/>
        <v>0</v>
      </c>
      <c r="E359" s="67"/>
      <c r="F359" s="58">
        <f t="shared" ref="F359:L359" si="349">SUMIFS($C359,$B359,F$7)+F358</f>
        <v>0</v>
      </c>
      <c r="G359" s="58">
        <f t="shared" si="349"/>
        <v>0</v>
      </c>
      <c r="H359" s="58">
        <f t="shared" si="349"/>
        <v>0</v>
      </c>
      <c r="I359" s="58">
        <f t="shared" si="349"/>
        <v>59</v>
      </c>
      <c r="J359" s="58">
        <f t="shared" si="349"/>
        <v>0</v>
      </c>
      <c r="K359" s="58">
        <f t="shared" si="349"/>
        <v>0</v>
      </c>
      <c r="L359" s="58">
        <f t="shared" si="349"/>
        <v>0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0" customHeight="1">
      <c r="A360" s="70"/>
      <c r="B360" s="71"/>
      <c r="C360" s="66"/>
      <c r="D360" s="66">
        <f t="shared" si="3"/>
        <v>0</v>
      </c>
      <c r="E360" s="67"/>
      <c r="F360" s="58">
        <f t="shared" ref="F360:L360" si="350">SUMIFS($C360,$B360,F$7)+F359</f>
        <v>0</v>
      </c>
      <c r="G360" s="58">
        <f t="shared" si="350"/>
        <v>0</v>
      </c>
      <c r="H360" s="58">
        <f t="shared" si="350"/>
        <v>0</v>
      </c>
      <c r="I360" s="58">
        <f t="shared" si="350"/>
        <v>59</v>
      </c>
      <c r="J360" s="58">
        <f t="shared" si="350"/>
        <v>0</v>
      </c>
      <c r="K360" s="58">
        <f t="shared" si="350"/>
        <v>0</v>
      </c>
      <c r="L360" s="58">
        <f t="shared" si="350"/>
        <v>0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0" customHeight="1">
      <c r="A361" s="70"/>
      <c r="B361" s="71"/>
      <c r="C361" s="66"/>
      <c r="D361" s="66">
        <f t="shared" si="3"/>
        <v>0</v>
      </c>
      <c r="E361" s="67"/>
      <c r="F361" s="58">
        <f t="shared" ref="F361:L361" si="351">SUMIFS($C361,$B361,F$7)+F360</f>
        <v>0</v>
      </c>
      <c r="G361" s="58">
        <f t="shared" si="351"/>
        <v>0</v>
      </c>
      <c r="H361" s="58">
        <f t="shared" si="351"/>
        <v>0</v>
      </c>
      <c r="I361" s="58">
        <f t="shared" si="351"/>
        <v>59</v>
      </c>
      <c r="J361" s="58">
        <f t="shared" si="351"/>
        <v>0</v>
      </c>
      <c r="K361" s="58">
        <f t="shared" si="351"/>
        <v>0</v>
      </c>
      <c r="L361" s="58">
        <f t="shared" si="351"/>
        <v>0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0" customHeight="1">
      <c r="A362" s="70"/>
      <c r="B362" s="71"/>
      <c r="C362" s="66"/>
      <c r="D362" s="66">
        <f t="shared" si="3"/>
        <v>0</v>
      </c>
      <c r="E362" s="67"/>
      <c r="F362" s="58">
        <f t="shared" ref="F362:L362" si="352">SUMIFS($C362,$B362,F$7)+F361</f>
        <v>0</v>
      </c>
      <c r="G362" s="58">
        <f t="shared" si="352"/>
        <v>0</v>
      </c>
      <c r="H362" s="58">
        <f t="shared" si="352"/>
        <v>0</v>
      </c>
      <c r="I362" s="58">
        <f t="shared" si="352"/>
        <v>59</v>
      </c>
      <c r="J362" s="58">
        <f t="shared" si="352"/>
        <v>0</v>
      </c>
      <c r="K362" s="58">
        <f t="shared" si="352"/>
        <v>0</v>
      </c>
      <c r="L362" s="58">
        <f t="shared" si="352"/>
        <v>0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0" customHeight="1">
      <c r="A363" s="70"/>
      <c r="B363" s="71"/>
      <c r="C363" s="66"/>
      <c r="D363" s="66">
        <f t="shared" si="3"/>
        <v>0</v>
      </c>
      <c r="E363" s="67"/>
      <c r="F363" s="58">
        <f t="shared" ref="F363:L363" si="353">SUMIFS($C363,$B363,F$7)+F362</f>
        <v>0</v>
      </c>
      <c r="G363" s="58">
        <f t="shared" si="353"/>
        <v>0</v>
      </c>
      <c r="H363" s="58">
        <f t="shared" si="353"/>
        <v>0</v>
      </c>
      <c r="I363" s="58">
        <f t="shared" si="353"/>
        <v>59</v>
      </c>
      <c r="J363" s="58">
        <f t="shared" si="353"/>
        <v>0</v>
      </c>
      <c r="K363" s="58">
        <f t="shared" si="353"/>
        <v>0</v>
      </c>
      <c r="L363" s="58">
        <f t="shared" si="353"/>
        <v>0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0" customHeight="1">
      <c r="A364" s="70"/>
      <c r="B364" s="71"/>
      <c r="C364" s="66"/>
      <c r="D364" s="66">
        <f t="shared" si="3"/>
        <v>0</v>
      </c>
      <c r="E364" s="67"/>
      <c r="F364" s="58">
        <f t="shared" ref="F364:L364" si="354">SUMIFS($C364,$B364,F$7)+F363</f>
        <v>0</v>
      </c>
      <c r="G364" s="58">
        <f t="shared" si="354"/>
        <v>0</v>
      </c>
      <c r="H364" s="58">
        <f t="shared" si="354"/>
        <v>0</v>
      </c>
      <c r="I364" s="58">
        <f t="shared" si="354"/>
        <v>59</v>
      </c>
      <c r="J364" s="58">
        <f t="shared" si="354"/>
        <v>0</v>
      </c>
      <c r="K364" s="58">
        <f t="shared" si="354"/>
        <v>0</v>
      </c>
      <c r="L364" s="58">
        <f t="shared" si="354"/>
        <v>0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0" customHeight="1">
      <c r="A365" s="70"/>
      <c r="B365" s="71"/>
      <c r="C365" s="66"/>
      <c r="D365" s="66">
        <f t="shared" si="3"/>
        <v>0</v>
      </c>
      <c r="E365" s="67"/>
      <c r="F365" s="58">
        <f t="shared" ref="F365:L365" si="355">SUMIFS($C365,$B365,F$7)+F364</f>
        <v>0</v>
      </c>
      <c r="G365" s="58">
        <f t="shared" si="355"/>
        <v>0</v>
      </c>
      <c r="H365" s="58">
        <f t="shared" si="355"/>
        <v>0</v>
      </c>
      <c r="I365" s="58">
        <f t="shared" si="355"/>
        <v>59</v>
      </c>
      <c r="J365" s="58">
        <f t="shared" si="355"/>
        <v>0</v>
      </c>
      <c r="K365" s="58">
        <f t="shared" si="355"/>
        <v>0</v>
      </c>
      <c r="L365" s="58">
        <f t="shared" si="355"/>
        <v>0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0" customHeight="1">
      <c r="A366" s="70"/>
      <c r="B366" s="71"/>
      <c r="C366" s="66"/>
      <c r="D366" s="66">
        <f t="shared" si="3"/>
        <v>0</v>
      </c>
      <c r="E366" s="67"/>
      <c r="F366" s="58">
        <f t="shared" ref="F366:L366" si="356">SUMIFS($C366,$B366,F$7)+F365</f>
        <v>0</v>
      </c>
      <c r="G366" s="58">
        <f t="shared" si="356"/>
        <v>0</v>
      </c>
      <c r="H366" s="58">
        <f t="shared" si="356"/>
        <v>0</v>
      </c>
      <c r="I366" s="58">
        <f t="shared" si="356"/>
        <v>59</v>
      </c>
      <c r="J366" s="58">
        <f t="shared" si="356"/>
        <v>0</v>
      </c>
      <c r="K366" s="58">
        <f t="shared" si="356"/>
        <v>0</v>
      </c>
      <c r="L366" s="58">
        <f t="shared" si="356"/>
        <v>0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0" customHeight="1">
      <c r="A367" s="70"/>
      <c r="B367" s="71"/>
      <c r="C367" s="66"/>
      <c r="D367" s="66">
        <f t="shared" si="3"/>
        <v>0</v>
      </c>
      <c r="E367" s="67"/>
      <c r="F367" s="58">
        <f t="shared" ref="F367:L367" si="357">SUMIFS($C367,$B367,F$7)+F366</f>
        <v>0</v>
      </c>
      <c r="G367" s="58">
        <f t="shared" si="357"/>
        <v>0</v>
      </c>
      <c r="H367" s="58">
        <f t="shared" si="357"/>
        <v>0</v>
      </c>
      <c r="I367" s="58">
        <f t="shared" si="357"/>
        <v>59</v>
      </c>
      <c r="J367" s="58">
        <f t="shared" si="357"/>
        <v>0</v>
      </c>
      <c r="K367" s="58">
        <f t="shared" si="357"/>
        <v>0</v>
      </c>
      <c r="L367" s="58">
        <f t="shared" si="357"/>
        <v>0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0" customHeight="1">
      <c r="A368" s="70"/>
      <c r="B368" s="71"/>
      <c r="C368" s="66"/>
      <c r="D368" s="66">
        <f t="shared" si="3"/>
        <v>0</v>
      </c>
      <c r="E368" s="67"/>
      <c r="F368" s="58">
        <f t="shared" ref="F368:L368" si="358">SUMIFS($C368,$B368,F$7)+F367</f>
        <v>0</v>
      </c>
      <c r="G368" s="58">
        <f t="shared" si="358"/>
        <v>0</v>
      </c>
      <c r="H368" s="58">
        <f t="shared" si="358"/>
        <v>0</v>
      </c>
      <c r="I368" s="58">
        <f t="shared" si="358"/>
        <v>59</v>
      </c>
      <c r="J368" s="58">
        <f t="shared" si="358"/>
        <v>0</v>
      </c>
      <c r="K368" s="58">
        <f t="shared" si="358"/>
        <v>0</v>
      </c>
      <c r="L368" s="58">
        <f t="shared" si="358"/>
        <v>0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0" customHeight="1">
      <c r="A369" s="70"/>
      <c r="B369" s="71"/>
      <c r="C369" s="66"/>
      <c r="D369" s="66">
        <f t="shared" si="3"/>
        <v>0</v>
      </c>
      <c r="E369" s="67"/>
      <c r="F369" s="58">
        <f t="shared" ref="F369:L369" si="359">SUMIFS($C369,$B369,F$7)+F368</f>
        <v>0</v>
      </c>
      <c r="G369" s="58">
        <f t="shared" si="359"/>
        <v>0</v>
      </c>
      <c r="H369" s="58">
        <f t="shared" si="359"/>
        <v>0</v>
      </c>
      <c r="I369" s="58">
        <f t="shared" si="359"/>
        <v>59</v>
      </c>
      <c r="J369" s="58">
        <f t="shared" si="359"/>
        <v>0</v>
      </c>
      <c r="K369" s="58">
        <f t="shared" si="359"/>
        <v>0</v>
      </c>
      <c r="L369" s="58">
        <f t="shared" si="359"/>
        <v>0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0" customHeight="1">
      <c r="A370" s="70"/>
      <c r="B370" s="71"/>
      <c r="C370" s="66"/>
      <c r="D370" s="66">
        <f t="shared" si="3"/>
        <v>0</v>
      </c>
      <c r="E370" s="67"/>
      <c r="F370" s="58">
        <f t="shared" ref="F370:L370" si="360">SUMIFS($C370,$B370,F$7)+F369</f>
        <v>0</v>
      </c>
      <c r="G370" s="58">
        <f t="shared" si="360"/>
        <v>0</v>
      </c>
      <c r="H370" s="58">
        <f t="shared" si="360"/>
        <v>0</v>
      </c>
      <c r="I370" s="58">
        <f t="shared" si="360"/>
        <v>59</v>
      </c>
      <c r="J370" s="58">
        <f t="shared" si="360"/>
        <v>0</v>
      </c>
      <c r="K370" s="58">
        <f t="shared" si="360"/>
        <v>0</v>
      </c>
      <c r="L370" s="58">
        <f t="shared" si="360"/>
        <v>0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0" customHeight="1">
      <c r="A371" s="70"/>
      <c r="B371" s="71"/>
      <c r="C371" s="66"/>
      <c r="D371" s="66">
        <f t="shared" si="3"/>
        <v>0</v>
      </c>
      <c r="E371" s="67"/>
      <c r="F371" s="58">
        <f t="shared" ref="F371:L371" si="361">SUMIFS($C371,$B371,F$7)+F370</f>
        <v>0</v>
      </c>
      <c r="G371" s="58">
        <f t="shared" si="361"/>
        <v>0</v>
      </c>
      <c r="H371" s="58">
        <f t="shared" si="361"/>
        <v>0</v>
      </c>
      <c r="I371" s="58">
        <f t="shared" si="361"/>
        <v>59</v>
      </c>
      <c r="J371" s="58">
        <f t="shared" si="361"/>
        <v>0</v>
      </c>
      <c r="K371" s="58">
        <f t="shared" si="361"/>
        <v>0</v>
      </c>
      <c r="L371" s="58">
        <f t="shared" si="361"/>
        <v>0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0" customHeight="1">
      <c r="A372" s="70"/>
      <c r="B372" s="71"/>
      <c r="C372" s="66"/>
      <c r="D372" s="66">
        <f t="shared" si="3"/>
        <v>0</v>
      </c>
      <c r="E372" s="67"/>
      <c r="F372" s="58">
        <f t="shared" ref="F372:L372" si="362">SUMIFS($C372,$B372,F$7)+F371</f>
        <v>0</v>
      </c>
      <c r="G372" s="58">
        <f t="shared" si="362"/>
        <v>0</v>
      </c>
      <c r="H372" s="58">
        <f t="shared" si="362"/>
        <v>0</v>
      </c>
      <c r="I372" s="58">
        <f t="shared" si="362"/>
        <v>59</v>
      </c>
      <c r="J372" s="58">
        <f t="shared" si="362"/>
        <v>0</v>
      </c>
      <c r="K372" s="58">
        <f t="shared" si="362"/>
        <v>0</v>
      </c>
      <c r="L372" s="58">
        <f t="shared" si="362"/>
        <v>0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0" customHeight="1">
      <c r="A373" s="70"/>
      <c r="B373" s="71"/>
      <c r="C373" s="66"/>
      <c r="D373" s="66">
        <f t="shared" si="3"/>
        <v>0</v>
      </c>
      <c r="E373" s="67"/>
      <c r="F373" s="58">
        <f t="shared" ref="F373:L373" si="363">SUMIFS($C373,$B373,F$7)+F372</f>
        <v>0</v>
      </c>
      <c r="G373" s="58">
        <f t="shared" si="363"/>
        <v>0</v>
      </c>
      <c r="H373" s="58">
        <f t="shared" si="363"/>
        <v>0</v>
      </c>
      <c r="I373" s="58">
        <f t="shared" si="363"/>
        <v>59</v>
      </c>
      <c r="J373" s="58">
        <f t="shared" si="363"/>
        <v>0</v>
      </c>
      <c r="K373" s="58">
        <f t="shared" si="363"/>
        <v>0</v>
      </c>
      <c r="L373" s="58">
        <f t="shared" si="363"/>
        <v>0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0" customHeight="1">
      <c r="A374" s="70"/>
      <c r="B374" s="71"/>
      <c r="C374" s="66"/>
      <c r="D374" s="66">
        <f t="shared" si="3"/>
        <v>0</v>
      </c>
      <c r="E374" s="67"/>
      <c r="F374" s="58">
        <f t="shared" ref="F374:L374" si="364">SUMIFS($C374,$B374,F$7)+F373</f>
        <v>0</v>
      </c>
      <c r="G374" s="58">
        <f t="shared" si="364"/>
        <v>0</v>
      </c>
      <c r="H374" s="58">
        <f t="shared" si="364"/>
        <v>0</v>
      </c>
      <c r="I374" s="58">
        <f t="shared" si="364"/>
        <v>59</v>
      </c>
      <c r="J374" s="58">
        <f t="shared" si="364"/>
        <v>0</v>
      </c>
      <c r="K374" s="58">
        <f t="shared" si="364"/>
        <v>0</v>
      </c>
      <c r="L374" s="58">
        <f t="shared" si="364"/>
        <v>0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0" customHeight="1">
      <c r="A375" s="70"/>
      <c r="B375" s="71"/>
      <c r="C375" s="66"/>
      <c r="D375" s="66">
        <f t="shared" si="3"/>
        <v>0</v>
      </c>
      <c r="E375" s="67"/>
      <c r="F375" s="58">
        <f t="shared" ref="F375:L375" si="365">SUMIFS($C375,$B375,F$7)+F374</f>
        <v>0</v>
      </c>
      <c r="G375" s="58">
        <f t="shared" si="365"/>
        <v>0</v>
      </c>
      <c r="H375" s="58">
        <f t="shared" si="365"/>
        <v>0</v>
      </c>
      <c r="I375" s="58">
        <f t="shared" si="365"/>
        <v>59</v>
      </c>
      <c r="J375" s="58">
        <f t="shared" si="365"/>
        <v>0</v>
      </c>
      <c r="K375" s="58">
        <f t="shared" si="365"/>
        <v>0</v>
      </c>
      <c r="L375" s="58">
        <f t="shared" si="365"/>
        <v>0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0" customHeight="1">
      <c r="A376" s="70"/>
      <c r="B376" s="71"/>
      <c r="C376" s="66"/>
      <c r="D376" s="66">
        <f t="shared" si="3"/>
        <v>0</v>
      </c>
      <c r="E376" s="67"/>
      <c r="F376" s="58">
        <f t="shared" ref="F376:L376" si="366">SUMIFS($C376,$B376,F$7)+F375</f>
        <v>0</v>
      </c>
      <c r="G376" s="58">
        <f t="shared" si="366"/>
        <v>0</v>
      </c>
      <c r="H376" s="58">
        <f t="shared" si="366"/>
        <v>0</v>
      </c>
      <c r="I376" s="58">
        <f t="shared" si="366"/>
        <v>59</v>
      </c>
      <c r="J376" s="58">
        <f t="shared" si="366"/>
        <v>0</v>
      </c>
      <c r="K376" s="58">
        <f t="shared" si="366"/>
        <v>0</v>
      </c>
      <c r="L376" s="58">
        <f t="shared" si="366"/>
        <v>0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0" customHeight="1">
      <c r="A377" s="70"/>
      <c r="B377" s="71"/>
      <c r="C377" s="66"/>
      <c r="D377" s="66">
        <f t="shared" si="3"/>
        <v>0</v>
      </c>
      <c r="E377" s="67"/>
      <c r="F377" s="58">
        <f t="shared" ref="F377:L377" si="367">SUMIFS($C377,$B377,F$7)+F376</f>
        <v>0</v>
      </c>
      <c r="G377" s="58">
        <f t="shared" si="367"/>
        <v>0</v>
      </c>
      <c r="H377" s="58">
        <f t="shared" si="367"/>
        <v>0</v>
      </c>
      <c r="I377" s="58">
        <f t="shared" si="367"/>
        <v>59</v>
      </c>
      <c r="J377" s="58">
        <f t="shared" si="367"/>
        <v>0</v>
      </c>
      <c r="K377" s="58">
        <f t="shared" si="367"/>
        <v>0</v>
      </c>
      <c r="L377" s="58">
        <f t="shared" si="367"/>
        <v>0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0" customHeight="1">
      <c r="A378" s="70"/>
      <c r="B378" s="71"/>
      <c r="C378" s="66"/>
      <c r="D378" s="66">
        <f t="shared" si="3"/>
        <v>0</v>
      </c>
      <c r="E378" s="67"/>
      <c r="F378" s="58">
        <f t="shared" ref="F378:L378" si="368">SUMIFS($C378,$B378,F$7)+F377</f>
        <v>0</v>
      </c>
      <c r="G378" s="58">
        <f t="shared" si="368"/>
        <v>0</v>
      </c>
      <c r="H378" s="58">
        <f t="shared" si="368"/>
        <v>0</v>
      </c>
      <c r="I378" s="58">
        <f t="shared" si="368"/>
        <v>59</v>
      </c>
      <c r="J378" s="58">
        <f t="shared" si="368"/>
        <v>0</v>
      </c>
      <c r="K378" s="58">
        <f t="shared" si="368"/>
        <v>0</v>
      </c>
      <c r="L378" s="58">
        <f t="shared" si="368"/>
        <v>0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0" customHeight="1">
      <c r="A379" s="70"/>
      <c r="B379" s="71"/>
      <c r="C379" s="66"/>
      <c r="D379" s="66">
        <f t="shared" si="3"/>
        <v>0</v>
      </c>
      <c r="E379" s="67"/>
      <c r="F379" s="58">
        <f t="shared" ref="F379:L379" si="369">SUMIFS($C379,$B379,F$7)+F378</f>
        <v>0</v>
      </c>
      <c r="G379" s="58">
        <f t="shared" si="369"/>
        <v>0</v>
      </c>
      <c r="H379" s="58">
        <f t="shared" si="369"/>
        <v>0</v>
      </c>
      <c r="I379" s="58">
        <f t="shared" si="369"/>
        <v>59</v>
      </c>
      <c r="J379" s="58">
        <f t="shared" si="369"/>
        <v>0</v>
      </c>
      <c r="K379" s="58">
        <f t="shared" si="369"/>
        <v>0</v>
      </c>
      <c r="L379" s="58">
        <f t="shared" si="369"/>
        <v>0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0" customHeight="1">
      <c r="A380" s="70"/>
      <c r="B380" s="71"/>
      <c r="C380" s="66"/>
      <c r="D380" s="66">
        <f t="shared" si="3"/>
        <v>0</v>
      </c>
      <c r="E380" s="67"/>
      <c r="F380" s="58">
        <f t="shared" ref="F380:L380" si="370">SUMIFS($C380,$B380,F$7)+F379</f>
        <v>0</v>
      </c>
      <c r="G380" s="58">
        <f t="shared" si="370"/>
        <v>0</v>
      </c>
      <c r="H380" s="58">
        <f t="shared" si="370"/>
        <v>0</v>
      </c>
      <c r="I380" s="58">
        <f t="shared" si="370"/>
        <v>59</v>
      </c>
      <c r="J380" s="58">
        <f t="shared" si="370"/>
        <v>0</v>
      </c>
      <c r="K380" s="58">
        <f t="shared" si="370"/>
        <v>0</v>
      </c>
      <c r="L380" s="58">
        <f t="shared" si="370"/>
        <v>0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0" customHeight="1">
      <c r="A381" s="70"/>
      <c r="B381" s="71"/>
      <c r="C381" s="66"/>
      <c r="D381" s="66">
        <f t="shared" si="3"/>
        <v>0</v>
      </c>
      <c r="E381" s="67"/>
      <c r="F381" s="58">
        <f t="shared" ref="F381:L381" si="371">SUMIFS($C381,$B381,F$7)+F380</f>
        <v>0</v>
      </c>
      <c r="G381" s="58">
        <f t="shared" si="371"/>
        <v>0</v>
      </c>
      <c r="H381" s="58">
        <f t="shared" si="371"/>
        <v>0</v>
      </c>
      <c r="I381" s="58">
        <f t="shared" si="371"/>
        <v>59</v>
      </c>
      <c r="J381" s="58">
        <f t="shared" si="371"/>
        <v>0</v>
      </c>
      <c r="K381" s="58">
        <f t="shared" si="371"/>
        <v>0</v>
      </c>
      <c r="L381" s="58">
        <f t="shared" si="371"/>
        <v>0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0" customHeight="1">
      <c r="A382" s="70"/>
      <c r="B382" s="71"/>
      <c r="C382" s="66"/>
      <c r="D382" s="66">
        <f t="shared" si="3"/>
        <v>0</v>
      </c>
      <c r="E382" s="67"/>
      <c r="F382" s="58">
        <f t="shared" ref="F382:L382" si="372">SUMIFS($C382,$B382,F$7)+F381</f>
        <v>0</v>
      </c>
      <c r="G382" s="58">
        <f t="shared" si="372"/>
        <v>0</v>
      </c>
      <c r="H382" s="58">
        <f t="shared" si="372"/>
        <v>0</v>
      </c>
      <c r="I382" s="58">
        <f t="shared" si="372"/>
        <v>59</v>
      </c>
      <c r="J382" s="58">
        <f t="shared" si="372"/>
        <v>0</v>
      </c>
      <c r="K382" s="58">
        <f t="shared" si="372"/>
        <v>0</v>
      </c>
      <c r="L382" s="58">
        <f t="shared" si="372"/>
        <v>0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0" customHeight="1">
      <c r="A383" s="70"/>
      <c r="B383" s="71"/>
      <c r="C383" s="66"/>
      <c r="D383" s="66">
        <f t="shared" si="3"/>
        <v>0</v>
      </c>
      <c r="E383" s="67"/>
      <c r="F383" s="58">
        <f t="shared" ref="F383:L383" si="373">SUMIFS($C383,$B383,F$7)+F382</f>
        <v>0</v>
      </c>
      <c r="G383" s="58">
        <f t="shared" si="373"/>
        <v>0</v>
      </c>
      <c r="H383" s="58">
        <f t="shared" si="373"/>
        <v>0</v>
      </c>
      <c r="I383" s="58">
        <f t="shared" si="373"/>
        <v>59</v>
      </c>
      <c r="J383" s="58">
        <f t="shared" si="373"/>
        <v>0</v>
      </c>
      <c r="K383" s="58">
        <f t="shared" si="373"/>
        <v>0</v>
      </c>
      <c r="L383" s="58">
        <f t="shared" si="373"/>
        <v>0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0" customHeight="1">
      <c r="A384" s="70"/>
      <c r="B384" s="71"/>
      <c r="C384" s="66"/>
      <c r="D384" s="66">
        <f t="shared" si="3"/>
        <v>0</v>
      </c>
      <c r="E384" s="67"/>
      <c r="F384" s="58">
        <f t="shared" ref="F384:L384" si="374">SUMIFS($C384,$B384,F$7)+F383</f>
        <v>0</v>
      </c>
      <c r="G384" s="58">
        <f t="shared" si="374"/>
        <v>0</v>
      </c>
      <c r="H384" s="58">
        <f t="shared" si="374"/>
        <v>0</v>
      </c>
      <c r="I384" s="58">
        <f t="shared" si="374"/>
        <v>59</v>
      </c>
      <c r="J384" s="58">
        <f t="shared" si="374"/>
        <v>0</v>
      </c>
      <c r="K384" s="58">
        <f t="shared" si="374"/>
        <v>0</v>
      </c>
      <c r="L384" s="58">
        <f t="shared" si="374"/>
        <v>0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0" customHeight="1">
      <c r="A385" s="70"/>
      <c r="B385" s="71"/>
      <c r="C385" s="66"/>
      <c r="D385" s="66">
        <f t="shared" si="3"/>
        <v>0</v>
      </c>
      <c r="E385" s="67"/>
      <c r="F385" s="58">
        <f t="shared" ref="F385:L385" si="375">SUMIFS($C385,$B385,F$7)+F384</f>
        <v>0</v>
      </c>
      <c r="G385" s="58">
        <f t="shared" si="375"/>
        <v>0</v>
      </c>
      <c r="H385" s="58">
        <f t="shared" si="375"/>
        <v>0</v>
      </c>
      <c r="I385" s="58">
        <f t="shared" si="375"/>
        <v>59</v>
      </c>
      <c r="J385" s="58">
        <f t="shared" si="375"/>
        <v>0</v>
      </c>
      <c r="K385" s="58">
        <f t="shared" si="375"/>
        <v>0</v>
      </c>
      <c r="L385" s="58">
        <f t="shared" si="375"/>
        <v>0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0" customHeight="1">
      <c r="A386" s="70"/>
      <c r="B386" s="71"/>
      <c r="C386" s="66"/>
      <c r="D386" s="66">
        <f t="shared" si="3"/>
        <v>0</v>
      </c>
      <c r="E386" s="67"/>
      <c r="F386" s="58">
        <f t="shared" ref="F386:L386" si="376">SUMIFS($C386,$B386,F$7)+F385</f>
        <v>0</v>
      </c>
      <c r="G386" s="58">
        <f t="shared" si="376"/>
        <v>0</v>
      </c>
      <c r="H386" s="58">
        <f t="shared" si="376"/>
        <v>0</v>
      </c>
      <c r="I386" s="58">
        <f t="shared" si="376"/>
        <v>59</v>
      </c>
      <c r="J386" s="58">
        <f t="shared" si="376"/>
        <v>0</v>
      </c>
      <c r="K386" s="58">
        <f t="shared" si="376"/>
        <v>0</v>
      </c>
      <c r="L386" s="58">
        <f t="shared" si="376"/>
        <v>0</v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0" customHeight="1">
      <c r="A387" s="70"/>
      <c r="B387" s="71"/>
      <c r="C387" s="66"/>
      <c r="D387" s="66">
        <f t="shared" si="3"/>
        <v>0</v>
      </c>
      <c r="E387" s="67"/>
      <c r="F387" s="58">
        <f t="shared" ref="F387:L387" si="377">SUMIFS($C387,$B387,F$7)+F386</f>
        <v>0</v>
      </c>
      <c r="G387" s="58">
        <f t="shared" si="377"/>
        <v>0</v>
      </c>
      <c r="H387" s="58">
        <f t="shared" si="377"/>
        <v>0</v>
      </c>
      <c r="I387" s="58">
        <f t="shared" si="377"/>
        <v>59</v>
      </c>
      <c r="J387" s="58">
        <f t="shared" si="377"/>
        <v>0</v>
      </c>
      <c r="K387" s="58">
        <f t="shared" si="377"/>
        <v>0</v>
      </c>
      <c r="L387" s="58">
        <f t="shared" si="377"/>
        <v>0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0" customHeight="1">
      <c r="A388" s="70"/>
      <c r="B388" s="71"/>
      <c r="C388" s="66"/>
      <c r="D388" s="66">
        <f t="shared" si="3"/>
        <v>0</v>
      </c>
      <c r="E388" s="67"/>
      <c r="F388" s="58">
        <f t="shared" ref="F388:L388" si="378">SUMIFS($C388,$B388,F$7)+F387</f>
        <v>0</v>
      </c>
      <c r="G388" s="58">
        <f t="shared" si="378"/>
        <v>0</v>
      </c>
      <c r="H388" s="58">
        <f t="shared" si="378"/>
        <v>0</v>
      </c>
      <c r="I388" s="58">
        <f t="shared" si="378"/>
        <v>59</v>
      </c>
      <c r="J388" s="58">
        <f t="shared" si="378"/>
        <v>0</v>
      </c>
      <c r="K388" s="58">
        <f t="shared" si="378"/>
        <v>0</v>
      </c>
      <c r="L388" s="58">
        <f t="shared" si="378"/>
        <v>0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0" customHeight="1">
      <c r="A389" s="70"/>
      <c r="B389" s="71"/>
      <c r="C389" s="66"/>
      <c r="D389" s="66">
        <f t="shared" si="3"/>
        <v>0</v>
      </c>
      <c r="E389" s="67"/>
      <c r="F389" s="58">
        <f t="shared" ref="F389:L389" si="379">SUMIFS($C389,$B389,F$7)+F388</f>
        <v>0</v>
      </c>
      <c r="G389" s="58">
        <f t="shared" si="379"/>
        <v>0</v>
      </c>
      <c r="H389" s="58">
        <f t="shared" si="379"/>
        <v>0</v>
      </c>
      <c r="I389" s="58">
        <f t="shared" si="379"/>
        <v>59</v>
      </c>
      <c r="J389" s="58">
        <f t="shared" si="379"/>
        <v>0</v>
      </c>
      <c r="K389" s="58">
        <f t="shared" si="379"/>
        <v>0</v>
      </c>
      <c r="L389" s="58">
        <f t="shared" si="379"/>
        <v>0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0" customHeight="1">
      <c r="A390" s="70"/>
      <c r="B390" s="71"/>
      <c r="C390" s="66"/>
      <c r="D390" s="66">
        <f t="shared" si="3"/>
        <v>0</v>
      </c>
      <c r="E390" s="67"/>
      <c r="F390" s="58">
        <f t="shared" ref="F390:L390" si="380">SUMIFS($C390,$B390,F$7)+F389</f>
        <v>0</v>
      </c>
      <c r="G390" s="58">
        <f t="shared" si="380"/>
        <v>0</v>
      </c>
      <c r="H390" s="58">
        <f t="shared" si="380"/>
        <v>0</v>
      </c>
      <c r="I390" s="58">
        <f t="shared" si="380"/>
        <v>59</v>
      </c>
      <c r="J390" s="58">
        <f t="shared" si="380"/>
        <v>0</v>
      </c>
      <c r="K390" s="58">
        <f t="shared" si="380"/>
        <v>0</v>
      </c>
      <c r="L390" s="58">
        <f t="shared" si="380"/>
        <v>0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0" customHeight="1">
      <c r="A391" s="70"/>
      <c r="B391" s="71"/>
      <c r="C391" s="66"/>
      <c r="D391" s="66">
        <f t="shared" si="3"/>
        <v>0</v>
      </c>
      <c r="E391" s="67"/>
      <c r="F391" s="58">
        <f t="shared" ref="F391:L391" si="381">SUMIFS($C391,$B391,F$7)+F390</f>
        <v>0</v>
      </c>
      <c r="G391" s="58">
        <f t="shared" si="381"/>
        <v>0</v>
      </c>
      <c r="H391" s="58">
        <f t="shared" si="381"/>
        <v>0</v>
      </c>
      <c r="I391" s="58">
        <f t="shared" si="381"/>
        <v>59</v>
      </c>
      <c r="J391" s="58">
        <f t="shared" si="381"/>
        <v>0</v>
      </c>
      <c r="K391" s="58">
        <f t="shared" si="381"/>
        <v>0</v>
      </c>
      <c r="L391" s="58">
        <f t="shared" si="381"/>
        <v>0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0" customHeight="1">
      <c r="A392" s="70"/>
      <c r="B392" s="71"/>
      <c r="C392" s="66"/>
      <c r="D392" s="66">
        <f t="shared" si="3"/>
        <v>0</v>
      </c>
      <c r="E392" s="67"/>
      <c r="F392" s="58">
        <f t="shared" ref="F392:L392" si="382">SUMIFS($C392,$B392,F$7)+F391</f>
        <v>0</v>
      </c>
      <c r="G392" s="58">
        <f t="shared" si="382"/>
        <v>0</v>
      </c>
      <c r="H392" s="58">
        <f t="shared" si="382"/>
        <v>0</v>
      </c>
      <c r="I392" s="58">
        <f t="shared" si="382"/>
        <v>59</v>
      </c>
      <c r="J392" s="58">
        <f t="shared" si="382"/>
        <v>0</v>
      </c>
      <c r="K392" s="58">
        <f t="shared" si="382"/>
        <v>0</v>
      </c>
      <c r="L392" s="58">
        <f t="shared" si="382"/>
        <v>0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0" customHeight="1">
      <c r="A393" s="70"/>
      <c r="B393" s="71"/>
      <c r="C393" s="66"/>
      <c r="D393" s="66">
        <f t="shared" si="3"/>
        <v>0</v>
      </c>
      <c r="E393" s="67"/>
      <c r="F393" s="58">
        <f t="shared" ref="F393:L393" si="383">SUMIFS($C393,$B393,F$7)+F392</f>
        <v>0</v>
      </c>
      <c r="G393" s="58">
        <f t="shared" si="383"/>
        <v>0</v>
      </c>
      <c r="H393" s="58">
        <f t="shared" si="383"/>
        <v>0</v>
      </c>
      <c r="I393" s="58">
        <f t="shared" si="383"/>
        <v>59</v>
      </c>
      <c r="J393" s="58">
        <f t="shared" si="383"/>
        <v>0</v>
      </c>
      <c r="K393" s="58">
        <f t="shared" si="383"/>
        <v>0</v>
      </c>
      <c r="L393" s="58">
        <f t="shared" si="383"/>
        <v>0</v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0" customHeight="1">
      <c r="A394" s="70"/>
      <c r="B394" s="71"/>
      <c r="C394" s="66"/>
      <c r="D394" s="66">
        <f t="shared" si="3"/>
        <v>0</v>
      </c>
      <c r="E394" s="67"/>
      <c r="F394" s="58">
        <f t="shared" ref="F394:L394" si="384">SUMIFS($C394,$B394,F$7)+F393</f>
        <v>0</v>
      </c>
      <c r="G394" s="58">
        <f t="shared" si="384"/>
        <v>0</v>
      </c>
      <c r="H394" s="58">
        <f t="shared" si="384"/>
        <v>0</v>
      </c>
      <c r="I394" s="58">
        <f t="shared" si="384"/>
        <v>59</v>
      </c>
      <c r="J394" s="58">
        <f t="shared" si="384"/>
        <v>0</v>
      </c>
      <c r="K394" s="58">
        <f t="shared" si="384"/>
        <v>0</v>
      </c>
      <c r="L394" s="58">
        <f t="shared" si="384"/>
        <v>0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0" customHeight="1">
      <c r="A395" s="70"/>
      <c r="B395" s="71"/>
      <c r="C395" s="66"/>
      <c r="D395" s="66">
        <f t="shared" si="3"/>
        <v>0</v>
      </c>
      <c r="E395" s="67"/>
      <c r="F395" s="58">
        <f t="shared" ref="F395:L395" si="385">SUMIFS($C395,$B395,F$7)+F394</f>
        <v>0</v>
      </c>
      <c r="G395" s="58">
        <f t="shared" si="385"/>
        <v>0</v>
      </c>
      <c r="H395" s="58">
        <f t="shared" si="385"/>
        <v>0</v>
      </c>
      <c r="I395" s="58">
        <f t="shared" si="385"/>
        <v>59</v>
      </c>
      <c r="J395" s="58">
        <f t="shared" si="385"/>
        <v>0</v>
      </c>
      <c r="K395" s="58">
        <f t="shared" si="385"/>
        <v>0</v>
      </c>
      <c r="L395" s="58">
        <f t="shared" si="385"/>
        <v>0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0" customHeight="1">
      <c r="A396" s="70"/>
      <c r="B396" s="71"/>
      <c r="C396" s="66"/>
      <c r="D396" s="66">
        <f t="shared" si="3"/>
        <v>0</v>
      </c>
      <c r="E396" s="67"/>
      <c r="F396" s="58">
        <f t="shared" ref="F396:L396" si="386">SUMIFS($C396,$B396,F$7)+F395</f>
        <v>0</v>
      </c>
      <c r="G396" s="58">
        <f t="shared" si="386"/>
        <v>0</v>
      </c>
      <c r="H396" s="58">
        <f t="shared" si="386"/>
        <v>0</v>
      </c>
      <c r="I396" s="58">
        <f t="shared" si="386"/>
        <v>59</v>
      </c>
      <c r="J396" s="58">
        <f t="shared" si="386"/>
        <v>0</v>
      </c>
      <c r="K396" s="58">
        <f t="shared" si="386"/>
        <v>0</v>
      </c>
      <c r="L396" s="58">
        <f t="shared" si="386"/>
        <v>0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0" customHeight="1">
      <c r="A397" s="70"/>
      <c r="B397" s="71"/>
      <c r="C397" s="66"/>
      <c r="D397" s="66">
        <f t="shared" si="3"/>
        <v>0</v>
      </c>
      <c r="E397" s="67"/>
      <c r="F397" s="58">
        <f t="shared" ref="F397:L397" si="387">SUMIFS($C397,$B397,F$7)+F396</f>
        <v>0</v>
      </c>
      <c r="G397" s="58">
        <f t="shared" si="387"/>
        <v>0</v>
      </c>
      <c r="H397" s="58">
        <f t="shared" si="387"/>
        <v>0</v>
      </c>
      <c r="I397" s="58">
        <f t="shared" si="387"/>
        <v>59</v>
      </c>
      <c r="J397" s="58">
        <f t="shared" si="387"/>
        <v>0</v>
      </c>
      <c r="K397" s="58">
        <f t="shared" si="387"/>
        <v>0</v>
      </c>
      <c r="L397" s="58">
        <f t="shared" si="387"/>
        <v>0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0" customHeight="1">
      <c r="A398" s="70"/>
      <c r="B398" s="71"/>
      <c r="C398" s="66"/>
      <c r="D398" s="66">
        <f t="shared" si="3"/>
        <v>0</v>
      </c>
      <c r="E398" s="67"/>
      <c r="F398" s="58">
        <f t="shared" ref="F398:L398" si="388">SUMIFS($C398,$B398,F$7)+F397</f>
        <v>0</v>
      </c>
      <c r="G398" s="58">
        <f t="shared" si="388"/>
        <v>0</v>
      </c>
      <c r="H398" s="58">
        <f t="shared" si="388"/>
        <v>0</v>
      </c>
      <c r="I398" s="58">
        <f t="shared" si="388"/>
        <v>59</v>
      </c>
      <c r="J398" s="58">
        <f t="shared" si="388"/>
        <v>0</v>
      </c>
      <c r="K398" s="58">
        <f t="shared" si="388"/>
        <v>0</v>
      </c>
      <c r="L398" s="58">
        <f t="shared" si="388"/>
        <v>0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0" customHeight="1">
      <c r="A399" s="70"/>
      <c r="B399" s="71"/>
      <c r="C399" s="66"/>
      <c r="D399" s="66">
        <f t="shared" si="3"/>
        <v>0</v>
      </c>
      <c r="E399" s="67"/>
      <c r="F399" s="58">
        <f t="shared" ref="F399:L399" si="389">SUMIFS($C399,$B399,F$7)+F398</f>
        <v>0</v>
      </c>
      <c r="G399" s="58">
        <f t="shared" si="389"/>
        <v>0</v>
      </c>
      <c r="H399" s="58">
        <f t="shared" si="389"/>
        <v>0</v>
      </c>
      <c r="I399" s="58">
        <f t="shared" si="389"/>
        <v>59</v>
      </c>
      <c r="J399" s="58">
        <f t="shared" si="389"/>
        <v>0</v>
      </c>
      <c r="K399" s="58">
        <f t="shared" si="389"/>
        <v>0</v>
      </c>
      <c r="L399" s="58">
        <f t="shared" si="389"/>
        <v>0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0" customHeight="1">
      <c r="A400" s="70"/>
      <c r="B400" s="71"/>
      <c r="C400" s="66"/>
      <c r="D400" s="66">
        <f t="shared" si="3"/>
        <v>0</v>
      </c>
      <c r="E400" s="67"/>
      <c r="F400" s="58">
        <f t="shared" ref="F400:L400" si="390">SUMIFS($C400,$B400,F$7)+F399</f>
        <v>0</v>
      </c>
      <c r="G400" s="58">
        <f t="shared" si="390"/>
        <v>0</v>
      </c>
      <c r="H400" s="58">
        <f t="shared" si="390"/>
        <v>0</v>
      </c>
      <c r="I400" s="58">
        <f t="shared" si="390"/>
        <v>59</v>
      </c>
      <c r="J400" s="58">
        <f t="shared" si="390"/>
        <v>0</v>
      </c>
      <c r="K400" s="58">
        <f t="shared" si="390"/>
        <v>0</v>
      </c>
      <c r="L400" s="58">
        <f t="shared" si="390"/>
        <v>0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0" customHeight="1">
      <c r="A401" s="70"/>
      <c r="B401" s="71"/>
      <c r="C401" s="66"/>
      <c r="D401" s="66">
        <f t="shared" si="3"/>
        <v>0</v>
      </c>
      <c r="E401" s="67"/>
      <c r="F401" s="58">
        <f t="shared" ref="F401:L401" si="391">SUMIFS($C401,$B401,F$7)+F400</f>
        <v>0</v>
      </c>
      <c r="G401" s="58">
        <f t="shared" si="391"/>
        <v>0</v>
      </c>
      <c r="H401" s="58">
        <f t="shared" si="391"/>
        <v>0</v>
      </c>
      <c r="I401" s="58">
        <f t="shared" si="391"/>
        <v>59</v>
      </c>
      <c r="J401" s="58">
        <f t="shared" si="391"/>
        <v>0</v>
      </c>
      <c r="K401" s="58">
        <f t="shared" si="391"/>
        <v>0</v>
      </c>
      <c r="L401" s="58">
        <f t="shared" si="391"/>
        <v>0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0" customHeight="1">
      <c r="A402" s="70"/>
      <c r="B402" s="71"/>
      <c r="C402" s="66"/>
      <c r="D402" s="66">
        <f t="shared" si="3"/>
        <v>0</v>
      </c>
      <c r="E402" s="67"/>
      <c r="F402" s="58">
        <f t="shared" ref="F402:L402" si="392">SUMIFS($C402,$B402,F$7)+F401</f>
        <v>0</v>
      </c>
      <c r="G402" s="58">
        <f t="shared" si="392"/>
        <v>0</v>
      </c>
      <c r="H402" s="58">
        <f t="shared" si="392"/>
        <v>0</v>
      </c>
      <c r="I402" s="58">
        <f t="shared" si="392"/>
        <v>59</v>
      </c>
      <c r="J402" s="58">
        <f t="shared" si="392"/>
        <v>0</v>
      </c>
      <c r="K402" s="58">
        <f t="shared" si="392"/>
        <v>0</v>
      </c>
      <c r="L402" s="58">
        <f t="shared" si="392"/>
        <v>0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0" customHeight="1">
      <c r="A403" s="70"/>
      <c r="B403" s="71"/>
      <c r="C403" s="66"/>
      <c r="D403" s="66">
        <f t="shared" si="3"/>
        <v>0</v>
      </c>
      <c r="E403" s="67"/>
      <c r="F403" s="58">
        <f t="shared" ref="F403:L403" si="393">SUMIFS($C403,$B403,F$7)+F402</f>
        <v>0</v>
      </c>
      <c r="G403" s="58">
        <f t="shared" si="393"/>
        <v>0</v>
      </c>
      <c r="H403" s="58">
        <f t="shared" si="393"/>
        <v>0</v>
      </c>
      <c r="I403" s="58">
        <f t="shared" si="393"/>
        <v>59</v>
      </c>
      <c r="J403" s="58">
        <f t="shared" si="393"/>
        <v>0</v>
      </c>
      <c r="K403" s="58">
        <f t="shared" si="393"/>
        <v>0</v>
      </c>
      <c r="L403" s="58">
        <f t="shared" si="393"/>
        <v>0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0" customHeight="1">
      <c r="A404" s="70"/>
      <c r="B404" s="71"/>
      <c r="C404" s="66"/>
      <c r="D404" s="66">
        <f t="shared" si="3"/>
        <v>0</v>
      </c>
      <c r="E404" s="67"/>
      <c r="F404" s="58">
        <f t="shared" ref="F404:L404" si="394">SUMIFS($C404,$B404,F$7)+F403</f>
        <v>0</v>
      </c>
      <c r="G404" s="58">
        <f t="shared" si="394"/>
        <v>0</v>
      </c>
      <c r="H404" s="58">
        <f t="shared" si="394"/>
        <v>0</v>
      </c>
      <c r="I404" s="58">
        <f t="shared" si="394"/>
        <v>59</v>
      </c>
      <c r="J404" s="58">
        <f t="shared" si="394"/>
        <v>0</v>
      </c>
      <c r="K404" s="58">
        <f t="shared" si="394"/>
        <v>0</v>
      </c>
      <c r="L404" s="58">
        <f t="shared" si="394"/>
        <v>0</v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0" customHeight="1">
      <c r="A405" s="70"/>
      <c r="B405" s="71"/>
      <c r="C405" s="66"/>
      <c r="D405" s="66">
        <f t="shared" si="3"/>
        <v>0</v>
      </c>
      <c r="E405" s="67"/>
      <c r="F405" s="58">
        <f t="shared" ref="F405:L405" si="395">SUMIFS($C405,$B405,F$7)+F404</f>
        <v>0</v>
      </c>
      <c r="G405" s="58">
        <f t="shared" si="395"/>
        <v>0</v>
      </c>
      <c r="H405" s="58">
        <f t="shared" si="395"/>
        <v>0</v>
      </c>
      <c r="I405" s="58">
        <f t="shared" si="395"/>
        <v>59</v>
      </c>
      <c r="J405" s="58">
        <f t="shared" si="395"/>
        <v>0</v>
      </c>
      <c r="K405" s="58">
        <f t="shared" si="395"/>
        <v>0</v>
      </c>
      <c r="L405" s="58">
        <f t="shared" si="395"/>
        <v>0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0" customHeight="1">
      <c r="A406" s="70"/>
      <c r="B406" s="71"/>
      <c r="C406" s="66"/>
      <c r="D406" s="66">
        <f t="shared" si="3"/>
        <v>0</v>
      </c>
      <c r="E406" s="67"/>
      <c r="F406" s="58">
        <f t="shared" ref="F406:L406" si="396">SUMIFS($C406,$B406,F$7)+F405</f>
        <v>0</v>
      </c>
      <c r="G406" s="58">
        <f t="shared" si="396"/>
        <v>0</v>
      </c>
      <c r="H406" s="58">
        <f t="shared" si="396"/>
        <v>0</v>
      </c>
      <c r="I406" s="58">
        <f t="shared" si="396"/>
        <v>59</v>
      </c>
      <c r="J406" s="58">
        <f t="shared" si="396"/>
        <v>0</v>
      </c>
      <c r="K406" s="58">
        <f t="shared" si="396"/>
        <v>0</v>
      </c>
      <c r="L406" s="58">
        <f t="shared" si="396"/>
        <v>0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0" customHeight="1">
      <c r="A407" s="70"/>
      <c r="B407" s="71"/>
      <c r="C407" s="66"/>
      <c r="D407" s="66">
        <f t="shared" si="3"/>
        <v>0</v>
      </c>
      <c r="E407" s="67"/>
      <c r="F407" s="58">
        <f t="shared" ref="F407:L407" si="397">SUMIFS($C407,$B407,F$7)+F406</f>
        <v>0</v>
      </c>
      <c r="G407" s="58">
        <f t="shared" si="397"/>
        <v>0</v>
      </c>
      <c r="H407" s="58">
        <f t="shared" si="397"/>
        <v>0</v>
      </c>
      <c r="I407" s="58">
        <f t="shared" si="397"/>
        <v>59</v>
      </c>
      <c r="J407" s="58">
        <f t="shared" si="397"/>
        <v>0</v>
      </c>
      <c r="K407" s="58">
        <f t="shared" si="397"/>
        <v>0</v>
      </c>
      <c r="L407" s="58">
        <f t="shared" si="397"/>
        <v>0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0" customHeight="1">
      <c r="A408" s="70"/>
      <c r="B408" s="71"/>
      <c r="C408" s="66"/>
      <c r="D408" s="66">
        <f t="shared" si="3"/>
        <v>0</v>
      </c>
      <c r="E408" s="67"/>
      <c r="F408" s="58">
        <f t="shared" ref="F408:L408" si="398">SUMIFS($C408,$B408,F$7)+F407</f>
        <v>0</v>
      </c>
      <c r="G408" s="58">
        <f t="shared" si="398"/>
        <v>0</v>
      </c>
      <c r="H408" s="58">
        <f t="shared" si="398"/>
        <v>0</v>
      </c>
      <c r="I408" s="58">
        <f t="shared" si="398"/>
        <v>59</v>
      </c>
      <c r="J408" s="58">
        <f t="shared" si="398"/>
        <v>0</v>
      </c>
      <c r="K408" s="58">
        <f t="shared" si="398"/>
        <v>0</v>
      </c>
      <c r="L408" s="58">
        <f t="shared" si="398"/>
        <v>0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0" customHeight="1">
      <c r="A409" s="70"/>
      <c r="B409" s="71"/>
      <c r="C409" s="66"/>
      <c r="D409" s="66">
        <f t="shared" si="3"/>
        <v>0</v>
      </c>
      <c r="E409" s="67"/>
      <c r="F409" s="58">
        <f t="shared" ref="F409:L409" si="399">SUMIFS($C409,$B409,F$7)+F408</f>
        <v>0</v>
      </c>
      <c r="G409" s="58">
        <f t="shared" si="399"/>
        <v>0</v>
      </c>
      <c r="H409" s="58">
        <f t="shared" si="399"/>
        <v>0</v>
      </c>
      <c r="I409" s="58">
        <f t="shared" si="399"/>
        <v>59</v>
      </c>
      <c r="J409" s="58">
        <f t="shared" si="399"/>
        <v>0</v>
      </c>
      <c r="K409" s="58">
        <f t="shared" si="399"/>
        <v>0</v>
      </c>
      <c r="L409" s="58">
        <f t="shared" si="399"/>
        <v>0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0" customHeight="1">
      <c r="A410" s="70"/>
      <c r="B410" s="71"/>
      <c r="C410" s="66"/>
      <c r="D410" s="66">
        <f t="shared" si="3"/>
        <v>0</v>
      </c>
      <c r="E410" s="67"/>
      <c r="F410" s="58">
        <f t="shared" ref="F410:L410" si="400">SUMIFS($C410,$B410,F$7)+F409</f>
        <v>0</v>
      </c>
      <c r="G410" s="58">
        <f t="shared" si="400"/>
        <v>0</v>
      </c>
      <c r="H410" s="58">
        <f t="shared" si="400"/>
        <v>0</v>
      </c>
      <c r="I410" s="58">
        <f t="shared" si="400"/>
        <v>59</v>
      </c>
      <c r="J410" s="58">
        <f t="shared" si="400"/>
        <v>0</v>
      </c>
      <c r="K410" s="58">
        <f t="shared" si="400"/>
        <v>0</v>
      </c>
      <c r="L410" s="58">
        <f t="shared" si="400"/>
        <v>0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0" customHeight="1">
      <c r="A411" s="70"/>
      <c r="B411" s="71"/>
      <c r="C411" s="66"/>
      <c r="D411" s="66">
        <f t="shared" si="3"/>
        <v>0</v>
      </c>
      <c r="E411" s="67"/>
      <c r="F411" s="58">
        <f t="shared" ref="F411:L411" si="401">SUMIFS($C411,$B411,F$7)+F410</f>
        <v>0</v>
      </c>
      <c r="G411" s="58">
        <f t="shared" si="401"/>
        <v>0</v>
      </c>
      <c r="H411" s="58">
        <f t="shared" si="401"/>
        <v>0</v>
      </c>
      <c r="I411" s="58">
        <f t="shared" si="401"/>
        <v>59</v>
      </c>
      <c r="J411" s="58">
        <f t="shared" si="401"/>
        <v>0</v>
      </c>
      <c r="K411" s="58">
        <f t="shared" si="401"/>
        <v>0</v>
      </c>
      <c r="L411" s="58">
        <f t="shared" si="401"/>
        <v>0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0" customHeight="1">
      <c r="A412" s="70"/>
      <c r="B412" s="71"/>
      <c r="C412" s="66"/>
      <c r="D412" s="66">
        <f t="shared" si="3"/>
        <v>0</v>
      </c>
      <c r="E412" s="67"/>
      <c r="F412" s="58">
        <f t="shared" ref="F412:L412" si="402">SUMIFS($C412,$B412,F$7)+F411</f>
        <v>0</v>
      </c>
      <c r="G412" s="58">
        <f t="shared" si="402"/>
        <v>0</v>
      </c>
      <c r="H412" s="58">
        <f t="shared" si="402"/>
        <v>0</v>
      </c>
      <c r="I412" s="58">
        <f t="shared" si="402"/>
        <v>59</v>
      </c>
      <c r="J412" s="58">
        <f t="shared" si="402"/>
        <v>0</v>
      </c>
      <c r="K412" s="58">
        <f t="shared" si="402"/>
        <v>0</v>
      </c>
      <c r="L412" s="58">
        <f t="shared" si="402"/>
        <v>0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0" customHeight="1">
      <c r="A413" s="70"/>
      <c r="B413" s="71"/>
      <c r="C413" s="66"/>
      <c r="D413" s="66">
        <f t="shared" si="3"/>
        <v>0</v>
      </c>
      <c r="E413" s="67"/>
      <c r="F413" s="58">
        <f t="shared" ref="F413:L413" si="403">SUMIFS($C413,$B413,F$7)+F412</f>
        <v>0</v>
      </c>
      <c r="G413" s="58">
        <f t="shared" si="403"/>
        <v>0</v>
      </c>
      <c r="H413" s="58">
        <f t="shared" si="403"/>
        <v>0</v>
      </c>
      <c r="I413" s="58">
        <f t="shared" si="403"/>
        <v>59</v>
      </c>
      <c r="J413" s="58">
        <f t="shared" si="403"/>
        <v>0</v>
      </c>
      <c r="K413" s="58">
        <f t="shared" si="403"/>
        <v>0</v>
      </c>
      <c r="L413" s="58">
        <f t="shared" si="403"/>
        <v>0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0" customHeight="1">
      <c r="A414" s="70"/>
      <c r="B414" s="71"/>
      <c r="C414" s="66"/>
      <c r="D414" s="66">
        <f t="shared" si="3"/>
        <v>0</v>
      </c>
      <c r="E414" s="67"/>
      <c r="F414" s="58">
        <f t="shared" ref="F414:L414" si="404">SUMIFS($C414,$B414,F$7)+F413</f>
        <v>0</v>
      </c>
      <c r="G414" s="58">
        <f t="shared" si="404"/>
        <v>0</v>
      </c>
      <c r="H414" s="58">
        <f t="shared" si="404"/>
        <v>0</v>
      </c>
      <c r="I414" s="58">
        <f t="shared" si="404"/>
        <v>59</v>
      </c>
      <c r="J414" s="58">
        <f t="shared" si="404"/>
        <v>0</v>
      </c>
      <c r="K414" s="58">
        <f t="shared" si="404"/>
        <v>0</v>
      </c>
      <c r="L414" s="58">
        <f t="shared" si="404"/>
        <v>0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0" customHeight="1">
      <c r="A415" s="70"/>
      <c r="B415" s="71"/>
      <c r="C415" s="66"/>
      <c r="D415" s="66">
        <f t="shared" si="3"/>
        <v>0</v>
      </c>
      <c r="E415" s="67"/>
      <c r="F415" s="58">
        <f t="shared" ref="F415:L415" si="405">SUMIFS($C415,$B415,F$7)+F414</f>
        <v>0</v>
      </c>
      <c r="G415" s="58">
        <f t="shared" si="405"/>
        <v>0</v>
      </c>
      <c r="H415" s="58">
        <f t="shared" si="405"/>
        <v>0</v>
      </c>
      <c r="I415" s="58">
        <f t="shared" si="405"/>
        <v>59</v>
      </c>
      <c r="J415" s="58">
        <f t="shared" si="405"/>
        <v>0</v>
      </c>
      <c r="K415" s="58">
        <f t="shared" si="405"/>
        <v>0</v>
      </c>
      <c r="L415" s="58">
        <f t="shared" si="405"/>
        <v>0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0" customHeight="1">
      <c r="A416" s="70"/>
      <c r="B416" s="71"/>
      <c r="C416" s="66"/>
      <c r="D416" s="66">
        <f t="shared" si="3"/>
        <v>0</v>
      </c>
      <c r="E416" s="67"/>
      <c r="F416" s="58">
        <f t="shared" ref="F416:L416" si="406">SUMIFS($C416,$B416,F$7)+F415</f>
        <v>0</v>
      </c>
      <c r="G416" s="58">
        <f t="shared" si="406"/>
        <v>0</v>
      </c>
      <c r="H416" s="58">
        <f t="shared" si="406"/>
        <v>0</v>
      </c>
      <c r="I416" s="58">
        <f t="shared" si="406"/>
        <v>59</v>
      </c>
      <c r="J416" s="58">
        <f t="shared" si="406"/>
        <v>0</v>
      </c>
      <c r="K416" s="58">
        <f t="shared" si="406"/>
        <v>0</v>
      </c>
      <c r="L416" s="58">
        <f t="shared" si="406"/>
        <v>0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0" customHeight="1">
      <c r="A417" s="70"/>
      <c r="B417" s="71"/>
      <c r="C417" s="66"/>
      <c r="D417" s="66">
        <f t="shared" si="3"/>
        <v>0</v>
      </c>
      <c r="E417" s="67"/>
      <c r="F417" s="58">
        <f t="shared" ref="F417:L417" si="407">SUMIFS($C417,$B417,F$7)+F416</f>
        <v>0</v>
      </c>
      <c r="G417" s="58">
        <f t="shared" si="407"/>
        <v>0</v>
      </c>
      <c r="H417" s="58">
        <f t="shared" si="407"/>
        <v>0</v>
      </c>
      <c r="I417" s="58">
        <f t="shared" si="407"/>
        <v>59</v>
      </c>
      <c r="J417" s="58">
        <f t="shared" si="407"/>
        <v>0</v>
      </c>
      <c r="K417" s="58">
        <f t="shared" si="407"/>
        <v>0</v>
      </c>
      <c r="L417" s="58">
        <f t="shared" si="407"/>
        <v>0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0" customHeight="1">
      <c r="A418" s="70"/>
      <c r="B418" s="71"/>
      <c r="C418" s="66"/>
      <c r="D418" s="66">
        <f t="shared" si="3"/>
        <v>0</v>
      </c>
      <c r="E418" s="67"/>
      <c r="F418" s="58">
        <f t="shared" ref="F418:L418" si="408">SUMIFS($C418,$B418,F$7)+F417</f>
        <v>0</v>
      </c>
      <c r="G418" s="58">
        <f t="shared" si="408"/>
        <v>0</v>
      </c>
      <c r="H418" s="58">
        <f t="shared" si="408"/>
        <v>0</v>
      </c>
      <c r="I418" s="58">
        <f t="shared" si="408"/>
        <v>59</v>
      </c>
      <c r="J418" s="58">
        <f t="shared" si="408"/>
        <v>0</v>
      </c>
      <c r="K418" s="58">
        <f t="shared" si="408"/>
        <v>0</v>
      </c>
      <c r="L418" s="58">
        <f t="shared" si="408"/>
        <v>0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0" customHeight="1">
      <c r="A419" s="70"/>
      <c r="B419" s="71"/>
      <c r="C419" s="66"/>
      <c r="D419" s="66">
        <f t="shared" si="3"/>
        <v>0</v>
      </c>
      <c r="E419" s="67"/>
      <c r="F419" s="58">
        <f t="shared" ref="F419:L419" si="409">SUMIFS($C419,$B419,F$7)+F418</f>
        <v>0</v>
      </c>
      <c r="G419" s="58">
        <f t="shared" si="409"/>
        <v>0</v>
      </c>
      <c r="H419" s="58">
        <f t="shared" si="409"/>
        <v>0</v>
      </c>
      <c r="I419" s="58">
        <f t="shared" si="409"/>
        <v>59</v>
      </c>
      <c r="J419" s="58">
        <f t="shared" si="409"/>
        <v>0</v>
      </c>
      <c r="K419" s="58">
        <f t="shared" si="409"/>
        <v>0</v>
      </c>
      <c r="L419" s="58">
        <f t="shared" si="409"/>
        <v>0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0" customHeight="1">
      <c r="A420" s="70"/>
      <c r="B420" s="71"/>
      <c r="C420" s="66"/>
      <c r="D420" s="66">
        <f t="shared" si="3"/>
        <v>0</v>
      </c>
      <c r="E420" s="67"/>
      <c r="F420" s="58">
        <f t="shared" ref="F420:L420" si="410">SUMIFS($C420,$B420,F$7)+F419</f>
        <v>0</v>
      </c>
      <c r="G420" s="58">
        <f t="shared" si="410"/>
        <v>0</v>
      </c>
      <c r="H420" s="58">
        <f t="shared" si="410"/>
        <v>0</v>
      </c>
      <c r="I420" s="58">
        <f t="shared" si="410"/>
        <v>59</v>
      </c>
      <c r="J420" s="58">
        <f t="shared" si="410"/>
        <v>0</v>
      </c>
      <c r="K420" s="58">
        <f t="shared" si="410"/>
        <v>0</v>
      </c>
      <c r="L420" s="58">
        <f t="shared" si="410"/>
        <v>0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0" customHeight="1">
      <c r="A421" s="70"/>
      <c r="B421" s="71"/>
      <c r="C421" s="66"/>
      <c r="D421" s="66">
        <f t="shared" si="3"/>
        <v>0</v>
      </c>
      <c r="E421" s="67"/>
      <c r="F421" s="58">
        <f t="shared" ref="F421:L421" si="411">SUMIFS($C421,$B421,F$7)+F420</f>
        <v>0</v>
      </c>
      <c r="G421" s="58">
        <f t="shared" si="411"/>
        <v>0</v>
      </c>
      <c r="H421" s="58">
        <f t="shared" si="411"/>
        <v>0</v>
      </c>
      <c r="I421" s="58">
        <f t="shared" si="411"/>
        <v>59</v>
      </c>
      <c r="J421" s="58">
        <f t="shared" si="411"/>
        <v>0</v>
      </c>
      <c r="K421" s="58">
        <f t="shared" si="411"/>
        <v>0</v>
      </c>
      <c r="L421" s="58">
        <f t="shared" si="411"/>
        <v>0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0" customHeight="1">
      <c r="A422" s="70"/>
      <c r="B422" s="71"/>
      <c r="C422" s="66"/>
      <c r="D422" s="66">
        <f t="shared" si="3"/>
        <v>0</v>
      </c>
      <c r="E422" s="67"/>
      <c r="F422" s="58">
        <f t="shared" ref="F422:L422" si="412">SUMIFS($C422,$B422,F$7)+F421</f>
        <v>0</v>
      </c>
      <c r="G422" s="58">
        <f t="shared" si="412"/>
        <v>0</v>
      </c>
      <c r="H422" s="58">
        <f t="shared" si="412"/>
        <v>0</v>
      </c>
      <c r="I422" s="58">
        <f t="shared" si="412"/>
        <v>59</v>
      </c>
      <c r="J422" s="58">
        <f t="shared" si="412"/>
        <v>0</v>
      </c>
      <c r="K422" s="58">
        <f t="shared" si="412"/>
        <v>0</v>
      </c>
      <c r="L422" s="58">
        <f t="shared" si="412"/>
        <v>0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0" customHeight="1">
      <c r="A423" s="70"/>
      <c r="B423" s="71"/>
      <c r="C423" s="66"/>
      <c r="D423" s="66">
        <f t="shared" si="3"/>
        <v>0</v>
      </c>
      <c r="E423" s="67"/>
      <c r="F423" s="58">
        <f t="shared" ref="F423:L423" si="413">SUMIFS($C423,$B423,F$7)+F422</f>
        <v>0</v>
      </c>
      <c r="G423" s="58">
        <f t="shared" si="413"/>
        <v>0</v>
      </c>
      <c r="H423" s="58">
        <f t="shared" si="413"/>
        <v>0</v>
      </c>
      <c r="I423" s="58">
        <f t="shared" si="413"/>
        <v>59</v>
      </c>
      <c r="J423" s="58">
        <f t="shared" si="413"/>
        <v>0</v>
      </c>
      <c r="K423" s="58">
        <f t="shared" si="413"/>
        <v>0</v>
      </c>
      <c r="L423" s="58">
        <f t="shared" si="413"/>
        <v>0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0" customHeight="1">
      <c r="A424" s="70"/>
      <c r="B424" s="71"/>
      <c r="C424" s="66"/>
      <c r="D424" s="66">
        <f t="shared" si="3"/>
        <v>0</v>
      </c>
      <c r="E424" s="67"/>
      <c r="F424" s="58">
        <f t="shared" ref="F424:L424" si="414">SUMIFS($C424,$B424,F$7)+F423</f>
        <v>0</v>
      </c>
      <c r="G424" s="58">
        <f t="shared" si="414"/>
        <v>0</v>
      </c>
      <c r="H424" s="58">
        <f t="shared" si="414"/>
        <v>0</v>
      </c>
      <c r="I424" s="58">
        <f t="shared" si="414"/>
        <v>59</v>
      </c>
      <c r="J424" s="58">
        <f t="shared" si="414"/>
        <v>0</v>
      </c>
      <c r="K424" s="58">
        <f t="shared" si="414"/>
        <v>0</v>
      </c>
      <c r="L424" s="58">
        <f t="shared" si="414"/>
        <v>0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0" customHeight="1">
      <c r="A425" s="70"/>
      <c r="B425" s="71"/>
      <c r="C425" s="66"/>
      <c r="D425" s="66">
        <f t="shared" si="3"/>
        <v>0</v>
      </c>
      <c r="E425" s="67"/>
      <c r="F425" s="58">
        <f t="shared" ref="F425:L425" si="415">SUMIFS($C425,$B425,F$7)+F424</f>
        <v>0</v>
      </c>
      <c r="G425" s="58">
        <f t="shared" si="415"/>
        <v>0</v>
      </c>
      <c r="H425" s="58">
        <f t="shared" si="415"/>
        <v>0</v>
      </c>
      <c r="I425" s="58">
        <f t="shared" si="415"/>
        <v>59</v>
      </c>
      <c r="J425" s="58">
        <f t="shared" si="415"/>
        <v>0</v>
      </c>
      <c r="K425" s="58">
        <f t="shared" si="415"/>
        <v>0</v>
      </c>
      <c r="L425" s="58">
        <f t="shared" si="415"/>
        <v>0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0" customHeight="1">
      <c r="A426" s="70"/>
      <c r="B426" s="71"/>
      <c r="C426" s="66"/>
      <c r="D426" s="66">
        <f t="shared" si="3"/>
        <v>0</v>
      </c>
      <c r="E426" s="67"/>
      <c r="F426" s="58">
        <f t="shared" ref="F426:L426" si="416">SUMIFS($C426,$B426,F$7)+F425</f>
        <v>0</v>
      </c>
      <c r="G426" s="58">
        <f t="shared" si="416"/>
        <v>0</v>
      </c>
      <c r="H426" s="58">
        <f t="shared" si="416"/>
        <v>0</v>
      </c>
      <c r="I426" s="58">
        <f t="shared" si="416"/>
        <v>59</v>
      </c>
      <c r="J426" s="58">
        <f t="shared" si="416"/>
        <v>0</v>
      </c>
      <c r="K426" s="58">
        <f t="shared" si="416"/>
        <v>0</v>
      </c>
      <c r="L426" s="58">
        <f t="shared" si="416"/>
        <v>0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0" customHeight="1">
      <c r="A427" s="70"/>
      <c r="B427" s="71"/>
      <c r="C427" s="66"/>
      <c r="D427" s="66">
        <f t="shared" si="3"/>
        <v>0</v>
      </c>
      <c r="E427" s="67"/>
      <c r="F427" s="58">
        <f t="shared" ref="F427:L427" si="417">SUMIFS($C427,$B427,F$7)+F426</f>
        <v>0</v>
      </c>
      <c r="G427" s="58">
        <f t="shared" si="417"/>
        <v>0</v>
      </c>
      <c r="H427" s="58">
        <f t="shared" si="417"/>
        <v>0</v>
      </c>
      <c r="I427" s="58">
        <f t="shared" si="417"/>
        <v>59</v>
      </c>
      <c r="J427" s="58">
        <f t="shared" si="417"/>
        <v>0</v>
      </c>
      <c r="K427" s="58">
        <f t="shared" si="417"/>
        <v>0</v>
      </c>
      <c r="L427" s="58">
        <f t="shared" si="417"/>
        <v>0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0" customHeight="1">
      <c r="A428" s="70"/>
      <c r="B428" s="71"/>
      <c r="C428" s="66"/>
      <c r="D428" s="66">
        <f t="shared" si="3"/>
        <v>0</v>
      </c>
      <c r="E428" s="67"/>
      <c r="F428" s="58">
        <f t="shared" ref="F428:L428" si="418">SUMIFS($C428,$B428,F$7)+F427</f>
        <v>0</v>
      </c>
      <c r="G428" s="58">
        <f t="shared" si="418"/>
        <v>0</v>
      </c>
      <c r="H428" s="58">
        <f t="shared" si="418"/>
        <v>0</v>
      </c>
      <c r="I428" s="58">
        <f t="shared" si="418"/>
        <v>59</v>
      </c>
      <c r="J428" s="58">
        <f t="shared" si="418"/>
        <v>0</v>
      </c>
      <c r="K428" s="58">
        <f t="shared" si="418"/>
        <v>0</v>
      </c>
      <c r="L428" s="58">
        <f t="shared" si="418"/>
        <v>0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0" customHeight="1">
      <c r="A429" s="70"/>
      <c r="B429" s="71"/>
      <c r="C429" s="66"/>
      <c r="D429" s="66">
        <f t="shared" si="3"/>
        <v>0</v>
      </c>
      <c r="E429" s="67"/>
      <c r="F429" s="58">
        <f t="shared" ref="F429:L429" si="419">SUMIFS($C429,$B429,F$7)+F428</f>
        <v>0</v>
      </c>
      <c r="G429" s="58">
        <f t="shared" si="419"/>
        <v>0</v>
      </c>
      <c r="H429" s="58">
        <f t="shared" si="419"/>
        <v>0</v>
      </c>
      <c r="I429" s="58">
        <f t="shared" si="419"/>
        <v>59</v>
      </c>
      <c r="J429" s="58">
        <f t="shared" si="419"/>
        <v>0</v>
      </c>
      <c r="K429" s="58">
        <f t="shared" si="419"/>
        <v>0</v>
      </c>
      <c r="L429" s="58">
        <f t="shared" si="419"/>
        <v>0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0" customHeight="1">
      <c r="A430" s="70"/>
      <c r="B430" s="71"/>
      <c r="C430" s="66"/>
      <c r="D430" s="66">
        <f t="shared" si="3"/>
        <v>0</v>
      </c>
      <c r="E430" s="67"/>
      <c r="F430" s="58">
        <f t="shared" ref="F430:L430" si="420">SUMIFS($C430,$B430,F$7)+F429</f>
        <v>0</v>
      </c>
      <c r="G430" s="58">
        <f t="shared" si="420"/>
        <v>0</v>
      </c>
      <c r="H430" s="58">
        <f t="shared" si="420"/>
        <v>0</v>
      </c>
      <c r="I430" s="58">
        <f t="shared" si="420"/>
        <v>59</v>
      </c>
      <c r="J430" s="58">
        <f t="shared" si="420"/>
        <v>0</v>
      </c>
      <c r="K430" s="58">
        <f t="shared" si="420"/>
        <v>0</v>
      </c>
      <c r="L430" s="58">
        <f t="shared" si="420"/>
        <v>0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0" customHeight="1">
      <c r="A431" s="70"/>
      <c r="B431" s="71"/>
      <c r="C431" s="66"/>
      <c r="D431" s="66">
        <f t="shared" si="3"/>
        <v>0</v>
      </c>
      <c r="E431" s="67"/>
      <c r="F431" s="58">
        <f t="shared" ref="F431:L431" si="421">SUMIFS($C431,$B431,F$7)+F430</f>
        <v>0</v>
      </c>
      <c r="G431" s="58">
        <f t="shared" si="421"/>
        <v>0</v>
      </c>
      <c r="H431" s="58">
        <f t="shared" si="421"/>
        <v>0</v>
      </c>
      <c r="I431" s="58">
        <f t="shared" si="421"/>
        <v>59</v>
      </c>
      <c r="J431" s="58">
        <f t="shared" si="421"/>
        <v>0</v>
      </c>
      <c r="K431" s="58">
        <f t="shared" si="421"/>
        <v>0</v>
      </c>
      <c r="L431" s="58">
        <f t="shared" si="421"/>
        <v>0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0" customHeight="1">
      <c r="A432" s="70"/>
      <c r="B432" s="71"/>
      <c r="C432" s="66"/>
      <c r="D432" s="66">
        <f t="shared" si="3"/>
        <v>0</v>
      </c>
      <c r="E432" s="67"/>
      <c r="F432" s="58">
        <f t="shared" ref="F432:L432" si="422">SUMIFS($C432,$B432,F$7)+F431</f>
        <v>0</v>
      </c>
      <c r="G432" s="58">
        <f t="shared" si="422"/>
        <v>0</v>
      </c>
      <c r="H432" s="58">
        <f t="shared" si="422"/>
        <v>0</v>
      </c>
      <c r="I432" s="58">
        <f t="shared" si="422"/>
        <v>59</v>
      </c>
      <c r="J432" s="58">
        <f t="shared" si="422"/>
        <v>0</v>
      </c>
      <c r="K432" s="58">
        <f t="shared" si="422"/>
        <v>0</v>
      </c>
      <c r="L432" s="58">
        <f t="shared" si="422"/>
        <v>0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0" customHeight="1">
      <c r="A433" s="70"/>
      <c r="B433" s="71"/>
      <c r="C433" s="66"/>
      <c r="D433" s="66">
        <f t="shared" si="3"/>
        <v>0</v>
      </c>
      <c r="E433" s="67"/>
      <c r="F433" s="58">
        <f t="shared" ref="F433:L433" si="423">SUMIFS($C433,$B433,F$7)+F432</f>
        <v>0</v>
      </c>
      <c r="G433" s="58">
        <f t="shared" si="423"/>
        <v>0</v>
      </c>
      <c r="H433" s="58">
        <f t="shared" si="423"/>
        <v>0</v>
      </c>
      <c r="I433" s="58">
        <f t="shared" si="423"/>
        <v>59</v>
      </c>
      <c r="J433" s="58">
        <f t="shared" si="423"/>
        <v>0</v>
      </c>
      <c r="K433" s="58">
        <f t="shared" si="423"/>
        <v>0</v>
      </c>
      <c r="L433" s="58">
        <f t="shared" si="423"/>
        <v>0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0" customHeight="1">
      <c r="A434" s="70"/>
      <c r="B434" s="71"/>
      <c r="C434" s="66"/>
      <c r="D434" s="66">
        <f t="shared" si="3"/>
        <v>0</v>
      </c>
      <c r="E434" s="67"/>
      <c r="F434" s="58">
        <f t="shared" ref="F434:L434" si="424">SUMIFS($C434,$B434,F$7)+F433</f>
        <v>0</v>
      </c>
      <c r="G434" s="58">
        <f t="shared" si="424"/>
        <v>0</v>
      </c>
      <c r="H434" s="58">
        <f t="shared" si="424"/>
        <v>0</v>
      </c>
      <c r="I434" s="58">
        <f t="shared" si="424"/>
        <v>59</v>
      </c>
      <c r="J434" s="58">
        <f t="shared" si="424"/>
        <v>0</v>
      </c>
      <c r="K434" s="58">
        <f t="shared" si="424"/>
        <v>0</v>
      </c>
      <c r="L434" s="58">
        <f t="shared" si="424"/>
        <v>0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0" customHeight="1">
      <c r="A435" s="70"/>
      <c r="B435" s="71"/>
      <c r="C435" s="66"/>
      <c r="D435" s="66">
        <f t="shared" si="3"/>
        <v>0</v>
      </c>
      <c r="E435" s="67"/>
      <c r="F435" s="58">
        <f t="shared" ref="F435:L435" si="425">SUMIFS($C435,$B435,F$7)+F434</f>
        <v>0</v>
      </c>
      <c r="G435" s="58">
        <f t="shared" si="425"/>
        <v>0</v>
      </c>
      <c r="H435" s="58">
        <f t="shared" si="425"/>
        <v>0</v>
      </c>
      <c r="I435" s="58">
        <f t="shared" si="425"/>
        <v>59</v>
      </c>
      <c r="J435" s="58">
        <f t="shared" si="425"/>
        <v>0</v>
      </c>
      <c r="K435" s="58">
        <f t="shared" si="425"/>
        <v>0</v>
      </c>
      <c r="L435" s="58">
        <f t="shared" si="425"/>
        <v>0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0" customHeight="1">
      <c r="A436" s="70"/>
      <c r="B436" s="71"/>
      <c r="C436" s="66"/>
      <c r="D436" s="66">
        <f t="shared" si="3"/>
        <v>0</v>
      </c>
      <c r="E436" s="67"/>
      <c r="F436" s="58">
        <f t="shared" ref="F436:L436" si="426">SUMIFS($C436,$B436,F$7)+F435</f>
        <v>0</v>
      </c>
      <c r="G436" s="58">
        <f t="shared" si="426"/>
        <v>0</v>
      </c>
      <c r="H436" s="58">
        <f t="shared" si="426"/>
        <v>0</v>
      </c>
      <c r="I436" s="58">
        <f t="shared" si="426"/>
        <v>59</v>
      </c>
      <c r="J436" s="58">
        <f t="shared" si="426"/>
        <v>0</v>
      </c>
      <c r="K436" s="58">
        <f t="shared" si="426"/>
        <v>0</v>
      </c>
      <c r="L436" s="58">
        <f t="shared" si="426"/>
        <v>0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0" customHeight="1">
      <c r="A437" s="70"/>
      <c r="B437" s="71"/>
      <c r="C437" s="66"/>
      <c r="D437" s="66">
        <f t="shared" si="3"/>
        <v>0</v>
      </c>
      <c r="E437" s="67"/>
      <c r="F437" s="58">
        <f t="shared" ref="F437:L437" si="427">SUMIFS($C437,$B437,F$7)+F436</f>
        <v>0</v>
      </c>
      <c r="G437" s="58">
        <f t="shared" si="427"/>
        <v>0</v>
      </c>
      <c r="H437" s="58">
        <f t="shared" si="427"/>
        <v>0</v>
      </c>
      <c r="I437" s="58">
        <f t="shared" si="427"/>
        <v>59</v>
      </c>
      <c r="J437" s="58">
        <f t="shared" si="427"/>
        <v>0</v>
      </c>
      <c r="K437" s="58">
        <f t="shared" si="427"/>
        <v>0</v>
      </c>
      <c r="L437" s="58">
        <f t="shared" si="427"/>
        <v>0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0" customHeight="1">
      <c r="A438" s="70"/>
      <c r="B438" s="71"/>
      <c r="C438" s="66"/>
      <c r="D438" s="66">
        <f t="shared" si="3"/>
        <v>0</v>
      </c>
      <c r="E438" s="67"/>
      <c r="F438" s="58">
        <f t="shared" ref="F438:L438" si="428">SUMIFS($C438,$B438,F$7)+F437</f>
        <v>0</v>
      </c>
      <c r="G438" s="58">
        <f t="shared" si="428"/>
        <v>0</v>
      </c>
      <c r="H438" s="58">
        <f t="shared" si="428"/>
        <v>0</v>
      </c>
      <c r="I438" s="58">
        <f t="shared" si="428"/>
        <v>59</v>
      </c>
      <c r="J438" s="58">
        <f t="shared" si="428"/>
        <v>0</v>
      </c>
      <c r="K438" s="58">
        <f t="shared" si="428"/>
        <v>0</v>
      </c>
      <c r="L438" s="58">
        <f t="shared" si="428"/>
        <v>0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0" customHeight="1">
      <c r="A439" s="70"/>
      <c r="B439" s="71"/>
      <c r="C439" s="66"/>
      <c r="D439" s="66">
        <f t="shared" si="3"/>
        <v>0</v>
      </c>
      <c r="E439" s="67"/>
      <c r="F439" s="58">
        <f t="shared" ref="F439:L439" si="429">SUMIFS($C439,$B439,F$7)+F438</f>
        <v>0</v>
      </c>
      <c r="G439" s="58">
        <f t="shared" si="429"/>
        <v>0</v>
      </c>
      <c r="H439" s="58">
        <f t="shared" si="429"/>
        <v>0</v>
      </c>
      <c r="I439" s="58">
        <f t="shared" si="429"/>
        <v>59</v>
      </c>
      <c r="J439" s="58">
        <f t="shared" si="429"/>
        <v>0</v>
      </c>
      <c r="K439" s="58">
        <f t="shared" si="429"/>
        <v>0</v>
      </c>
      <c r="L439" s="58">
        <f t="shared" si="429"/>
        <v>0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0" customHeight="1">
      <c r="A440" s="70"/>
      <c r="B440" s="71"/>
      <c r="C440" s="66"/>
      <c r="D440" s="66">
        <f t="shared" si="3"/>
        <v>0</v>
      </c>
      <c r="E440" s="67"/>
      <c r="F440" s="58">
        <f t="shared" ref="F440:L440" si="430">SUMIFS($C440,$B440,F$7)+F439</f>
        <v>0</v>
      </c>
      <c r="G440" s="58">
        <f t="shared" si="430"/>
        <v>0</v>
      </c>
      <c r="H440" s="58">
        <f t="shared" si="430"/>
        <v>0</v>
      </c>
      <c r="I440" s="58">
        <f t="shared" si="430"/>
        <v>59</v>
      </c>
      <c r="J440" s="58">
        <f t="shared" si="430"/>
        <v>0</v>
      </c>
      <c r="K440" s="58">
        <f t="shared" si="430"/>
        <v>0</v>
      </c>
      <c r="L440" s="58">
        <f t="shared" si="430"/>
        <v>0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0" customHeight="1">
      <c r="A441" s="70"/>
      <c r="B441" s="71"/>
      <c r="C441" s="66"/>
      <c r="D441" s="66">
        <f t="shared" si="3"/>
        <v>0</v>
      </c>
      <c r="E441" s="67"/>
      <c r="F441" s="58">
        <f t="shared" ref="F441:L441" si="431">SUMIFS($C441,$B441,F$7)+F440</f>
        <v>0</v>
      </c>
      <c r="G441" s="58">
        <f t="shared" si="431"/>
        <v>0</v>
      </c>
      <c r="H441" s="58">
        <f t="shared" si="431"/>
        <v>0</v>
      </c>
      <c r="I441" s="58">
        <f t="shared" si="431"/>
        <v>59</v>
      </c>
      <c r="J441" s="58">
        <f t="shared" si="431"/>
        <v>0</v>
      </c>
      <c r="K441" s="58">
        <f t="shared" si="431"/>
        <v>0</v>
      </c>
      <c r="L441" s="58">
        <f t="shared" si="431"/>
        <v>0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0" customHeight="1">
      <c r="A442" s="70"/>
      <c r="B442" s="71"/>
      <c r="C442" s="66"/>
      <c r="D442" s="66">
        <f t="shared" si="3"/>
        <v>0</v>
      </c>
      <c r="E442" s="67"/>
      <c r="F442" s="58">
        <f t="shared" ref="F442:L442" si="432">SUMIFS($C442,$B442,F$7)+F441</f>
        <v>0</v>
      </c>
      <c r="G442" s="58">
        <f t="shared" si="432"/>
        <v>0</v>
      </c>
      <c r="H442" s="58">
        <f t="shared" si="432"/>
        <v>0</v>
      </c>
      <c r="I442" s="58">
        <f t="shared" si="432"/>
        <v>59</v>
      </c>
      <c r="J442" s="58">
        <f t="shared" si="432"/>
        <v>0</v>
      </c>
      <c r="K442" s="58">
        <f t="shared" si="432"/>
        <v>0</v>
      </c>
      <c r="L442" s="58">
        <f t="shared" si="432"/>
        <v>0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0" customHeight="1">
      <c r="A443" s="70"/>
      <c r="B443" s="71"/>
      <c r="C443" s="66"/>
      <c r="D443" s="66">
        <f t="shared" si="3"/>
        <v>0</v>
      </c>
      <c r="E443" s="67"/>
      <c r="F443" s="58">
        <f t="shared" ref="F443:L443" si="433">SUMIFS($C443,$B443,F$7)+F442</f>
        <v>0</v>
      </c>
      <c r="G443" s="58">
        <f t="shared" si="433"/>
        <v>0</v>
      </c>
      <c r="H443" s="58">
        <f t="shared" si="433"/>
        <v>0</v>
      </c>
      <c r="I443" s="58">
        <f t="shared" si="433"/>
        <v>59</v>
      </c>
      <c r="J443" s="58">
        <f t="shared" si="433"/>
        <v>0</v>
      </c>
      <c r="K443" s="58">
        <f t="shared" si="433"/>
        <v>0</v>
      </c>
      <c r="L443" s="58">
        <f t="shared" si="433"/>
        <v>0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0" customHeight="1">
      <c r="A444" s="70"/>
      <c r="B444" s="71"/>
      <c r="C444" s="66"/>
      <c r="D444" s="66">
        <f t="shared" si="3"/>
        <v>0</v>
      </c>
      <c r="E444" s="67"/>
      <c r="F444" s="58">
        <f t="shared" ref="F444:L444" si="434">SUMIFS($C444,$B444,F$7)+F443</f>
        <v>0</v>
      </c>
      <c r="G444" s="58">
        <f t="shared" si="434"/>
        <v>0</v>
      </c>
      <c r="H444" s="58">
        <f t="shared" si="434"/>
        <v>0</v>
      </c>
      <c r="I444" s="58">
        <f t="shared" si="434"/>
        <v>59</v>
      </c>
      <c r="J444" s="58">
        <f t="shared" si="434"/>
        <v>0</v>
      </c>
      <c r="K444" s="58">
        <f t="shared" si="434"/>
        <v>0</v>
      </c>
      <c r="L444" s="58">
        <f t="shared" si="434"/>
        <v>0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0" customHeight="1">
      <c r="A445" s="70"/>
      <c r="B445" s="71"/>
      <c r="C445" s="66"/>
      <c r="D445" s="66">
        <f t="shared" si="3"/>
        <v>0</v>
      </c>
      <c r="E445" s="67"/>
      <c r="F445" s="58">
        <f t="shared" ref="F445:L445" si="435">SUMIFS($C445,$B445,F$7)+F444</f>
        <v>0</v>
      </c>
      <c r="G445" s="58">
        <f t="shared" si="435"/>
        <v>0</v>
      </c>
      <c r="H445" s="58">
        <f t="shared" si="435"/>
        <v>0</v>
      </c>
      <c r="I445" s="58">
        <f t="shared" si="435"/>
        <v>59</v>
      </c>
      <c r="J445" s="58">
        <f t="shared" si="435"/>
        <v>0</v>
      </c>
      <c r="K445" s="58">
        <f t="shared" si="435"/>
        <v>0</v>
      </c>
      <c r="L445" s="58">
        <f t="shared" si="435"/>
        <v>0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0" customHeight="1">
      <c r="A446" s="70"/>
      <c r="B446" s="71"/>
      <c r="C446" s="66"/>
      <c r="D446" s="66">
        <f t="shared" si="3"/>
        <v>0</v>
      </c>
      <c r="E446" s="67"/>
      <c r="F446" s="58">
        <f t="shared" ref="F446:L446" si="436">SUMIFS($C446,$B446,F$7)+F445</f>
        <v>0</v>
      </c>
      <c r="G446" s="58">
        <f t="shared" si="436"/>
        <v>0</v>
      </c>
      <c r="H446" s="58">
        <f t="shared" si="436"/>
        <v>0</v>
      </c>
      <c r="I446" s="58">
        <f t="shared" si="436"/>
        <v>59</v>
      </c>
      <c r="J446" s="58">
        <f t="shared" si="436"/>
        <v>0</v>
      </c>
      <c r="K446" s="58">
        <f t="shared" si="436"/>
        <v>0</v>
      </c>
      <c r="L446" s="58">
        <f t="shared" si="436"/>
        <v>0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0" customHeight="1">
      <c r="A447" s="70"/>
      <c r="B447" s="71"/>
      <c r="C447" s="66"/>
      <c r="D447" s="66">
        <f t="shared" si="3"/>
        <v>0</v>
      </c>
      <c r="E447" s="67"/>
      <c r="F447" s="58">
        <f t="shared" ref="F447:L447" si="437">SUMIFS($C447,$B447,F$7)+F446</f>
        <v>0</v>
      </c>
      <c r="G447" s="58">
        <f t="shared" si="437"/>
        <v>0</v>
      </c>
      <c r="H447" s="58">
        <f t="shared" si="437"/>
        <v>0</v>
      </c>
      <c r="I447" s="58">
        <f t="shared" si="437"/>
        <v>59</v>
      </c>
      <c r="J447" s="58">
        <f t="shared" si="437"/>
        <v>0</v>
      </c>
      <c r="K447" s="58">
        <f t="shared" si="437"/>
        <v>0</v>
      </c>
      <c r="L447" s="58">
        <f t="shared" si="437"/>
        <v>0</v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0" customHeight="1">
      <c r="A448" s="70"/>
      <c r="B448" s="71"/>
      <c r="C448" s="66"/>
      <c r="D448" s="66">
        <f t="shared" si="3"/>
        <v>0</v>
      </c>
      <c r="E448" s="67"/>
      <c r="F448" s="58">
        <f t="shared" ref="F448:L448" si="438">SUMIFS($C448,$B448,F$7)+F447</f>
        <v>0</v>
      </c>
      <c r="G448" s="58">
        <f t="shared" si="438"/>
        <v>0</v>
      </c>
      <c r="H448" s="58">
        <f t="shared" si="438"/>
        <v>0</v>
      </c>
      <c r="I448" s="58">
        <f t="shared" si="438"/>
        <v>59</v>
      </c>
      <c r="J448" s="58">
        <f t="shared" si="438"/>
        <v>0</v>
      </c>
      <c r="K448" s="58">
        <f t="shared" si="438"/>
        <v>0</v>
      </c>
      <c r="L448" s="58">
        <f t="shared" si="438"/>
        <v>0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0" customHeight="1">
      <c r="A449" s="70"/>
      <c r="B449" s="71"/>
      <c r="C449" s="66"/>
      <c r="D449" s="66">
        <f t="shared" si="3"/>
        <v>0</v>
      </c>
      <c r="E449" s="67"/>
      <c r="F449" s="58">
        <f t="shared" ref="F449:L449" si="439">SUMIFS($C449,$B449,F$7)+F448</f>
        <v>0</v>
      </c>
      <c r="G449" s="58">
        <f t="shared" si="439"/>
        <v>0</v>
      </c>
      <c r="H449" s="58">
        <f t="shared" si="439"/>
        <v>0</v>
      </c>
      <c r="I449" s="58">
        <f t="shared" si="439"/>
        <v>59</v>
      </c>
      <c r="J449" s="58">
        <f t="shared" si="439"/>
        <v>0</v>
      </c>
      <c r="K449" s="58">
        <f t="shared" si="439"/>
        <v>0</v>
      </c>
      <c r="L449" s="58">
        <f t="shared" si="439"/>
        <v>0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0" customHeight="1">
      <c r="A450" s="70"/>
      <c r="B450" s="71"/>
      <c r="C450" s="66"/>
      <c r="D450" s="66">
        <f t="shared" si="3"/>
        <v>0</v>
      </c>
      <c r="E450" s="67"/>
      <c r="F450" s="58">
        <f t="shared" ref="F450:L450" si="440">SUMIFS($C450,$B450,F$7)+F449</f>
        <v>0</v>
      </c>
      <c r="G450" s="58">
        <f t="shared" si="440"/>
        <v>0</v>
      </c>
      <c r="H450" s="58">
        <f t="shared" si="440"/>
        <v>0</v>
      </c>
      <c r="I450" s="58">
        <f t="shared" si="440"/>
        <v>59</v>
      </c>
      <c r="J450" s="58">
        <f t="shared" si="440"/>
        <v>0</v>
      </c>
      <c r="K450" s="58">
        <f t="shared" si="440"/>
        <v>0</v>
      </c>
      <c r="L450" s="58">
        <f t="shared" si="440"/>
        <v>0</v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0" customHeight="1">
      <c r="A451" s="70"/>
      <c r="B451" s="71"/>
      <c r="C451" s="66"/>
      <c r="D451" s="66">
        <f t="shared" si="3"/>
        <v>0</v>
      </c>
      <c r="E451" s="67"/>
      <c r="F451" s="58">
        <f t="shared" ref="F451:L451" si="441">SUMIFS($C451,$B451,F$7)+F450</f>
        <v>0</v>
      </c>
      <c r="G451" s="58">
        <f t="shared" si="441"/>
        <v>0</v>
      </c>
      <c r="H451" s="58">
        <f t="shared" si="441"/>
        <v>0</v>
      </c>
      <c r="I451" s="58">
        <f t="shared" si="441"/>
        <v>59</v>
      </c>
      <c r="J451" s="58">
        <f t="shared" si="441"/>
        <v>0</v>
      </c>
      <c r="K451" s="58">
        <f t="shared" si="441"/>
        <v>0</v>
      </c>
      <c r="L451" s="58">
        <f t="shared" si="441"/>
        <v>0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0" customHeight="1">
      <c r="A452" s="70"/>
      <c r="B452" s="71"/>
      <c r="C452" s="66"/>
      <c r="D452" s="66">
        <f t="shared" si="3"/>
        <v>0</v>
      </c>
      <c r="E452" s="67"/>
      <c r="F452" s="58">
        <f t="shared" ref="F452:L452" si="442">SUMIFS($C452,$B452,F$7)+F451</f>
        <v>0</v>
      </c>
      <c r="G452" s="58">
        <f t="shared" si="442"/>
        <v>0</v>
      </c>
      <c r="H452" s="58">
        <f t="shared" si="442"/>
        <v>0</v>
      </c>
      <c r="I452" s="58">
        <f t="shared" si="442"/>
        <v>59</v>
      </c>
      <c r="J452" s="58">
        <f t="shared" si="442"/>
        <v>0</v>
      </c>
      <c r="K452" s="58">
        <f t="shared" si="442"/>
        <v>0</v>
      </c>
      <c r="L452" s="58">
        <f t="shared" si="442"/>
        <v>0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0" customHeight="1">
      <c r="A453" s="70"/>
      <c r="B453" s="71"/>
      <c r="C453" s="66"/>
      <c r="D453" s="66">
        <f t="shared" si="3"/>
        <v>0</v>
      </c>
      <c r="E453" s="67"/>
      <c r="F453" s="58">
        <f t="shared" ref="F453:L453" si="443">SUMIFS($C453,$B453,F$7)+F452</f>
        <v>0</v>
      </c>
      <c r="G453" s="58">
        <f t="shared" si="443"/>
        <v>0</v>
      </c>
      <c r="H453" s="58">
        <f t="shared" si="443"/>
        <v>0</v>
      </c>
      <c r="I453" s="58">
        <f t="shared" si="443"/>
        <v>59</v>
      </c>
      <c r="J453" s="58">
        <f t="shared" si="443"/>
        <v>0</v>
      </c>
      <c r="K453" s="58">
        <f t="shared" si="443"/>
        <v>0</v>
      </c>
      <c r="L453" s="58">
        <f t="shared" si="443"/>
        <v>0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0" customHeight="1">
      <c r="A454" s="70"/>
      <c r="B454" s="71"/>
      <c r="C454" s="66"/>
      <c r="D454" s="66">
        <f t="shared" si="3"/>
        <v>0</v>
      </c>
      <c r="E454" s="67"/>
      <c r="F454" s="58">
        <f t="shared" ref="F454:L454" si="444">SUMIFS($C454,$B454,F$7)+F453</f>
        <v>0</v>
      </c>
      <c r="G454" s="58">
        <f t="shared" si="444"/>
        <v>0</v>
      </c>
      <c r="H454" s="58">
        <f t="shared" si="444"/>
        <v>0</v>
      </c>
      <c r="I454" s="58">
        <f t="shared" si="444"/>
        <v>59</v>
      </c>
      <c r="J454" s="58">
        <f t="shared" si="444"/>
        <v>0</v>
      </c>
      <c r="K454" s="58">
        <f t="shared" si="444"/>
        <v>0</v>
      </c>
      <c r="L454" s="58">
        <f t="shared" si="444"/>
        <v>0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0" customHeight="1">
      <c r="A455" s="70"/>
      <c r="B455" s="71"/>
      <c r="C455" s="66"/>
      <c r="D455" s="66">
        <f t="shared" si="3"/>
        <v>0</v>
      </c>
      <c r="E455" s="67"/>
      <c r="F455" s="58">
        <f t="shared" ref="F455:L455" si="445">SUMIFS($C455,$B455,F$7)+F454</f>
        <v>0</v>
      </c>
      <c r="G455" s="58">
        <f t="shared" si="445"/>
        <v>0</v>
      </c>
      <c r="H455" s="58">
        <f t="shared" si="445"/>
        <v>0</v>
      </c>
      <c r="I455" s="58">
        <f t="shared" si="445"/>
        <v>59</v>
      </c>
      <c r="J455" s="58">
        <f t="shared" si="445"/>
        <v>0</v>
      </c>
      <c r="K455" s="58">
        <f t="shared" si="445"/>
        <v>0</v>
      </c>
      <c r="L455" s="58">
        <f t="shared" si="445"/>
        <v>0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0" customHeight="1">
      <c r="A456" s="70"/>
      <c r="B456" s="71"/>
      <c r="C456" s="66"/>
      <c r="D456" s="66">
        <f t="shared" si="3"/>
        <v>0</v>
      </c>
      <c r="E456" s="67"/>
      <c r="F456" s="58">
        <f t="shared" ref="F456:L456" si="446">SUMIFS($C456,$B456,F$7)+F455</f>
        <v>0</v>
      </c>
      <c r="G456" s="58">
        <f t="shared" si="446"/>
        <v>0</v>
      </c>
      <c r="H456" s="58">
        <f t="shared" si="446"/>
        <v>0</v>
      </c>
      <c r="I456" s="58">
        <f t="shared" si="446"/>
        <v>59</v>
      </c>
      <c r="J456" s="58">
        <f t="shared" si="446"/>
        <v>0</v>
      </c>
      <c r="K456" s="58">
        <f t="shared" si="446"/>
        <v>0</v>
      </c>
      <c r="L456" s="58">
        <f t="shared" si="446"/>
        <v>0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0" customHeight="1">
      <c r="A457" s="70"/>
      <c r="B457" s="71"/>
      <c r="C457" s="66"/>
      <c r="D457" s="66">
        <f t="shared" si="3"/>
        <v>0</v>
      </c>
      <c r="E457" s="67"/>
      <c r="F457" s="58">
        <f t="shared" ref="F457:L457" si="447">SUMIFS($C457,$B457,F$7)+F456</f>
        <v>0</v>
      </c>
      <c r="G457" s="58">
        <f t="shared" si="447"/>
        <v>0</v>
      </c>
      <c r="H457" s="58">
        <f t="shared" si="447"/>
        <v>0</v>
      </c>
      <c r="I457" s="58">
        <f t="shared" si="447"/>
        <v>59</v>
      </c>
      <c r="J457" s="58">
        <f t="shared" si="447"/>
        <v>0</v>
      </c>
      <c r="K457" s="58">
        <f t="shared" si="447"/>
        <v>0</v>
      </c>
      <c r="L457" s="58">
        <f t="shared" si="447"/>
        <v>0</v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0" customHeight="1">
      <c r="A458" s="70"/>
      <c r="B458" s="71"/>
      <c r="C458" s="66"/>
      <c r="D458" s="66">
        <f t="shared" si="3"/>
        <v>0</v>
      </c>
      <c r="E458" s="67"/>
      <c r="F458" s="58">
        <f t="shared" ref="F458:L458" si="448">SUMIFS($C458,$B458,F$7)+F457</f>
        <v>0</v>
      </c>
      <c r="G458" s="58">
        <f t="shared" si="448"/>
        <v>0</v>
      </c>
      <c r="H458" s="58">
        <f t="shared" si="448"/>
        <v>0</v>
      </c>
      <c r="I458" s="58">
        <f t="shared" si="448"/>
        <v>59</v>
      </c>
      <c r="J458" s="58">
        <f t="shared" si="448"/>
        <v>0</v>
      </c>
      <c r="K458" s="58">
        <f t="shared" si="448"/>
        <v>0</v>
      </c>
      <c r="L458" s="58">
        <f t="shared" si="448"/>
        <v>0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0" customHeight="1">
      <c r="A459" s="70"/>
      <c r="B459" s="71"/>
      <c r="C459" s="66"/>
      <c r="D459" s="66">
        <f t="shared" si="3"/>
        <v>0</v>
      </c>
      <c r="E459" s="67"/>
      <c r="F459" s="58">
        <f t="shared" ref="F459:L459" si="449">SUMIFS($C459,$B459,F$7)+F458</f>
        <v>0</v>
      </c>
      <c r="G459" s="58">
        <f t="shared" si="449"/>
        <v>0</v>
      </c>
      <c r="H459" s="58">
        <f t="shared" si="449"/>
        <v>0</v>
      </c>
      <c r="I459" s="58">
        <f t="shared" si="449"/>
        <v>59</v>
      </c>
      <c r="J459" s="58">
        <f t="shared" si="449"/>
        <v>0</v>
      </c>
      <c r="K459" s="58">
        <f t="shared" si="449"/>
        <v>0</v>
      </c>
      <c r="L459" s="58">
        <f t="shared" si="449"/>
        <v>0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0" customHeight="1">
      <c r="A460" s="70"/>
      <c r="B460" s="71"/>
      <c r="C460" s="66"/>
      <c r="D460" s="66">
        <f t="shared" si="3"/>
        <v>0</v>
      </c>
      <c r="E460" s="67"/>
      <c r="F460" s="58">
        <f t="shared" ref="F460:L460" si="450">SUMIFS($C460,$B460,F$7)+F459</f>
        <v>0</v>
      </c>
      <c r="G460" s="58">
        <f t="shared" si="450"/>
        <v>0</v>
      </c>
      <c r="H460" s="58">
        <f t="shared" si="450"/>
        <v>0</v>
      </c>
      <c r="I460" s="58">
        <f t="shared" si="450"/>
        <v>59</v>
      </c>
      <c r="J460" s="58">
        <f t="shared" si="450"/>
        <v>0</v>
      </c>
      <c r="K460" s="58">
        <f t="shared" si="450"/>
        <v>0</v>
      </c>
      <c r="L460" s="58">
        <f t="shared" si="450"/>
        <v>0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0" customHeight="1">
      <c r="A461" s="70"/>
      <c r="B461" s="71"/>
      <c r="C461" s="66"/>
      <c r="D461" s="66">
        <f t="shared" si="3"/>
        <v>0</v>
      </c>
      <c r="E461" s="67"/>
      <c r="F461" s="58">
        <f t="shared" ref="F461:L461" si="451">SUMIFS($C461,$B461,F$7)+F460</f>
        <v>0</v>
      </c>
      <c r="G461" s="58">
        <f t="shared" si="451"/>
        <v>0</v>
      </c>
      <c r="H461" s="58">
        <f t="shared" si="451"/>
        <v>0</v>
      </c>
      <c r="I461" s="58">
        <f t="shared" si="451"/>
        <v>59</v>
      </c>
      <c r="J461" s="58">
        <f t="shared" si="451"/>
        <v>0</v>
      </c>
      <c r="K461" s="58">
        <f t="shared" si="451"/>
        <v>0</v>
      </c>
      <c r="L461" s="58">
        <f t="shared" si="451"/>
        <v>0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0" customHeight="1">
      <c r="A462" s="70"/>
      <c r="B462" s="71"/>
      <c r="C462" s="66"/>
      <c r="D462" s="66">
        <f t="shared" si="3"/>
        <v>0</v>
      </c>
      <c r="E462" s="67"/>
      <c r="F462" s="58">
        <f t="shared" ref="F462:L462" si="452">SUMIFS($C462,$B462,F$7)+F461</f>
        <v>0</v>
      </c>
      <c r="G462" s="58">
        <f t="shared" si="452"/>
        <v>0</v>
      </c>
      <c r="H462" s="58">
        <f t="shared" si="452"/>
        <v>0</v>
      </c>
      <c r="I462" s="58">
        <f t="shared" si="452"/>
        <v>59</v>
      </c>
      <c r="J462" s="58">
        <f t="shared" si="452"/>
        <v>0</v>
      </c>
      <c r="K462" s="58">
        <f t="shared" si="452"/>
        <v>0</v>
      </c>
      <c r="L462" s="58">
        <f t="shared" si="452"/>
        <v>0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0" customHeight="1">
      <c r="A463" s="70"/>
      <c r="B463" s="71"/>
      <c r="C463" s="66"/>
      <c r="D463" s="66">
        <f t="shared" si="3"/>
        <v>0</v>
      </c>
      <c r="E463" s="67"/>
      <c r="F463" s="58">
        <f t="shared" ref="F463:L463" si="453">SUMIFS($C463,$B463,F$7)+F462</f>
        <v>0</v>
      </c>
      <c r="G463" s="58">
        <f t="shared" si="453"/>
        <v>0</v>
      </c>
      <c r="H463" s="58">
        <f t="shared" si="453"/>
        <v>0</v>
      </c>
      <c r="I463" s="58">
        <f t="shared" si="453"/>
        <v>59</v>
      </c>
      <c r="J463" s="58">
        <f t="shared" si="453"/>
        <v>0</v>
      </c>
      <c r="K463" s="58">
        <f t="shared" si="453"/>
        <v>0</v>
      </c>
      <c r="L463" s="58">
        <f t="shared" si="453"/>
        <v>0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0" customHeight="1">
      <c r="A464" s="70"/>
      <c r="B464" s="71"/>
      <c r="C464" s="66"/>
      <c r="D464" s="66">
        <f t="shared" si="3"/>
        <v>0</v>
      </c>
      <c r="E464" s="67"/>
      <c r="F464" s="58">
        <f t="shared" ref="F464:L464" si="454">SUMIFS($C464,$B464,F$7)+F463</f>
        <v>0</v>
      </c>
      <c r="G464" s="58">
        <f t="shared" si="454"/>
        <v>0</v>
      </c>
      <c r="H464" s="58">
        <f t="shared" si="454"/>
        <v>0</v>
      </c>
      <c r="I464" s="58">
        <f t="shared" si="454"/>
        <v>59</v>
      </c>
      <c r="J464" s="58">
        <f t="shared" si="454"/>
        <v>0</v>
      </c>
      <c r="K464" s="58">
        <f t="shared" si="454"/>
        <v>0</v>
      </c>
      <c r="L464" s="58">
        <f t="shared" si="454"/>
        <v>0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0" customHeight="1">
      <c r="A465" s="70"/>
      <c r="B465" s="71"/>
      <c r="C465" s="66"/>
      <c r="D465" s="66">
        <f t="shared" si="3"/>
        <v>0</v>
      </c>
      <c r="E465" s="67"/>
      <c r="F465" s="58">
        <f t="shared" ref="F465:L465" si="455">SUMIFS($C465,$B465,F$7)+F464</f>
        <v>0</v>
      </c>
      <c r="G465" s="58">
        <f t="shared" si="455"/>
        <v>0</v>
      </c>
      <c r="H465" s="58">
        <f t="shared" si="455"/>
        <v>0</v>
      </c>
      <c r="I465" s="58">
        <f t="shared" si="455"/>
        <v>59</v>
      </c>
      <c r="J465" s="58">
        <f t="shared" si="455"/>
        <v>0</v>
      </c>
      <c r="K465" s="58">
        <f t="shared" si="455"/>
        <v>0</v>
      </c>
      <c r="L465" s="58">
        <f t="shared" si="455"/>
        <v>0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0" customHeight="1">
      <c r="A466" s="70"/>
      <c r="B466" s="71"/>
      <c r="C466" s="66"/>
      <c r="D466" s="66">
        <f t="shared" si="3"/>
        <v>0</v>
      </c>
      <c r="E466" s="67"/>
      <c r="F466" s="58">
        <f t="shared" ref="F466:L466" si="456">SUMIFS($C466,$B466,F$7)+F465</f>
        <v>0</v>
      </c>
      <c r="G466" s="58">
        <f t="shared" si="456"/>
        <v>0</v>
      </c>
      <c r="H466" s="58">
        <f t="shared" si="456"/>
        <v>0</v>
      </c>
      <c r="I466" s="58">
        <f t="shared" si="456"/>
        <v>59</v>
      </c>
      <c r="J466" s="58">
        <f t="shared" si="456"/>
        <v>0</v>
      </c>
      <c r="K466" s="58">
        <f t="shared" si="456"/>
        <v>0</v>
      </c>
      <c r="L466" s="58">
        <f t="shared" si="456"/>
        <v>0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0" customHeight="1">
      <c r="A467" s="70"/>
      <c r="B467" s="71"/>
      <c r="C467" s="66"/>
      <c r="D467" s="66">
        <f t="shared" si="3"/>
        <v>0</v>
      </c>
      <c r="E467" s="67"/>
      <c r="F467" s="58">
        <f t="shared" ref="F467:L467" si="457">SUMIFS($C467,$B467,F$7)+F466</f>
        <v>0</v>
      </c>
      <c r="G467" s="58">
        <f t="shared" si="457"/>
        <v>0</v>
      </c>
      <c r="H467" s="58">
        <f t="shared" si="457"/>
        <v>0</v>
      </c>
      <c r="I467" s="58">
        <f t="shared" si="457"/>
        <v>59</v>
      </c>
      <c r="J467" s="58">
        <f t="shared" si="457"/>
        <v>0</v>
      </c>
      <c r="K467" s="58">
        <f t="shared" si="457"/>
        <v>0</v>
      </c>
      <c r="L467" s="58">
        <f t="shared" si="457"/>
        <v>0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0" customHeight="1">
      <c r="A468" s="70"/>
      <c r="B468" s="71"/>
      <c r="C468" s="66"/>
      <c r="D468" s="66">
        <f t="shared" si="3"/>
        <v>0</v>
      </c>
      <c r="E468" s="67"/>
      <c r="F468" s="58">
        <f t="shared" ref="F468:L468" si="458">SUMIFS($C468,$B468,F$7)+F467</f>
        <v>0</v>
      </c>
      <c r="G468" s="58">
        <f t="shared" si="458"/>
        <v>0</v>
      </c>
      <c r="H468" s="58">
        <f t="shared" si="458"/>
        <v>0</v>
      </c>
      <c r="I468" s="58">
        <f t="shared" si="458"/>
        <v>59</v>
      </c>
      <c r="J468" s="58">
        <f t="shared" si="458"/>
        <v>0</v>
      </c>
      <c r="K468" s="58">
        <f t="shared" si="458"/>
        <v>0</v>
      </c>
      <c r="L468" s="58">
        <f t="shared" si="458"/>
        <v>0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0" customHeight="1">
      <c r="A469" s="70"/>
      <c r="B469" s="71"/>
      <c r="C469" s="66"/>
      <c r="D469" s="66">
        <f t="shared" si="3"/>
        <v>0</v>
      </c>
      <c r="E469" s="67"/>
      <c r="F469" s="58">
        <f t="shared" ref="F469:L469" si="459">SUMIFS($C469,$B469,F$7)+F468</f>
        <v>0</v>
      </c>
      <c r="G469" s="58">
        <f t="shared" si="459"/>
        <v>0</v>
      </c>
      <c r="H469" s="58">
        <f t="shared" si="459"/>
        <v>0</v>
      </c>
      <c r="I469" s="58">
        <f t="shared" si="459"/>
        <v>59</v>
      </c>
      <c r="J469" s="58">
        <f t="shared" si="459"/>
        <v>0</v>
      </c>
      <c r="K469" s="58">
        <f t="shared" si="459"/>
        <v>0</v>
      </c>
      <c r="L469" s="58">
        <f t="shared" si="459"/>
        <v>0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0" customHeight="1">
      <c r="A470" s="70"/>
      <c r="B470" s="71"/>
      <c r="C470" s="66"/>
      <c r="D470" s="66">
        <f t="shared" si="3"/>
        <v>0</v>
      </c>
      <c r="E470" s="67"/>
      <c r="F470" s="58">
        <f t="shared" ref="F470:L470" si="460">SUMIFS($C470,$B470,F$7)+F469</f>
        <v>0</v>
      </c>
      <c r="G470" s="58">
        <f t="shared" si="460"/>
        <v>0</v>
      </c>
      <c r="H470" s="58">
        <f t="shared" si="460"/>
        <v>0</v>
      </c>
      <c r="I470" s="58">
        <f t="shared" si="460"/>
        <v>59</v>
      </c>
      <c r="J470" s="58">
        <f t="shared" si="460"/>
        <v>0</v>
      </c>
      <c r="K470" s="58">
        <f t="shared" si="460"/>
        <v>0</v>
      </c>
      <c r="L470" s="58">
        <f t="shared" si="460"/>
        <v>0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0" customHeight="1">
      <c r="A471" s="70"/>
      <c r="B471" s="71"/>
      <c r="C471" s="66"/>
      <c r="D471" s="66">
        <f t="shared" si="3"/>
        <v>0</v>
      </c>
      <c r="E471" s="67"/>
      <c r="F471" s="58">
        <f t="shared" ref="F471:L471" si="461">SUMIFS($C471,$B471,F$7)+F470</f>
        <v>0</v>
      </c>
      <c r="G471" s="58">
        <f t="shared" si="461"/>
        <v>0</v>
      </c>
      <c r="H471" s="58">
        <f t="shared" si="461"/>
        <v>0</v>
      </c>
      <c r="I471" s="58">
        <f t="shared" si="461"/>
        <v>59</v>
      </c>
      <c r="J471" s="58">
        <f t="shared" si="461"/>
        <v>0</v>
      </c>
      <c r="K471" s="58">
        <f t="shared" si="461"/>
        <v>0</v>
      </c>
      <c r="L471" s="58">
        <f t="shared" si="461"/>
        <v>0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0" customHeight="1">
      <c r="A472" s="70"/>
      <c r="B472" s="71"/>
      <c r="C472" s="66"/>
      <c r="D472" s="66">
        <f t="shared" si="3"/>
        <v>0</v>
      </c>
      <c r="E472" s="67"/>
      <c r="F472" s="58">
        <f t="shared" ref="F472:L472" si="462">SUMIFS($C472,$B472,F$7)+F471</f>
        <v>0</v>
      </c>
      <c r="G472" s="58">
        <f t="shared" si="462"/>
        <v>0</v>
      </c>
      <c r="H472" s="58">
        <f t="shared" si="462"/>
        <v>0</v>
      </c>
      <c r="I472" s="58">
        <f t="shared" si="462"/>
        <v>59</v>
      </c>
      <c r="J472" s="58">
        <f t="shared" si="462"/>
        <v>0</v>
      </c>
      <c r="K472" s="58">
        <f t="shared" si="462"/>
        <v>0</v>
      </c>
      <c r="L472" s="58">
        <f t="shared" si="462"/>
        <v>0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0" customHeight="1">
      <c r="A473" s="70"/>
      <c r="B473" s="71"/>
      <c r="C473" s="66"/>
      <c r="D473" s="66">
        <f t="shared" si="3"/>
        <v>0</v>
      </c>
      <c r="E473" s="67"/>
      <c r="F473" s="58">
        <f t="shared" ref="F473:L473" si="463">SUMIFS($C473,$B473,F$7)+F472</f>
        <v>0</v>
      </c>
      <c r="G473" s="58">
        <f t="shared" si="463"/>
        <v>0</v>
      </c>
      <c r="H473" s="58">
        <f t="shared" si="463"/>
        <v>0</v>
      </c>
      <c r="I473" s="58">
        <f t="shared" si="463"/>
        <v>59</v>
      </c>
      <c r="J473" s="58">
        <f t="shared" si="463"/>
        <v>0</v>
      </c>
      <c r="K473" s="58">
        <f t="shared" si="463"/>
        <v>0</v>
      </c>
      <c r="L473" s="58">
        <f t="shared" si="463"/>
        <v>0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0" customHeight="1">
      <c r="A474" s="70"/>
      <c r="B474" s="71"/>
      <c r="C474" s="66"/>
      <c r="D474" s="66">
        <f t="shared" si="3"/>
        <v>0</v>
      </c>
      <c r="E474" s="67"/>
      <c r="F474" s="58">
        <f t="shared" ref="F474:L474" si="464">SUMIFS($C474,$B474,F$7)+F473</f>
        <v>0</v>
      </c>
      <c r="G474" s="58">
        <f t="shared" si="464"/>
        <v>0</v>
      </c>
      <c r="H474" s="58">
        <f t="shared" si="464"/>
        <v>0</v>
      </c>
      <c r="I474" s="58">
        <f t="shared" si="464"/>
        <v>59</v>
      </c>
      <c r="J474" s="58">
        <f t="shared" si="464"/>
        <v>0</v>
      </c>
      <c r="K474" s="58">
        <f t="shared" si="464"/>
        <v>0</v>
      </c>
      <c r="L474" s="58">
        <f t="shared" si="464"/>
        <v>0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0" customHeight="1">
      <c r="A475" s="70"/>
      <c r="B475" s="71"/>
      <c r="C475" s="66"/>
      <c r="D475" s="66">
        <f t="shared" si="3"/>
        <v>0</v>
      </c>
      <c r="E475" s="67"/>
      <c r="F475" s="58">
        <f t="shared" ref="F475:L475" si="465">SUMIFS($C475,$B475,F$7)+F474</f>
        <v>0</v>
      </c>
      <c r="G475" s="58">
        <f t="shared" si="465"/>
        <v>0</v>
      </c>
      <c r="H475" s="58">
        <f t="shared" si="465"/>
        <v>0</v>
      </c>
      <c r="I475" s="58">
        <f t="shared" si="465"/>
        <v>59</v>
      </c>
      <c r="J475" s="58">
        <f t="shared" si="465"/>
        <v>0</v>
      </c>
      <c r="K475" s="58">
        <f t="shared" si="465"/>
        <v>0</v>
      </c>
      <c r="L475" s="58">
        <f t="shared" si="465"/>
        <v>0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0" customHeight="1">
      <c r="A476" s="70"/>
      <c r="B476" s="71"/>
      <c r="C476" s="66"/>
      <c r="D476" s="66">
        <f t="shared" si="3"/>
        <v>0</v>
      </c>
      <c r="E476" s="67"/>
      <c r="F476" s="58">
        <f t="shared" ref="F476:L476" si="466">SUMIFS($C476,$B476,F$7)+F475</f>
        <v>0</v>
      </c>
      <c r="G476" s="58">
        <f t="shared" si="466"/>
        <v>0</v>
      </c>
      <c r="H476" s="58">
        <f t="shared" si="466"/>
        <v>0</v>
      </c>
      <c r="I476" s="58">
        <f t="shared" si="466"/>
        <v>59</v>
      </c>
      <c r="J476" s="58">
        <f t="shared" si="466"/>
        <v>0</v>
      </c>
      <c r="K476" s="58">
        <f t="shared" si="466"/>
        <v>0</v>
      </c>
      <c r="L476" s="58">
        <f t="shared" si="466"/>
        <v>0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0" customHeight="1">
      <c r="A477" s="70"/>
      <c r="B477" s="71"/>
      <c r="C477" s="66"/>
      <c r="D477" s="66">
        <f t="shared" si="3"/>
        <v>0</v>
      </c>
      <c r="E477" s="67"/>
      <c r="F477" s="58">
        <f t="shared" ref="F477:L477" si="467">SUMIFS($C477,$B477,F$7)+F476</f>
        <v>0</v>
      </c>
      <c r="G477" s="58">
        <f t="shared" si="467"/>
        <v>0</v>
      </c>
      <c r="H477" s="58">
        <f t="shared" si="467"/>
        <v>0</v>
      </c>
      <c r="I477" s="58">
        <f t="shared" si="467"/>
        <v>59</v>
      </c>
      <c r="J477" s="58">
        <f t="shared" si="467"/>
        <v>0</v>
      </c>
      <c r="K477" s="58">
        <f t="shared" si="467"/>
        <v>0</v>
      </c>
      <c r="L477" s="58">
        <f t="shared" si="467"/>
        <v>0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0" customHeight="1">
      <c r="A478" s="70"/>
      <c r="B478" s="71"/>
      <c r="C478" s="66"/>
      <c r="D478" s="66">
        <f t="shared" si="3"/>
        <v>0</v>
      </c>
      <c r="E478" s="67"/>
      <c r="F478" s="58">
        <f t="shared" ref="F478:L478" si="468">SUMIFS($C478,$B478,F$7)+F477</f>
        <v>0</v>
      </c>
      <c r="G478" s="58">
        <f t="shared" si="468"/>
        <v>0</v>
      </c>
      <c r="H478" s="58">
        <f t="shared" si="468"/>
        <v>0</v>
      </c>
      <c r="I478" s="58">
        <f t="shared" si="468"/>
        <v>59</v>
      </c>
      <c r="J478" s="58">
        <f t="shared" si="468"/>
        <v>0</v>
      </c>
      <c r="K478" s="58">
        <f t="shared" si="468"/>
        <v>0</v>
      </c>
      <c r="L478" s="58">
        <f t="shared" si="468"/>
        <v>0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0" customHeight="1">
      <c r="A479" s="70"/>
      <c r="B479" s="71"/>
      <c r="C479" s="66"/>
      <c r="D479" s="66">
        <f t="shared" si="3"/>
        <v>0</v>
      </c>
      <c r="E479" s="67"/>
      <c r="F479" s="58">
        <f t="shared" ref="F479:L479" si="469">SUMIFS($C479,$B479,F$7)+F478</f>
        <v>0</v>
      </c>
      <c r="G479" s="58">
        <f t="shared" si="469"/>
        <v>0</v>
      </c>
      <c r="H479" s="58">
        <f t="shared" si="469"/>
        <v>0</v>
      </c>
      <c r="I479" s="58">
        <f t="shared" si="469"/>
        <v>59</v>
      </c>
      <c r="J479" s="58">
        <f t="shared" si="469"/>
        <v>0</v>
      </c>
      <c r="K479" s="58">
        <f t="shared" si="469"/>
        <v>0</v>
      </c>
      <c r="L479" s="58">
        <f t="shared" si="469"/>
        <v>0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0" customHeight="1">
      <c r="A480" s="70"/>
      <c r="B480" s="71"/>
      <c r="C480" s="66"/>
      <c r="D480" s="66">
        <f t="shared" si="3"/>
        <v>0</v>
      </c>
      <c r="E480" s="67"/>
      <c r="F480" s="58">
        <f t="shared" ref="F480:L480" si="470">SUMIFS($C480,$B480,F$7)+F479</f>
        <v>0</v>
      </c>
      <c r="G480" s="58">
        <f t="shared" si="470"/>
        <v>0</v>
      </c>
      <c r="H480" s="58">
        <f t="shared" si="470"/>
        <v>0</v>
      </c>
      <c r="I480" s="58">
        <f t="shared" si="470"/>
        <v>59</v>
      </c>
      <c r="J480" s="58">
        <f t="shared" si="470"/>
        <v>0</v>
      </c>
      <c r="K480" s="58">
        <f t="shared" si="470"/>
        <v>0</v>
      </c>
      <c r="L480" s="58">
        <f t="shared" si="470"/>
        <v>0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0" customHeight="1">
      <c r="A481" s="70"/>
      <c r="B481" s="71"/>
      <c r="C481" s="66"/>
      <c r="D481" s="66">
        <f t="shared" si="3"/>
        <v>0</v>
      </c>
      <c r="E481" s="67"/>
      <c r="F481" s="58">
        <f t="shared" ref="F481:L481" si="471">SUMIFS($C481,$B481,F$7)+F480</f>
        <v>0</v>
      </c>
      <c r="G481" s="58">
        <f t="shared" si="471"/>
        <v>0</v>
      </c>
      <c r="H481" s="58">
        <f t="shared" si="471"/>
        <v>0</v>
      </c>
      <c r="I481" s="58">
        <f t="shared" si="471"/>
        <v>59</v>
      </c>
      <c r="J481" s="58">
        <f t="shared" si="471"/>
        <v>0</v>
      </c>
      <c r="K481" s="58">
        <f t="shared" si="471"/>
        <v>0</v>
      </c>
      <c r="L481" s="58">
        <f t="shared" si="471"/>
        <v>0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0" customHeight="1">
      <c r="A482" s="70"/>
      <c r="B482" s="71"/>
      <c r="C482" s="66"/>
      <c r="D482" s="66">
        <f t="shared" si="3"/>
        <v>0</v>
      </c>
      <c r="E482" s="67"/>
      <c r="F482" s="58">
        <f t="shared" ref="F482:L482" si="472">SUMIFS($C482,$B482,F$7)+F481</f>
        <v>0</v>
      </c>
      <c r="G482" s="58">
        <f t="shared" si="472"/>
        <v>0</v>
      </c>
      <c r="H482" s="58">
        <f t="shared" si="472"/>
        <v>0</v>
      </c>
      <c r="I482" s="58">
        <f t="shared" si="472"/>
        <v>59</v>
      </c>
      <c r="J482" s="58">
        <f t="shared" si="472"/>
        <v>0</v>
      </c>
      <c r="K482" s="58">
        <f t="shared" si="472"/>
        <v>0</v>
      </c>
      <c r="L482" s="58">
        <f t="shared" si="472"/>
        <v>0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0" customHeight="1">
      <c r="A483" s="70"/>
      <c r="B483" s="71"/>
      <c r="C483" s="66"/>
      <c r="D483" s="66">
        <f t="shared" si="3"/>
        <v>0</v>
      </c>
      <c r="E483" s="67"/>
      <c r="F483" s="58">
        <f t="shared" ref="F483:L483" si="473">SUMIFS($C483,$B483,F$7)+F482</f>
        <v>0</v>
      </c>
      <c r="G483" s="58">
        <f t="shared" si="473"/>
        <v>0</v>
      </c>
      <c r="H483" s="58">
        <f t="shared" si="473"/>
        <v>0</v>
      </c>
      <c r="I483" s="58">
        <f t="shared" si="473"/>
        <v>59</v>
      </c>
      <c r="J483" s="58">
        <f t="shared" si="473"/>
        <v>0</v>
      </c>
      <c r="K483" s="58">
        <f t="shared" si="473"/>
        <v>0</v>
      </c>
      <c r="L483" s="58">
        <f t="shared" si="473"/>
        <v>0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0" customHeight="1">
      <c r="A484" s="70"/>
      <c r="B484" s="71"/>
      <c r="C484" s="66"/>
      <c r="D484" s="66">
        <f t="shared" si="3"/>
        <v>0</v>
      </c>
      <c r="E484" s="67"/>
      <c r="F484" s="58">
        <f t="shared" ref="F484:L484" si="474">SUMIFS($C484,$B484,F$7)+F483</f>
        <v>0</v>
      </c>
      <c r="G484" s="58">
        <f t="shared" si="474"/>
        <v>0</v>
      </c>
      <c r="H484" s="58">
        <f t="shared" si="474"/>
        <v>0</v>
      </c>
      <c r="I484" s="58">
        <f t="shared" si="474"/>
        <v>59</v>
      </c>
      <c r="J484" s="58">
        <f t="shared" si="474"/>
        <v>0</v>
      </c>
      <c r="K484" s="58">
        <f t="shared" si="474"/>
        <v>0</v>
      </c>
      <c r="L484" s="58">
        <f t="shared" si="474"/>
        <v>0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0" customHeight="1">
      <c r="A485" s="70"/>
      <c r="B485" s="71"/>
      <c r="C485" s="66"/>
      <c r="D485" s="66">
        <f t="shared" si="3"/>
        <v>0</v>
      </c>
      <c r="E485" s="67"/>
      <c r="F485" s="58">
        <f t="shared" ref="F485:L485" si="475">SUMIFS($C485,$B485,F$7)+F484</f>
        <v>0</v>
      </c>
      <c r="G485" s="58">
        <f t="shared" si="475"/>
        <v>0</v>
      </c>
      <c r="H485" s="58">
        <f t="shared" si="475"/>
        <v>0</v>
      </c>
      <c r="I485" s="58">
        <f t="shared" si="475"/>
        <v>59</v>
      </c>
      <c r="J485" s="58">
        <f t="shared" si="475"/>
        <v>0</v>
      </c>
      <c r="K485" s="58">
        <f t="shared" si="475"/>
        <v>0</v>
      </c>
      <c r="L485" s="58">
        <f t="shared" si="475"/>
        <v>0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0" customHeight="1">
      <c r="A486" s="70"/>
      <c r="B486" s="71"/>
      <c r="C486" s="66"/>
      <c r="D486" s="66">
        <f t="shared" si="3"/>
        <v>0</v>
      </c>
      <c r="E486" s="67"/>
      <c r="F486" s="58">
        <f t="shared" ref="F486:L486" si="476">SUMIFS($C486,$B486,F$7)+F485</f>
        <v>0</v>
      </c>
      <c r="G486" s="58">
        <f t="shared" si="476"/>
        <v>0</v>
      </c>
      <c r="H486" s="58">
        <f t="shared" si="476"/>
        <v>0</v>
      </c>
      <c r="I486" s="58">
        <f t="shared" si="476"/>
        <v>59</v>
      </c>
      <c r="J486" s="58">
        <f t="shared" si="476"/>
        <v>0</v>
      </c>
      <c r="K486" s="58">
        <f t="shared" si="476"/>
        <v>0</v>
      </c>
      <c r="L486" s="58">
        <f t="shared" si="476"/>
        <v>0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0" customHeight="1">
      <c r="A487" s="70"/>
      <c r="B487" s="71"/>
      <c r="C487" s="66"/>
      <c r="D487" s="66">
        <f t="shared" si="3"/>
        <v>0</v>
      </c>
      <c r="E487" s="67"/>
      <c r="F487" s="58">
        <f t="shared" ref="F487:L487" si="477">SUMIFS($C487,$B487,F$7)+F486</f>
        <v>0</v>
      </c>
      <c r="G487" s="58">
        <f t="shared" si="477"/>
        <v>0</v>
      </c>
      <c r="H487" s="58">
        <f t="shared" si="477"/>
        <v>0</v>
      </c>
      <c r="I487" s="58">
        <f t="shared" si="477"/>
        <v>59</v>
      </c>
      <c r="J487" s="58">
        <f t="shared" si="477"/>
        <v>0</v>
      </c>
      <c r="K487" s="58">
        <f t="shared" si="477"/>
        <v>0</v>
      </c>
      <c r="L487" s="58">
        <f t="shared" si="477"/>
        <v>0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0" customHeight="1">
      <c r="A488" s="70"/>
      <c r="B488" s="71"/>
      <c r="C488" s="66"/>
      <c r="D488" s="66">
        <f t="shared" si="3"/>
        <v>0</v>
      </c>
      <c r="E488" s="67"/>
      <c r="F488" s="58">
        <f t="shared" ref="F488:L488" si="478">SUMIFS($C488,$B488,F$7)+F487</f>
        <v>0</v>
      </c>
      <c r="G488" s="58">
        <f t="shared" si="478"/>
        <v>0</v>
      </c>
      <c r="H488" s="58">
        <f t="shared" si="478"/>
        <v>0</v>
      </c>
      <c r="I488" s="58">
        <f t="shared" si="478"/>
        <v>59</v>
      </c>
      <c r="J488" s="58">
        <f t="shared" si="478"/>
        <v>0</v>
      </c>
      <c r="K488" s="58">
        <f t="shared" si="478"/>
        <v>0</v>
      </c>
      <c r="L488" s="58">
        <f t="shared" si="478"/>
        <v>0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0" customHeight="1">
      <c r="A489" s="70"/>
      <c r="B489" s="71"/>
      <c r="C489" s="66"/>
      <c r="D489" s="66">
        <f t="shared" si="3"/>
        <v>0</v>
      </c>
      <c r="E489" s="67"/>
      <c r="F489" s="58">
        <f t="shared" ref="F489:L489" si="479">SUMIFS($C489,$B489,F$7)+F488</f>
        <v>0</v>
      </c>
      <c r="G489" s="58">
        <f t="shared" si="479"/>
        <v>0</v>
      </c>
      <c r="H489" s="58">
        <f t="shared" si="479"/>
        <v>0</v>
      </c>
      <c r="I489" s="58">
        <f t="shared" si="479"/>
        <v>59</v>
      </c>
      <c r="J489" s="58">
        <f t="shared" si="479"/>
        <v>0</v>
      </c>
      <c r="K489" s="58">
        <f t="shared" si="479"/>
        <v>0</v>
      </c>
      <c r="L489" s="58">
        <f t="shared" si="479"/>
        <v>0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0" customHeight="1">
      <c r="A490" s="70"/>
      <c r="B490" s="71"/>
      <c r="C490" s="66"/>
      <c r="D490" s="66">
        <f t="shared" si="3"/>
        <v>0</v>
      </c>
      <c r="E490" s="67"/>
      <c r="F490" s="58">
        <f t="shared" ref="F490:L490" si="480">SUMIFS($C490,$B490,F$7)+F489</f>
        <v>0</v>
      </c>
      <c r="G490" s="58">
        <f t="shared" si="480"/>
        <v>0</v>
      </c>
      <c r="H490" s="58">
        <f t="shared" si="480"/>
        <v>0</v>
      </c>
      <c r="I490" s="58">
        <f t="shared" si="480"/>
        <v>59</v>
      </c>
      <c r="J490" s="58">
        <f t="shared" si="480"/>
        <v>0</v>
      </c>
      <c r="K490" s="58">
        <f t="shared" si="480"/>
        <v>0</v>
      </c>
      <c r="L490" s="58">
        <f t="shared" si="480"/>
        <v>0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0" customHeight="1">
      <c r="A491" s="70"/>
      <c r="B491" s="71"/>
      <c r="C491" s="66"/>
      <c r="D491" s="66">
        <f t="shared" si="3"/>
        <v>0</v>
      </c>
      <c r="E491" s="67"/>
      <c r="F491" s="58">
        <f t="shared" ref="F491:L491" si="481">SUMIFS($C491,$B491,F$7)+F490</f>
        <v>0</v>
      </c>
      <c r="G491" s="58">
        <f t="shared" si="481"/>
        <v>0</v>
      </c>
      <c r="H491" s="58">
        <f t="shared" si="481"/>
        <v>0</v>
      </c>
      <c r="I491" s="58">
        <f t="shared" si="481"/>
        <v>59</v>
      </c>
      <c r="J491" s="58">
        <f t="shared" si="481"/>
        <v>0</v>
      </c>
      <c r="K491" s="58">
        <f t="shared" si="481"/>
        <v>0</v>
      </c>
      <c r="L491" s="58">
        <f t="shared" si="481"/>
        <v>0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0" customHeight="1">
      <c r="A492" s="70"/>
      <c r="B492" s="71"/>
      <c r="C492" s="66"/>
      <c r="D492" s="66">
        <f t="shared" si="3"/>
        <v>0</v>
      </c>
      <c r="E492" s="67"/>
      <c r="F492" s="58">
        <f t="shared" ref="F492:L492" si="482">SUMIFS($C492,$B492,F$7)+F491</f>
        <v>0</v>
      </c>
      <c r="G492" s="58">
        <f t="shared" si="482"/>
        <v>0</v>
      </c>
      <c r="H492" s="58">
        <f t="shared" si="482"/>
        <v>0</v>
      </c>
      <c r="I492" s="58">
        <f t="shared" si="482"/>
        <v>59</v>
      </c>
      <c r="J492" s="58">
        <f t="shared" si="482"/>
        <v>0</v>
      </c>
      <c r="K492" s="58">
        <f t="shared" si="482"/>
        <v>0</v>
      </c>
      <c r="L492" s="58">
        <f t="shared" si="482"/>
        <v>0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0" customHeight="1">
      <c r="A493" s="70"/>
      <c r="B493" s="71"/>
      <c r="C493" s="66"/>
      <c r="D493" s="66">
        <f t="shared" si="3"/>
        <v>0</v>
      </c>
      <c r="E493" s="67"/>
      <c r="F493" s="58">
        <f t="shared" ref="F493:L493" si="483">SUMIFS($C493,$B493,F$7)+F492</f>
        <v>0</v>
      </c>
      <c r="G493" s="58">
        <f t="shared" si="483"/>
        <v>0</v>
      </c>
      <c r="H493" s="58">
        <f t="shared" si="483"/>
        <v>0</v>
      </c>
      <c r="I493" s="58">
        <f t="shared" si="483"/>
        <v>59</v>
      </c>
      <c r="J493" s="58">
        <f t="shared" si="483"/>
        <v>0</v>
      </c>
      <c r="K493" s="58">
        <f t="shared" si="483"/>
        <v>0</v>
      </c>
      <c r="L493" s="58">
        <f t="shared" si="483"/>
        <v>0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0" customHeight="1">
      <c r="A494" s="70"/>
      <c r="B494" s="71"/>
      <c r="C494" s="66"/>
      <c r="D494" s="66">
        <f t="shared" si="3"/>
        <v>0</v>
      </c>
      <c r="E494" s="67"/>
      <c r="F494" s="58">
        <f t="shared" ref="F494:L494" si="484">SUMIFS($C494,$B494,F$7)+F493</f>
        <v>0</v>
      </c>
      <c r="G494" s="58">
        <f t="shared" si="484"/>
        <v>0</v>
      </c>
      <c r="H494" s="58">
        <f t="shared" si="484"/>
        <v>0</v>
      </c>
      <c r="I494" s="58">
        <f t="shared" si="484"/>
        <v>59</v>
      </c>
      <c r="J494" s="58">
        <f t="shared" si="484"/>
        <v>0</v>
      </c>
      <c r="K494" s="58">
        <f t="shared" si="484"/>
        <v>0</v>
      </c>
      <c r="L494" s="58">
        <f t="shared" si="484"/>
        <v>0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0" customHeight="1">
      <c r="A495" s="70"/>
      <c r="B495" s="71"/>
      <c r="C495" s="66"/>
      <c r="D495" s="66">
        <f t="shared" si="3"/>
        <v>0</v>
      </c>
      <c r="E495" s="67"/>
      <c r="F495" s="58">
        <f t="shared" ref="F495:L495" si="485">SUMIFS($C495,$B495,F$7)+F494</f>
        <v>0</v>
      </c>
      <c r="G495" s="58">
        <f t="shared" si="485"/>
        <v>0</v>
      </c>
      <c r="H495" s="58">
        <f t="shared" si="485"/>
        <v>0</v>
      </c>
      <c r="I495" s="58">
        <f t="shared" si="485"/>
        <v>59</v>
      </c>
      <c r="J495" s="58">
        <f t="shared" si="485"/>
        <v>0</v>
      </c>
      <c r="K495" s="58">
        <f t="shared" si="485"/>
        <v>0</v>
      </c>
      <c r="L495" s="58">
        <f t="shared" si="485"/>
        <v>0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0" customHeight="1">
      <c r="A496" s="70"/>
      <c r="B496" s="71"/>
      <c r="C496" s="66"/>
      <c r="D496" s="66">
        <f t="shared" si="3"/>
        <v>0</v>
      </c>
      <c r="E496" s="67"/>
      <c r="F496" s="58">
        <f t="shared" ref="F496:L496" si="486">SUMIFS($C496,$B496,F$7)+F495</f>
        <v>0</v>
      </c>
      <c r="G496" s="58">
        <f t="shared" si="486"/>
        <v>0</v>
      </c>
      <c r="H496" s="58">
        <f t="shared" si="486"/>
        <v>0</v>
      </c>
      <c r="I496" s="58">
        <f t="shared" si="486"/>
        <v>59</v>
      </c>
      <c r="J496" s="58">
        <f t="shared" si="486"/>
        <v>0</v>
      </c>
      <c r="K496" s="58">
        <f t="shared" si="486"/>
        <v>0</v>
      </c>
      <c r="L496" s="58">
        <f t="shared" si="486"/>
        <v>0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0" customHeight="1">
      <c r="A497" s="70"/>
      <c r="B497" s="71"/>
      <c r="C497" s="66"/>
      <c r="D497" s="66">
        <f t="shared" si="3"/>
        <v>0</v>
      </c>
      <c r="E497" s="67"/>
      <c r="F497" s="58">
        <f t="shared" ref="F497:L497" si="487">SUMIFS($C497,$B497,F$7)+F496</f>
        <v>0</v>
      </c>
      <c r="G497" s="58">
        <f t="shared" si="487"/>
        <v>0</v>
      </c>
      <c r="H497" s="58">
        <f t="shared" si="487"/>
        <v>0</v>
      </c>
      <c r="I497" s="58">
        <f t="shared" si="487"/>
        <v>59</v>
      </c>
      <c r="J497" s="58">
        <f t="shared" si="487"/>
        <v>0</v>
      </c>
      <c r="K497" s="58">
        <f t="shared" si="487"/>
        <v>0</v>
      </c>
      <c r="L497" s="58">
        <f t="shared" si="487"/>
        <v>0</v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0" customHeight="1">
      <c r="A498" s="70"/>
      <c r="B498" s="71"/>
      <c r="C498" s="66"/>
      <c r="D498" s="66">
        <f t="shared" si="3"/>
        <v>0</v>
      </c>
      <c r="E498" s="67"/>
      <c r="F498" s="58">
        <f t="shared" ref="F498:L498" si="488">SUMIFS($C498,$B498,F$7)+F497</f>
        <v>0</v>
      </c>
      <c r="G498" s="58">
        <f t="shared" si="488"/>
        <v>0</v>
      </c>
      <c r="H498" s="58">
        <f t="shared" si="488"/>
        <v>0</v>
      </c>
      <c r="I498" s="58">
        <f t="shared" si="488"/>
        <v>59</v>
      </c>
      <c r="J498" s="58">
        <f t="shared" si="488"/>
        <v>0</v>
      </c>
      <c r="K498" s="58">
        <f t="shared" si="488"/>
        <v>0</v>
      </c>
      <c r="L498" s="58">
        <f t="shared" si="488"/>
        <v>0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0" customHeight="1">
      <c r="A499" s="70"/>
      <c r="B499" s="71"/>
      <c r="C499" s="66"/>
      <c r="D499" s="66">
        <f t="shared" si="3"/>
        <v>0</v>
      </c>
      <c r="E499" s="67"/>
      <c r="F499" s="58">
        <f t="shared" ref="F499:L499" si="489">SUMIFS($C499,$B499,F$7)+F498</f>
        <v>0</v>
      </c>
      <c r="G499" s="58">
        <f t="shared" si="489"/>
        <v>0</v>
      </c>
      <c r="H499" s="58">
        <f t="shared" si="489"/>
        <v>0</v>
      </c>
      <c r="I499" s="58">
        <f t="shared" si="489"/>
        <v>59</v>
      </c>
      <c r="J499" s="58">
        <f t="shared" si="489"/>
        <v>0</v>
      </c>
      <c r="K499" s="58">
        <f t="shared" si="489"/>
        <v>0</v>
      </c>
      <c r="L499" s="58">
        <f t="shared" si="489"/>
        <v>0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0" customHeight="1">
      <c r="A500" s="70"/>
      <c r="B500" s="71"/>
      <c r="C500" s="66"/>
      <c r="D500" s="66">
        <f t="shared" si="3"/>
        <v>0</v>
      </c>
      <c r="E500" s="67"/>
      <c r="F500" s="58">
        <f t="shared" ref="F500:L500" si="490">SUMIFS($C500,$B500,F$7)+F499</f>
        <v>0</v>
      </c>
      <c r="G500" s="58">
        <f t="shared" si="490"/>
        <v>0</v>
      </c>
      <c r="H500" s="58">
        <f t="shared" si="490"/>
        <v>0</v>
      </c>
      <c r="I500" s="58">
        <f t="shared" si="490"/>
        <v>59</v>
      </c>
      <c r="J500" s="58">
        <f t="shared" si="490"/>
        <v>0</v>
      </c>
      <c r="K500" s="58">
        <f t="shared" si="490"/>
        <v>0</v>
      </c>
      <c r="L500" s="58">
        <f t="shared" si="490"/>
        <v>0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0" customHeight="1">
      <c r="A501" s="70"/>
      <c r="B501" s="71"/>
      <c r="C501" s="66"/>
      <c r="D501" s="66">
        <f t="shared" si="3"/>
        <v>0</v>
      </c>
      <c r="E501" s="67"/>
      <c r="F501" s="58">
        <f t="shared" ref="F501:L501" si="491">SUMIFS($C501,$B501,F$7)+F500</f>
        <v>0</v>
      </c>
      <c r="G501" s="58">
        <f t="shared" si="491"/>
        <v>0</v>
      </c>
      <c r="H501" s="58">
        <f t="shared" si="491"/>
        <v>0</v>
      </c>
      <c r="I501" s="58">
        <f t="shared" si="491"/>
        <v>59</v>
      </c>
      <c r="J501" s="58">
        <f t="shared" si="491"/>
        <v>0</v>
      </c>
      <c r="K501" s="58">
        <f t="shared" si="491"/>
        <v>0</v>
      </c>
      <c r="L501" s="58">
        <f t="shared" si="491"/>
        <v>0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0" customHeight="1">
      <c r="A502" s="70"/>
      <c r="B502" s="71"/>
      <c r="C502" s="66"/>
      <c r="D502" s="66">
        <f t="shared" si="3"/>
        <v>0</v>
      </c>
      <c r="E502" s="67"/>
      <c r="F502" s="58">
        <f t="shared" ref="F502:L502" si="492">SUMIFS($C502,$B502,F$7)+F501</f>
        <v>0</v>
      </c>
      <c r="G502" s="58">
        <f t="shared" si="492"/>
        <v>0</v>
      </c>
      <c r="H502" s="58">
        <f t="shared" si="492"/>
        <v>0</v>
      </c>
      <c r="I502" s="58">
        <f t="shared" si="492"/>
        <v>59</v>
      </c>
      <c r="J502" s="58">
        <f t="shared" si="492"/>
        <v>0</v>
      </c>
      <c r="K502" s="58">
        <f t="shared" si="492"/>
        <v>0</v>
      </c>
      <c r="L502" s="58">
        <f t="shared" si="492"/>
        <v>0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0" customHeight="1">
      <c r="A503" s="70"/>
      <c r="B503" s="71"/>
      <c r="C503" s="66"/>
      <c r="D503" s="66">
        <f t="shared" si="3"/>
        <v>0</v>
      </c>
      <c r="E503" s="67"/>
      <c r="F503" s="58">
        <f t="shared" ref="F503:L503" si="493">SUMIFS($C503,$B503,F$7)+F502</f>
        <v>0</v>
      </c>
      <c r="G503" s="58">
        <f t="shared" si="493"/>
        <v>0</v>
      </c>
      <c r="H503" s="58">
        <f t="shared" si="493"/>
        <v>0</v>
      </c>
      <c r="I503" s="58">
        <f t="shared" si="493"/>
        <v>59</v>
      </c>
      <c r="J503" s="58">
        <f t="shared" si="493"/>
        <v>0</v>
      </c>
      <c r="K503" s="58">
        <f t="shared" si="493"/>
        <v>0</v>
      </c>
      <c r="L503" s="58">
        <f t="shared" si="493"/>
        <v>0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0" customHeight="1">
      <c r="A504" s="70"/>
      <c r="B504" s="71"/>
      <c r="C504" s="66"/>
      <c r="D504" s="66">
        <f t="shared" si="3"/>
        <v>0</v>
      </c>
      <c r="E504" s="67"/>
      <c r="F504" s="58">
        <f t="shared" ref="F504:L504" si="494">SUMIFS($C504,$B504,F$7)+F503</f>
        <v>0</v>
      </c>
      <c r="G504" s="58">
        <f t="shared" si="494"/>
        <v>0</v>
      </c>
      <c r="H504" s="58">
        <f t="shared" si="494"/>
        <v>0</v>
      </c>
      <c r="I504" s="58">
        <f t="shared" si="494"/>
        <v>59</v>
      </c>
      <c r="J504" s="58">
        <f t="shared" si="494"/>
        <v>0</v>
      </c>
      <c r="K504" s="58">
        <f t="shared" si="494"/>
        <v>0</v>
      </c>
      <c r="L504" s="58">
        <f t="shared" si="494"/>
        <v>0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0" customHeight="1">
      <c r="A505" s="70"/>
      <c r="B505" s="71"/>
      <c r="C505" s="66"/>
      <c r="D505" s="66">
        <f t="shared" si="3"/>
        <v>0</v>
      </c>
      <c r="E505" s="67"/>
      <c r="F505" s="58">
        <f t="shared" ref="F505:L505" si="495">SUMIFS($C505,$B505,F$7)+F504</f>
        <v>0</v>
      </c>
      <c r="G505" s="58">
        <f t="shared" si="495"/>
        <v>0</v>
      </c>
      <c r="H505" s="58">
        <f t="shared" si="495"/>
        <v>0</v>
      </c>
      <c r="I505" s="58">
        <f t="shared" si="495"/>
        <v>59</v>
      </c>
      <c r="J505" s="58">
        <f t="shared" si="495"/>
        <v>0</v>
      </c>
      <c r="K505" s="58">
        <f t="shared" si="495"/>
        <v>0</v>
      </c>
      <c r="L505" s="58">
        <f t="shared" si="495"/>
        <v>0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0" customHeight="1">
      <c r="A506" s="70"/>
      <c r="B506" s="71"/>
      <c r="C506" s="66"/>
      <c r="D506" s="66">
        <f t="shared" si="3"/>
        <v>0</v>
      </c>
      <c r="E506" s="67"/>
      <c r="F506" s="58">
        <f t="shared" ref="F506:L506" si="496">SUMIFS($C506,$B506,F$7)+F505</f>
        <v>0</v>
      </c>
      <c r="G506" s="58">
        <f t="shared" si="496"/>
        <v>0</v>
      </c>
      <c r="H506" s="58">
        <f t="shared" si="496"/>
        <v>0</v>
      </c>
      <c r="I506" s="58">
        <f t="shared" si="496"/>
        <v>59</v>
      </c>
      <c r="J506" s="58">
        <f t="shared" si="496"/>
        <v>0</v>
      </c>
      <c r="K506" s="58">
        <f t="shared" si="496"/>
        <v>0</v>
      </c>
      <c r="L506" s="58">
        <f t="shared" si="496"/>
        <v>0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0" customHeight="1">
      <c r="A507" s="70"/>
      <c r="B507" s="71"/>
      <c r="C507" s="66"/>
      <c r="D507" s="66">
        <f t="shared" si="3"/>
        <v>0</v>
      </c>
      <c r="E507" s="67"/>
      <c r="F507" s="58">
        <f t="shared" ref="F507:L507" si="497">SUMIFS($C507,$B507,F$7)+F506</f>
        <v>0</v>
      </c>
      <c r="G507" s="58">
        <f t="shared" si="497"/>
        <v>0</v>
      </c>
      <c r="H507" s="58">
        <f t="shared" si="497"/>
        <v>0</v>
      </c>
      <c r="I507" s="58">
        <f t="shared" si="497"/>
        <v>59</v>
      </c>
      <c r="J507" s="58">
        <f t="shared" si="497"/>
        <v>0</v>
      </c>
      <c r="K507" s="58">
        <f t="shared" si="497"/>
        <v>0</v>
      </c>
      <c r="L507" s="58">
        <f t="shared" si="497"/>
        <v>0</v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0" customHeight="1">
      <c r="A508" s="70"/>
      <c r="B508" s="71"/>
      <c r="C508" s="66"/>
      <c r="D508" s="66">
        <f t="shared" si="3"/>
        <v>0</v>
      </c>
      <c r="E508" s="67"/>
      <c r="F508" s="58">
        <f t="shared" ref="F508:L508" si="498">SUMIFS($C508,$B508,F$7)+F507</f>
        <v>0</v>
      </c>
      <c r="G508" s="58">
        <f t="shared" si="498"/>
        <v>0</v>
      </c>
      <c r="H508" s="58">
        <f t="shared" si="498"/>
        <v>0</v>
      </c>
      <c r="I508" s="58">
        <f t="shared" si="498"/>
        <v>59</v>
      </c>
      <c r="J508" s="58">
        <f t="shared" si="498"/>
        <v>0</v>
      </c>
      <c r="K508" s="58">
        <f t="shared" si="498"/>
        <v>0</v>
      </c>
      <c r="L508" s="58">
        <f t="shared" si="498"/>
        <v>0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0" customHeight="1">
      <c r="A509" s="70"/>
      <c r="B509" s="71"/>
      <c r="C509" s="66"/>
      <c r="D509" s="66">
        <f t="shared" si="3"/>
        <v>0</v>
      </c>
      <c r="E509" s="67"/>
      <c r="F509" s="58">
        <f t="shared" ref="F509:L509" si="499">SUMIFS($C509,$B509,F$7)+F508</f>
        <v>0</v>
      </c>
      <c r="G509" s="58">
        <f t="shared" si="499"/>
        <v>0</v>
      </c>
      <c r="H509" s="58">
        <f t="shared" si="499"/>
        <v>0</v>
      </c>
      <c r="I509" s="58">
        <f t="shared" si="499"/>
        <v>59</v>
      </c>
      <c r="J509" s="58">
        <f t="shared" si="499"/>
        <v>0</v>
      </c>
      <c r="K509" s="58">
        <f t="shared" si="499"/>
        <v>0</v>
      </c>
      <c r="L509" s="58">
        <f t="shared" si="499"/>
        <v>0</v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0" customHeight="1">
      <c r="A510" s="70"/>
      <c r="B510" s="71"/>
      <c r="C510" s="66"/>
      <c r="D510" s="66">
        <f t="shared" si="3"/>
        <v>0</v>
      </c>
      <c r="E510" s="67"/>
      <c r="F510" s="58">
        <f t="shared" ref="F510:L510" si="500">SUMIFS($C510,$B510,F$7)+F509</f>
        <v>0</v>
      </c>
      <c r="G510" s="58">
        <f t="shared" si="500"/>
        <v>0</v>
      </c>
      <c r="H510" s="58">
        <f t="shared" si="500"/>
        <v>0</v>
      </c>
      <c r="I510" s="58">
        <f t="shared" si="500"/>
        <v>59</v>
      </c>
      <c r="J510" s="58">
        <f t="shared" si="500"/>
        <v>0</v>
      </c>
      <c r="K510" s="58">
        <f t="shared" si="500"/>
        <v>0</v>
      </c>
      <c r="L510" s="58">
        <f t="shared" si="500"/>
        <v>0</v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0" customHeight="1">
      <c r="A511" s="70"/>
      <c r="B511" s="71"/>
      <c r="C511" s="66"/>
      <c r="D511" s="66">
        <f t="shared" si="3"/>
        <v>0</v>
      </c>
      <c r="E511" s="67"/>
      <c r="F511" s="58">
        <f t="shared" ref="F511:L511" si="501">SUMIFS($C511,$B511,F$7)+F510</f>
        <v>0</v>
      </c>
      <c r="G511" s="58">
        <f t="shared" si="501"/>
        <v>0</v>
      </c>
      <c r="H511" s="58">
        <f t="shared" si="501"/>
        <v>0</v>
      </c>
      <c r="I511" s="58">
        <f t="shared" si="501"/>
        <v>59</v>
      </c>
      <c r="J511" s="58">
        <f t="shared" si="501"/>
        <v>0</v>
      </c>
      <c r="K511" s="58">
        <f t="shared" si="501"/>
        <v>0</v>
      </c>
      <c r="L511" s="58">
        <f t="shared" si="501"/>
        <v>0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0" customHeight="1">
      <c r="A512" s="70"/>
      <c r="B512" s="71"/>
      <c r="C512" s="66"/>
      <c r="D512" s="66">
        <f t="shared" si="3"/>
        <v>0</v>
      </c>
      <c r="E512" s="67"/>
      <c r="F512" s="58">
        <f t="shared" ref="F512:L512" si="502">SUMIFS($C512,$B512,F$7)+F511</f>
        <v>0</v>
      </c>
      <c r="G512" s="58">
        <f t="shared" si="502"/>
        <v>0</v>
      </c>
      <c r="H512" s="58">
        <f t="shared" si="502"/>
        <v>0</v>
      </c>
      <c r="I512" s="58">
        <f t="shared" si="502"/>
        <v>59</v>
      </c>
      <c r="J512" s="58">
        <f t="shared" si="502"/>
        <v>0</v>
      </c>
      <c r="K512" s="58">
        <f t="shared" si="502"/>
        <v>0</v>
      </c>
      <c r="L512" s="58">
        <f t="shared" si="502"/>
        <v>0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0" customHeight="1">
      <c r="A513" s="70"/>
      <c r="B513" s="71"/>
      <c r="C513" s="66"/>
      <c r="D513" s="66">
        <f t="shared" si="3"/>
        <v>0</v>
      </c>
      <c r="E513" s="67"/>
      <c r="F513" s="58">
        <f t="shared" ref="F513:L513" si="503">SUMIFS($C513,$B513,F$7)+F512</f>
        <v>0</v>
      </c>
      <c r="G513" s="58">
        <f t="shared" si="503"/>
        <v>0</v>
      </c>
      <c r="H513" s="58">
        <f t="shared" si="503"/>
        <v>0</v>
      </c>
      <c r="I513" s="58">
        <f t="shared" si="503"/>
        <v>59</v>
      </c>
      <c r="J513" s="58">
        <f t="shared" si="503"/>
        <v>0</v>
      </c>
      <c r="K513" s="58">
        <f t="shared" si="503"/>
        <v>0</v>
      </c>
      <c r="L513" s="58">
        <f t="shared" si="503"/>
        <v>0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0" customHeight="1">
      <c r="A514" s="70"/>
      <c r="B514" s="71"/>
      <c r="C514" s="66"/>
      <c r="D514" s="66">
        <f t="shared" si="3"/>
        <v>0</v>
      </c>
      <c r="E514" s="67"/>
      <c r="F514" s="58">
        <f t="shared" ref="F514:L514" si="504">SUMIFS($C514,$B514,F$7)+F513</f>
        <v>0</v>
      </c>
      <c r="G514" s="58">
        <f t="shared" si="504"/>
        <v>0</v>
      </c>
      <c r="H514" s="58">
        <f t="shared" si="504"/>
        <v>0</v>
      </c>
      <c r="I514" s="58">
        <f t="shared" si="504"/>
        <v>59</v>
      </c>
      <c r="J514" s="58">
        <f t="shared" si="504"/>
        <v>0</v>
      </c>
      <c r="K514" s="58">
        <f t="shared" si="504"/>
        <v>0</v>
      </c>
      <c r="L514" s="58">
        <f t="shared" si="504"/>
        <v>0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0" customHeight="1">
      <c r="A515" s="70"/>
      <c r="B515" s="71"/>
      <c r="C515" s="66"/>
      <c r="D515" s="66">
        <f t="shared" si="3"/>
        <v>0</v>
      </c>
      <c r="E515" s="67"/>
      <c r="F515" s="58">
        <f t="shared" ref="F515:L515" si="505">SUMIFS($C515,$B515,F$7)+F514</f>
        <v>0</v>
      </c>
      <c r="G515" s="58">
        <f t="shared" si="505"/>
        <v>0</v>
      </c>
      <c r="H515" s="58">
        <f t="shared" si="505"/>
        <v>0</v>
      </c>
      <c r="I515" s="58">
        <f t="shared" si="505"/>
        <v>59</v>
      </c>
      <c r="J515" s="58">
        <f t="shared" si="505"/>
        <v>0</v>
      </c>
      <c r="K515" s="58">
        <f t="shared" si="505"/>
        <v>0</v>
      </c>
      <c r="L515" s="58">
        <f t="shared" si="505"/>
        <v>0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0" customHeight="1">
      <c r="A516" s="70"/>
      <c r="B516" s="71"/>
      <c r="C516" s="66"/>
      <c r="D516" s="66">
        <f t="shared" si="3"/>
        <v>0</v>
      </c>
      <c r="E516" s="67"/>
      <c r="F516" s="58">
        <f t="shared" ref="F516:L516" si="506">SUMIFS($C516,$B516,F$7)+F515</f>
        <v>0</v>
      </c>
      <c r="G516" s="58">
        <f t="shared" si="506"/>
        <v>0</v>
      </c>
      <c r="H516" s="58">
        <f t="shared" si="506"/>
        <v>0</v>
      </c>
      <c r="I516" s="58">
        <f t="shared" si="506"/>
        <v>59</v>
      </c>
      <c r="J516" s="58">
        <f t="shared" si="506"/>
        <v>0</v>
      </c>
      <c r="K516" s="58">
        <f t="shared" si="506"/>
        <v>0</v>
      </c>
      <c r="L516" s="58">
        <f t="shared" si="506"/>
        <v>0</v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0" customHeight="1">
      <c r="A517" s="70"/>
      <c r="B517" s="71"/>
      <c r="C517" s="66"/>
      <c r="D517" s="66">
        <f t="shared" si="3"/>
        <v>0</v>
      </c>
      <c r="E517" s="67"/>
      <c r="F517" s="58">
        <f t="shared" ref="F517:L517" si="507">SUMIFS($C517,$B517,F$7)+F516</f>
        <v>0</v>
      </c>
      <c r="G517" s="58">
        <f t="shared" si="507"/>
        <v>0</v>
      </c>
      <c r="H517" s="58">
        <f t="shared" si="507"/>
        <v>0</v>
      </c>
      <c r="I517" s="58">
        <f t="shared" si="507"/>
        <v>59</v>
      </c>
      <c r="J517" s="58">
        <f t="shared" si="507"/>
        <v>0</v>
      </c>
      <c r="K517" s="58">
        <f t="shared" si="507"/>
        <v>0</v>
      </c>
      <c r="L517" s="58">
        <f t="shared" si="507"/>
        <v>0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0" customHeight="1">
      <c r="A518" s="70"/>
      <c r="B518" s="71"/>
      <c r="C518" s="66"/>
      <c r="D518" s="66">
        <f t="shared" si="3"/>
        <v>0</v>
      </c>
      <c r="E518" s="67"/>
      <c r="F518" s="58">
        <f t="shared" ref="F518:L518" si="508">SUMIFS($C518,$B518,F$7)+F517</f>
        <v>0</v>
      </c>
      <c r="G518" s="58">
        <f t="shared" si="508"/>
        <v>0</v>
      </c>
      <c r="H518" s="58">
        <f t="shared" si="508"/>
        <v>0</v>
      </c>
      <c r="I518" s="58">
        <f t="shared" si="508"/>
        <v>59</v>
      </c>
      <c r="J518" s="58">
        <f t="shared" si="508"/>
        <v>0</v>
      </c>
      <c r="K518" s="58">
        <f t="shared" si="508"/>
        <v>0</v>
      </c>
      <c r="L518" s="58">
        <f t="shared" si="508"/>
        <v>0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0" customHeight="1">
      <c r="A519" s="70"/>
      <c r="B519" s="71"/>
      <c r="C519" s="66"/>
      <c r="D519" s="66">
        <f t="shared" si="3"/>
        <v>0</v>
      </c>
      <c r="E519" s="67"/>
      <c r="F519" s="58">
        <f t="shared" ref="F519:L519" si="509">SUMIFS($C519,$B519,F$7)+F518</f>
        <v>0</v>
      </c>
      <c r="G519" s="58">
        <f t="shared" si="509"/>
        <v>0</v>
      </c>
      <c r="H519" s="58">
        <f t="shared" si="509"/>
        <v>0</v>
      </c>
      <c r="I519" s="58">
        <f t="shared" si="509"/>
        <v>59</v>
      </c>
      <c r="J519" s="58">
        <f t="shared" si="509"/>
        <v>0</v>
      </c>
      <c r="K519" s="58">
        <f t="shared" si="509"/>
        <v>0</v>
      </c>
      <c r="L519" s="58">
        <f t="shared" si="509"/>
        <v>0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0" customHeight="1">
      <c r="A520" s="70"/>
      <c r="B520" s="71"/>
      <c r="C520" s="66"/>
      <c r="D520" s="66">
        <f t="shared" si="3"/>
        <v>0</v>
      </c>
      <c r="E520" s="67"/>
      <c r="F520" s="58">
        <f t="shared" ref="F520:L520" si="510">SUMIFS($C520,$B520,F$7)+F519</f>
        <v>0</v>
      </c>
      <c r="G520" s="58">
        <f t="shared" si="510"/>
        <v>0</v>
      </c>
      <c r="H520" s="58">
        <f t="shared" si="510"/>
        <v>0</v>
      </c>
      <c r="I520" s="58">
        <f t="shared" si="510"/>
        <v>59</v>
      </c>
      <c r="J520" s="58">
        <f t="shared" si="510"/>
        <v>0</v>
      </c>
      <c r="K520" s="58">
        <f t="shared" si="510"/>
        <v>0</v>
      </c>
      <c r="L520" s="58">
        <f t="shared" si="510"/>
        <v>0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0" customHeight="1">
      <c r="A521" s="70"/>
      <c r="B521" s="71"/>
      <c r="C521" s="66"/>
      <c r="D521" s="66">
        <f t="shared" si="3"/>
        <v>0</v>
      </c>
      <c r="E521" s="67"/>
      <c r="F521" s="58">
        <f t="shared" ref="F521:L521" si="511">SUMIFS($C521,$B521,F$7)+F520</f>
        <v>0</v>
      </c>
      <c r="G521" s="58">
        <f t="shared" si="511"/>
        <v>0</v>
      </c>
      <c r="H521" s="58">
        <f t="shared" si="511"/>
        <v>0</v>
      </c>
      <c r="I521" s="58">
        <f t="shared" si="511"/>
        <v>59</v>
      </c>
      <c r="J521" s="58">
        <f t="shared" si="511"/>
        <v>0</v>
      </c>
      <c r="K521" s="58">
        <f t="shared" si="511"/>
        <v>0</v>
      </c>
      <c r="L521" s="58">
        <f t="shared" si="511"/>
        <v>0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0" customHeight="1">
      <c r="A522" s="70"/>
      <c r="B522" s="71"/>
      <c r="C522" s="66"/>
      <c r="D522" s="66">
        <f t="shared" si="3"/>
        <v>0</v>
      </c>
      <c r="E522" s="67"/>
      <c r="F522" s="58">
        <f t="shared" ref="F522:L522" si="512">SUMIFS($C522,$B522,F$7)+F521</f>
        <v>0</v>
      </c>
      <c r="G522" s="58">
        <f t="shared" si="512"/>
        <v>0</v>
      </c>
      <c r="H522" s="58">
        <f t="shared" si="512"/>
        <v>0</v>
      </c>
      <c r="I522" s="58">
        <f t="shared" si="512"/>
        <v>59</v>
      </c>
      <c r="J522" s="58">
        <f t="shared" si="512"/>
        <v>0</v>
      </c>
      <c r="K522" s="58">
        <f t="shared" si="512"/>
        <v>0</v>
      </c>
      <c r="L522" s="58">
        <f t="shared" si="512"/>
        <v>0</v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0" customHeight="1">
      <c r="A523" s="70"/>
      <c r="B523" s="71"/>
      <c r="C523" s="66"/>
      <c r="D523" s="66">
        <f t="shared" si="3"/>
        <v>0</v>
      </c>
      <c r="E523" s="67"/>
      <c r="F523" s="58">
        <f t="shared" ref="F523:L523" si="513">SUMIFS($C523,$B523,F$7)+F522</f>
        <v>0</v>
      </c>
      <c r="G523" s="58">
        <f t="shared" si="513"/>
        <v>0</v>
      </c>
      <c r="H523" s="58">
        <f t="shared" si="513"/>
        <v>0</v>
      </c>
      <c r="I523" s="58">
        <f t="shared" si="513"/>
        <v>59</v>
      </c>
      <c r="J523" s="58">
        <f t="shared" si="513"/>
        <v>0</v>
      </c>
      <c r="K523" s="58">
        <f t="shared" si="513"/>
        <v>0</v>
      </c>
      <c r="L523" s="58">
        <f t="shared" si="513"/>
        <v>0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0" customHeight="1">
      <c r="A524" s="70"/>
      <c r="B524" s="71"/>
      <c r="C524" s="66"/>
      <c r="D524" s="66">
        <f t="shared" si="3"/>
        <v>0</v>
      </c>
      <c r="E524" s="67"/>
      <c r="F524" s="58">
        <f t="shared" ref="F524:L524" si="514">SUMIFS($C524,$B524,F$7)+F523</f>
        <v>0</v>
      </c>
      <c r="G524" s="58">
        <f t="shared" si="514"/>
        <v>0</v>
      </c>
      <c r="H524" s="58">
        <f t="shared" si="514"/>
        <v>0</v>
      </c>
      <c r="I524" s="58">
        <f t="shared" si="514"/>
        <v>59</v>
      </c>
      <c r="J524" s="58">
        <f t="shared" si="514"/>
        <v>0</v>
      </c>
      <c r="K524" s="58">
        <f t="shared" si="514"/>
        <v>0</v>
      </c>
      <c r="L524" s="58">
        <f t="shared" si="514"/>
        <v>0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0" customHeight="1">
      <c r="A525" s="70"/>
      <c r="B525" s="71"/>
      <c r="C525" s="66"/>
      <c r="D525" s="66">
        <f t="shared" si="3"/>
        <v>0</v>
      </c>
      <c r="E525" s="67"/>
      <c r="F525" s="58">
        <f t="shared" ref="F525:L525" si="515">SUMIFS($C525,$B525,F$7)+F524</f>
        <v>0</v>
      </c>
      <c r="G525" s="58">
        <f t="shared" si="515"/>
        <v>0</v>
      </c>
      <c r="H525" s="58">
        <f t="shared" si="515"/>
        <v>0</v>
      </c>
      <c r="I525" s="58">
        <f t="shared" si="515"/>
        <v>59</v>
      </c>
      <c r="J525" s="58">
        <f t="shared" si="515"/>
        <v>0</v>
      </c>
      <c r="K525" s="58">
        <f t="shared" si="515"/>
        <v>0</v>
      </c>
      <c r="L525" s="58">
        <f t="shared" si="515"/>
        <v>0</v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0" customHeight="1">
      <c r="A526" s="70"/>
      <c r="B526" s="71"/>
      <c r="C526" s="66"/>
      <c r="D526" s="66">
        <f t="shared" si="3"/>
        <v>0</v>
      </c>
      <c r="E526" s="67"/>
      <c r="F526" s="58">
        <f t="shared" ref="F526:L526" si="516">SUMIFS($C526,$B526,F$7)+F525</f>
        <v>0</v>
      </c>
      <c r="G526" s="58">
        <f t="shared" si="516"/>
        <v>0</v>
      </c>
      <c r="H526" s="58">
        <f t="shared" si="516"/>
        <v>0</v>
      </c>
      <c r="I526" s="58">
        <f t="shared" si="516"/>
        <v>59</v>
      </c>
      <c r="J526" s="58">
        <f t="shared" si="516"/>
        <v>0</v>
      </c>
      <c r="K526" s="58">
        <f t="shared" si="516"/>
        <v>0</v>
      </c>
      <c r="L526" s="58">
        <f t="shared" si="516"/>
        <v>0</v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0" customHeight="1">
      <c r="A527" s="70"/>
      <c r="B527" s="71"/>
      <c r="C527" s="66"/>
      <c r="D527" s="66">
        <f t="shared" si="3"/>
        <v>0</v>
      </c>
      <c r="E527" s="67"/>
      <c r="F527" s="58">
        <f t="shared" ref="F527:L527" si="517">SUMIFS($C527,$B527,F$7)+F526</f>
        <v>0</v>
      </c>
      <c r="G527" s="58">
        <f t="shared" si="517"/>
        <v>0</v>
      </c>
      <c r="H527" s="58">
        <f t="shared" si="517"/>
        <v>0</v>
      </c>
      <c r="I527" s="58">
        <f t="shared" si="517"/>
        <v>59</v>
      </c>
      <c r="J527" s="58">
        <f t="shared" si="517"/>
        <v>0</v>
      </c>
      <c r="K527" s="58">
        <f t="shared" si="517"/>
        <v>0</v>
      </c>
      <c r="L527" s="58">
        <f t="shared" si="517"/>
        <v>0</v>
      </c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0" customHeight="1">
      <c r="A528" s="70"/>
      <c r="B528" s="71"/>
      <c r="C528" s="66"/>
      <c r="D528" s="66">
        <f t="shared" si="3"/>
        <v>0</v>
      </c>
      <c r="E528" s="67"/>
      <c r="F528" s="58">
        <f t="shared" ref="F528:L528" si="518">SUMIFS($C528,$B528,F$7)+F527</f>
        <v>0</v>
      </c>
      <c r="G528" s="58">
        <f t="shared" si="518"/>
        <v>0</v>
      </c>
      <c r="H528" s="58">
        <f t="shared" si="518"/>
        <v>0</v>
      </c>
      <c r="I528" s="58">
        <f t="shared" si="518"/>
        <v>59</v>
      </c>
      <c r="J528" s="58">
        <f t="shared" si="518"/>
        <v>0</v>
      </c>
      <c r="K528" s="58">
        <f t="shared" si="518"/>
        <v>0</v>
      </c>
      <c r="L528" s="58">
        <f t="shared" si="518"/>
        <v>0</v>
      </c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0" customHeight="1">
      <c r="A529" s="70"/>
      <c r="B529" s="71"/>
      <c r="C529" s="66"/>
      <c r="D529" s="66">
        <f t="shared" si="3"/>
        <v>0</v>
      </c>
      <c r="E529" s="67"/>
      <c r="F529" s="58">
        <f t="shared" ref="F529:L529" si="519">SUMIFS($C529,$B529,F$7)+F528</f>
        <v>0</v>
      </c>
      <c r="G529" s="58">
        <f t="shared" si="519"/>
        <v>0</v>
      </c>
      <c r="H529" s="58">
        <f t="shared" si="519"/>
        <v>0</v>
      </c>
      <c r="I529" s="58">
        <f t="shared" si="519"/>
        <v>59</v>
      </c>
      <c r="J529" s="58">
        <f t="shared" si="519"/>
        <v>0</v>
      </c>
      <c r="K529" s="58">
        <f t="shared" si="519"/>
        <v>0</v>
      </c>
      <c r="L529" s="58">
        <f t="shared" si="519"/>
        <v>0</v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0" customHeight="1">
      <c r="A530" s="70"/>
      <c r="B530" s="71"/>
      <c r="C530" s="66"/>
      <c r="D530" s="66">
        <f t="shared" si="3"/>
        <v>0</v>
      </c>
      <c r="E530" s="67"/>
      <c r="F530" s="58">
        <f t="shared" ref="F530:L530" si="520">SUMIFS($C530,$B530,F$7)+F529</f>
        <v>0</v>
      </c>
      <c r="G530" s="58">
        <f t="shared" si="520"/>
        <v>0</v>
      </c>
      <c r="H530" s="58">
        <f t="shared" si="520"/>
        <v>0</v>
      </c>
      <c r="I530" s="58">
        <f t="shared" si="520"/>
        <v>59</v>
      </c>
      <c r="J530" s="58">
        <f t="shared" si="520"/>
        <v>0</v>
      </c>
      <c r="K530" s="58">
        <f t="shared" si="520"/>
        <v>0</v>
      </c>
      <c r="L530" s="58">
        <f t="shared" si="520"/>
        <v>0</v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0" customHeight="1">
      <c r="A531" s="70"/>
      <c r="B531" s="71"/>
      <c r="C531" s="66"/>
      <c r="D531" s="66">
        <f t="shared" si="3"/>
        <v>0</v>
      </c>
      <c r="E531" s="67"/>
      <c r="F531" s="58">
        <f t="shared" ref="F531:L531" si="521">SUMIFS($C531,$B531,F$7)+F530</f>
        <v>0</v>
      </c>
      <c r="G531" s="58">
        <f t="shared" si="521"/>
        <v>0</v>
      </c>
      <c r="H531" s="58">
        <f t="shared" si="521"/>
        <v>0</v>
      </c>
      <c r="I531" s="58">
        <f t="shared" si="521"/>
        <v>59</v>
      </c>
      <c r="J531" s="58">
        <f t="shared" si="521"/>
        <v>0</v>
      </c>
      <c r="K531" s="58">
        <f t="shared" si="521"/>
        <v>0</v>
      </c>
      <c r="L531" s="58">
        <f t="shared" si="521"/>
        <v>0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0" customHeight="1">
      <c r="A532" s="70"/>
      <c r="B532" s="71"/>
      <c r="C532" s="66"/>
      <c r="D532" s="66">
        <f t="shared" si="3"/>
        <v>0</v>
      </c>
      <c r="E532" s="67"/>
      <c r="F532" s="58">
        <f t="shared" ref="F532:L532" si="522">SUMIFS($C532,$B532,F$7)+F531</f>
        <v>0</v>
      </c>
      <c r="G532" s="58">
        <f t="shared" si="522"/>
        <v>0</v>
      </c>
      <c r="H532" s="58">
        <f t="shared" si="522"/>
        <v>0</v>
      </c>
      <c r="I532" s="58">
        <f t="shared" si="522"/>
        <v>59</v>
      </c>
      <c r="J532" s="58">
        <f t="shared" si="522"/>
        <v>0</v>
      </c>
      <c r="K532" s="58">
        <f t="shared" si="522"/>
        <v>0</v>
      </c>
      <c r="L532" s="58">
        <f t="shared" si="522"/>
        <v>0</v>
      </c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0" customHeight="1">
      <c r="A533" s="70"/>
      <c r="B533" s="71"/>
      <c r="C533" s="66"/>
      <c r="D533" s="66">
        <f t="shared" si="3"/>
        <v>0</v>
      </c>
      <c r="E533" s="67"/>
      <c r="F533" s="58">
        <f t="shared" ref="F533:L533" si="523">SUMIFS($C533,$B533,F$7)+F532</f>
        <v>0</v>
      </c>
      <c r="G533" s="58">
        <f t="shared" si="523"/>
        <v>0</v>
      </c>
      <c r="H533" s="58">
        <f t="shared" si="523"/>
        <v>0</v>
      </c>
      <c r="I533" s="58">
        <f t="shared" si="523"/>
        <v>59</v>
      </c>
      <c r="J533" s="58">
        <f t="shared" si="523"/>
        <v>0</v>
      </c>
      <c r="K533" s="58">
        <f t="shared" si="523"/>
        <v>0</v>
      </c>
      <c r="L533" s="58">
        <f t="shared" si="523"/>
        <v>0</v>
      </c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0" customHeight="1">
      <c r="A534" s="70"/>
      <c r="B534" s="71"/>
      <c r="C534" s="66"/>
      <c r="D534" s="66">
        <f t="shared" si="3"/>
        <v>0</v>
      </c>
      <c r="E534" s="67"/>
      <c r="F534" s="58">
        <f t="shared" ref="F534:L534" si="524">SUMIFS($C534,$B534,F$7)+F533</f>
        <v>0</v>
      </c>
      <c r="G534" s="58">
        <f t="shared" si="524"/>
        <v>0</v>
      </c>
      <c r="H534" s="58">
        <f t="shared" si="524"/>
        <v>0</v>
      </c>
      <c r="I534" s="58">
        <f t="shared" si="524"/>
        <v>59</v>
      </c>
      <c r="J534" s="58">
        <f t="shared" si="524"/>
        <v>0</v>
      </c>
      <c r="K534" s="58">
        <f t="shared" si="524"/>
        <v>0</v>
      </c>
      <c r="L534" s="58">
        <f t="shared" si="524"/>
        <v>0</v>
      </c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0" customHeight="1">
      <c r="A535" s="70"/>
      <c r="B535" s="71"/>
      <c r="C535" s="66"/>
      <c r="D535" s="66">
        <f t="shared" si="3"/>
        <v>0</v>
      </c>
      <c r="E535" s="67"/>
      <c r="F535" s="58">
        <f t="shared" ref="F535:L535" si="525">SUMIFS($C535,$B535,F$7)+F534</f>
        <v>0</v>
      </c>
      <c r="G535" s="58">
        <f t="shared" si="525"/>
        <v>0</v>
      </c>
      <c r="H535" s="58">
        <f t="shared" si="525"/>
        <v>0</v>
      </c>
      <c r="I535" s="58">
        <f t="shared" si="525"/>
        <v>59</v>
      </c>
      <c r="J535" s="58">
        <f t="shared" si="525"/>
        <v>0</v>
      </c>
      <c r="K535" s="58">
        <f t="shared" si="525"/>
        <v>0</v>
      </c>
      <c r="L535" s="58">
        <f t="shared" si="525"/>
        <v>0</v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0" customHeight="1">
      <c r="A536" s="70"/>
      <c r="B536" s="71"/>
      <c r="C536" s="66"/>
      <c r="D536" s="66">
        <f t="shared" si="3"/>
        <v>0</v>
      </c>
      <c r="E536" s="67"/>
      <c r="F536" s="58">
        <f t="shared" ref="F536:L536" si="526">SUMIFS($C536,$B536,F$7)+F535</f>
        <v>0</v>
      </c>
      <c r="G536" s="58">
        <f t="shared" si="526"/>
        <v>0</v>
      </c>
      <c r="H536" s="58">
        <f t="shared" si="526"/>
        <v>0</v>
      </c>
      <c r="I536" s="58">
        <f t="shared" si="526"/>
        <v>59</v>
      </c>
      <c r="J536" s="58">
        <f t="shared" si="526"/>
        <v>0</v>
      </c>
      <c r="K536" s="58">
        <f t="shared" si="526"/>
        <v>0</v>
      </c>
      <c r="L536" s="58">
        <f t="shared" si="526"/>
        <v>0</v>
      </c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0" customHeight="1">
      <c r="A537" s="70"/>
      <c r="B537" s="71"/>
      <c r="C537" s="66"/>
      <c r="D537" s="66">
        <f t="shared" si="3"/>
        <v>0</v>
      </c>
      <c r="E537" s="67"/>
      <c r="F537" s="58">
        <f t="shared" ref="F537:L537" si="527">SUMIFS($C537,$B537,F$7)+F536</f>
        <v>0</v>
      </c>
      <c r="G537" s="58">
        <f t="shared" si="527"/>
        <v>0</v>
      </c>
      <c r="H537" s="58">
        <f t="shared" si="527"/>
        <v>0</v>
      </c>
      <c r="I537" s="58">
        <f t="shared" si="527"/>
        <v>59</v>
      </c>
      <c r="J537" s="58">
        <f t="shared" si="527"/>
        <v>0</v>
      </c>
      <c r="K537" s="58">
        <f t="shared" si="527"/>
        <v>0</v>
      </c>
      <c r="L537" s="58">
        <f t="shared" si="527"/>
        <v>0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0" customHeight="1">
      <c r="A538" s="70"/>
      <c r="B538" s="71"/>
      <c r="C538" s="66"/>
      <c r="D538" s="66">
        <f t="shared" si="3"/>
        <v>0</v>
      </c>
      <c r="E538" s="67"/>
      <c r="F538" s="58">
        <f t="shared" ref="F538:L538" si="528">SUMIFS($C538,$B538,F$7)+F537</f>
        <v>0</v>
      </c>
      <c r="G538" s="58">
        <f t="shared" si="528"/>
        <v>0</v>
      </c>
      <c r="H538" s="58">
        <f t="shared" si="528"/>
        <v>0</v>
      </c>
      <c r="I538" s="58">
        <f t="shared" si="528"/>
        <v>59</v>
      </c>
      <c r="J538" s="58">
        <f t="shared" si="528"/>
        <v>0</v>
      </c>
      <c r="K538" s="58">
        <f t="shared" si="528"/>
        <v>0</v>
      </c>
      <c r="L538" s="58">
        <f t="shared" si="528"/>
        <v>0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0" customHeight="1">
      <c r="A539" s="70"/>
      <c r="B539" s="71"/>
      <c r="C539" s="66"/>
      <c r="D539" s="66">
        <f t="shared" si="3"/>
        <v>0</v>
      </c>
      <c r="E539" s="67"/>
      <c r="F539" s="58">
        <f t="shared" ref="F539:L539" si="529">SUMIFS($C539,$B539,F$7)+F538</f>
        <v>0</v>
      </c>
      <c r="G539" s="58">
        <f t="shared" si="529"/>
        <v>0</v>
      </c>
      <c r="H539" s="58">
        <f t="shared" si="529"/>
        <v>0</v>
      </c>
      <c r="I539" s="58">
        <f t="shared" si="529"/>
        <v>59</v>
      </c>
      <c r="J539" s="58">
        <f t="shared" si="529"/>
        <v>0</v>
      </c>
      <c r="K539" s="58">
        <f t="shared" si="529"/>
        <v>0</v>
      </c>
      <c r="L539" s="58">
        <f t="shared" si="529"/>
        <v>0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0" customHeight="1">
      <c r="A540" s="70"/>
      <c r="B540" s="71"/>
      <c r="C540" s="66"/>
      <c r="D540" s="66">
        <f t="shared" si="3"/>
        <v>0</v>
      </c>
      <c r="E540" s="67"/>
      <c r="F540" s="58">
        <f t="shared" ref="F540:L540" si="530">SUMIFS($C540,$B540,F$7)+F539</f>
        <v>0</v>
      </c>
      <c r="G540" s="58">
        <f t="shared" si="530"/>
        <v>0</v>
      </c>
      <c r="H540" s="58">
        <f t="shared" si="530"/>
        <v>0</v>
      </c>
      <c r="I540" s="58">
        <f t="shared" si="530"/>
        <v>59</v>
      </c>
      <c r="J540" s="58">
        <f t="shared" si="530"/>
        <v>0</v>
      </c>
      <c r="K540" s="58">
        <f t="shared" si="530"/>
        <v>0</v>
      </c>
      <c r="L540" s="58">
        <f t="shared" si="530"/>
        <v>0</v>
      </c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0" customHeight="1">
      <c r="A541" s="70"/>
      <c r="B541" s="71"/>
      <c r="C541" s="66"/>
      <c r="D541" s="66">
        <f t="shared" si="3"/>
        <v>0</v>
      </c>
      <c r="E541" s="67"/>
      <c r="F541" s="58">
        <f t="shared" ref="F541:L541" si="531">SUMIFS($C541,$B541,F$7)+F540</f>
        <v>0</v>
      </c>
      <c r="G541" s="58">
        <f t="shared" si="531"/>
        <v>0</v>
      </c>
      <c r="H541" s="58">
        <f t="shared" si="531"/>
        <v>0</v>
      </c>
      <c r="I541" s="58">
        <f t="shared" si="531"/>
        <v>59</v>
      </c>
      <c r="J541" s="58">
        <f t="shared" si="531"/>
        <v>0</v>
      </c>
      <c r="K541" s="58">
        <f t="shared" si="531"/>
        <v>0</v>
      </c>
      <c r="L541" s="58">
        <f t="shared" si="531"/>
        <v>0</v>
      </c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0" customHeight="1">
      <c r="A542" s="70"/>
      <c r="B542" s="71"/>
      <c r="C542" s="66"/>
      <c r="D542" s="66">
        <f t="shared" si="3"/>
        <v>0</v>
      </c>
      <c r="E542" s="67"/>
      <c r="F542" s="58">
        <f t="shared" ref="F542:L542" si="532">SUMIFS($C542,$B542,F$7)+F541</f>
        <v>0</v>
      </c>
      <c r="G542" s="58">
        <f t="shared" si="532"/>
        <v>0</v>
      </c>
      <c r="H542" s="58">
        <f t="shared" si="532"/>
        <v>0</v>
      </c>
      <c r="I542" s="58">
        <f t="shared" si="532"/>
        <v>59</v>
      </c>
      <c r="J542" s="58">
        <f t="shared" si="532"/>
        <v>0</v>
      </c>
      <c r="K542" s="58">
        <f t="shared" si="532"/>
        <v>0</v>
      </c>
      <c r="L542" s="58">
        <f t="shared" si="532"/>
        <v>0</v>
      </c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0" customHeight="1">
      <c r="A543" s="70"/>
      <c r="B543" s="71"/>
      <c r="C543" s="66"/>
      <c r="D543" s="66">
        <f t="shared" si="3"/>
        <v>0</v>
      </c>
      <c r="E543" s="67"/>
      <c r="F543" s="58">
        <f t="shared" ref="F543:L543" si="533">SUMIFS($C543,$B543,F$7)+F542</f>
        <v>0</v>
      </c>
      <c r="G543" s="58">
        <f t="shared" si="533"/>
        <v>0</v>
      </c>
      <c r="H543" s="58">
        <f t="shared" si="533"/>
        <v>0</v>
      </c>
      <c r="I543" s="58">
        <f t="shared" si="533"/>
        <v>59</v>
      </c>
      <c r="J543" s="58">
        <f t="shared" si="533"/>
        <v>0</v>
      </c>
      <c r="K543" s="58">
        <f t="shared" si="533"/>
        <v>0</v>
      </c>
      <c r="L543" s="58">
        <f t="shared" si="533"/>
        <v>0</v>
      </c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0" customHeight="1">
      <c r="A544" s="70"/>
      <c r="B544" s="71"/>
      <c r="C544" s="66"/>
      <c r="D544" s="66">
        <f t="shared" si="3"/>
        <v>0</v>
      </c>
      <c r="E544" s="67"/>
      <c r="F544" s="58">
        <f t="shared" ref="F544:L544" si="534">SUMIFS($C544,$B544,F$7)+F543</f>
        <v>0</v>
      </c>
      <c r="G544" s="58">
        <f t="shared" si="534"/>
        <v>0</v>
      </c>
      <c r="H544" s="58">
        <f t="shared" si="534"/>
        <v>0</v>
      </c>
      <c r="I544" s="58">
        <f t="shared" si="534"/>
        <v>59</v>
      </c>
      <c r="J544" s="58">
        <f t="shared" si="534"/>
        <v>0</v>
      </c>
      <c r="K544" s="58">
        <f t="shared" si="534"/>
        <v>0</v>
      </c>
      <c r="L544" s="58">
        <f t="shared" si="534"/>
        <v>0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0" customHeight="1">
      <c r="A545" s="70"/>
      <c r="B545" s="71"/>
      <c r="C545" s="66"/>
      <c r="D545" s="66">
        <f t="shared" si="3"/>
        <v>0</v>
      </c>
      <c r="E545" s="67"/>
      <c r="F545" s="58">
        <f t="shared" ref="F545:L545" si="535">SUMIFS($C545,$B545,F$7)+F544</f>
        <v>0</v>
      </c>
      <c r="G545" s="58">
        <f t="shared" si="535"/>
        <v>0</v>
      </c>
      <c r="H545" s="58">
        <f t="shared" si="535"/>
        <v>0</v>
      </c>
      <c r="I545" s="58">
        <f t="shared" si="535"/>
        <v>59</v>
      </c>
      <c r="J545" s="58">
        <f t="shared" si="535"/>
        <v>0</v>
      </c>
      <c r="K545" s="58">
        <f t="shared" si="535"/>
        <v>0</v>
      </c>
      <c r="L545" s="58">
        <f t="shared" si="535"/>
        <v>0</v>
      </c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0" customHeight="1">
      <c r="A546" s="70"/>
      <c r="B546" s="71"/>
      <c r="C546" s="66"/>
      <c r="D546" s="66">
        <f t="shared" si="3"/>
        <v>0</v>
      </c>
      <c r="E546" s="67"/>
      <c r="F546" s="58">
        <f t="shared" ref="F546:L546" si="536">SUMIFS($C546,$B546,F$7)+F545</f>
        <v>0</v>
      </c>
      <c r="G546" s="58">
        <f t="shared" si="536"/>
        <v>0</v>
      </c>
      <c r="H546" s="58">
        <f t="shared" si="536"/>
        <v>0</v>
      </c>
      <c r="I546" s="58">
        <f t="shared" si="536"/>
        <v>59</v>
      </c>
      <c r="J546" s="58">
        <f t="shared" si="536"/>
        <v>0</v>
      </c>
      <c r="K546" s="58">
        <f t="shared" si="536"/>
        <v>0</v>
      </c>
      <c r="L546" s="58">
        <f t="shared" si="536"/>
        <v>0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0" customHeight="1">
      <c r="A547" s="70"/>
      <c r="B547" s="71"/>
      <c r="C547" s="66"/>
      <c r="D547" s="66">
        <f t="shared" si="3"/>
        <v>0</v>
      </c>
      <c r="E547" s="67"/>
      <c r="F547" s="58">
        <f t="shared" ref="F547:L547" si="537">SUMIFS($C547,$B547,F$7)+F546</f>
        <v>0</v>
      </c>
      <c r="G547" s="58">
        <f t="shared" si="537"/>
        <v>0</v>
      </c>
      <c r="H547" s="58">
        <f t="shared" si="537"/>
        <v>0</v>
      </c>
      <c r="I547" s="58">
        <f t="shared" si="537"/>
        <v>59</v>
      </c>
      <c r="J547" s="58">
        <f t="shared" si="537"/>
        <v>0</v>
      </c>
      <c r="K547" s="58">
        <f t="shared" si="537"/>
        <v>0</v>
      </c>
      <c r="L547" s="58">
        <f t="shared" si="537"/>
        <v>0</v>
      </c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0" customHeight="1">
      <c r="A548" s="70"/>
      <c r="B548" s="71"/>
      <c r="C548" s="66"/>
      <c r="D548" s="66">
        <f t="shared" si="3"/>
        <v>0</v>
      </c>
      <c r="E548" s="67"/>
      <c r="F548" s="58">
        <f t="shared" ref="F548:L548" si="538">SUMIFS($C548,$B548,F$7)+F547</f>
        <v>0</v>
      </c>
      <c r="G548" s="58">
        <f t="shared" si="538"/>
        <v>0</v>
      </c>
      <c r="H548" s="58">
        <f t="shared" si="538"/>
        <v>0</v>
      </c>
      <c r="I548" s="58">
        <f t="shared" si="538"/>
        <v>59</v>
      </c>
      <c r="J548" s="58">
        <f t="shared" si="538"/>
        <v>0</v>
      </c>
      <c r="K548" s="58">
        <f t="shared" si="538"/>
        <v>0</v>
      </c>
      <c r="L548" s="58">
        <f t="shared" si="538"/>
        <v>0</v>
      </c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0" customHeight="1">
      <c r="A549" s="70"/>
      <c r="B549" s="71"/>
      <c r="C549" s="66"/>
      <c r="D549" s="66">
        <f t="shared" si="3"/>
        <v>0</v>
      </c>
      <c r="E549" s="67"/>
      <c r="F549" s="58">
        <f t="shared" ref="F549:L549" si="539">SUMIFS($C549,$B549,F$7)+F548</f>
        <v>0</v>
      </c>
      <c r="G549" s="58">
        <f t="shared" si="539"/>
        <v>0</v>
      </c>
      <c r="H549" s="58">
        <f t="shared" si="539"/>
        <v>0</v>
      </c>
      <c r="I549" s="58">
        <f t="shared" si="539"/>
        <v>59</v>
      </c>
      <c r="J549" s="58">
        <f t="shared" si="539"/>
        <v>0</v>
      </c>
      <c r="K549" s="58">
        <f t="shared" si="539"/>
        <v>0</v>
      </c>
      <c r="L549" s="58">
        <f t="shared" si="539"/>
        <v>0</v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0" customHeight="1">
      <c r="A550" s="70"/>
      <c r="B550" s="71"/>
      <c r="C550" s="66"/>
      <c r="D550" s="66">
        <f t="shared" si="3"/>
        <v>0</v>
      </c>
      <c r="E550" s="67"/>
      <c r="F550" s="58">
        <f t="shared" ref="F550:L550" si="540">SUMIFS($C550,$B550,F$7)+F549</f>
        <v>0</v>
      </c>
      <c r="G550" s="58">
        <f t="shared" si="540"/>
        <v>0</v>
      </c>
      <c r="H550" s="58">
        <f t="shared" si="540"/>
        <v>0</v>
      </c>
      <c r="I550" s="58">
        <f t="shared" si="540"/>
        <v>59</v>
      </c>
      <c r="J550" s="58">
        <f t="shared" si="540"/>
        <v>0</v>
      </c>
      <c r="K550" s="58">
        <f t="shared" si="540"/>
        <v>0</v>
      </c>
      <c r="L550" s="58">
        <f t="shared" si="540"/>
        <v>0</v>
      </c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0" customHeight="1">
      <c r="A551" s="70"/>
      <c r="B551" s="71"/>
      <c r="C551" s="66"/>
      <c r="D551" s="66">
        <f t="shared" si="3"/>
        <v>0</v>
      </c>
      <c r="E551" s="67"/>
      <c r="F551" s="58">
        <f t="shared" ref="F551:L551" si="541">SUMIFS($C551,$B551,F$7)+F550</f>
        <v>0</v>
      </c>
      <c r="G551" s="58">
        <f t="shared" si="541"/>
        <v>0</v>
      </c>
      <c r="H551" s="58">
        <f t="shared" si="541"/>
        <v>0</v>
      </c>
      <c r="I551" s="58">
        <f t="shared" si="541"/>
        <v>59</v>
      </c>
      <c r="J551" s="58">
        <f t="shared" si="541"/>
        <v>0</v>
      </c>
      <c r="K551" s="58">
        <f t="shared" si="541"/>
        <v>0</v>
      </c>
      <c r="L551" s="58">
        <f t="shared" si="541"/>
        <v>0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0" customHeight="1">
      <c r="A552" s="70"/>
      <c r="B552" s="71"/>
      <c r="C552" s="66"/>
      <c r="D552" s="66">
        <f t="shared" si="3"/>
        <v>0</v>
      </c>
      <c r="E552" s="67"/>
      <c r="F552" s="58">
        <f t="shared" ref="F552:L552" si="542">SUMIFS($C552,$B552,F$7)+F551</f>
        <v>0</v>
      </c>
      <c r="G552" s="58">
        <f t="shared" si="542"/>
        <v>0</v>
      </c>
      <c r="H552" s="58">
        <f t="shared" si="542"/>
        <v>0</v>
      </c>
      <c r="I552" s="58">
        <f t="shared" si="542"/>
        <v>59</v>
      </c>
      <c r="J552" s="58">
        <f t="shared" si="542"/>
        <v>0</v>
      </c>
      <c r="K552" s="58">
        <f t="shared" si="542"/>
        <v>0</v>
      </c>
      <c r="L552" s="58">
        <f t="shared" si="542"/>
        <v>0</v>
      </c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0" customHeight="1">
      <c r="A553" s="70"/>
      <c r="B553" s="71"/>
      <c r="C553" s="66"/>
      <c r="D553" s="66">
        <f t="shared" si="3"/>
        <v>0</v>
      </c>
      <c r="E553" s="67"/>
      <c r="F553" s="58">
        <f t="shared" ref="F553:L553" si="543">SUMIFS($C553,$B553,F$7)+F552</f>
        <v>0</v>
      </c>
      <c r="G553" s="58">
        <f t="shared" si="543"/>
        <v>0</v>
      </c>
      <c r="H553" s="58">
        <f t="shared" si="543"/>
        <v>0</v>
      </c>
      <c r="I553" s="58">
        <f t="shared" si="543"/>
        <v>59</v>
      </c>
      <c r="J553" s="58">
        <f t="shared" si="543"/>
        <v>0</v>
      </c>
      <c r="K553" s="58">
        <f t="shared" si="543"/>
        <v>0</v>
      </c>
      <c r="L553" s="58">
        <f t="shared" si="543"/>
        <v>0</v>
      </c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0" customHeight="1">
      <c r="A554" s="70"/>
      <c r="B554" s="71"/>
      <c r="C554" s="66"/>
      <c r="D554" s="66">
        <f t="shared" si="3"/>
        <v>0</v>
      </c>
      <c r="E554" s="67"/>
      <c r="F554" s="58">
        <f t="shared" ref="F554:L554" si="544">SUMIFS($C554,$B554,F$7)+F553</f>
        <v>0</v>
      </c>
      <c r="G554" s="58">
        <f t="shared" si="544"/>
        <v>0</v>
      </c>
      <c r="H554" s="58">
        <f t="shared" si="544"/>
        <v>0</v>
      </c>
      <c r="I554" s="58">
        <f t="shared" si="544"/>
        <v>59</v>
      </c>
      <c r="J554" s="58">
        <f t="shared" si="544"/>
        <v>0</v>
      </c>
      <c r="K554" s="58">
        <f t="shared" si="544"/>
        <v>0</v>
      </c>
      <c r="L554" s="58">
        <f t="shared" si="544"/>
        <v>0</v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0" customHeight="1">
      <c r="A555" s="70"/>
      <c r="B555" s="71"/>
      <c r="C555" s="66"/>
      <c r="D555" s="66">
        <f t="shared" si="3"/>
        <v>0</v>
      </c>
      <c r="E555" s="67"/>
      <c r="F555" s="58">
        <f t="shared" ref="F555:L555" si="545">SUMIFS($C555,$B555,F$7)+F554</f>
        <v>0</v>
      </c>
      <c r="G555" s="58">
        <f t="shared" si="545"/>
        <v>0</v>
      </c>
      <c r="H555" s="58">
        <f t="shared" si="545"/>
        <v>0</v>
      </c>
      <c r="I555" s="58">
        <f t="shared" si="545"/>
        <v>59</v>
      </c>
      <c r="J555" s="58">
        <f t="shared" si="545"/>
        <v>0</v>
      </c>
      <c r="K555" s="58">
        <f t="shared" si="545"/>
        <v>0</v>
      </c>
      <c r="L555" s="58">
        <f t="shared" si="545"/>
        <v>0</v>
      </c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0" customHeight="1">
      <c r="A556" s="70"/>
      <c r="B556" s="71"/>
      <c r="C556" s="66"/>
      <c r="D556" s="66">
        <f t="shared" si="3"/>
        <v>0</v>
      </c>
      <c r="E556" s="67"/>
      <c r="F556" s="58">
        <f t="shared" ref="F556:L556" si="546">SUMIFS($C556,$B556,F$7)+F555</f>
        <v>0</v>
      </c>
      <c r="G556" s="58">
        <f t="shared" si="546"/>
        <v>0</v>
      </c>
      <c r="H556" s="58">
        <f t="shared" si="546"/>
        <v>0</v>
      </c>
      <c r="I556" s="58">
        <f t="shared" si="546"/>
        <v>59</v>
      </c>
      <c r="J556" s="58">
        <f t="shared" si="546"/>
        <v>0</v>
      </c>
      <c r="K556" s="58">
        <f t="shared" si="546"/>
        <v>0</v>
      </c>
      <c r="L556" s="58">
        <f t="shared" si="546"/>
        <v>0</v>
      </c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0" customHeight="1">
      <c r="A557" s="70"/>
      <c r="B557" s="71"/>
      <c r="C557" s="66"/>
      <c r="D557" s="66">
        <f t="shared" si="3"/>
        <v>0</v>
      </c>
      <c r="E557" s="67"/>
      <c r="F557" s="58">
        <f t="shared" ref="F557:L557" si="547">SUMIFS($C557,$B557,F$7)+F556</f>
        <v>0</v>
      </c>
      <c r="G557" s="58">
        <f t="shared" si="547"/>
        <v>0</v>
      </c>
      <c r="H557" s="58">
        <f t="shared" si="547"/>
        <v>0</v>
      </c>
      <c r="I557" s="58">
        <f t="shared" si="547"/>
        <v>59</v>
      </c>
      <c r="J557" s="58">
        <f t="shared" si="547"/>
        <v>0</v>
      </c>
      <c r="K557" s="58">
        <f t="shared" si="547"/>
        <v>0</v>
      </c>
      <c r="L557" s="58">
        <f t="shared" si="547"/>
        <v>0</v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0" customHeight="1">
      <c r="A558" s="70"/>
      <c r="B558" s="71"/>
      <c r="C558" s="66"/>
      <c r="D558" s="66">
        <f t="shared" si="3"/>
        <v>0</v>
      </c>
      <c r="E558" s="67"/>
      <c r="F558" s="58">
        <f t="shared" ref="F558:L558" si="548">SUMIFS($C558,$B558,F$7)+F557</f>
        <v>0</v>
      </c>
      <c r="G558" s="58">
        <f t="shared" si="548"/>
        <v>0</v>
      </c>
      <c r="H558" s="58">
        <f t="shared" si="548"/>
        <v>0</v>
      </c>
      <c r="I558" s="58">
        <f t="shared" si="548"/>
        <v>59</v>
      </c>
      <c r="J558" s="58">
        <f t="shared" si="548"/>
        <v>0</v>
      </c>
      <c r="K558" s="58">
        <f t="shared" si="548"/>
        <v>0</v>
      </c>
      <c r="L558" s="58">
        <f t="shared" si="548"/>
        <v>0</v>
      </c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0" customHeight="1">
      <c r="A559" s="70"/>
      <c r="B559" s="71"/>
      <c r="C559" s="66"/>
      <c r="D559" s="66">
        <f t="shared" si="3"/>
        <v>0</v>
      </c>
      <c r="E559" s="67"/>
      <c r="F559" s="58">
        <f t="shared" ref="F559:L559" si="549">SUMIFS($C559,$B559,F$7)+F558</f>
        <v>0</v>
      </c>
      <c r="G559" s="58">
        <f t="shared" si="549"/>
        <v>0</v>
      </c>
      <c r="H559" s="58">
        <f t="shared" si="549"/>
        <v>0</v>
      </c>
      <c r="I559" s="58">
        <f t="shared" si="549"/>
        <v>59</v>
      </c>
      <c r="J559" s="58">
        <f t="shared" si="549"/>
        <v>0</v>
      </c>
      <c r="K559" s="58">
        <f t="shared" si="549"/>
        <v>0</v>
      </c>
      <c r="L559" s="58">
        <f t="shared" si="549"/>
        <v>0</v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0" customHeight="1">
      <c r="A560" s="70"/>
      <c r="B560" s="71"/>
      <c r="C560" s="66"/>
      <c r="D560" s="66">
        <f t="shared" si="3"/>
        <v>0</v>
      </c>
      <c r="E560" s="67"/>
      <c r="F560" s="58">
        <f t="shared" ref="F560:L560" si="550">SUMIFS($C560,$B560,F$7)+F559</f>
        <v>0</v>
      </c>
      <c r="G560" s="58">
        <f t="shared" si="550"/>
        <v>0</v>
      </c>
      <c r="H560" s="58">
        <f t="shared" si="550"/>
        <v>0</v>
      </c>
      <c r="I560" s="58">
        <f t="shared" si="550"/>
        <v>59</v>
      </c>
      <c r="J560" s="58">
        <f t="shared" si="550"/>
        <v>0</v>
      </c>
      <c r="K560" s="58">
        <f t="shared" si="550"/>
        <v>0</v>
      </c>
      <c r="L560" s="58">
        <f t="shared" si="550"/>
        <v>0</v>
      </c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0" customHeight="1">
      <c r="A561" s="70"/>
      <c r="B561" s="71"/>
      <c r="C561" s="66"/>
      <c r="D561" s="66">
        <f t="shared" si="3"/>
        <v>0</v>
      </c>
      <c r="E561" s="67"/>
      <c r="F561" s="58">
        <f t="shared" ref="F561:L561" si="551">SUMIFS($C561,$B561,F$7)+F560</f>
        <v>0</v>
      </c>
      <c r="G561" s="58">
        <f t="shared" si="551"/>
        <v>0</v>
      </c>
      <c r="H561" s="58">
        <f t="shared" si="551"/>
        <v>0</v>
      </c>
      <c r="I561" s="58">
        <f t="shared" si="551"/>
        <v>59</v>
      </c>
      <c r="J561" s="58">
        <f t="shared" si="551"/>
        <v>0</v>
      </c>
      <c r="K561" s="58">
        <f t="shared" si="551"/>
        <v>0</v>
      </c>
      <c r="L561" s="58">
        <f t="shared" si="551"/>
        <v>0</v>
      </c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0" customHeight="1">
      <c r="A562" s="70"/>
      <c r="B562" s="71"/>
      <c r="C562" s="66"/>
      <c r="D562" s="66">
        <f t="shared" si="3"/>
        <v>0</v>
      </c>
      <c r="E562" s="67"/>
      <c r="F562" s="58">
        <f t="shared" ref="F562:L562" si="552">SUMIFS($C562,$B562,F$7)+F561</f>
        <v>0</v>
      </c>
      <c r="G562" s="58">
        <f t="shared" si="552"/>
        <v>0</v>
      </c>
      <c r="H562" s="58">
        <f t="shared" si="552"/>
        <v>0</v>
      </c>
      <c r="I562" s="58">
        <f t="shared" si="552"/>
        <v>59</v>
      </c>
      <c r="J562" s="58">
        <f t="shared" si="552"/>
        <v>0</v>
      </c>
      <c r="K562" s="58">
        <f t="shared" si="552"/>
        <v>0</v>
      </c>
      <c r="L562" s="58">
        <f t="shared" si="552"/>
        <v>0</v>
      </c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0" customHeight="1">
      <c r="A563" s="70"/>
      <c r="B563" s="71"/>
      <c r="C563" s="66"/>
      <c r="D563" s="66">
        <f t="shared" si="3"/>
        <v>0</v>
      </c>
      <c r="E563" s="67"/>
      <c r="F563" s="58">
        <f t="shared" ref="F563:L563" si="553">SUMIFS($C563,$B563,F$7)+F562</f>
        <v>0</v>
      </c>
      <c r="G563" s="58">
        <f t="shared" si="553"/>
        <v>0</v>
      </c>
      <c r="H563" s="58">
        <f t="shared" si="553"/>
        <v>0</v>
      </c>
      <c r="I563" s="58">
        <f t="shared" si="553"/>
        <v>59</v>
      </c>
      <c r="J563" s="58">
        <f t="shared" si="553"/>
        <v>0</v>
      </c>
      <c r="K563" s="58">
        <f t="shared" si="553"/>
        <v>0</v>
      </c>
      <c r="L563" s="58">
        <f t="shared" si="553"/>
        <v>0</v>
      </c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0" customHeight="1">
      <c r="A564" s="70"/>
      <c r="B564" s="71"/>
      <c r="C564" s="66"/>
      <c r="D564" s="66">
        <f t="shared" si="3"/>
        <v>0</v>
      </c>
      <c r="E564" s="67"/>
      <c r="F564" s="58">
        <f t="shared" ref="F564:L564" si="554">SUMIFS($C564,$B564,F$7)+F563</f>
        <v>0</v>
      </c>
      <c r="G564" s="58">
        <f t="shared" si="554"/>
        <v>0</v>
      </c>
      <c r="H564" s="58">
        <f t="shared" si="554"/>
        <v>0</v>
      </c>
      <c r="I564" s="58">
        <f t="shared" si="554"/>
        <v>59</v>
      </c>
      <c r="J564" s="58">
        <f t="shared" si="554"/>
        <v>0</v>
      </c>
      <c r="K564" s="58">
        <f t="shared" si="554"/>
        <v>0</v>
      </c>
      <c r="L564" s="58">
        <f t="shared" si="554"/>
        <v>0</v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0" customHeight="1">
      <c r="A565" s="70"/>
      <c r="B565" s="71"/>
      <c r="C565" s="66"/>
      <c r="D565" s="66">
        <f t="shared" si="3"/>
        <v>0</v>
      </c>
      <c r="E565" s="67"/>
      <c r="F565" s="58">
        <f t="shared" ref="F565:L565" si="555">SUMIFS($C565,$B565,F$7)+F564</f>
        <v>0</v>
      </c>
      <c r="G565" s="58">
        <f t="shared" si="555"/>
        <v>0</v>
      </c>
      <c r="H565" s="58">
        <f t="shared" si="555"/>
        <v>0</v>
      </c>
      <c r="I565" s="58">
        <f t="shared" si="555"/>
        <v>59</v>
      </c>
      <c r="J565" s="58">
        <f t="shared" si="555"/>
        <v>0</v>
      </c>
      <c r="K565" s="58">
        <f t="shared" si="555"/>
        <v>0</v>
      </c>
      <c r="L565" s="58">
        <f t="shared" si="555"/>
        <v>0</v>
      </c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0" customHeight="1">
      <c r="A566" s="70"/>
      <c r="B566" s="71"/>
      <c r="C566" s="66"/>
      <c r="D566" s="66">
        <f t="shared" si="3"/>
        <v>0</v>
      </c>
      <c r="E566" s="67"/>
      <c r="F566" s="58">
        <f t="shared" ref="F566:L566" si="556">SUMIFS($C566,$B566,F$7)+F565</f>
        <v>0</v>
      </c>
      <c r="G566" s="58">
        <f t="shared" si="556"/>
        <v>0</v>
      </c>
      <c r="H566" s="58">
        <f t="shared" si="556"/>
        <v>0</v>
      </c>
      <c r="I566" s="58">
        <f t="shared" si="556"/>
        <v>59</v>
      </c>
      <c r="J566" s="58">
        <f t="shared" si="556"/>
        <v>0</v>
      </c>
      <c r="K566" s="58">
        <f t="shared" si="556"/>
        <v>0</v>
      </c>
      <c r="L566" s="58">
        <f t="shared" si="556"/>
        <v>0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0" customHeight="1">
      <c r="A567" s="70"/>
      <c r="B567" s="71"/>
      <c r="C567" s="66"/>
      <c r="D567" s="66">
        <f t="shared" si="3"/>
        <v>0</v>
      </c>
      <c r="E567" s="67"/>
      <c r="F567" s="58">
        <f t="shared" ref="F567:L567" si="557">SUMIFS($C567,$B567,F$7)+F566</f>
        <v>0</v>
      </c>
      <c r="G567" s="58">
        <f t="shared" si="557"/>
        <v>0</v>
      </c>
      <c r="H567" s="58">
        <f t="shared" si="557"/>
        <v>0</v>
      </c>
      <c r="I567" s="58">
        <f t="shared" si="557"/>
        <v>59</v>
      </c>
      <c r="J567" s="58">
        <f t="shared" si="557"/>
        <v>0</v>
      </c>
      <c r="K567" s="58">
        <f t="shared" si="557"/>
        <v>0</v>
      </c>
      <c r="L567" s="58">
        <f t="shared" si="557"/>
        <v>0</v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0" customHeight="1">
      <c r="A568" s="70"/>
      <c r="B568" s="71"/>
      <c r="C568" s="66"/>
      <c r="D568" s="66">
        <f t="shared" si="3"/>
        <v>0</v>
      </c>
      <c r="E568" s="67"/>
      <c r="F568" s="58">
        <f t="shared" ref="F568:L568" si="558">SUMIFS($C568,$B568,F$7)+F567</f>
        <v>0</v>
      </c>
      <c r="G568" s="58">
        <f t="shared" si="558"/>
        <v>0</v>
      </c>
      <c r="H568" s="58">
        <f t="shared" si="558"/>
        <v>0</v>
      </c>
      <c r="I568" s="58">
        <f t="shared" si="558"/>
        <v>59</v>
      </c>
      <c r="J568" s="58">
        <f t="shared" si="558"/>
        <v>0</v>
      </c>
      <c r="K568" s="58">
        <f t="shared" si="558"/>
        <v>0</v>
      </c>
      <c r="L568" s="58">
        <f t="shared" si="558"/>
        <v>0</v>
      </c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0" customHeight="1">
      <c r="A569" s="70"/>
      <c r="B569" s="71"/>
      <c r="C569" s="66"/>
      <c r="D569" s="66">
        <f t="shared" si="3"/>
        <v>0</v>
      </c>
      <c r="E569" s="67"/>
      <c r="F569" s="58">
        <f t="shared" ref="F569:L569" si="559">SUMIFS($C569,$B569,F$7)+F568</f>
        <v>0</v>
      </c>
      <c r="G569" s="58">
        <f t="shared" si="559"/>
        <v>0</v>
      </c>
      <c r="H569" s="58">
        <f t="shared" si="559"/>
        <v>0</v>
      </c>
      <c r="I569" s="58">
        <f t="shared" si="559"/>
        <v>59</v>
      </c>
      <c r="J569" s="58">
        <f t="shared" si="559"/>
        <v>0</v>
      </c>
      <c r="K569" s="58">
        <f t="shared" si="559"/>
        <v>0</v>
      </c>
      <c r="L569" s="58">
        <f t="shared" si="559"/>
        <v>0</v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0" customHeight="1">
      <c r="A570" s="70"/>
      <c r="B570" s="71"/>
      <c r="C570" s="66"/>
      <c r="D570" s="66">
        <f t="shared" si="3"/>
        <v>0</v>
      </c>
      <c r="E570" s="67"/>
      <c r="F570" s="58">
        <f t="shared" ref="F570:L570" si="560">SUMIFS($C570,$B570,F$7)+F569</f>
        <v>0</v>
      </c>
      <c r="G570" s="58">
        <f t="shared" si="560"/>
        <v>0</v>
      </c>
      <c r="H570" s="58">
        <f t="shared" si="560"/>
        <v>0</v>
      </c>
      <c r="I570" s="58">
        <f t="shared" si="560"/>
        <v>59</v>
      </c>
      <c r="J570" s="58">
        <f t="shared" si="560"/>
        <v>0</v>
      </c>
      <c r="K570" s="58">
        <f t="shared" si="560"/>
        <v>0</v>
      </c>
      <c r="L570" s="58">
        <f t="shared" si="560"/>
        <v>0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0" customHeight="1">
      <c r="A571" s="70"/>
      <c r="B571" s="71"/>
      <c r="C571" s="66"/>
      <c r="D571" s="66">
        <f t="shared" si="3"/>
        <v>0</v>
      </c>
      <c r="E571" s="67"/>
      <c r="F571" s="58">
        <f t="shared" ref="F571:L571" si="561">SUMIFS($C571,$B571,F$7)+F570</f>
        <v>0</v>
      </c>
      <c r="G571" s="58">
        <f t="shared" si="561"/>
        <v>0</v>
      </c>
      <c r="H571" s="58">
        <f t="shared" si="561"/>
        <v>0</v>
      </c>
      <c r="I571" s="58">
        <f t="shared" si="561"/>
        <v>59</v>
      </c>
      <c r="J571" s="58">
        <f t="shared" si="561"/>
        <v>0</v>
      </c>
      <c r="K571" s="58">
        <f t="shared" si="561"/>
        <v>0</v>
      </c>
      <c r="L571" s="58">
        <f t="shared" si="561"/>
        <v>0</v>
      </c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0" customHeight="1">
      <c r="A572" s="70"/>
      <c r="B572" s="71"/>
      <c r="C572" s="66"/>
      <c r="D572" s="66">
        <f t="shared" si="3"/>
        <v>0</v>
      </c>
      <c r="E572" s="67"/>
      <c r="F572" s="58">
        <f t="shared" ref="F572:L572" si="562">SUMIFS($C572,$B572,F$7)+F571</f>
        <v>0</v>
      </c>
      <c r="G572" s="58">
        <f t="shared" si="562"/>
        <v>0</v>
      </c>
      <c r="H572" s="58">
        <f t="shared" si="562"/>
        <v>0</v>
      </c>
      <c r="I572" s="58">
        <f t="shared" si="562"/>
        <v>59</v>
      </c>
      <c r="J572" s="58">
        <f t="shared" si="562"/>
        <v>0</v>
      </c>
      <c r="K572" s="58">
        <f t="shared" si="562"/>
        <v>0</v>
      </c>
      <c r="L572" s="58">
        <f t="shared" si="562"/>
        <v>0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0" customHeight="1">
      <c r="A573" s="70"/>
      <c r="B573" s="71"/>
      <c r="C573" s="66"/>
      <c r="D573" s="66">
        <f t="shared" si="3"/>
        <v>0</v>
      </c>
      <c r="E573" s="67"/>
      <c r="F573" s="58">
        <f t="shared" ref="F573:L573" si="563">SUMIFS($C573,$B573,F$7)+F572</f>
        <v>0</v>
      </c>
      <c r="G573" s="58">
        <f t="shared" si="563"/>
        <v>0</v>
      </c>
      <c r="H573" s="58">
        <f t="shared" si="563"/>
        <v>0</v>
      </c>
      <c r="I573" s="58">
        <f t="shared" si="563"/>
        <v>59</v>
      </c>
      <c r="J573" s="58">
        <f t="shared" si="563"/>
        <v>0</v>
      </c>
      <c r="K573" s="58">
        <f t="shared" si="563"/>
        <v>0</v>
      </c>
      <c r="L573" s="58">
        <f t="shared" si="563"/>
        <v>0</v>
      </c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0" customHeight="1">
      <c r="A574" s="70"/>
      <c r="B574" s="71"/>
      <c r="C574" s="66"/>
      <c r="D574" s="66">
        <f t="shared" si="3"/>
        <v>0</v>
      </c>
      <c r="E574" s="67"/>
      <c r="F574" s="58">
        <f t="shared" ref="F574:L574" si="564">SUMIFS($C574,$B574,F$7)+F573</f>
        <v>0</v>
      </c>
      <c r="G574" s="58">
        <f t="shared" si="564"/>
        <v>0</v>
      </c>
      <c r="H574" s="58">
        <f t="shared" si="564"/>
        <v>0</v>
      </c>
      <c r="I574" s="58">
        <f t="shared" si="564"/>
        <v>59</v>
      </c>
      <c r="J574" s="58">
        <f t="shared" si="564"/>
        <v>0</v>
      </c>
      <c r="K574" s="58">
        <f t="shared" si="564"/>
        <v>0</v>
      </c>
      <c r="L574" s="58">
        <f t="shared" si="564"/>
        <v>0</v>
      </c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0" customHeight="1">
      <c r="A575" s="70"/>
      <c r="B575" s="71"/>
      <c r="C575" s="66"/>
      <c r="D575" s="66">
        <f t="shared" si="3"/>
        <v>0</v>
      </c>
      <c r="E575" s="67"/>
      <c r="F575" s="58">
        <f t="shared" ref="F575:L575" si="565">SUMIFS($C575,$B575,F$7)+F574</f>
        <v>0</v>
      </c>
      <c r="G575" s="58">
        <f t="shared" si="565"/>
        <v>0</v>
      </c>
      <c r="H575" s="58">
        <f t="shared" si="565"/>
        <v>0</v>
      </c>
      <c r="I575" s="58">
        <f t="shared" si="565"/>
        <v>59</v>
      </c>
      <c r="J575" s="58">
        <f t="shared" si="565"/>
        <v>0</v>
      </c>
      <c r="K575" s="58">
        <f t="shared" si="565"/>
        <v>0</v>
      </c>
      <c r="L575" s="58">
        <f t="shared" si="565"/>
        <v>0</v>
      </c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0" customHeight="1">
      <c r="A576" s="70"/>
      <c r="B576" s="71"/>
      <c r="C576" s="66"/>
      <c r="D576" s="66">
        <f t="shared" si="3"/>
        <v>0</v>
      </c>
      <c r="E576" s="67"/>
      <c r="F576" s="58">
        <f t="shared" ref="F576:L576" si="566">SUMIFS($C576,$B576,F$7)+F575</f>
        <v>0</v>
      </c>
      <c r="G576" s="58">
        <f t="shared" si="566"/>
        <v>0</v>
      </c>
      <c r="H576" s="58">
        <f t="shared" si="566"/>
        <v>0</v>
      </c>
      <c r="I576" s="58">
        <f t="shared" si="566"/>
        <v>59</v>
      </c>
      <c r="J576" s="58">
        <f t="shared" si="566"/>
        <v>0</v>
      </c>
      <c r="K576" s="58">
        <f t="shared" si="566"/>
        <v>0</v>
      </c>
      <c r="L576" s="58">
        <f t="shared" si="566"/>
        <v>0</v>
      </c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0" customHeight="1">
      <c r="A577" s="70"/>
      <c r="B577" s="71"/>
      <c r="C577" s="66"/>
      <c r="D577" s="66">
        <f t="shared" si="3"/>
        <v>0</v>
      </c>
      <c r="E577" s="67"/>
      <c r="F577" s="58">
        <f t="shared" ref="F577:L577" si="567">SUMIFS($C577,$B577,F$7)+F576</f>
        <v>0</v>
      </c>
      <c r="G577" s="58">
        <f t="shared" si="567"/>
        <v>0</v>
      </c>
      <c r="H577" s="58">
        <f t="shared" si="567"/>
        <v>0</v>
      </c>
      <c r="I577" s="58">
        <f t="shared" si="567"/>
        <v>59</v>
      </c>
      <c r="J577" s="58">
        <f t="shared" si="567"/>
        <v>0</v>
      </c>
      <c r="K577" s="58">
        <f t="shared" si="567"/>
        <v>0</v>
      </c>
      <c r="L577" s="58">
        <f t="shared" si="567"/>
        <v>0</v>
      </c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0" customHeight="1">
      <c r="A578" s="70"/>
      <c r="B578" s="71"/>
      <c r="C578" s="66"/>
      <c r="D578" s="66">
        <f t="shared" si="3"/>
        <v>0</v>
      </c>
      <c r="E578" s="67"/>
      <c r="F578" s="58">
        <f t="shared" ref="F578:L578" si="568">SUMIFS($C578,$B578,F$7)+F577</f>
        <v>0</v>
      </c>
      <c r="G578" s="58">
        <f t="shared" si="568"/>
        <v>0</v>
      </c>
      <c r="H578" s="58">
        <f t="shared" si="568"/>
        <v>0</v>
      </c>
      <c r="I578" s="58">
        <f t="shared" si="568"/>
        <v>59</v>
      </c>
      <c r="J578" s="58">
        <f t="shared" si="568"/>
        <v>0</v>
      </c>
      <c r="K578" s="58">
        <f t="shared" si="568"/>
        <v>0</v>
      </c>
      <c r="L578" s="58">
        <f t="shared" si="568"/>
        <v>0</v>
      </c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0" customHeight="1">
      <c r="A579" s="70"/>
      <c r="B579" s="71"/>
      <c r="C579" s="66"/>
      <c r="D579" s="66">
        <f t="shared" si="3"/>
        <v>0</v>
      </c>
      <c r="E579" s="67"/>
      <c r="F579" s="58">
        <f t="shared" ref="F579:L579" si="569">SUMIFS($C579,$B579,F$7)+F578</f>
        <v>0</v>
      </c>
      <c r="G579" s="58">
        <f t="shared" si="569"/>
        <v>0</v>
      </c>
      <c r="H579" s="58">
        <f t="shared" si="569"/>
        <v>0</v>
      </c>
      <c r="I579" s="58">
        <f t="shared" si="569"/>
        <v>59</v>
      </c>
      <c r="J579" s="58">
        <f t="shared" si="569"/>
        <v>0</v>
      </c>
      <c r="K579" s="58">
        <f t="shared" si="569"/>
        <v>0</v>
      </c>
      <c r="L579" s="58">
        <f t="shared" si="569"/>
        <v>0</v>
      </c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0" customHeight="1">
      <c r="A580" s="70"/>
      <c r="B580" s="71"/>
      <c r="C580" s="66"/>
      <c r="D580" s="66">
        <f t="shared" si="3"/>
        <v>0</v>
      </c>
      <c r="E580" s="67"/>
      <c r="F580" s="58">
        <f t="shared" ref="F580:L580" si="570">SUMIFS($C580,$B580,F$7)+F579</f>
        <v>0</v>
      </c>
      <c r="G580" s="58">
        <f t="shared" si="570"/>
        <v>0</v>
      </c>
      <c r="H580" s="58">
        <f t="shared" si="570"/>
        <v>0</v>
      </c>
      <c r="I580" s="58">
        <f t="shared" si="570"/>
        <v>59</v>
      </c>
      <c r="J580" s="58">
        <f t="shared" si="570"/>
        <v>0</v>
      </c>
      <c r="K580" s="58">
        <f t="shared" si="570"/>
        <v>0</v>
      </c>
      <c r="L580" s="58">
        <f t="shared" si="570"/>
        <v>0</v>
      </c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0" customHeight="1">
      <c r="A581" s="70"/>
      <c r="B581" s="71"/>
      <c r="C581" s="66"/>
      <c r="D581" s="66">
        <f t="shared" si="3"/>
        <v>0</v>
      </c>
      <c r="E581" s="67"/>
      <c r="F581" s="58">
        <f t="shared" ref="F581:L581" si="571">SUMIFS($C581,$B581,F$7)+F580</f>
        <v>0</v>
      </c>
      <c r="G581" s="58">
        <f t="shared" si="571"/>
        <v>0</v>
      </c>
      <c r="H581" s="58">
        <f t="shared" si="571"/>
        <v>0</v>
      </c>
      <c r="I581" s="58">
        <f t="shared" si="571"/>
        <v>59</v>
      </c>
      <c r="J581" s="58">
        <f t="shared" si="571"/>
        <v>0</v>
      </c>
      <c r="K581" s="58">
        <f t="shared" si="571"/>
        <v>0</v>
      </c>
      <c r="L581" s="58">
        <f t="shared" si="571"/>
        <v>0</v>
      </c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0" customHeight="1">
      <c r="A582" s="70"/>
      <c r="B582" s="71"/>
      <c r="C582" s="66"/>
      <c r="D582" s="66">
        <f t="shared" si="3"/>
        <v>0</v>
      </c>
      <c r="E582" s="67"/>
      <c r="F582" s="58">
        <f t="shared" ref="F582:L582" si="572">SUMIFS($C582,$B582,F$7)+F581</f>
        <v>0</v>
      </c>
      <c r="G582" s="58">
        <f t="shared" si="572"/>
        <v>0</v>
      </c>
      <c r="H582" s="58">
        <f t="shared" si="572"/>
        <v>0</v>
      </c>
      <c r="I582" s="58">
        <f t="shared" si="572"/>
        <v>59</v>
      </c>
      <c r="J582" s="58">
        <f t="shared" si="572"/>
        <v>0</v>
      </c>
      <c r="K582" s="58">
        <f t="shared" si="572"/>
        <v>0</v>
      </c>
      <c r="L582" s="58">
        <f t="shared" si="572"/>
        <v>0</v>
      </c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0" customHeight="1">
      <c r="A583" s="70"/>
      <c r="B583" s="71"/>
      <c r="C583" s="66"/>
      <c r="D583" s="66">
        <f t="shared" si="3"/>
        <v>0</v>
      </c>
      <c r="E583" s="67"/>
      <c r="F583" s="58">
        <f t="shared" ref="F583:L583" si="573">SUMIFS($C583,$B583,F$7)+F582</f>
        <v>0</v>
      </c>
      <c r="G583" s="58">
        <f t="shared" si="573"/>
        <v>0</v>
      </c>
      <c r="H583" s="58">
        <f t="shared" si="573"/>
        <v>0</v>
      </c>
      <c r="I583" s="58">
        <f t="shared" si="573"/>
        <v>59</v>
      </c>
      <c r="J583" s="58">
        <f t="shared" si="573"/>
        <v>0</v>
      </c>
      <c r="K583" s="58">
        <f t="shared" si="573"/>
        <v>0</v>
      </c>
      <c r="L583" s="58">
        <f t="shared" si="573"/>
        <v>0</v>
      </c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0" customHeight="1">
      <c r="A584" s="70"/>
      <c r="B584" s="71"/>
      <c r="C584" s="66"/>
      <c r="D584" s="66">
        <f t="shared" si="3"/>
        <v>0</v>
      </c>
      <c r="E584" s="67"/>
      <c r="F584" s="58">
        <f t="shared" ref="F584:L584" si="574">SUMIFS($C584,$B584,F$7)+F583</f>
        <v>0</v>
      </c>
      <c r="G584" s="58">
        <f t="shared" si="574"/>
        <v>0</v>
      </c>
      <c r="H584" s="58">
        <f t="shared" si="574"/>
        <v>0</v>
      </c>
      <c r="I584" s="58">
        <f t="shared" si="574"/>
        <v>59</v>
      </c>
      <c r="J584" s="58">
        <f t="shared" si="574"/>
        <v>0</v>
      </c>
      <c r="K584" s="58">
        <f t="shared" si="574"/>
        <v>0</v>
      </c>
      <c r="L584" s="58">
        <f t="shared" si="574"/>
        <v>0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0" customHeight="1">
      <c r="A585" s="70"/>
      <c r="B585" s="71"/>
      <c r="C585" s="66"/>
      <c r="D585" s="66">
        <f t="shared" si="3"/>
        <v>0</v>
      </c>
      <c r="E585" s="67"/>
      <c r="F585" s="58">
        <f t="shared" ref="F585:L585" si="575">SUMIFS($C585,$B585,F$7)+F584</f>
        <v>0</v>
      </c>
      <c r="G585" s="58">
        <f t="shared" si="575"/>
        <v>0</v>
      </c>
      <c r="H585" s="58">
        <f t="shared" si="575"/>
        <v>0</v>
      </c>
      <c r="I585" s="58">
        <f t="shared" si="575"/>
        <v>59</v>
      </c>
      <c r="J585" s="58">
        <f t="shared" si="575"/>
        <v>0</v>
      </c>
      <c r="K585" s="58">
        <f t="shared" si="575"/>
        <v>0</v>
      </c>
      <c r="L585" s="58">
        <f t="shared" si="575"/>
        <v>0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0" customHeight="1">
      <c r="A586" s="70"/>
      <c r="B586" s="71"/>
      <c r="C586" s="66"/>
      <c r="D586" s="66">
        <f t="shared" si="3"/>
        <v>0</v>
      </c>
      <c r="E586" s="67"/>
      <c r="F586" s="58">
        <f t="shared" ref="F586:L586" si="576">SUMIFS($C586,$B586,F$7)+F585</f>
        <v>0</v>
      </c>
      <c r="G586" s="58">
        <f t="shared" si="576"/>
        <v>0</v>
      </c>
      <c r="H586" s="58">
        <f t="shared" si="576"/>
        <v>0</v>
      </c>
      <c r="I586" s="58">
        <f t="shared" si="576"/>
        <v>59</v>
      </c>
      <c r="J586" s="58">
        <f t="shared" si="576"/>
        <v>0</v>
      </c>
      <c r="K586" s="58">
        <f t="shared" si="576"/>
        <v>0</v>
      </c>
      <c r="L586" s="58">
        <f t="shared" si="576"/>
        <v>0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0" customHeight="1">
      <c r="A587" s="70"/>
      <c r="B587" s="71"/>
      <c r="C587" s="66"/>
      <c r="D587" s="66">
        <f t="shared" si="3"/>
        <v>0</v>
      </c>
      <c r="E587" s="67"/>
      <c r="F587" s="58">
        <f t="shared" ref="F587:L587" si="577">SUMIFS($C587,$B587,F$7)+F586</f>
        <v>0</v>
      </c>
      <c r="G587" s="58">
        <f t="shared" si="577"/>
        <v>0</v>
      </c>
      <c r="H587" s="58">
        <f t="shared" si="577"/>
        <v>0</v>
      </c>
      <c r="I587" s="58">
        <f t="shared" si="577"/>
        <v>59</v>
      </c>
      <c r="J587" s="58">
        <f t="shared" si="577"/>
        <v>0</v>
      </c>
      <c r="K587" s="58">
        <f t="shared" si="577"/>
        <v>0</v>
      </c>
      <c r="L587" s="58">
        <f t="shared" si="577"/>
        <v>0</v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0" customHeight="1">
      <c r="A588" s="70"/>
      <c r="B588" s="71"/>
      <c r="C588" s="66"/>
      <c r="D588" s="66">
        <f t="shared" si="3"/>
        <v>0</v>
      </c>
      <c r="E588" s="67"/>
      <c r="F588" s="58">
        <f t="shared" ref="F588:L588" si="578">SUMIFS($C588,$B588,F$7)+F587</f>
        <v>0</v>
      </c>
      <c r="G588" s="58">
        <f t="shared" si="578"/>
        <v>0</v>
      </c>
      <c r="H588" s="58">
        <f t="shared" si="578"/>
        <v>0</v>
      </c>
      <c r="I588" s="58">
        <f t="shared" si="578"/>
        <v>59</v>
      </c>
      <c r="J588" s="58">
        <f t="shared" si="578"/>
        <v>0</v>
      </c>
      <c r="K588" s="58">
        <f t="shared" si="578"/>
        <v>0</v>
      </c>
      <c r="L588" s="58">
        <f t="shared" si="578"/>
        <v>0</v>
      </c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0" customHeight="1">
      <c r="A589" s="70"/>
      <c r="B589" s="71"/>
      <c r="C589" s="66"/>
      <c r="D589" s="66">
        <f t="shared" si="3"/>
        <v>0</v>
      </c>
      <c r="E589" s="67"/>
      <c r="F589" s="58">
        <f t="shared" ref="F589:L589" si="579">SUMIFS($C589,$B589,F$7)+F588</f>
        <v>0</v>
      </c>
      <c r="G589" s="58">
        <f t="shared" si="579"/>
        <v>0</v>
      </c>
      <c r="H589" s="58">
        <f t="shared" si="579"/>
        <v>0</v>
      </c>
      <c r="I589" s="58">
        <f t="shared" si="579"/>
        <v>59</v>
      </c>
      <c r="J589" s="58">
        <f t="shared" si="579"/>
        <v>0</v>
      </c>
      <c r="K589" s="58">
        <f t="shared" si="579"/>
        <v>0</v>
      </c>
      <c r="L589" s="58">
        <f t="shared" si="579"/>
        <v>0</v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0" customHeight="1">
      <c r="A590" s="70"/>
      <c r="B590" s="71"/>
      <c r="C590" s="66"/>
      <c r="D590" s="66">
        <f t="shared" si="3"/>
        <v>0</v>
      </c>
      <c r="E590" s="67"/>
      <c r="F590" s="58">
        <f t="shared" ref="F590:L590" si="580">SUMIFS($C590,$B590,F$7)+F589</f>
        <v>0</v>
      </c>
      <c r="G590" s="58">
        <f t="shared" si="580"/>
        <v>0</v>
      </c>
      <c r="H590" s="58">
        <f t="shared" si="580"/>
        <v>0</v>
      </c>
      <c r="I590" s="58">
        <f t="shared" si="580"/>
        <v>59</v>
      </c>
      <c r="J590" s="58">
        <f t="shared" si="580"/>
        <v>0</v>
      </c>
      <c r="K590" s="58">
        <f t="shared" si="580"/>
        <v>0</v>
      </c>
      <c r="L590" s="58">
        <f t="shared" si="580"/>
        <v>0</v>
      </c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0" customHeight="1">
      <c r="A591" s="70"/>
      <c r="B591" s="71"/>
      <c r="C591" s="66"/>
      <c r="D591" s="66">
        <f t="shared" si="3"/>
        <v>0</v>
      </c>
      <c r="E591" s="67"/>
      <c r="F591" s="58">
        <f t="shared" ref="F591:L591" si="581">SUMIFS($C591,$B591,F$7)+F590</f>
        <v>0</v>
      </c>
      <c r="G591" s="58">
        <f t="shared" si="581"/>
        <v>0</v>
      </c>
      <c r="H591" s="58">
        <f t="shared" si="581"/>
        <v>0</v>
      </c>
      <c r="I591" s="58">
        <f t="shared" si="581"/>
        <v>59</v>
      </c>
      <c r="J591" s="58">
        <f t="shared" si="581"/>
        <v>0</v>
      </c>
      <c r="K591" s="58">
        <f t="shared" si="581"/>
        <v>0</v>
      </c>
      <c r="L591" s="58">
        <f t="shared" si="581"/>
        <v>0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0" customHeight="1">
      <c r="A592" s="70"/>
      <c r="B592" s="71"/>
      <c r="C592" s="66"/>
      <c r="D592" s="66">
        <f t="shared" si="3"/>
        <v>0</v>
      </c>
      <c r="E592" s="67"/>
      <c r="F592" s="58">
        <f t="shared" ref="F592:L592" si="582">SUMIFS($C592,$B592,F$7)+F591</f>
        <v>0</v>
      </c>
      <c r="G592" s="58">
        <f t="shared" si="582"/>
        <v>0</v>
      </c>
      <c r="H592" s="58">
        <f t="shared" si="582"/>
        <v>0</v>
      </c>
      <c r="I592" s="58">
        <f t="shared" si="582"/>
        <v>59</v>
      </c>
      <c r="J592" s="58">
        <f t="shared" si="582"/>
        <v>0</v>
      </c>
      <c r="K592" s="58">
        <f t="shared" si="582"/>
        <v>0</v>
      </c>
      <c r="L592" s="58">
        <f t="shared" si="582"/>
        <v>0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0" customHeight="1">
      <c r="A593" s="70"/>
      <c r="B593" s="71"/>
      <c r="C593" s="66"/>
      <c r="D593" s="66">
        <f t="shared" si="3"/>
        <v>0</v>
      </c>
      <c r="E593" s="67"/>
      <c r="F593" s="58">
        <f t="shared" ref="F593:L593" si="583">SUMIFS($C593,$B593,F$7)+F592</f>
        <v>0</v>
      </c>
      <c r="G593" s="58">
        <f t="shared" si="583"/>
        <v>0</v>
      </c>
      <c r="H593" s="58">
        <f t="shared" si="583"/>
        <v>0</v>
      </c>
      <c r="I593" s="58">
        <f t="shared" si="583"/>
        <v>59</v>
      </c>
      <c r="J593" s="58">
        <f t="shared" si="583"/>
        <v>0</v>
      </c>
      <c r="K593" s="58">
        <f t="shared" si="583"/>
        <v>0</v>
      </c>
      <c r="L593" s="58">
        <f t="shared" si="583"/>
        <v>0</v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0" customHeight="1">
      <c r="A594" s="70"/>
      <c r="B594" s="71"/>
      <c r="C594" s="66"/>
      <c r="D594" s="66">
        <f t="shared" si="3"/>
        <v>0</v>
      </c>
      <c r="E594" s="67"/>
      <c r="F594" s="58">
        <f t="shared" ref="F594:L594" si="584">SUMIFS($C594,$B594,F$7)+F593</f>
        <v>0</v>
      </c>
      <c r="G594" s="58">
        <f t="shared" si="584"/>
        <v>0</v>
      </c>
      <c r="H594" s="58">
        <f t="shared" si="584"/>
        <v>0</v>
      </c>
      <c r="I594" s="58">
        <f t="shared" si="584"/>
        <v>59</v>
      </c>
      <c r="J594" s="58">
        <f t="shared" si="584"/>
        <v>0</v>
      </c>
      <c r="K594" s="58">
        <f t="shared" si="584"/>
        <v>0</v>
      </c>
      <c r="L594" s="58">
        <f t="shared" si="584"/>
        <v>0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0" customHeight="1">
      <c r="A595" s="70"/>
      <c r="B595" s="71"/>
      <c r="C595" s="66"/>
      <c r="D595" s="66">
        <f t="shared" si="3"/>
        <v>0</v>
      </c>
      <c r="E595" s="67"/>
      <c r="F595" s="58">
        <f t="shared" ref="F595:L595" si="585">SUMIFS($C595,$B595,F$7)+F594</f>
        <v>0</v>
      </c>
      <c r="G595" s="58">
        <f t="shared" si="585"/>
        <v>0</v>
      </c>
      <c r="H595" s="58">
        <f t="shared" si="585"/>
        <v>0</v>
      </c>
      <c r="I595" s="58">
        <f t="shared" si="585"/>
        <v>59</v>
      </c>
      <c r="J595" s="58">
        <f t="shared" si="585"/>
        <v>0</v>
      </c>
      <c r="K595" s="58">
        <f t="shared" si="585"/>
        <v>0</v>
      </c>
      <c r="L595" s="58">
        <f t="shared" si="585"/>
        <v>0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0" customHeight="1">
      <c r="A596" s="70"/>
      <c r="B596" s="71"/>
      <c r="C596" s="66"/>
      <c r="D596" s="66">
        <f t="shared" si="3"/>
        <v>0</v>
      </c>
      <c r="E596" s="67"/>
      <c r="F596" s="58">
        <f t="shared" ref="F596:L596" si="586">SUMIFS($C596,$B596,F$7)+F595</f>
        <v>0</v>
      </c>
      <c r="G596" s="58">
        <f t="shared" si="586"/>
        <v>0</v>
      </c>
      <c r="H596" s="58">
        <f t="shared" si="586"/>
        <v>0</v>
      </c>
      <c r="I596" s="58">
        <f t="shared" si="586"/>
        <v>59</v>
      </c>
      <c r="J596" s="58">
        <f t="shared" si="586"/>
        <v>0</v>
      </c>
      <c r="K596" s="58">
        <f t="shared" si="586"/>
        <v>0</v>
      </c>
      <c r="L596" s="58">
        <f t="shared" si="586"/>
        <v>0</v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0" customHeight="1">
      <c r="A597" s="70"/>
      <c r="B597" s="71"/>
      <c r="C597" s="66"/>
      <c r="D597" s="66">
        <f t="shared" si="3"/>
        <v>0</v>
      </c>
      <c r="E597" s="67"/>
      <c r="F597" s="58">
        <f t="shared" ref="F597:L597" si="587">SUMIFS($C597,$B597,F$7)+F596</f>
        <v>0</v>
      </c>
      <c r="G597" s="58">
        <f t="shared" si="587"/>
        <v>0</v>
      </c>
      <c r="H597" s="58">
        <f t="shared" si="587"/>
        <v>0</v>
      </c>
      <c r="I597" s="58">
        <f t="shared" si="587"/>
        <v>59</v>
      </c>
      <c r="J597" s="58">
        <f t="shared" si="587"/>
        <v>0</v>
      </c>
      <c r="K597" s="58">
        <f t="shared" si="587"/>
        <v>0</v>
      </c>
      <c r="L597" s="58">
        <f t="shared" si="587"/>
        <v>0</v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0" customHeight="1">
      <c r="A598" s="70"/>
      <c r="B598" s="71"/>
      <c r="C598" s="66"/>
      <c r="D598" s="66">
        <f t="shared" si="3"/>
        <v>0</v>
      </c>
      <c r="E598" s="67"/>
      <c r="F598" s="58">
        <f t="shared" ref="F598:L598" si="588">SUMIFS($C598,$B598,F$7)+F597</f>
        <v>0</v>
      </c>
      <c r="G598" s="58">
        <f t="shared" si="588"/>
        <v>0</v>
      </c>
      <c r="H598" s="58">
        <f t="shared" si="588"/>
        <v>0</v>
      </c>
      <c r="I598" s="58">
        <f t="shared" si="588"/>
        <v>59</v>
      </c>
      <c r="J598" s="58">
        <f t="shared" si="588"/>
        <v>0</v>
      </c>
      <c r="K598" s="58">
        <f t="shared" si="588"/>
        <v>0</v>
      </c>
      <c r="L598" s="58">
        <f t="shared" si="588"/>
        <v>0</v>
      </c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0" customHeight="1">
      <c r="A599" s="70"/>
      <c r="B599" s="71"/>
      <c r="C599" s="66"/>
      <c r="D599" s="66">
        <f t="shared" si="3"/>
        <v>0</v>
      </c>
      <c r="E599" s="67"/>
      <c r="F599" s="58">
        <f t="shared" ref="F599:L599" si="589">SUMIFS($C599,$B599,F$7)+F598</f>
        <v>0</v>
      </c>
      <c r="G599" s="58">
        <f t="shared" si="589"/>
        <v>0</v>
      </c>
      <c r="H599" s="58">
        <f t="shared" si="589"/>
        <v>0</v>
      </c>
      <c r="I599" s="58">
        <f t="shared" si="589"/>
        <v>59</v>
      </c>
      <c r="J599" s="58">
        <f t="shared" si="589"/>
        <v>0</v>
      </c>
      <c r="K599" s="58">
        <f t="shared" si="589"/>
        <v>0</v>
      </c>
      <c r="L599" s="58">
        <f t="shared" si="589"/>
        <v>0</v>
      </c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0" customHeight="1">
      <c r="A600" s="70"/>
      <c r="B600" s="71"/>
      <c r="C600" s="66"/>
      <c r="D600" s="66">
        <f t="shared" si="3"/>
        <v>0</v>
      </c>
      <c r="E600" s="67"/>
      <c r="F600" s="58">
        <f t="shared" ref="F600:L600" si="590">SUMIFS($C600,$B600,F$7)+F599</f>
        <v>0</v>
      </c>
      <c r="G600" s="58">
        <f t="shared" si="590"/>
        <v>0</v>
      </c>
      <c r="H600" s="58">
        <f t="shared" si="590"/>
        <v>0</v>
      </c>
      <c r="I600" s="58">
        <f t="shared" si="590"/>
        <v>59</v>
      </c>
      <c r="J600" s="58">
        <f t="shared" si="590"/>
        <v>0</v>
      </c>
      <c r="K600" s="58">
        <f t="shared" si="590"/>
        <v>0</v>
      </c>
      <c r="L600" s="58">
        <f t="shared" si="590"/>
        <v>0</v>
      </c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0" customHeight="1">
      <c r="A601" s="70"/>
      <c r="B601" s="71"/>
      <c r="C601" s="66"/>
      <c r="D601" s="66">
        <f t="shared" si="3"/>
        <v>0</v>
      </c>
      <c r="E601" s="67"/>
      <c r="F601" s="58">
        <f t="shared" ref="F601:L601" si="591">SUMIFS($C601,$B601,F$7)+F600</f>
        <v>0</v>
      </c>
      <c r="G601" s="58">
        <f t="shared" si="591"/>
        <v>0</v>
      </c>
      <c r="H601" s="58">
        <f t="shared" si="591"/>
        <v>0</v>
      </c>
      <c r="I601" s="58">
        <f t="shared" si="591"/>
        <v>59</v>
      </c>
      <c r="J601" s="58">
        <f t="shared" si="591"/>
        <v>0</v>
      </c>
      <c r="K601" s="58">
        <f t="shared" si="591"/>
        <v>0</v>
      </c>
      <c r="L601" s="58">
        <f t="shared" si="591"/>
        <v>0</v>
      </c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0" customHeight="1">
      <c r="A602" s="70"/>
      <c r="B602" s="71"/>
      <c r="C602" s="66"/>
      <c r="D602" s="66">
        <f t="shared" si="3"/>
        <v>0</v>
      </c>
      <c r="E602" s="67"/>
      <c r="F602" s="58">
        <f t="shared" ref="F602:L602" si="592">SUMIFS($C602,$B602,F$7)+F601</f>
        <v>0</v>
      </c>
      <c r="G602" s="58">
        <f t="shared" si="592"/>
        <v>0</v>
      </c>
      <c r="H602" s="58">
        <f t="shared" si="592"/>
        <v>0</v>
      </c>
      <c r="I602" s="58">
        <f t="shared" si="592"/>
        <v>59</v>
      </c>
      <c r="J602" s="58">
        <f t="shared" si="592"/>
        <v>0</v>
      </c>
      <c r="K602" s="58">
        <f t="shared" si="592"/>
        <v>0</v>
      </c>
      <c r="L602" s="58">
        <f t="shared" si="592"/>
        <v>0</v>
      </c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0" customHeight="1">
      <c r="A603" s="70"/>
      <c r="B603" s="71"/>
      <c r="C603" s="66"/>
      <c r="D603" s="66">
        <f t="shared" si="3"/>
        <v>0</v>
      </c>
      <c r="E603" s="67"/>
      <c r="F603" s="58">
        <f t="shared" ref="F603:L603" si="593">SUMIFS($C603,$B603,F$7)+F602</f>
        <v>0</v>
      </c>
      <c r="G603" s="58">
        <f t="shared" si="593"/>
        <v>0</v>
      </c>
      <c r="H603" s="58">
        <f t="shared" si="593"/>
        <v>0</v>
      </c>
      <c r="I603" s="58">
        <f t="shared" si="593"/>
        <v>59</v>
      </c>
      <c r="J603" s="58">
        <f t="shared" si="593"/>
        <v>0</v>
      </c>
      <c r="K603" s="58">
        <f t="shared" si="593"/>
        <v>0</v>
      </c>
      <c r="L603" s="58">
        <f t="shared" si="593"/>
        <v>0</v>
      </c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0" customHeight="1">
      <c r="A604" s="70"/>
      <c r="B604" s="71"/>
      <c r="C604" s="66"/>
      <c r="D604" s="66">
        <f t="shared" si="3"/>
        <v>0</v>
      </c>
      <c r="E604" s="67"/>
      <c r="F604" s="58">
        <f t="shared" ref="F604:L604" si="594">SUMIFS($C604,$B604,F$7)+F603</f>
        <v>0</v>
      </c>
      <c r="G604" s="58">
        <f t="shared" si="594"/>
        <v>0</v>
      </c>
      <c r="H604" s="58">
        <f t="shared" si="594"/>
        <v>0</v>
      </c>
      <c r="I604" s="58">
        <f t="shared" si="594"/>
        <v>59</v>
      </c>
      <c r="J604" s="58">
        <f t="shared" si="594"/>
        <v>0</v>
      </c>
      <c r="K604" s="58">
        <f t="shared" si="594"/>
        <v>0</v>
      </c>
      <c r="L604" s="58">
        <f t="shared" si="594"/>
        <v>0</v>
      </c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0" customHeight="1">
      <c r="A605" s="70"/>
      <c r="B605" s="71"/>
      <c r="C605" s="66"/>
      <c r="D605" s="66">
        <f t="shared" si="3"/>
        <v>0</v>
      </c>
      <c r="E605" s="67"/>
      <c r="F605" s="58">
        <f t="shared" ref="F605:L605" si="595">SUMIFS($C605,$B605,F$7)+F604</f>
        <v>0</v>
      </c>
      <c r="G605" s="58">
        <f t="shared" si="595"/>
        <v>0</v>
      </c>
      <c r="H605" s="58">
        <f t="shared" si="595"/>
        <v>0</v>
      </c>
      <c r="I605" s="58">
        <f t="shared" si="595"/>
        <v>59</v>
      </c>
      <c r="J605" s="58">
        <f t="shared" si="595"/>
        <v>0</v>
      </c>
      <c r="K605" s="58">
        <f t="shared" si="595"/>
        <v>0</v>
      </c>
      <c r="L605" s="58">
        <f t="shared" si="595"/>
        <v>0</v>
      </c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0" customHeight="1">
      <c r="A606" s="70"/>
      <c r="B606" s="71"/>
      <c r="C606" s="66"/>
      <c r="D606" s="66">
        <f t="shared" si="3"/>
        <v>0</v>
      </c>
      <c r="E606" s="67"/>
      <c r="F606" s="58">
        <f t="shared" ref="F606:L606" si="596">SUMIFS($C606,$B606,F$7)+F605</f>
        <v>0</v>
      </c>
      <c r="G606" s="58">
        <f t="shared" si="596"/>
        <v>0</v>
      </c>
      <c r="H606" s="58">
        <f t="shared" si="596"/>
        <v>0</v>
      </c>
      <c r="I606" s="58">
        <f t="shared" si="596"/>
        <v>59</v>
      </c>
      <c r="J606" s="58">
        <f t="shared" si="596"/>
        <v>0</v>
      </c>
      <c r="K606" s="58">
        <f t="shared" si="596"/>
        <v>0</v>
      </c>
      <c r="L606" s="58">
        <f t="shared" si="596"/>
        <v>0</v>
      </c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0" customHeight="1">
      <c r="A607" s="70"/>
      <c r="B607" s="71"/>
      <c r="C607" s="66"/>
      <c r="D607" s="66">
        <f t="shared" si="3"/>
        <v>0</v>
      </c>
      <c r="E607" s="67"/>
      <c r="F607" s="58">
        <f t="shared" ref="F607:L607" si="597">SUMIFS($C607,$B607,F$7)+F606</f>
        <v>0</v>
      </c>
      <c r="G607" s="58">
        <f t="shared" si="597"/>
        <v>0</v>
      </c>
      <c r="H607" s="58">
        <f t="shared" si="597"/>
        <v>0</v>
      </c>
      <c r="I607" s="58">
        <f t="shared" si="597"/>
        <v>59</v>
      </c>
      <c r="J607" s="58">
        <f t="shared" si="597"/>
        <v>0</v>
      </c>
      <c r="K607" s="58">
        <f t="shared" si="597"/>
        <v>0</v>
      </c>
      <c r="L607" s="58">
        <f t="shared" si="597"/>
        <v>0</v>
      </c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0" customHeight="1">
      <c r="A608" s="70"/>
      <c r="B608" s="71"/>
      <c r="C608" s="66"/>
      <c r="D608" s="66">
        <f t="shared" si="3"/>
        <v>0</v>
      </c>
      <c r="E608" s="67"/>
      <c r="F608" s="58">
        <f t="shared" ref="F608:L608" si="598">SUMIFS($C608,$B608,F$7)+F607</f>
        <v>0</v>
      </c>
      <c r="G608" s="58">
        <f t="shared" si="598"/>
        <v>0</v>
      </c>
      <c r="H608" s="58">
        <f t="shared" si="598"/>
        <v>0</v>
      </c>
      <c r="I608" s="58">
        <f t="shared" si="598"/>
        <v>59</v>
      </c>
      <c r="J608" s="58">
        <f t="shared" si="598"/>
        <v>0</v>
      </c>
      <c r="K608" s="58">
        <f t="shared" si="598"/>
        <v>0</v>
      </c>
      <c r="L608" s="58">
        <f t="shared" si="598"/>
        <v>0</v>
      </c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0" customHeight="1">
      <c r="A609" s="70"/>
      <c r="B609" s="71"/>
      <c r="C609" s="66"/>
      <c r="D609" s="66">
        <f t="shared" si="3"/>
        <v>0</v>
      </c>
      <c r="E609" s="67"/>
      <c r="F609" s="58">
        <f t="shared" ref="F609:L609" si="599">SUMIFS($C609,$B609,F$7)+F608</f>
        <v>0</v>
      </c>
      <c r="G609" s="58">
        <f t="shared" si="599"/>
        <v>0</v>
      </c>
      <c r="H609" s="58">
        <f t="shared" si="599"/>
        <v>0</v>
      </c>
      <c r="I609" s="58">
        <f t="shared" si="599"/>
        <v>59</v>
      </c>
      <c r="J609" s="58">
        <f t="shared" si="599"/>
        <v>0</v>
      </c>
      <c r="K609" s="58">
        <f t="shared" si="599"/>
        <v>0</v>
      </c>
      <c r="L609" s="58">
        <f t="shared" si="599"/>
        <v>0</v>
      </c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0" customHeight="1">
      <c r="A610" s="70"/>
      <c r="B610" s="71"/>
      <c r="C610" s="66"/>
      <c r="D610" s="66">
        <f t="shared" si="3"/>
        <v>0</v>
      </c>
      <c r="E610" s="67"/>
      <c r="F610" s="58">
        <f t="shared" ref="F610:L610" si="600">SUMIFS($C610,$B610,F$7)+F609</f>
        <v>0</v>
      </c>
      <c r="G610" s="58">
        <f t="shared" si="600"/>
        <v>0</v>
      </c>
      <c r="H610" s="58">
        <f t="shared" si="600"/>
        <v>0</v>
      </c>
      <c r="I610" s="58">
        <f t="shared" si="600"/>
        <v>59</v>
      </c>
      <c r="J610" s="58">
        <f t="shared" si="600"/>
        <v>0</v>
      </c>
      <c r="K610" s="58">
        <f t="shared" si="600"/>
        <v>0</v>
      </c>
      <c r="L610" s="58">
        <f t="shared" si="600"/>
        <v>0</v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0" customHeight="1">
      <c r="A611" s="70"/>
      <c r="B611" s="71"/>
      <c r="C611" s="66"/>
      <c r="D611" s="66">
        <f t="shared" si="3"/>
        <v>0</v>
      </c>
      <c r="E611" s="67"/>
      <c r="F611" s="58">
        <f t="shared" ref="F611:L611" si="601">SUMIFS($C611,$B611,F$7)+F610</f>
        <v>0</v>
      </c>
      <c r="G611" s="58">
        <f t="shared" si="601"/>
        <v>0</v>
      </c>
      <c r="H611" s="58">
        <f t="shared" si="601"/>
        <v>0</v>
      </c>
      <c r="I611" s="58">
        <f t="shared" si="601"/>
        <v>59</v>
      </c>
      <c r="J611" s="58">
        <f t="shared" si="601"/>
        <v>0</v>
      </c>
      <c r="K611" s="58">
        <f t="shared" si="601"/>
        <v>0</v>
      </c>
      <c r="L611" s="58">
        <f t="shared" si="601"/>
        <v>0</v>
      </c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0" customHeight="1">
      <c r="A612" s="70"/>
      <c r="B612" s="71"/>
      <c r="C612" s="66"/>
      <c r="D612" s="66">
        <f t="shared" si="3"/>
        <v>0</v>
      </c>
      <c r="E612" s="67"/>
      <c r="F612" s="58">
        <f t="shared" ref="F612:L612" si="602">SUMIFS($C612,$B612,F$7)+F611</f>
        <v>0</v>
      </c>
      <c r="G612" s="58">
        <f t="shared" si="602"/>
        <v>0</v>
      </c>
      <c r="H612" s="58">
        <f t="shared" si="602"/>
        <v>0</v>
      </c>
      <c r="I612" s="58">
        <f t="shared" si="602"/>
        <v>59</v>
      </c>
      <c r="J612" s="58">
        <f t="shared" si="602"/>
        <v>0</v>
      </c>
      <c r="K612" s="58">
        <f t="shared" si="602"/>
        <v>0</v>
      </c>
      <c r="L612" s="58">
        <f t="shared" si="602"/>
        <v>0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0" customHeight="1">
      <c r="A613" s="70"/>
      <c r="B613" s="71"/>
      <c r="C613" s="66"/>
      <c r="D613" s="66">
        <f t="shared" si="3"/>
        <v>0</v>
      </c>
      <c r="E613" s="67"/>
      <c r="F613" s="58">
        <f t="shared" ref="F613:L613" si="603">SUMIFS($C613,$B613,F$7)+F612</f>
        <v>0</v>
      </c>
      <c r="G613" s="58">
        <f t="shared" si="603"/>
        <v>0</v>
      </c>
      <c r="H613" s="58">
        <f t="shared" si="603"/>
        <v>0</v>
      </c>
      <c r="I613" s="58">
        <f t="shared" si="603"/>
        <v>59</v>
      </c>
      <c r="J613" s="58">
        <f t="shared" si="603"/>
        <v>0</v>
      </c>
      <c r="K613" s="58">
        <f t="shared" si="603"/>
        <v>0</v>
      </c>
      <c r="L613" s="58">
        <f t="shared" si="603"/>
        <v>0</v>
      </c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0" customHeight="1">
      <c r="A614" s="70"/>
      <c r="B614" s="71"/>
      <c r="C614" s="66"/>
      <c r="D614" s="66">
        <f t="shared" si="3"/>
        <v>0</v>
      </c>
      <c r="E614" s="67"/>
      <c r="F614" s="58">
        <f t="shared" ref="F614:L614" si="604">SUMIFS($C614,$B614,F$7)+F613</f>
        <v>0</v>
      </c>
      <c r="G614" s="58">
        <f t="shared" si="604"/>
        <v>0</v>
      </c>
      <c r="H614" s="58">
        <f t="shared" si="604"/>
        <v>0</v>
      </c>
      <c r="I614" s="58">
        <f t="shared" si="604"/>
        <v>59</v>
      </c>
      <c r="J614" s="58">
        <f t="shared" si="604"/>
        <v>0</v>
      </c>
      <c r="K614" s="58">
        <f t="shared" si="604"/>
        <v>0</v>
      </c>
      <c r="L614" s="58">
        <f t="shared" si="604"/>
        <v>0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0" customHeight="1">
      <c r="A615" s="70"/>
      <c r="B615" s="71"/>
      <c r="C615" s="66"/>
      <c r="D615" s="66">
        <f t="shared" si="3"/>
        <v>0</v>
      </c>
      <c r="E615" s="67"/>
      <c r="F615" s="58">
        <f t="shared" ref="F615:L615" si="605">SUMIFS($C615,$B615,F$7)+F614</f>
        <v>0</v>
      </c>
      <c r="G615" s="58">
        <f t="shared" si="605"/>
        <v>0</v>
      </c>
      <c r="H615" s="58">
        <f t="shared" si="605"/>
        <v>0</v>
      </c>
      <c r="I615" s="58">
        <f t="shared" si="605"/>
        <v>59</v>
      </c>
      <c r="J615" s="58">
        <f t="shared" si="605"/>
        <v>0</v>
      </c>
      <c r="K615" s="58">
        <f t="shared" si="605"/>
        <v>0</v>
      </c>
      <c r="L615" s="58">
        <f t="shared" si="605"/>
        <v>0</v>
      </c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0" customHeight="1">
      <c r="A616" s="70"/>
      <c r="B616" s="71"/>
      <c r="C616" s="66"/>
      <c r="D616" s="66">
        <f t="shared" si="3"/>
        <v>0</v>
      </c>
      <c r="E616" s="67"/>
      <c r="F616" s="58">
        <f t="shared" ref="F616:L616" si="606">SUMIFS($C616,$B616,F$7)+F615</f>
        <v>0</v>
      </c>
      <c r="G616" s="58">
        <f t="shared" si="606"/>
        <v>0</v>
      </c>
      <c r="H616" s="58">
        <f t="shared" si="606"/>
        <v>0</v>
      </c>
      <c r="I616" s="58">
        <f t="shared" si="606"/>
        <v>59</v>
      </c>
      <c r="J616" s="58">
        <f t="shared" si="606"/>
        <v>0</v>
      </c>
      <c r="K616" s="58">
        <f t="shared" si="606"/>
        <v>0</v>
      </c>
      <c r="L616" s="58">
        <f t="shared" si="606"/>
        <v>0</v>
      </c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0" customHeight="1">
      <c r="A617" s="70"/>
      <c r="B617" s="71"/>
      <c r="C617" s="66"/>
      <c r="D617" s="66">
        <f t="shared" si="3"/>
        <v>0</v>
      </c>
      <c r="E617" s="67"/>
      <c r="F617" s="58">
        <f t="shared" ref="F617:L617" si="607">SUMIFS($C617,$B617,F$7)+F616</f>
        <v>0</v>
      </c>
      <c r="G617" s="58">
        <f t="shared" si="607"/>
        <v>0</v>
      </c>
      <c r="H617" s="58">
        <f t="shared" si="607"/>
        <v>0</v>
      </c>
      <c r="I617" s="58">
        <f t="shared" si="607"/>
        <v>59</v>
      </c>
      <c r="J617" s="58">
        <f t="shared" si="607"/>
        <v>0</v>
      </c>
      <c r="K617" s="58">
        <f t="shared" si="607"/>
        <v>0</v>
      </c>
      <c r="L617" s="58">
        <f t="shared" si="607"/>
        <v>0</v>
      </c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0" customHeight="1">
      <c r="A618" s="70"/>
      <c r="B618" s="71"/>
      <c r="C618" s="66"/>
      <c r="D618" s="66">
        <f t="shared" si="3"/>
        <v>0</v>
      </c>
      <c r="E618" s="67"/>
      <c r="F618" s="58">
        <f t="shared" ref="F618:L618" si="608">SUMIFS($C618,$B618,F$7)+F617</f>
        <v>0</v>
      </c>
      <c r="G618" s="58">
        <f t="shared" si="608"/>
        <v>0</v>
      </c>
      <c r="H618" s="58">
        <f t="shared" si="608"/>
        <v>0</v>
      </c>
      <c r="I618" s="58">
        <f t="shared" si="608"/>
        <v>59</v>
      </c>
      <c r="J618" s="58">
        <f t="shared" si="608"/>
        <v>0</v>
      </c>
      <c r="K618" s="58">
        <f t="shared" si="608"/>
        <v>0</v>
      </c>
      <c r="L618" s="58">
        <f t="shared" si="608"/>
        <v>0</v>
      </c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0" customHeight="1">
      <c r="A619" s="70"/>
      <c r="B619" s="71"/>
      <c r="C619" s="66"/>
      <c r="D619" s="66">
        <f t="shared" si="3"/>
        <v>0</v>
      </c>
      <c r="E619" s="67"/>
      <c r="F619" s="58">
        <f t="shared" ref="F619:L619" si="609">SUMIFS($C619,$B619,F$7)+F618</f>
        <v>0</v>
      </c>
      <c r="G619" s="58">
        <f t="shared" si="609"/>
        <v>0</v>
      </c>
      <c r="H619" s="58">
        <f t="shared" si="609"/>
        <v>0</v>
      </c>
      <c r="I619" s="58">
        <f t="shared" si="609"/>
        <v>59</v>
      </c>
      <c r="J619" s="58">
        <f t="shared" si="609"/>
        <v>0</v>
      </c>
      <c r="K619" s="58">
        <f t="shared" si="609"/>
        <v>0</v>
      </c>
      <c r="L619" s="58">
        <f t="shared" si="609"/>
        <v>0</v>
      </c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0" customHeight="1">
      <c r="A620" s="70"/>
      <c r="B620" s="71"/>
      <c r="C620" s="66"/>
      <c r="D620" s="66">
        <f t="shared" si="3"/>
        <v>0</v>
      </c>
      <c r="E620" s="67"/>
      <c r="F620" s="58">
        <f t="shared" ref="F620:L620" si="610">SUMIFS($C620,$B620,F$7)+F619</f>
        <v>0</v>
      </c>
      <c r="G620" s="58">
        <f t="shared" si="610"/>
        <v>0</v>
      </c>
      <c r="H620" s="58">
        <f t="shared" si="610"/>
        <v>0</v>
      </c>
      <c r="I620" s="58">
        <f t="shared" si="610"/>
        <v>59</v>
      </c>
      <c r="J620" s="58">
        <f t="shared" si="610"/>
        <v>0</v>
      </c>
      <c r="K620" s="58">
        <f t="shared" si="610"/>
        <v>0</v>
      </c>
      <c r="L620" s="58">
        <f t="shared" si="610"/>
        <v>0</v>
      </c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0" customHeight="1">
      <c r="A621" s="70"/>
      <c r="B621" s="71"/>
      <c r="C621" s="66"/>
      <c r="D621" s="66">
        <f t="shared" si="3"/>
        <v>0</v>
      </c>
      <c r="E621" s="67"/>
      <c r="F621" s="58">
        <f t="shared" ref="F621:L621" si="611">SUMIFS($C621,$B621,F$7)+F620</f>
        <v>0</v>
      </c>
      <c r="G621" s="58">
        <f t="shared" si="611"/>
        <v>0</v>
      </c>
      <c r="H621" s="58">
        <f t="shared" si="611"/>
        <v>0</v>
      </c>
      <c r="I621" s="58">
        <f t="shared" si="611"/>
        <v>59</v>
      </c>
      <c r="J621" s="58">
        <f t="shared" si="611"/>
        <v>0</v>
      </c>
      <c r="K621" s="58">
        <f t="shared" si="611"/>
        <v>0</v>
      </c>
      <c r="L621" s="58">
        <f t="shared" si="611"/>
        <v>0</v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0" customHeight="1">
      <c r="A622" s="70"/>
      <c r="B622" s="71"/>
      <c r="C622" s="66"/>
      <c r="D622" s="66">
        <f t="shared" si="3"/>
        <v>0</v>
      </c>
      <c r="E622" s="67"/>
      <c r="F622" s="58">
        <f t="shared" ref="F622:L622" si="612">SUMIFS($C622,$B622,F$7)+F621</f>
        <v>0</v>
      </c>
      <c r="G622" s="58">
        <f t="shared" si="612"/>
        <v>0</v>
      </c>
      <c r="H622" s="58">
        <f t="shared" si="612"/>
        <v>0</v>
      </c>
      <c r="I622" s="58">
        <f t="shared" si="612"/>
        <v>59</v>
      </c>
      <c r="J622" s="58">
        <f t="shared" si="612"/>
        <v>0</v>
      </c>
      <c r="K622" s="58">
        <f t="shared" si="612"/>
        <v>0</v>
      </c>
      <c r="L622" s="58">
        <f t="shared" si="612"/>
        <v>0</v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0" customHeight="1">
      <c r="A623" s="70"/>
      <c r="B623" s="71"/>
      <c r="C623" s="66"/>
      <c r="D623" s="66">
        <f t="shared" si="3"/>
        <v>0</v>
      </c>
      <c r="E623" s="67"/>
      <c r="F623" s="58">
        <f t="shared" ref="F623:L623" si="613">SUMIFS($C623,$B623,F$7)+F622</f>
        <v>0</v>
      </c>
      <c r="G623" s="58">
        <f t="shared" si="613"/>
        <v>0</v>
      </c>
      <c r="H623" s="58">
        <f t="shared" si="613"/>
        <v>0</v>
      </c>
      <c r="I623" s="58">
        <f t="shared" si="613"/>
        <v>59</v>
      </c>
      <c r="J623" s="58">
        <f t="shared" si="613"/>
        <v>0</v>
      </c>
      <c r="K623" s="58">
        <f t="shared" si="613"/>
        <v>0</v>
      </c>
      <c r="L623" s="58">
        <f t="shared" si="613"/>
        <v>0</v>
      </c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0" customHeight="1">
      <c r="A624" s="70"/>
      <c r="B624" s="71"/>
      <c r="C624" s="66"/>
      <c r="D624" s="66">
        <f t="shared" si="3"/>
        <v>0</v>
      </c>
      <c r="E624" s="67"/>
      <c r="F624" s="58">
        <f t="shared" ref="F624:L624" si="614">SUMIFS($C624,$B624,F$7)+F623</f>
        <v>0</v>
      </c>
      <c r="G624" s="58">
        <f t="shared" si="614"/>
        <v>0</v>
      </c>
      <c r="H624" s="58">
        <f t="shared" si="614"/>
        <v>0</v>
      </c>
      <c r="I624" s="58">
        <f t="shared" si="614"/>
        <v>59</v>
      </c>
      <c r="J624" s="58">
        <f t="shared" si="614"/>
        <v>0</v>
      </c>
      <c r="K624" s="58">
        <f t="shared" si="614"/>
        <v>0</v>
      </c>
      <c r="L624" s="58">
        <f t="shared" si="614"/>
        <v>0</v>
      </c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0" customHeight="1">
      <c r="A625" s="70"/>
      <c r="B625" s="71"/>
      <c r="C625" s="66"/>
      <c r="D625" s="66">
        <f t="shared" si="3"/>
        <v>0</v>
      </c>
      <c r="E625" s="67"/>
      <c r="F625" s="58">
        <f t="shared" ref="F625:L625" si="615">SUMIFS($C625,$B625,F$7)+F624</f>
        <v>0</v>
      </c>
      <c r="G625" s="58">
        <f t="shared" si="615"/>
        <v>0</v>
      </c>
      <c r="H625" s="58">
        <f t="shared" si="615"/>
        <v>0</v>
      </c>
      <c r="I625" s="58">
        <f t="shared" si="615"/>
        <v>59</v>
      </c>
      <c r="J625" s="58">
        <f t="shared" si="615"/>
        <v>0</v>
      </c>
      <c r="K625" s="58">
        <f t="shared" si="615"/>
        <v>0</v>
      </c>
      <c r="L625" s="58">
        <f t="shared" si="615"/>
        <v>0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0" customHeight="1">
      <c r="A626" s="70"/>
      <c r="B626" s="71"/>
      <c r="C626" s="66"/>
      <c r="D626" s="66">
        <f t="shared" si="3"/>
        <v>0</v>
      </c>
      <c r="E626" s="67"/>
      <c r="F626" s="58">
        <f t="shared" ref="F626:L626" si="616">SUMIFS($C626,$B626,F$7)+F625</f>
        <v>0</v>
      </c>
      <c r="G626" s="58">
        <f t="shared" si="616"/>
        <v>0</v>
      </c>
      <c r="H626" s="58">
        <f t="shared" si="616"/>
        <v>0</v>
      </c>
      <c r="I626" s="58">
        <f t="shared" si="616"/>
        <v>59</v>
      </c>
      <c r="J626" s="58">
        <f t="shared" si="616"/>
        <v>0</v>
      </c>
      <c r="K626" s="58">
        <f t="shared" si="616"/>
        <v>0</v>
      </c>
      <c r="L626" s="58">
        <f t="shared" si="616"/>
        <v>0</v>
      </c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0" customHeight="1">
      <c r="A627" s="70"/>
      <c r="B627" s="71"/>
      <c r="C627" s="66"/>
      <c r="D627" s="66">
        <f t="shared" si="3"/>
        <v>0</v>
      </c>
      <c r="E627" s="67"/>
      <c r="F627" s="58">
        <f t="shared" ref="F627:L627" si="617">SUMIFS($C627,$B627,F$7)+F626</f>
        <v>0</v>
      </c>
      <c r="G627" s="58">
        <f t="shared" si="617"/>
        <v>0</v>
      </c>
      <c r="H627" s="58">
        <f t="shared" si="617"/>
        <v>0</v>
      </c>
      <c r="I627" s="58">
        <f t="shared" si="617"/>
        <v>59</v>
      </c>
      <c r="J627" s="58">
        <f t="shared" si="617"/>
        <v>0</v>
      </c>
      <c r="K627" s="58">
        <f t="shared" si="617"/>
        <v>0</v>
      </c>
      <c r="L627" s="58">
        <f t="shared" si="617"/>
        <v>0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0" customHeight="1">
      <c r="A628" s="70"/>
      <c r="B628" s="71"/>
      <c r="C628" s="66"/>
      <c r="D628" s="66">
        <f t="shared" si="3"/>
        <v>0</v>
      </c>
      <c r="E628" s="67"/>
      <c r="F628" s="58">
        <f t="shared" ref="F628:L628" si="618">SUMIFS($C628,$B628,F$7)+F627</f>
        <v>0</v>
      </c>
      <c r="G628" s="58">
        <f t="shared" si="618"/>
        <v>0</v>
      </c>
      <c r="H628" s="58">
        <f t="shared" si="618"/>
        <v>0</v>
      </c>
      <c r="I628" s="58">
        <f t="shared" si="618"/>
        <v>59</v>
      </c>
      <c r="J628" s="58">
        <f t="shared" si="618"/>
        <v>0</v>
      </c>
      <c r="K628" s="58">
        <f t="shared" si="618"/>
        <v>0</v>
      </c>
      <c r="L628" s="58">
        <f t="shared" si="618"/>
        <v>0</v>
      </c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0" customHeight="1">
      <c r="A629" s="70"/>
      <c r="B629" s="71"/>
      <c r="C629" s="66"/>
      <c r="D629" s="66">
        <f t="shared" si="3"/>
        <v>0</v>
      </c>
      <c r="E629" s="67"/>
      <c r="F629" s="58">
        <f t="shared" ref="F629:L629" si="619">SUMIFS($C629,$B629,F$7)+F628</f>
        <v>0</v>
      </c>
      <c r="G629" s="58">
        <f t="shared" si="619"/>
        <v>0</v>
      </c>
      <c r="H629" s="58">
        <f t="shared" si="619"/>
        <v>0</v>
      </c>
      <c r="I629" s="58">
        <f t="shared" si="619"/>
        <v>59</v>
      </c>
      <c r="J629" s="58">
        <f t="shared" si="619"/>
        <v>0</v>
      </c>
      <c r="K629" s="58">
        <f t="shared" si="619"/>
        <v>0</v>
      </c>
      <c r="L629" s="58">
        <f t="shared" si="619"/>
        <v>0</v>
      </c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0" customHeight="1">
      <c r="A630" s="70"/>
      <c r="B630" s="71"/>
      <c r="C630" s="66"/>
      <c r="D630" s="66">
        <f t="shared" si="3"/>
        <v>0</v>
      </c>
      <c r="E630" s="67"/>
      <c r="F630" s="58">
        <f t="shared" ref="F630:L630" si="620">SUMIFS($C630,$B630,F$7)+F629</f>
        <v>0</v>
      </c>
      <c r="G630" s="58">
        <f t="shared" si="620"/>
        <v>0</v>
      </c>
      <c r="H630" s="58">
        <f t="shared" si="620"/>
        <v>0</v>
      </c>
      <c r="I630" s="58">
        <f t="shared" si="620"/>
        <v>59</v>
      </c>
      <c r="J630" s="58">
        <f t="shared" si="620"/>
        <v>0</v>
      </c>
      <c r="K630" s="58">
        <f t="shared" si="620"/>
        <v>0</v>
      </c>
      <c r="L630" s="58">
        <f t="shared" si="620"/>
        <v>0</v>
      </c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0" customHeight="1">
      <c r="A631" s="70"/>
      <c r="B631" s="71"/>
      <c r="C631" s="66"/>
      <c r="D631" s="66">
        <f t="shared" si="3"/>
        <v>0</v>
      </c>
      <c r="E631" s="67"/>
      <c r="F631" s="58">
        <f t="shared" ref="F631:L631" si="621">SUMIFS($C631,$B631,F$7)+F630</f>
        <v>0</v>
      </c>
      <c r="G631" s="58">
        <f t="shared" si="621"/>
        <v>0</v>
      </c>
      <c r="H631" s="58">
        <f t="shared" si="621"/>
        <v>0</v>
      </c>
      <c r="I631" s="58">
        <f t="shared" si="621"/>
        <v>59</v>
      </c>
      <c r="J631" s="58">
        <f t="shared" si="621"/>
        <v>0</v>
      </c>
      <c r="K631" s="58">
        <f t="shared" si="621"/>
        <v>0</v>
      </c>
      <c r="L631" s="58">
        <f t="shared" si="621"/>
        <v>0</v>
      </c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0" customHeight="1">
      <c r="A632" s="70"/>
      <c r="B632" s="71"/>
      <c r="C632" s="66"/>
      <c r="D632" s="66">
        <f t="shared" si="3"/>
        <v>0</v>
      </c>
      <c r="E632" s="67"/>
      <c r="F632" s="58">
        <f t="shared" ref="F632:L632" si="622">SUMIFS($C632,$B632,F$7)+F631</f>
        <v>0</v>
      </c>
      <c r="G632" s="58">
        <f t="shared" si="622"/>
        <v>0</v>
      </c>
      <c r="H632" s="58">
        <f t="shared" si="622"/>
        <v>0</v>
      </c>
      <c r="I632" s="58">
        <f t="shared" si="622"/>
        <v>59</v>
      </c>
      <c r="J632" s="58">
        <f t="shared" si="622"/>
        <v>0</v>
      </c>
      <c r="K632" s="58">
        <f t="shared" si="622"/>
        <v>0</v>
      </c>
      <c r="L632" s="58">
        <f t="shared" si="622"/>
        <v>0</v>
      </c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0" customHeight="1">
      <c r="A633" s="70"/>
      <c r="B633" s="71"/>
      <c r="C633" s="66"/>
      <c r="D633" s="66">
        <f t="shared" si="3"/>
        <v>0</v>
      </c>
      <c r="E633" s="67"/>
      <c r="F633" s="58">
        <f t="shared" ref="F633:L633" si="623">SUMIFS($C633,$B633,F$7)+F632</f>
        <v>0</v>
      </c>
      <c r="G633" s="58">
        <f t="shared" si="623"/>
        <v>0</v>
      </c>
      <c r="H633" s="58">
        <f t="shared" si="623"/>
        <v>0</v>
      </c>
      <c r="I633" s="58">
        <f t="shared" si="623"/>
        <v>59</v>
      </c>
      <c r="J633" s="58">
        <f t="shared" si="623"/>
        <v>0</v>
      </c>
      <c r="K633" s="58">
        <f t="shared" si="623"/>
        <v>0</v>
      </c>
      <c r="L633" s="58">
        <f t="shared" si="623"/>
        <v>0</v>
      </c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0" customHeight="1">
      <c r="A634" s="70"/>
      <c r="B634" s="71"/>
      <c r="C634" s="66"/>
      <c r="D634" s="66">
        <f t="shared" si="3"/>
        <v>0</v>
      </c>
      <c r="E634" s="67"/>
      <c r="F634" s="58">
        <f t="shared" ref="F634:L634" si="624">SUMIFS($C634,$B634,F$7)+F633</f>
        <v>0</v>
      </c>
      <c r="G634" s="58">
        <f t="shared" si="624"/>
        <v>0</v>
      </c>
      <c r="H634" s="58">
        <f t="shared" si="624"/>
        <v>0</v>
      </c>
      <c r="I634" s="58">
        <f t="shared" si="624"/>
        <v>59</v>
      </c>
      <c r="J634" s="58">
        <f t="shared" si="624"/>
        <v>0</v>
      </c>
      <c r="K634" s="58">
        <f t="shared" si="624"/>
        <v>0</v>
      </c>
      <c r="L634" s="58">
        <f t="shared" si="624"/>
        <v>0</v>
      </c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0" customHeight="1">
      <c r="A635" s="70"/>
      <c r="B635" s="71"/>
      <c r="C635" s="66"/>
      <c r="D635" s="66">
        <f t="shared" si="3"/>
        <v>0</v>
      </c>
      <c r="E635" s="67"/>
      <c r="F635" s="58">
        <f t="shared" ref="F635:L635" si="625">SUMIFS($C635,$B635,F$7)+F634</f>
        <v>0</v>
      </c>
      <c r="G635" s="58">
        <f t="shared" si="625"/>
        <v>0</v>
      </c>
      <c r="H635" s="58">
        <f t="shared" si="625"/>
        <v>0</v>
      </c>
      <c r="I635" s="58">
        <f t="shared" si="625"/>
        <v>59</v>
      </c>
      <c r="J635" s="58">
        <f t="shared" si="625"/>
        <v>0</v>
      </c>
      <c r="K635" s="58">
        <f t="shared" si="625"/>
        <v>0</v>
      </c>
      <c r="L635" s="58">
        <f t="shared" si="625"/>
        <v>0</v>
      </c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0" customHeight="1">
      <c r="A636" s="70"/>
      <c r="B636" s="71"/>
      <c r="C636" s="66"/>
      <c r="D636" s="66">
        <f t="shared" si="3"/>
        <v>0</v>
      </c>
      <c r="E636" s="67"/>
      <c r="F636" s="58">
        <f t="shared" ref="F636:L636" si="626">SUMIFS($C636,$B636,F$7)+F635</f>
        <v>0</v>
      </c>
      <c r="G636" s="58">
        <f t="shared" si="626"/>
        <v>0</v>
      </c>
      <c r="H636" s="58">
        <f t="shared" si="626"/>
        <v>0</v>
      </c>
      <c r="I636" s="58">
        <f t="shared" si="626"/>
        <v>59</v>
      </c>
      <c r="J636" s="58">
        <f t="shared" si="626"/>
        <v>0</v>
      </c>
      <c r="K636" s="58">
        <f t="shared" si="626"/>
        <v>0</v>
      </c>
      <c r="L636" s="58">
        <f t="shared" si="626"/>
        <v>0</v>
      </c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0" customHeight="1">
      <c r="A637" s="70"/>
      <c r="B637" s="71"/>
      <c r="C637" s="66"/>
      <c r="D637" s="66">
        <f t="shared" si="3"/>
        <v>0</v>
      </c>
      <c r="E637" s="67"/>
      <c r="F637" s="58">
        <f t="shared" ref="F637:L637" si="627">SUMIFS($C637,$B637,F$7)+F636</f>
        <v>0</v>
      </c>
      <c r="G637" s="58">
        <f t="shared" si="627"/>
        <v>0</v>
      </c>
      <c r="H637" s="58">
        <f t="shared" si="627"/>
        <v>0</v>
      </c>
      <c r="I637" s="58">
        <f t="shared" si="627"/>
        <v>59</v>
      </c>
      <c r="J637" s="58">
        <f t="shared" si="627"/>
        <v>0</v>
      </c>
      <c r="K637" s="58">
        <f t="shared" si="627"/>
        <v>0</v>
      </c>
      <c r="L637" s="58">
        <f t="shared" si="627"/>
        <v>0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0" customHeight="1">
      <c r="A638" s="70"/>
      <c r="B638" s="71"/>
      <c r="C638" s="66"/>
      <c r="D638" s="66">
        <f t="shared" si="3"/>
        <v>0</v>
      </c>
      <c r="E638" s="67"/>
      <c r="F638" s="58">
        <f t="shared" ref="F638:L638" si="628">SUMIFS($C638,$B638,F$7)+F637</f>
        <v>0</v>
      </c>
      <c r="G638" s="58">
        <f t="shared" si="628"/>
        <v>0</v>
      </c>
      <c r="H638" s="58">
        <f t="shared" si="628"/>
        <v>0</v>
      </c>
      <c r="I638" s="58">
        <f t="shared" si="628"/>
        <v>59</v>
      </c>
      <c r="J638" s="58">
        <f t="shared" si="628"/>
        <v>0</v>
      </c>
      <c r="K638" s="58">
        <f t="shared" si="628"/>
        <v>0</v>
      </c>
      <c r="L638" s="58">
        <f t="shared" si="628"/>
        <v>0</v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0" customHeight="1">
      <c r="A639" s="70"/>
      <c r="B639" s="71"/>
      <c r="C639" s="66"/>
      <c r="D639" s="66">
        <f t="shared" si="3"/>
        <v>0</v>
      </c>
      <c r="E639" s="67"/>
      <c r="F639" s="58">
        <f t="shared" ref="F639:L639" si="629">SUMIFS($C639,$B639,F$7)+F638</f>
        <v>0</v>
      </c>
      <c r="G639" s="58">
        <f t="shared" si="629"/>
        <v>0</v>
      </c>
      <c r="H639" s="58">
        <f t="shared" si="629"/>
        <v>0</v>
      </c>
      <c r="I639" s="58">
        <f t="shared" si="629"/>
        <v>59</v>
      </c>
      <c r="J639" s="58">
        <f t="shared" si="629"/>
        <v>0</v>
      </c>
      <c r="K639" s="58">
        <f t="shared" si="629"/>
        <v>0</v>
      </c>
      <c r="L639" s="58">
        <f t="shared" si="629"/>
        <v>0</v>
      </c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0" customHeight="1">
      <c r="A640" s="70"/>
      <c r="B640" s="71"/>
      <c r="C640" s="66"/>
      <c r="D640" s="66">
        <f t="shared" si="3"/>
        <v>0</v>
      </c>
      <c r="E640" s="67"/>
      <c r="F640" s="58">
        <f t="shared" ref="F640:L640" si="630">SUMIFS($C640,$B640,F$7)+F639</f>
        <v>0</v>
      </c>
      <c r="G640" s="58">
        <f t="shared" si="630"/>
        <v>0</v>
      </c>
      <c r="H640" s="58">
        <f t="shared" si="630"/>
        <v>0</v>
      </c>
      <c r="I640" s="58">
        <f t="shared" si="630"/>
        <v>59</v>
      </c>
      <c r="J640" s="58">
        <f t="shared" si="630"/>
        <v>0</v>
      </c>
      <c r="K640" s="58">
        <f t="shared" si="630"/>
        <v>0</v>
      </c>
      <c r="L640" s="58">
        <f t="shared" si="630"/>
        <v>0</v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0" customHeight="1">
      <c r="A641" s="70"/>
      <c r="B641" s="71"/>
      <c r="C641" s="66"/>
      <c r="D641" s="66">
        <f t="shared" si="3"/>
        <v>0</v>
      </c>
      <c r="E641" s="67"/>
      <c r="F641" s="58">
        <f t="shared" ref="F641:L641" si="631">SUMIFS($C641,$B641,F$7)+F640</f>
        <v>0</v>
      </c>
      <c r="G641" s="58">
        <f t="shared" si="631"/>
        <v>0</v>
      </c>
      <c r="H641" s="58">
        <f t="shared" si="631"/>
        <v>0</v>
      </c>
      <c r="I641" s="58">
        <f t="shared" si="631"/>
        <v>59</v>
      </c>
      <c r="J641" s="58">
        <f t="shared" si="631"/>
        <v>0</v>
      </c>
      <c r="K641" s="58">
        <f t="shared" si="631"/>
        <v>0</v>
      </c>
      <c r="L641" s="58">
        <f t="shared" si="631"/>
        <v>0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0" customHeight="1">
      <c r="A642" s="70"/>
      <c r="B642" s="71"/>
      <c r="C642" s="66"/>
      <c r="D642" s="66">
        <f t="shared" si="3"/>
        <v>0</v>
      </c>
      <c r="E642" s="67"/>
      <c r="F642" s="58">
        <f t="shared" ref="F642:L642" si="632">SUMIFS($C642,$B642,F$7)+F641</f>
        <v>0</v>
      </c>
      <c r="G642" s="58">
        <f t="shared" si="632"/>
        <v>0</v>
      </c>
      <c r="H642" s="58">
        <f t="shared" si="632"/>
        <v>0</v>
      </c>
      <c r="I642" s="58">
        <f t="shared" si="632"/>
        <v>59</v>
      </c>
      <c r="J642" s="58">
        <f t="shared" si="632"/>
        <v>0</v>
      </c>
      <c r="K642" s="58">
        <f t="shared" si="632"/>
        <v>0</v>
      </c>
      <c r="L642" s="58">
        <f t="shared" si="632"/>
        <v>0</v>
      </c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0" customHeight="1">
      <c r="A643" s="70"/>
      <c r="B643" s="71"/>
      <c r="C643" s="66"/>
      <c r="D643" s="66">
        <f t="shared" si="3"/>
        <v>0</v>
      </c>
      <c r="E643" s="67"/>
      <c r="F643" s="58">
        <f t="shared" ref="F643:L643" si="633">SUMIFS($C643,$B643,F$7)+F642</f>
        <v>0</v>
      </c>
      <c r="G643" s="58">
        <f t="shared" si="633"/>
        <v>0</v>
      </c>
      <c r="H643" s="58">
        <f t="shared" si="633"/>
        <v>0</v>
      </c>
      <c r="I643" s="58">
        <f t="shared" si="633"/>
        <v>59</v>
      </c>
      <c r="J643" s="58">
        <f t="shared" si="633"/>
        <v>0</v>
      </c>
      <c r="K643" s="58">
        <f t="shared" si="633"/>
        <v>0</v>
      </c>
      <c r="L643" s="58">
        <f t="shared" si="633"/>
        <v>0</v>
      </c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0" customHeight="1">
      <c r="A644" s="70"/>
      <c r="B644" s="71"/>
      <c r="C644" s="66"/>
      <c r="D644" s="66">
        <f t="shared" si="3"/>
        <v>0</v>
      </c>
      <c r="E644" s="67"/>
      <c r="F644" s="58">
        <f t="shared" ref="F644:L644" si="634">SUMIFS($C644,$B644,F$7)+F643</f>
        <v>0</v>
      </c>
      <c r="G644" s="58">
        <f t="shared" si="634"/>
        <v>0</v>
      </c>
      <c r="H644" s="58">
        <f t="shared" si="634"/>
        <v>0</v>
      </c>
      <c r="I644" s="58">
        <f t="shared" si="634"/>
        <v>59</v>
      </c>
      <c r="J644" s="58">
        <f t="shared" si="634"/>
        <v>0</v>
      </c>
      <c r="K644" s="58">
        <f t="shared" si="634"/>
        <v>0</v>
      </c>
      <c r="L644" s="58">
        <f t="shared" si="634"/>
        <v>0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0" customHeight="1">
      <c r="A645" s="70"/>
      <c r="B645" s="71"/>
      <c r="C645" s="66"/>
      <c r="D645" s="66">
        <f t="shared" si="3"/>
        <v>0</v>
      </c>
      <c r="E645" s="67"/>
      <c r="F645" s="58">
        <f t="shared" ref="F645:L645" si="635">SUMIFS($C645,$B645,F$7)+F644</f>
        <v>0</v>
      </c>
      <c r="G645" s="58">
        <f t="shared" si="635"/>
        <v>0</v>
      </c>
      <c r="H645" s="58">
        <f t="shared" si="635"/>
        <v>0</v>
      </c>
      <c r="I645" s="58">
        <f t="shared" si="635"/>
        <v>59</v>
      </c>
      <c r="J645" s="58">
        <f t="shared" si="635"/>
        <v>0</v>
      </c>
      <c r="K645" s="58">
        <f t="shared" si="635"/>
        <v>0</v>
      </c>
      <c r="L645" s="58">
        <f t="shared" si="635"/>
        <v>0</v>
      </c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0" customHeight="1">
      <c r="A646" s="70"/>
      <c r="B646" s="71"/>
      <c r="C646" s="66"/>
      <c r="D646" s="66">
        <f t="shared" si="3"/>
        <v>0</v>
      </c>
      <c r="E646" s="67"/>
      <c r="F646" s="58">
        <f t="shared" ref="F646:L646" si="636">SUMIFS($C646,$B646,F$7)+F645</f>
        <v>0</v>
      </c>
      <c r="G646" s="58">
        <f t="shared" si="636"/>
        <v>0</v>
      </c>
      <c r="H646" s="58">
        <f t="shared" si="636"/>
        <v>0</v>
      </c>
      <c r="I646" s="58">
        <f t="shared" si="636"/>
        <v>59</v>
      </c>
      <c r="J646" s="58">
        <f t="shared" si="636"/>
        <v>0</v>
      </c>
      <c r="K646" s="58">
        <f t="shared" si="636"/>
        <v>0</v>
      </c>
      <c r="L646" s="58">
        <f t="shared" si="636"/>
        <v>0</v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0" customHeight="1">
      <c r="A647" s="70"/>
      <c r="B647" s="71"/>
      <c r="C647" s="66"/>
      <c r="D647" s="66">
        <f t="shared" si="3"/>
        <v>0</v>
      </c>
      <c r="E647" s="67"/>
      <c r="F647" s="58">
        <f t="shared" ref="F647:L647" si="637">SUMIFS($C647,$B647,F$7)+F646</f>
        <v>0</v>
      </c>
      <c r="G647" s="58">
        <f t="shared" si="637"/>
        <v>0</v>
      </c>
      <c r="H647" s="58">
        <f t="shared" si="637"/>
        <v>0</v>
      </c>
      <c r="I647" s="58">
        <f t="shared" si="637"/>
        <v>59</v>
      </c>
      <c r="J647" s="58">
        <f t="shared" si="637"/>
        <v>0</v>
      </c>
      <c r="K647" s="58">
        <f t="shared" si="637"/>
        <v>0</v>
      </c>
      <c r="L647" s="58">
        <f t="shared" si="637"/>
        <v>0</v>
      </c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0" customHeight="1">
      <c r="A648" s="70"/>
      <c r="B648" s="71"/>
      <c r="C648" s="66"/>
      <c r="D648" s="66">
        <f t="shared" si="3"/>
        <v>0</v>
      </c>
      <c r="E648" s="67"/>
      <c r="F648" s="58">
        <f t="shared" ref="F648:L648" si="638">SUMIFS($C648,$B648,F$7)+F647</f>
        <v>0</v>
      </c>
      <c r="G648" s="58">
        <f t="shared" si="638"/>
        <v>0</v>
      </c>
      <c r="H648" s="58">
        <f t="shared" si="638"/>
        <v>0</v>
      </c>
      <c r="I648" s="58">
        <f t="shared" si="638"/>
        <v>59</v>
      </c>
      <c r="J648" s="58">
        <f t="shared" si="638"/>
        <v>0</v>
      </c>
      <c r="K648" s="58">
        <f t="shared" si="638"/>
        <v>0</v>
      </c>
      <c r="L648" s="58">
        <f t="shared" si="638"/>
        <v>0</v>
      </c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0" customHeight="1">
      <c r="A649" s="70"/>
      <c r="B649" s="71"/>
      <c r="C649" s="66"/>
      <c r="D649" s="66">
        <f t="shared" si="3"/>
        <v>0</v>
      </c>
      <c r="E649" s="67"/>
      <c r="F649" s="58">
        <f t="shared" ref="F649:L649" si="639">SUMIFS($C649,$B649,F$7)+F648</f>
        <v>0</v>
      </c>
      <c r="G649" s="58">
        <f t="shared" si="639"/>
        <v>0</v>
      </c>
      <c r="H649" s="58">
        <f t="shared" si="639"/>
        <v>0</v>
      </c>
      <c r="I649" s="58">
        <f t="shared" si="639"/>
        <v>59</v>
      </c>
      <c r="J649" s="58">
        <f t="shared" si="639"/>
        <v>0</v>
      </c>
      <c r="K649" s="58">
        <f t="shared" si="639"/>
        <v>0</v>
      </c>
      <c r="L649" s="58">
        <f t="shared" si="639"/>
        <v>0</v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0" customHeight="1">
      <c r="A650" s="70"/>
      <c r="B650" s="71"/>
      <c r="C650" s="66"/>
      <c r="D650" s="66">
        <f t="shared" si="3"/>
        <v>0</v>
      </c>
      <c r="E650" s="67"/>
      <c r="F650" s="58">
        <f t="shared" ref="F650:L650" si="640">SUMIFS($C650,$B650,F$7)+F649</f>
        <v>0</v>
      </c>
      <c r="G650" s="58">
        <f t="shared" si="640"/>
        <v>0</v>
      </c>
      <c r="H650" s="58">
        <f t="shared" si="640"/>
        <v>0</v>
      </c>
      <c r="I650" s="58">
        <f t="shared" si="640"/>
        <v>59</v>
      </c>
      <c r="J650" s="58">
        <f t="shared" si="640"/>
        <v>0</v>
      </c>
      <c r="K650" s="58">
        <f t="shared" si="640"/>
        <v>0</v>
      </c>
      <c r="L650" s="58">
        <f t="shared" si="640"/>
        <v>0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0" customHeight="1">
      <c r="A651" s="70"/>
      <c r="B651" s="71"/>
      <c r="C651" s="66"/>
      <c r="D651" s="66">
        <f t="shared" si="3"/>
        <v>0</v>
      </c>
      <c r="E651" s="67"/>
      <c r="F651" s="58">
        <f t="shared" ref="F651:L651" si="641">SUMIFS($C651,$B651,F$7)+F650</f>
        <v>0</v>
      </c>
      <c r="G651" s="58">
        <f t="shared" si="641"/>
        <v>0</v>
      </c>
      <c r="H651" s="58">
        <f t="shared" si="641"/>
        <v>0</v>
      </c>
      <c r="I651" s="58">
        <f t="shared" si="641"/>
        <v>59</v>
      </c>
      <c r="J651" s="58">
        <f t="shared" si="641"/>
        <v>0</v>
      </c>
      <c r="K651" s="58">
        <f t="shared" si="641"/>
        <v>0</v>
      </c>
      <c r="L651" s="58">
        <f t="shared" si="641"/>
        <v>0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0" customHeight="1">
      <c r="A652" s="70"/>
      <c r="B652" s="71"/>
      <c r="C652" s="66"/>
      <c r="D652" s="66">
        <f t="shared" si="3"/>
        <v>0</v>
      </c>
      <c r="E652" s="67"/>
      <c r="F652" s="58">
        <f t="shared" ref="F652:L652" si="642">SUMIFS($C652,$B652,F$7)+F651</f>
        <v>0</v>
      </c>
      <c r="G652" s="58">
        <f t="shared" si="642"/>
        <v>0</v>
      </c>
      <c r="H652" s="58">
        <f t="shared" si="642"/>
        <v>0</v>
      </c>
      <c r="I652" s="58">
        <f t="shared" si="642"/>
        <v>59</v>
      </c>
      <c r="J652" s="58">
        <f t="shared" si="642"/>
        <v>0</v>
      </c>
      <c r="K652" s="58">
        <f t="shared" si="642"/>
        <v>0</v>
      </c>
      <c r="L652" s="58">
        <f t="shared" si="642"/>
        <v>0</v>
      </c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0" customHeight="1">
      <c r="A653" s="70"/>
      <c r="B653" s="71"/>
      <c r="C653" s="66"/>
      <c r="D653" s="66">
        <f t="shared" si="3"/>
        <v>0</v>
      </c>
      <c r="E653" s="67"/>
      <c r="F653" s="58">
        <f t="shared" ref="F653:L653" si="643">SUMIFS($C653,$B653,F$7)+F652</f>
        <v>0</v>
      </c>
      <c r="G653" s="58">
        <f t="shared" si="643"/>
        <v>0</v>
      </c>
      <c r="H653" s="58">
        <f t="shared" si="643"/>
        <v>0</v>
      </c>
      <c r="I653" s="58">
        <f t="shared" si="643"/>
        <v>59</v>
      </c>
      <c r="J653" s="58">
        <f t="shared" si="643"/>
        <v>0</v>
      </c>
      <c r="K653" s="58">
        <f t="shared" si="643"/>
        <v>0</v>
      </c>
      <c r="L653" s="58">
        <f t="shared" si="643"/>
        <v>0</v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0" customHeight="1">
      <c r="A654" s="70"/>
      <c r="B654" s="71"/>
      <c r="C654" s="66"/>
      <c r="D654" s="66">
        <f t="shared" si="3"/>
        <v>0</v>
      </c>
      <c r="E654" s="67"/>
      <c r="F654" s="58">
        <f t="shared" ref="F654:L654" si="644">SUMIFS($C654,$B654,F$7)+F653</f>
        <v>0</v>
      </c>
      <c r="G654" s="58">
        <f t="shared" si="644"/>
        <v>0</v>
      </c>
      <c r="H654" s="58">
        <f t="shared" si="644"/>
        <v>0</v>
      </c>
      <c r="I654" s="58">
        <f t="shared" si="644"/>
        <v>59</v>
      </c>
      <c r="J654" s="58">
        <f t="shared" si="644"/>
        <v>0</v>
      </c>
      <c r="K654" s="58">
        <f t="shared" si="644"/>
        <v>0</v>
      </c>
      <c r="L654" s="58">
        <f t="shared" si="644"/>
        <v>0</v>
      </c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0" customHeight="1">
      <c r="A655" s="70"/>
      <c r="B655" s="71"/>
      <c r="C655" s="66"/>
      <c r="D655" s="66">
        <f t="shared" si="3"/>
        <v>0</v>
      </c>
      <c r="E655" s="67"/>
      <c r="F655" s="58">
        <f t="shared" ref="F655:L655" si="645">SUMIFS($C655,$B655,F$7)+F654</f>
        <v>0</v>
      </c>
      <c r="G655" s="58">
        <f t="shared" si="645"/>
        <v>0</v>
      </c>
      <c r="H655" s="58">
        <f t="shared" si="645"/>
        <v>0</v>
      </c>
      <c r="I655" s="58">
        <f t="shared" si="645"/>
        <v>59</v>
      </c>
      <c r="J655" s="58">
        <f t="shared" si="645"/>
        <v>0</v>
      </c>
      <c r="K655" s="58">
        <f t="shared" si="645"/>
        <v>0</v>
      </c>
      <c r="L655" s="58">
        <f t="shared" si="645"/>
        <v>0</v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0" customHeight="1">
      <c r="A656" s="70"/>
      <c r="B656" s="71"/>
      <c r="C656" s="66"/>
      <c r="D656" s="66">
        <f t="shared" si="3"/>
        <v>0</v>
      </c>
      <c r="E656" s="67"/>
      <c r="F656" s="58">
        <f t="shared" ref="F656:L656" si="646">SUMIFS($C656,$B656,F$7)+F655</f>
        <v>0</v>
      </c>
      <c r="G656" s="58">
        <f t="shared" si="646"/>
        <v>0</v>
      </c>
      <c r="H656" s="58">
        <f t="shared" si="646"/>
        <v>0</v>
      </c>
      <c r="I656" s="58">
        <f t="shared" si="646"/>
        <v>59</v>
      </c>
      <c r="J656" s="58">
        <f t="shared" si="646"/>
        <v>0</v>
      </c>
      <c r="K656" s="58">
        <f t="shared" si="646"/>
        <v>0</v>
      </c>
      <c r="L656" s="58">
        <f t="shared" si="646"/>
        <v>0</v>
      </c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0" customHeight="1">
      <c r="A657" s="70"/>
      <c r="B657" s="71"/>
      <c r="C657" s="66"/>
      <c r="D657" s="66">
        <f t="shared" si="3"/>
        <v>0</v>
      </c>
      <c r="E657" s="67"/>
      <c r="F657" s="58">
        <f t="shared" ref="F657:L657" si="647">SUMIFS($C657,$B657,F$7)+F656</f>
        <v>0</v>
      </c>
      <c r="G657" s="58">
        <f t="shared" si="647"/>
        <v>0</v>
      </c>
      <c r="H657" s="58">
        <f t="shared" si="647"/>
        <v>0</v>
      </c>
      <c r="I657" s="58">
        <f t="shared" si="647"/>
        <v>59</v>
      </c>
      <c r="J657" s="58">
        <f t="shared" si="647"/>
        <v>0</v>
      </c>
      <c r="K657" s="58">
        <f t="shared" si="647"/>
        <v>0</v>
      </c>
      <c r="L657" s="58">
        <f t="shared" si="647"/>
        <v>0</v>
      </c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0" customHeight="1">
      <c r="A658" s="70"/>
      <c r="B658" s="71"/>
      <c r="C658" s="66"/>
      <c r="D658" s="66">
        <f t="shared" si="3"/>
        <v>0</v>
      </c>
      <c r="E658" s="67"/>
      <c r="F658" s="58">
        <f t="shared" ref="F658:L658" si="648">SUMIFS($C658,$B658,F$7)+F657</f>
        <v>0</v>
      </c>
      <c r="G658" s="58">
        <f t="shared" si="648"/>
        <v>0</v>
      </c>
      <c r="H658" s="58">
        <f t="shared" si="648"/>
        <v>0</v>
      </c>
      <c r="I658" s="58">
        <f t="shared" si="648"/>
        <v>59</v>
      </c>
      <c r="J658" s="58">
        <f t="shared" si="648"/>
        <v>0</v>
      </c>
      <c r="K658" s="58">
        <f t="shared" si="648"/>
        <v>0</v>
      </c>
      <c r="L658" s="58">
        <f t="shared" si="648"/>
        <v>0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0" customHeight="1">
      <c r="A659" s="70"/>
      <c r="B659" s="71"/>
      <c r="C659" s="66"/>
      <c r="D659" s="66">
        <f t="shared" si="3"/>
        <v>0</v>
      </c>
      <c r="E659" s="67"/>
      <c r="F659" s="58">
        <f t="shared" ref="F659:L659" si="649">SUMIFS($C659,$B659,F$7)+F658</f>
        <v>0</v>
      </c>
      <c r="G659" s="58">
        <f t="shared" si="649"/>
        <v>0</v>
      </c>
      <c r="H659" s="58">
        <f t="shared" si="649"/>
        <v>0</v>
      </c>
      <c r="I659" s="58">
        <f t="shared" si="649"/>
        <v>59</v>
      </c>
      <c r="J659" s="58">
        <f t="shared" si="649"/>
        <v>0</v>
      </c>
      <c r="K659" s="58">
        <f t="shared" si="649"/>
        <v>0</v>
      </c>
      <c r="L659" s="58">
        <f t="shared" si="649"/>
        <v>0</v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0" customHeight="1">
      <c r="A660" s="70"/>
      <c r="B660" s="71"/>
      <c r="C660" s="66"/>
      <c r="D660" s="66">
        <f t="shared" si="3"/>
        <v>0</v>
      </c>
      <c r="E660" s="67"/>
      <c r="F660" s="58">
        <f t="shared" ref="F660:L660" si="650">SUMIFS($C660,$B660,F$7)+F659</f>
        <v>0</v>
      </c>
      <c r="G660" s="58">
        <f t="shared" si="650"/>
        <v>0</v>
      </c>
      <c r="H660" s="58">
        <f t="shared" si="650"/>
        <v>0</v>
      </c>
      <c r="I660" s="58">
        <f t="shared" si="650"/>
        <v>59</v>
      </c>
      <c r="J660" s="58">
        <f t="shared" si="650"/>
        <v>0</v>
      </c>
      <c r="K660" s="58">
        <f t="shared" si="650"/>
        <v>0</v>
      </c>
      <c r="L660" s="58">
        <f t="shared" si="650"/>
        <v>0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0" customHeight="1">
      <c r="A661" s="70"/>
      <c r="B661" s="71"/>
      <c r="C661" s="66"/>
      <c r="D661" s="66">
        <f t="shared" si="3"/>
        <v>0</v>
      </c>
      <c r="E661" s="67"/>
      <c r="F661" s="58">
        <f t="shared" ref="F661:L661" si="651">SUMIFS($C661,$B661,F$7)+F660</f>
        <v>0</v>
      </c>
      <c r="G661" s="58">
        <f t="shared" si="651"/>
        <v>0</v>
      </c>
      <c r="H661" s="58">
        <f t="shared" si="651"/>
        <v>0</v>
      </c>
      <c r="I661" s="58">
        <f t="shared" si="651"/>
        <v>59</v>
      </c>
      <c r="J661" s="58">
        <f t="shared" si="651"/>
        <v>0</v>
      </c>
      <c r="K661" s="58">
        <f t="shared" si="651"/>
        <v>0</v>
      </c>
      <c r="L661" s="58">
        <f t="shared" si="651"/>
        <v>0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0" customHeight="1">
      <c r="A662" s="70"/>
      <c r="B662" s="71"/>
      <c r="C662" s="66"/>
      <c r="D662" s="66">
        <f t="shared" si="3"/>
        <v>0</v>
      </c>
      <c r="E662" s="67"/>
      <c r="F662" s="58">
        <f t="shared" ref="F662:L662" si="652">SUMIFS($C662,$B662,F$7)+F661</f>
        <v>0</v>
      </c>
      <c r="G662" s="58">
        <f t="shared" si="652"/>
        <v>0</v>
      </c>
      <c r="H662" s="58">
        <f t="shared" si="652"/>
        <v>0</v>
      </c>
      <c r="I662" s="58">
        <f t="shared" si="652"/>
        <v>59</v>
      </c>
      <c r="J662" s="58">
        <f t="shared" si="652"/>
        <v>0</v>
      </c>
      <c r="K662" s="58">
        <f t="shared" si="652"/>
        <v>0</v>
      </c>
      <c r="L662" s="58">
        <f t="shared" si="652"/>
        <v>0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0" customHeight="1">
      <c r="A663" s="70"/>
      <c r="B663" s="71"/>
      <c r="C663" s="66"/>
      <c r="D663" s="66">
        <f t="shared" si="3"/>
        <v>0</v>
      </c>
      <c r="E663" s="67"/>
      <c r="F663" s="58">
        <f t="shared" ref="F663:L663" si="653">SUMIFS($C663,$B663,F$7)+F662</f>
        <v>0</v>
      </c>
      <c r="G663" s="58">
        <f t="shared" si="653"/>
        <v>0</v>
      </c>
      <c r="H663" s="58">
        <f t="shared" si="653"/>
        <v>0</v>
      </c>
      <c r="I663" s="58">
        <f t="shared" si="653"/>
        <v>59</v>
      </c>
      <c r="J663" s="58">
        <f t="shared" si="653"/>
        <v>0</v>
      </c>
      <c r="K663" s="58">
        <f t="shared" si="653"/>
        <v>0</v>
      </c>
      <c r="L663" s="58">
        <f t="shared" si="653"/>
        <v>0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0" customHeight="1">
      <c r="A664" s="70"/>
      <c r="B664" s="71"/>
      <c r="C664" s="66"/>
      <c r="D664" s="66">
        <f t="shared" si="3"/>
        <v>0</v>
      </c>
      <c r="E664" s="67"/>
      <c r="F664" s="58">
        <f t="shared" ref="F664:L664" si="654">SUMIFS($C664,$B664,F$7)+F663</f>
        <v>0</v>
      </c>
      <c r="G664" s="58">
        <f t="shared" si="654"/>
        <v>0</v>
      </c>
      <c r="H664" s="58">
        <f t="shared" si="654"/>
        <v>0</v>
      </c>
      <c r="I664" s="58">
        <f t="shared" si="654"/>
        <v>59</v>
      </c>
      <c r="J664" s="58">
        <f t="shared" si="654"/>
        <v>0</v>
      </c>
      <c r="K664" s="58">
        <f t="shared" si="654"/>
        <v>0</v>
      </c>
      <c r="L664" s="58">
        <f t="shared" si="654"/>
        <v>0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0" customHeight="1">
      <c r="A665" s="70"/>
      <c r="B665" s="71"/>
      <c r="C665" s="66"/>
      <c r="D665" s="66">
        <f t="shared" si="3"/>
        <v>0</v>
      </c>
      <c r="E665" s="67"/>
      <c r="F665" s="58">
        <f t="shared" ref="F665:L665" si="655">SUMIFS($C665,$B665,F$7)+F664</f>
        <v>0</v>
      </c>
      <c r="G665" s="58">
        <f t="shared" si="655"/>
        <v>0</v>
      </c>
      <c r="H665" s="58">
        <f t="shared" si="655"/>
        <v>0</v>
      </c>
      <c r="I665" s="58">
        <f t="shared" si="655"/>
        <v>59</v>
      </c>
      <c r="J665" s="58">
        <f t="shared" si="655"/>
        <v>0</v>
      </c>
      <c r="K665" s="58">
        <f t="shared" si="655"/>
        <v>0</v>
      </c>
      <c r="L665" s="58">
        <f t="shared" si="655"/>
        <v>0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0" customHeight="1">
      <c r="A666" s="70"/>
      <c r="B666" s="71"/>
      <c r="C666" s="66"/>
      <c r="D666" s="66">
        <f t="shared" si="3"/>
        <v>0</v>
      </c>
      <c r="E666" s="67"/>
      <c r="F666" s="58">
        <f t="shared" ref="F666:L666" si="656">SUMIFS($C666,$B666,F$7)+F665</f>
        <v>0</v>
      </c>
      <c r="G666" s="58">
        <f t="shared" si="656"/>
        <v>0</v>
      </c>
      <c r="H666" s="58">
        <f t="shared" si="656"/>
        <v>0</v>
      </c>
      <c r="I666" s="58">
        <f t="shared" si="656"/>
        <v>59</v>
      </c>
      <c r="J666" s="58">
        <f t="shared" si="656"/>
        <v>0</v>
      </c>
      <c r="K666" s="58">
        <f t="shared" si="656"/>
        <v>0</v>
      </c>
      <c r="L666" s="58">
        <f t="shared" si="656"/>
        <v>0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0" customHeight="1">
      <c r="A667" s="70"/>
      <c r="B667" s="71"/>
      <c r="C667" s="66"/>
      <c r="D667" s="66">
        <f t="shared" si="3"/>
        <v>0</v>
      </c>
      <c r="E667" s="67"/>
      <c r="F667" s="58">
        <f t="shared" ref="F667:L667" si="657">SUMIFS($C667,$B667,F$7)+F666</f>
        <v>0</v>
      </c>
      <c r="G667" s="58">
        <f t="shared" si="657"/>
        <v>0</v>
      </c>
      <c r="H667" s="58">
        <f t="shared" si="657"/>
        <v>0</v>
      </c>
      <c r="I667" s="58">
        <f t="shared" si="657"/>
        <v>59</v>
      </c>
      <c r="J667" s="58">
        <f t="shared" si="657"/>
        <v>0</v>
      </c>
      <c r="K667" s="58">
        <f t="shared" si="657"/>
        <v>0</v>
      </c>
      <c r="L667" s="58">
        <f t="shared" si="657"/>
        <v>0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0" customHeight="1">
      <c r="A668" s="70"/>
      <c r="B668" s="71"/>
      <c r="C668" s="66"/>
      <c r="D668" s="66">
        <f t="shared" si="3"/>
        <v>0</v>
      </c>
      <c r="E668" s="67"/>
      <c r="F668" s="58">
        <f t="shared" ref="F668:L668" si="658">SUMIFS($C668,$B668,F$7)+F667</f>
        <v>0</v>
      </c>
      <c r="G668" s="58">
        <f t="shared" si="658"/>
        <v>0</v>
      </c>
      <c r="H668" s="58">
        <f t="shared" si="658"/>
        <v>0</v>
      </c>
      <c r="I668" s="58">
        <f t="shared" si="658"/>
        <v>59</v>
      </c>
      <c r="J668" s="58">
        <f t="shared" si="658"/>
        <v>0</v>
      </c>
      <c r="K668" s="58">
        <f t="shared" si="658"/>
        <v>0</v>
      </c>
      <c r="L668" s="58">
        <f t="shared" si="658"/>
        <v>0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0" customHeight="1">
      <c r="A669" s="70"/>
      <c r="B669" s="71"/>
      <c r="C669" s="66"/>
      <c r="D669" s="66">
        <f t="shared" si="3"/>
        <v>0</v>
      </c>
      <c r="E669" s="67"/>
      <c r="F669" s="58">
        <f t="shared" ref="F669:L669" si="659">SUMIFS($C669,$B669,F$7)+F668</f>
        <v>0</v>
      </c>
      <c r="G669" s="58">
        <f t="shared" si="659"/>
        <v>0</v>
      </c>
      <c r="H669" s="58">
        <f t="shared" si="659"/>
        <v>0</v>
      </c>
      <c r="I669" s="58">
        <f t="shared" si="659"/>
        <v>59</v>
      </c>
      <c r="J669" s="58">
        <f t="shared" si="659"/>
        <v>0</v>
      </c>
      <c r="K669" s="58">
        <f t="shared" si="659"/>
        <v>0</v>
      </c>
      <c r="L669" s="58">
        <f t="shared" si="659"/>
        <v>0</v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0" customHeight="1">
      <c r="A670" s="70"/>
      <c r="B670" s="71"/>
      <c r="C670" s="66"/>
      <c r="D670" s="66">
        <f t="shared" si="3"/>
        <v>0</v>
      </c>
      <c r="E670" s="67"/>
      <c r="F670" s="58">
        <f t="shared" ref="F670:L670" si="660">SUMIFS($C670,$B670,F$7)+F669</f>
        <v>0</v>
      </c>
      <c r="G670" s="58">
        <f t="shared" si="660"/>
        <v>0</v>
      </c>
      <c r="H670" s="58">
        <f t="shared" si="660"/>
        <v>0</v>
      </c>
      <c r="I670" s="58">
        <f t="shared" si="660"/>
        <v>59</v>
      </c>
      <c r="J670" s="58">
        <f t="shared" si="660"/>
        <v>0</v>
      </c>
      <c r="K670" s="58">
        <f t="shared" si="660"/>
        <v>0</v>
      </c>
      <c r="L670" s="58">
        <f t="shared" si="660"/>
        <v>0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0" customHeight="1">
      <c r="A671" s="70"/>
      <c r="B671" s="71"/>
      <c r="C671" s="66"/>
      <c r="D671" s="66">
        <f t="shared" si="3"/>
        <v>0</v>
      </c>
      <c r="E671" s="67"/>
      <c r="F671" s="58">
        <f t="shared" ref="F671:L671" si="661">SUMIFS($C671,$B671,F$7)+F670</f>
        <v>0</v>
      </c>
      <c r="G671" s="58">
        <f t="shared" si="661"/>
        <v>0</v>
      </c>
      <c r="H671" s="58">
        <f t="shared" si="661"/>
        <v>0</v>
      </c>
      <c r="I671" s="58">
        <f t="shared" si="661"/>
        <v>59</v>
      </c>
      <c r="J671" s="58">
        <f t="shared" si="661"/>
        <v>0</v>
      </c>
      <c r="K671" s="58">
        <f t="shared" si="661"/>
        <v>0</v>
      </c>
      <c r="L671" s="58">
        <f t="shared" si="661"/>
        <v>0</v>
      </c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0" customHeight="1">
      <c r="A672" s="70"/>
      <c r="B672" s="71"/>
      <c r="C672" s="66"/>
      <c r="D672" s="66">
        <f t="shared" si="3"/>
        <v>0</v>
      </c>
      <c r="E672" s="67"/>
      <c r="F672" s="58">
        <f t="shared" ref="F672:L672" si="662">SUMIFS($C672,$B672,F$7)+F671</f>
        <v>0</v>
      </c>
      <c r="G672" s="58">
        <f t="shared" si="662"/>
        <v>0</v>
      </c>
      <c r="H672" s="58">
        <f t="shared" si="662"/>
        <v>0</v>
      </c>
      <c r="I672" s="58">
        <f t="shared" si="662"/>
        <v>59</v>
      </c>
      <c r="J672" s="58">
        <f t="shared" si="662"/>
        <v>0</v>
      </c>
      <c r="K672" s="58">
        <f t="shared" si="662"/>
        <v>0</v>
      </c>
      <c r="L672" s="58">
        <f t="shared" si="662"/>
        <v>0</v>
      </c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0" customHeight="1">
      <c r="A673" s="70"/>
      <c r="B673" s="71"/>
      <c r="C673" s="66"/>
      <c r="D673" s="66">
        <f t="shared" si="3"/>
        <v>0</v>
      </c>
      <c r="E673" s="67"/>
      <c r="F673" s="58">
        <f t="shared" ref="F673:L673" si="663">SUMIFS($C673,$B673,F$7)+F672</f>
        <v>0</v>
      </c>
      <c r="G673" s="58">
        <f t="shared" si="663"/>
        <v>0</v>
      </c>
      <c r="H673" s="58">
        <f t="shared" si="663"/>
        <v>0</v>
      </c>
      <c r="I673" s="58">
        <f t="shared" si="663"/>
        <v>59</v>
      </c>
      <c r="J673" s="58">
        <f t="shared" si="663"/>
        <v>0</v>
      </c>
      <c r="K673" s="58">
        <f t="shared" si="663"/>
        <v>0</v>
      </c>
      <c r="L673" s="58">
        <f t="shared" si="663"/>
        <v>0</v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0" customHeight="1">
      <c r="A674" s="70"/>
      <c r="B674" s="71"/>
      <c r="C674" s="66"/>
      <c r="D674" s="66">
        <f t="shared" si="3"/>
        <v>0</v>
      </c>
      <c r="E674" s="67"/>
      <c r="F674" s="58">
        <f t="shared" ref="F674:L674" si="664">SUMIFS($C674,$B674,F$7)+F673</f>
        <v>0</v>
      </c>
      <c r="G674" s="58">
        <f t="shared" si="664"/>
        <v>0</v>
      </c>
      <c r="H674" s="58">
        <f t="shared" si="664"/>
        <v>0</v>
      </c>
      <c r="I674" s="58">
        <f t="shared" si="664"/>
        <v>59</v>
      </c>
      <c r="J674" s="58">
        <f t="shared" si="664"/>
        <v>0</v>
      </c>
      <c r="K674" s="58">
        <f t="shared" si="664"/>
        <v>0</v>
      </c>
      <c r="L674" s="58">
        <f t="shared" si="664"/>
        <v>0</v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0" customHeight="1">
      <c r="A675" s="70"/>
      <c r="B675" s="71"/>
      <c r="C675" s="66"/>
      <c r="D675" s="66">
        <f t="shared" si="3"/>
        <v>0</v>
      </c>
      <c r="E675" s="67"/>
      <c r="F675" s="58">
        <f t="shared" ref="F675:L675" si="665">SUMIFS($C675,$B675,F$7)+F674</f>
        <v>0</v>
      </c>
      <c r="G675" s="58">
        <f t="shared" si="665"/>
        <v>0</v>
      </c>
      <c r="H675" s="58">
        <f t="shared" si="665"/>
        <v>0</v>
      </c>
      <c r="I675" s="58">
        <f t="shared" si="665"/>
        <v>59</v>
      </c>
      <c r="J675" s="58">
        <f t="shared" si="665"/>
        <v>0</v>
      </c>
      <c r="K675" s="58">
        <f t="shared" si="665"/>
        <v>0</v>
      </c>
      <c r="L675" s="58">
        <f t="shared" si="665"/>
        <v>0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0" customHeight="1">
      <c r="A676" s="70"/>
      <c r="B676" s="71"/>
      <c r="C676" s="66"/>
      <c r="D676" s="66">
        <f t="shared" si="3"/>
        <v>0</v>
      </c>
      <c r="E676" s="67"/>
      <c r="F676" s="58">
        <f t="shared" ref="F676:L676" si="666">SUMIFS($C676,$B676,F$7)+F675</f>
        <v>0</v>
      </c>
      <c r="G676" s="58">
        <f t="shared" si="666"/>
        <v>0</v>
      </c>
      <c r="H676" s="58">
        <f t="shared" si="666"/>
        <v>0</v>
      </c>
      <c r="I676" s="58">
        <f t="shared" si="666"/>
        <v>59</v>
      </c>
      <c r="J676" s="58">
        <f t="shared" si="666"/>
        <v>0</v>
      </c>
      <c r="K676" s="58">
        <f t="shared" si="666"/>
        <v>0</v>
      </c>
      <c r="L676" s="58">
        <f t="shared" si="666"/>
        <v>0</v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0" customHeight="1">
      <c r="A677" s="70"/>
      <c r="B677" s="71"/>
      <c r="C677" s="66"/>
      <c r="D677" s="66">
        <f t="shared" si="3"/>
        <v>0</v>
      </c>
      <c r="E677" s="67"/>
      <c r="F677" s="58">
        <f t="shared" ref="F677:L677" si="667">SUMIFS($C677,$B677,F$7)+F676</f>
        <v>0</v>
      </c>
      <c r="G677" s="58">
        <f t="shared" si="667"/>
        <v>0</v>
      </c>
      <c r="H677" s="58">
        <f t="shared" si="667"/>
        <v>0</v>
      </c>
      <c r="I677" s="58">
        <f t="shared" si="667"/>
        <v>59</v>
      </c>
      <c r="J677" s="58">
        <f t="shared" si="667"/>
        <v>0</v>
      </c>
      <c r="K677" s="58">
        <f t="shared" si="667"/>
        <v>0</v>
      </c>
      <c r="L677" s="58">
        <f t="shared" si="667"/>
        <v>0</v>
      </c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0" customHeight="1">
      <c r="A678" s="70"/>
      <c r="B678" s="71"/>
      <c r="C678" s="66"/>
      <c r="D678" s="66">
        <f t="shared" si="3"/>
        <v>0</v>
      </c>
      <c r="E678" s="67"/>
      <c r="F678" s="58">
        <f t="shared" ref="F678:L678" si="668">SUMIFS($C678,$B678,F$7)+F677</f>
        <v>0</v>
      </c>
      <c r="G678" s="58">
        <f t="shared" si="668"/>
        <v>0</v>
      </c>
      <c r="H678" s="58">
        <f t="shared" si="668"/>
        <v>0</v>
      </c>
      <c r="I678" s="58">
        <f t="shared" si="668"/>
        <v>59</v>
      </c>
      <c r="J678" s="58">
        <f t="shared" si="668"/>
        <v>0</v>
      </c>
      <c r="K678" s="58">
        <f t="shared" si="668"/>
        <v>0</v>
      </c>
      <c r="L678" s="58">
        <f t="shared" si="668"/>
        <v>0</v>
      </c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0" customHeight="1">
      <c r="A679" s="70"/>
      <c r="B679" s="71"/>
      <c r="C679" s="66"/>
      <c r="D679" s="66">
        <f t="shared" si="3"/>
        <v>0</v>
      </c>
      <c r="E679" s="67"/>
      <c r="F679" s="58">
        <f t="shared" ref="F679:L679" si="669">SUMIFS($C679,$B679,F$7)+F678</f>
        <v>0</v>
      </c>
      <c r="G679" s="58">
        <f t="shared" si="669"/>
        <v>0</v>
      </c>
      <c r="H679" s="58">
        <f t="shared" si="669"/>
        <v>0</v>
      </c>
      <c r="I679" s="58">
        <f t="shared" si="669"/>
        <v>59</v>
      </c>
      <c r="J679" s="58">
        <f t="shared" si="669"/>
        <v>0</v>
      </c>
      <c r="K679" s="58">
        <f t="shared" si="669"/>
        <v>0</v>
      </c>
      <c r="L679" s="58">
        <f t="shared" si="669"/>
        <v>0</v>
      </c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0" customHeight="1">
      <c r="A680" s="70"/>
      <c r="B680" s="71"/>
      <c r="C680" s="66"/>
      <c r="D680" s="66">
        <f t="shared" si="3"/>
        <v>0</v>
      </c>
      <c r="E680" s="67"/>
      <c r="F680" s="58">
        <f t="shared" ref="F680:L680" si="670">SUMIFS($C680,$B680,F$7)+F679</f>
        <v>0</v>
      </c>
      <c r="G680" s="58">
        <f t="shared" si="670"/>
        <v>0</v>
      </c>
      <c r="H680" s="58">
        <f t="shared" si="670"/>
        <v>0</v>
      </c>
      <c r="I680" s="58">
        <f t="shared" si="670"/>
        <v>59</v>
      </c>
      <c r="J680" s="58">
        <f t="shared" si="670"/>
        <v>0</v>
      </c>
      <c r="K680" s="58">
        <f t="shared" si="670"/>
        <v>0</v>
      </c>
      <c r="L680" s="58">
        <f t="shared" si="670"/>
        <v>0</v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0" customHeight="1">
      <c r="A681" s="70"/>
      <c r="B681" s="71"/>
      <c r="C681" s="66"/>
      <c r="D681" s="66">
        <f t="shared" si="3"/>
        <v>0</v>
      </c>
      <c r="E681" s="67"/>
      <c r="F681" s="58">
        <f t="shared" ref="F681:L681" si="671">SUMIFS($C681,$B681,F$7)+F680</f>
        <v>0</v>
      </c>
      <c r="G681" s="58">
        <f t="shared" si="671"/>
        <v>0</v>
      </c>
      <c r="H681" s="58">
        <f t="shared" si="671"/>
        <v>0</v>
      </c>
      <c r="I681" s="58">
        <f t="shared" si="671"/>
        <v>59</v>
      </c>
      <c r="J681" s="58">
        <f t="shared" si="671"/>
        <v>0</v>
      </c>
      <c r="K681" s="58">
        <f t="shared" si="671"/>
        <v>0</v>
      </c>
      <c r="L681" s="58">
        <f t="shared" si="671"/>
        <v>0</v>
      </c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0" customHeight="1">
      <c r="A682" s="70"/>
      <c r="B682" s="71"/>
      <c r="C682" s="66"/>
      <c r="D682" s="66">
        <f t="shared" si="3"/>
        <v>0</v>
      </c>
      <c r="E682" s="67"/>
      <c r="F682" s="58">
        <f t="shared" ref="F682:L682" si="672">SUMIFS($C682,$B682,F$7)+F681</f>
        <v>0</v>
      </c>
      <c r="G682" s="58">
        <f t="shared" si="672"/>
        <v>0</v>
      </c>
      <c r="H682" s="58">
        <f t="shared" si="672"/>
        <v>0</v>
      </c>
      <c r="I682" s="58">
        <f t="shared" si="672"/>
        <v>59</v>
      </c>
      <c r="J682" s="58">
        <f t="shared" si="672"/>
        <v>0</v>
      </c>
      <c r="K682" s="58">
        <f t="shared" si="672"/>
        <v>0</v>
      </c>
      <c r="L682" s="58">
        <f t="shared" si="672"/>
        <v>0</v>
      </c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0" customHeight="1">
      <c r="A683" s="70"/>
      <c r="B683" s="71"/>
      <c r="C683" s="66"/>
      <c r="D683" s="66">
        <f t="shared" si="3"/>
        <v>0</v>
      </c>
      <c r="E683" s="67"/>
      <c r="F683" s="58">
        <f t="shared" ref="F683:L683" si="673">SUMIFS($C683,$B683,F$7)+F682</f>
        <v>0</v>
      </c>
      <c r="G683" s="58">
        <f t="shared" si="673"/>
        <v>0</v>
      </c>
      <c r="H683" s="58">
        <f t="shared" si="673"/>
        <v>0</v>
      </c>
      <c r="I683" s="58">
        <f t="shared" si="673"/>
        <v>59</v>
      </c>
      <c r="J683" s="58">
        <f t="shared" si="673"/>
        <v>0</v>
      </c>
      <c r="K683" s="58">
        <f t="shared" si="673"/>
        <v>0</v>
      </c>
      <c r="L683" s="58">
        <f t="shared" si="673"/>
        <v>0</v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0" customHeight="1">
      <c r="A684" s="70"/>
      <c r="B684" s="71"/>
      <c r="C684" s="66"/>
      <c r="D684" s="66">
        <f t="shared" si="3"/>
        <v>0</v>
      </c>
      <c r="E684" s="67"/>
      <c r="F684" s="58">
        <f t="shared" ref="F684:L684" si="674">SUMIFS($C684,$B684,F$7)+F683</f>
        <v>0</v>
      </c>
      <c r="G684" s="58">
        <f t="shared" si="674"/>
        <v>0</v>
      </c>
      <c r="H684" s="58">
        <f t="shared" si="674"/>
        <v>0</v>
      </c>
      <c r="I684" s="58">
        <f t="shared" si="674"/>
        <v>59</v>
      </c>
      <c r="J684" s="58">
        <f t="shared" si="674"/>
        <v>0</v>
      </c>
      <c r="K684" s="58">
        <f t="shared" si="674"/>
        <v>0</v>
      </c>
      <c r="L684" s="58">
        <f t="shared" si="674"/>
        <v>0</v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0" customHeight="1">
      <c r="A685" s="70"/>
      <c r="B685" s="71"/>
      <c r="C685" s="66"/>
      <c r="D685" s="66">
        <f t="shared" si="3"/>
        <v>0</v>
      </c>
      <c r="E685" s="67"/>
      <c r="F685" s="58">
        <f t="shared" ref="F685:L685" si="675">SUMIFS($C685,$B685,F$7)+F684</f>
        <v>0</v>
      </c>
      <c r="G685" s="58">
        <f t="shared" si="675"/>
        <v>0</v>
      </c>
      <c r="H685" s="58">
        <f t="shared" si="675"/>
        <v>0</v>
      </c>
      <c r="I685" s="58">
        <f t="shared" si="675"/>
        <v>59</v>
      </c>
      <c r="J685" s="58">
        <f t="shared" si="675"/>
        <v>0</v>
      </c>
      <c r="K685" s="58">
        <f t="shared" si="675"/>
        <v>0</v>
      </c>
      <c r="L685" s="58">
        <f t="shared" si="675"/>
        <v>0</v>
      </c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0" customHeight="1">
      <c r="A686" s="70"/>
      <c r="B686" s="71"/>
      <c r="C686" s="66"/>
      <c r="D686" s="66">
        <f t="shared" si="3"/>
        <v>0</v>
      </c>
      <c r="E686" s="67"/>
      <c r="F686" s="58">
        <f t="shared" ref="F686:L686" si="676">SUMIFS($C686,$B686,F$7)+F685</f>
        <v>0</v>
      </c>
      <c r="G686" s="58">
        <f t="shared" si="676"/>
        <v>0</v>
      </c>
      <c r="H686" s="58">
        <f t="shared" si="676"/>
        <v>0</v>
      </c>
      <c r="I686" s="58">
        <f t="shared" si="676"/>
        <v>59</v>
      </c>
      <c r="J686" s="58">
        <f t="shared" si="676"/>
        <v>0</v>
      </c>
      <c r="K686" s="58">
        <f t="shared" si="676"/>
        <v>0</v>
      </c>
      <c r="L686" s="58">
        <f t="shared" si="676"/>
        <v>0</v>
      </c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0" customHeight="1">
      <c r="A687" s="70"/>
      <c r="B687" s="71"/>
      <c r="C687" s="66"/>
      <c r="D687" s="66">
        <f t="shared" si="3"/>
        <v>0</v>
      </c>
      <c r="E687" s="67"/>
      <c r="F687" s="58">
        <f t="shared" ref="F687:L687" si="677">SUMIFS($C687,$B687,F$7)+F686</f>
        <v>0</v>
      </c>
      <c r="G687" s="58">
        <f t="shared" si="677"/>
        <v>0</v>
      </c>
      <c r="H687" s="58">
        <f t="shared" si="677"/>
        <v>0</v>
      </c>
      <c r="I687" s="58">
        <f t="shared" si="677"/>
        <v>59</v>
      </c>
      <c r="J687" s="58">
        <f t="shared" si="677"/>
        <v>0</v>
      </c>
      <c r="K687" s="58">
        <f t="shared" si="677"/>
        <v>0</v>
      </c>
      <c r="L687" s="58">
        <f t="shared" si="677"/>
        <v>0</v>
      </c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0" customHeight="1">
      <c r="A688" s="70"/>
      <c r="B688" s="71"/>
      <c r="C688" s="66"/>
      <c r="D688" s="66">
        <f t="shared" si="3"/>
        <v>0</v>
      </c>
      <c r="E688" s="67"/>
      <c r="F688" s="58">
        <f t="shared" ref="F688:L688" si="678">SUMIFS($C688,$B688,F$7)+F687</f>
        <v>0</v>
      </c>
      <c r="G688" s="58">
        <f t="shared" si="678"/>
        <v>0</v>
      </c>
      <c r="H688" s="58">
        <f t="shared" si="678"/>
        <v>0</v>
      </c>
      <c r="I688" s="58">
        <f t="shared" si="678"/>
        <v>59</v>
      </c>
      <c r="J688" s="58">
        <f t="shared" si="678"/>
        <v>0</v>
      </c>
      <c r="K688" s="58">
        <f t="shared" si="678"/>
        <v>0</v>
      </c>
      <c r="L688" s="58">
        <f t="shared" si="678"/>
        <v>0</v>
      </c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0" customHeight="1">
      <c r="A689" s="70"/>
      <c r="B689" s="71"/>
      <c r="C689" s="66"/>
      <c r="D689" s="66">
        <f t="shared" si="3"/>
        <v>0</v>
      </c>
      <c r="E689" s="67"/>
      <c r="F689" s="58">
        <f t="shared" ref="F689:L689" si="679">SUMIFS($C689,$B689,F$7)+F688</f>
        <v>0</v>
      </c>
      <c r="G689" s="58">
        <f t="shared" si="679"/>
        <v>0</v>
      </c>
      <c r="H689" s="58">
        <f t="shared" si="679"/>
        <v>0</v>
      </c>
      <c r="I689" s="58">
        <f t="shared" si="679"/>
        <v>59</v>
      </c>
      <c r="J689" s="58">
        <f t="shared" si="679"/>
        <v>0</v>
      </c>
      <c r="K689" s="58">
        <f t="shared" si="679"/>
        <v>0</v>
      </c>
      <c r="L689" s="58">
        <f t="shared" si="679"/>
        <v>0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0" customHeight="1">
      <c r="A690" s="70"/>
      <c r="B690" s="71"/>
      <c r="C690" s="66"/>
      <c r="D690" s="66">
        <f t="shared" si="3"/>
        <v>0</v>
      </c>
      <c r="E690" s="67"/>
      <c r="F690" s="58">
        <f t="shared" ref="F690:L690" si="680">SUMIFS($C690,$B690,F$7)+F689</f>
        <v>0</v>
      </c>
      <c r="G690" s="58">
        <f t="shared" si="680"/>
        <v>0</v>
      </c>
      <c r="H690" s="58">
        <f t="shared" si="680"/>
        <v>0</v>
      </c>
      <c r="I690" s="58">
        <f t="shared" si="680"/>
        <v>59</v>
      </c>
      <c r="J690" s="58">
        <f t="shared" si="680"/>
        <v>0</v>
      </c>
      <c r="K690" s="58">
        <f t="shared" si="680"/>
        <v>0</v>
      </c>
      <c r="L690" s="58">
        <f t="shared" si="680"/>
        <v>0</v>
      </c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0" customHeight="1">
      <c r="A691" s="70"/>
      <c r="B691" s="71"/>
      <c r="C691" s="66"/>
      <c r="D691" s="66">
        <f t="shared" si="3"/>
        <v>0</v>
      </c>
      <c r="E691" s="67"/>
      <c r="F691" s="58">
        <f t="shared" ref="F691:L691" si="681">SUMIFS($C691,$B691,F$7)+F690</f>
        <v>0</v>
      </c>
      <c r="G691" s="58">
        <f t="shared" si="681"/>
        <v>0</v>
      </c>
      <c r="H691" s="58">
        <f t="shared" si="681"/>
        <v>0</v>
      </c>
      <c r="I691" s="58">
        <f t="shared" si="681"/>
        <v>59</v>
      </c>
      <c r="J691" s="58">
        <f t="shared" si="681"/>
        <v>0</v>
      </c>
      <c r="K691" s="58">
        <f t="shared" si="681"/>
        <v>0</v>
      </c>
      <c r="L691" s="58">
        <f t="shared" si="681"/>
        <v>0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0" customHeight="1">
      <c r="A692" s="70"/>
      <c r="B692" s="71"/>
      <c r="C692" s="66"/>
      <c r="D692" s="66">
        <f t="shared" si="3"/>
        <v>0</v>
      </c>
      <c r="E692" s="67"/>
      <c r="F692" s="58">
        <f t="shared" ref="F692:L692" si="682">SUMIFS($C692,$B692,F$7)+F691</f>
        <v>0</v>
      </c>
      <c r="G692" s="58">
        <f t="shared" si="682"/>
        <v>0</v>
      </c>
      <c r="H692" s="58">
        <f t="shared" si="682"/>
        <v>0</v>
      </c>
      <c r="I692" s="58">
        <f t="shared" si="682"/>
        <v>59</v>
      </c>
      <c r="J692" s="58">
        <f t="shared" si="682"/>
        <v>0</v>
      </c>
      <c r="K692" s="58">
        <f t="shared" si="682"/>
        <v>0</v>
      </c>
      <c r="L692" s="58">
        <f t="shared" si="682"/>
        <v>0</v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0" customHeight="1">
      <c r="A693" s="70"/>
      <c r="B693" s="71"/>
      <c r="C693" s="66"/>
      <c r="D693" s="66">
        <f t="shared" si="3"/>
        <v>0</v>
      </c>
      <c r="E693" s="67"/>
      <c r="F693" s="58">
        <f t="shared" ref="F693:L693" si="683">SUMIFS($C693,$B693,F$7)+F692</f>
        <v>0</v>
      </c>
      <c r="G693" s="58">
        <f t="shared" si="683"/>
        <v>0</v>
      </c>
      <c r="H693" s="58">
        <f t="shared" si="683"/>
        <v>0</v>
      </c>
      <c r="I693" s="58">
        <f t="shared" si="683"/>
        <v>59</v>
      </c>
      <c r="J693" s="58">
        <f t="shared" si="683"/>
        <v>0</v>
      </c>
      <c r="K693" s="58">
        <f t="shared" si="683"/>
        <v>0</v>
      </c>
      <c r="L693" s="58">
        <f t="shared" si="683"/>
        <v>0</v>
      </c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0" customHeight="1">
      <c r="A694" s="70"/>
      <c r="B694" s="71"/>
      <c r="C694" s="66"/>
      <c r="D694" s="66">
        <f t="shared" si="3"/>
        <v>0</v>
      </c>
      <c r="E694" s="67"/>
      <c r="F694" s="58">
        <f t="shared" ref="F694:L694" si="684">SUMIFS($C694,$B694,F$7)+F693</f>
        <v>0</v>
      </c>
      <c r="G694" s="58">
        <f t="shared" si="684"/>
        <v>0</v>
      </c>
      <c r="H694" s="58">
        <f t="shared" si="684"/>
        <v>0</v>
      </c>
      <c r="I694" s="58">
        <f t="shared" si="684"/>
        <v>59</v>
      </c>
      <c r="J694" s="58">
        <f t="shared" si="684"/>
        <v>0</v>
      </c>
      <c r="K694" s="58">
        <f t="shared" si="684"/>
        <v>0</v>
      </c>
      <c r="L694" s="58">
        <f t="shared" si="684"/>
        <v>0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0" customHeight="1">
      <c r="A695" s="70"/>
      <c r="B695" s="71"/>
      <c r="C695" s="66"/>
      <c r="D695" s="66">
        <f t="shared" si="3"/>
        <v>0</v>
      </c>
      <c r="E695" s="67"/>
      <c r="F695" s="58">
        <f t="shared" ref="F695:L695" si="685">SUMIFS($C695,$B695,F$7)+F694</f>
        <v>0</v>
      </c>
      <c r="G695" s="58">
        <f t="shared" si="685"/>
        <v>0</v>
      </c>
      <c r="H695" s="58">
        <f t="shared" si="685"/>
        <v>0</v>
      </c>
      <c r="I695" s="58">
        <f t="shared" si="685"/>
        <v>59</v>
      </c>
      <c r="J695" s="58">
        <f t="shared" si="685"/>
        <v>0</v>
      </c>
      <c r="K695" s="58">
        <f t="shared" si="685"/>
        <v>0</v>
      </c>
      <c r="L695" s="58">
        <f t="shared" si="685"/>
        <v>0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0" customHeight="1">
      <c r="A696" s="70"/>
      <c r="B696" s="71"/>
      <c r="C696" s="66"/>
      <c r="D696" s="66">
        <f t="shared" si="3"/>
        <v>0</v>
      </c>
      <c r="E696" s="67"/>
      <c r="F696" s="58">
        <f t="shared" ref="F696:L696" si="686">SUMIFS($C696,$B696,F$7)+F695</f>
        <v>0</v>
      </c>
      <c r="G696" s="58">
        <f t="shared" si="686"/>
        <v>0</v>
      </c>
      <c r="H696" s="58">
        <f t="shared" si="686"/>
        <v>0</v>
      </c>
      <c r="I696" s="58">
        <f t="shared" si="686"/>
        <v>59</v>
      </c>
      <c r="J696" s="58">
        <f t="shared" si="686"/>
        <v>0</v>
      </c>
      <c r="K696" s="58">
        <f t="shared" si="686"/>
        <v>0</v>
      </c>
      <c r="L696" s="58">
        <f t="shared" si="686"/>
        <v>0</v>
      </c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0" customHeight="1">
      <c r="A697" s="70"/>
      <c r="B697" s="71"/>
      <c r="C697" s="66"/>
      <c r="D697" s="66">
        <f t="shared" si="3"/>
        <v>0</v>
      </c>
      <c r="E697" s="67"/>
      <c r="F697" s="58">
        <f t="shared" ref="F697:L697" si="687">SUMIFS($C697,$B697,F$7)+F696</f>
        <v>0</v>
      </c>
      <c r="G697" s="58">
        <f t="shared" si="687"/>
        <v>0</v>
      </c>
      <c r="H697" s="58">
        <f t="shared" si="687"/>
        <v>0</v>
      </c>
      <c r="I697" s="58">
        <f t="shared" si="687"/>
        <v>59</v>
      </c>
      <c r="J697" s="58">
        <f t="shared" si="687"/>
        <v>0</v>
      </c>
      <c r="K697" s="58">
        <f t="shared" si="687"/>
        <v>0</v>
      </c>
      <c r="L697" s="58">
        <f t="shared" si="687"/>
        <v>0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0" customHeight="1">
      <c r="A698" s="70"/>
      <c r="B698" s="71"/>
      <c r="C698" s="66"/>
      <c r="D698" s="66">
        <f t="shared" si="3"/>
        <v>0</v>
      </c>
      <c r="E698" s="67"/>
      <c r="F698" s="58">
        <f t="shared" ref="F698:L698" si="688">SUMIFS($C698,$B698,F$7)+F697</f>
        <v>0</v>
      </c>
      <c r="G698" s="58">
        <f t="shared" si="688"/>
        <v>0</v>
      </c>
      <c r="H698" s="58">
        <f t="shared" si="688"/>
        <v>0</v>
      </c>
      <c r="I698" s="58">
        <f t="shared" si="688"/>
        <v>59</v>
      </c>
      <c r="J698" s="58">
        <f t="shared" si="688"/>
        <v>0</v>
      </c>
      <c r="K698" s="58">
        <f t="shared" si="688"/>
        <v>0</v>
      </c>
      <c r="L698" s="58">
        <f t="shared" si="688"/>
        <v>0</v>
      </c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0" customHeight="1">
      <c r="A699" s="70"/>
      <c r="B699" s="71"/>
      <c r="C699" s="66"/>
      <c r="D699" s="66">
        <f t="shared" si="3"/>
        <v>0</v>
      </c>
      <c r="E699" s="67"/>
      <c r="F699" s="58">
        <f t="shared" ref="F699:L699" si="689">SUMIFS($C699,$B699,F$7)+F698</f>
        <v>0</v>
      </c>
      <c r="G699" s="58">
        <f t="shared" si="689"/>
        <v>0</v>
      </c>
      <c r="H699" s="58">
        <f t="shared" si="689"/>
        <v>0</v>
      </c>
      <c r="I699" s="58">
        <f t="shared" si="689"/>
        <v>59</v>
      </c>
      <c r="J699" s="58">
        <f t="shared" si="689"/>
        <v>0</v>
      </c>
      <c r="K699" s="58">
        <f t="shared" si="689"/>
        <v>0</v>
      </c>
      <c r="L699" s="58">
        <f t="shared" si="689"/>
        <v>0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0" customHeight="1">
      <c r="A700" s="70"/>
      <c r="B700" s="71"/>
      <c r="C700" s="66"/>
      <c r="D700" s="66">
        <f t="shared" si="3"/>
        <v>0</v>
      </c>
      <c r="E700" s="67"/>
      <c r="F700" s="58">
        <f t="shared" ref="F700:L700" si="690">SUMIFS($C700,$B700,F$7)+F699</f>
        <v>0</v>
      </c>
      <c r="G700" s="58">
        <f t="shared" si="690"/>
        <v>0</v>
      </c>
      <c r="H700" s="58">
        <f t="shared" si="690"/>
        <v>0</v>
      </c>
      <c r="I700" s="58">
        <f t="shared" si="690"/>
        <v>59</v>
      </c>
      <c r="J700" s="58">
        <f t="shared" si="690"/>
        <v>0</v>
      </c>
      <c r="K700" s="58">
        <f t="shared" si="690"/>
        <v>0</v>
      </c>
      <c r="L700" s="58">
        <f t="shared" si="690"/>
        <v>0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0" customHeight="1">
      <c r="A701" s="70"/>
      <c r="B701" s="71"/>
      <c r="C701" s="66"/>
      <c r="D701" s="66">
        <f t="shared" si="3"/>
        <v>0</v>
      </c>
      <c r="E701" s="67"/>
      <c r="F701" s="58">
        <f t="shared" ref="F701:L701" si="691">SUMIFS($C701,$B701,F$7)+F700</f>
        <v>0</v>
      </c>
      <c r="G701" s="58">
        <f t="shared" si="691"/>
        <v>0</v>
      </c>
      <c r="H701" s="58">
        <f t="shared" si="691"/>
        <v>0</v>
      </c>
      <c r="I701" s="58">
        <f t="shared" si="691"/>
        <v>59</v>
      </c>
      <c r="J701" s="58">
        <f t="shared" si="691"/>
        <v>0</v>
      </c>
      <c r="K701" s="58">
        <f t="shared" si="691"/>
        <v>0</v>
      </c>
      <c r="L701" s="58">
        <f t="shared" si="691"/>
        <v>0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0" customHeight="1">
      <c r="A702" s="70"/>
      <c r="B702" s="71"/>
      <c r="C702" s="66"/>
      <c r="D702" s="66">
        <f t="shared" si="3"/>
        <v>0</v>
      </c>
      <c r="E702" s="67"/>
      <c r="F702" s="58">
        <f t="shared" ref="F702:L702" si="692">SUMIFS($C702,$B702,F$7)+F701</f>
        <v>0</v>
      </c>
      <c r="G702" s="58">
        <f t="shared" si="692"/>
        <v>0</v>
      </c>
      <c r="H702" s="58">
        <f t="shared" si="692"/>
        <v>0</v>
      </c>
      <c r="I702" s="58">
        <f t="shared" si="692"/>
        <v>59</v>
      </c>
      <c r="J702" s="58">
        <f t="shared" si="692"/>
        <v>0</v>
      </c>
      <c r="K702" s="58">
        <f t="shared" si="692"/>
        <v>0</v>
      </c>
      <c r="L702" s="58">
        <f t="shared" si="692"/>
        <v>0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0" customHeight="1">
      <c r="A703" s="70"/>
      <c r="B703" s="71"/>
      <c r="C703" s="66"/>
      <c r="D703" s="66">
        <f t="shared" si="3"/>
        <v>0</v>
      </c>
      <c r="E703" s="67"/>
      <c r="F703" s="58">
        <f t="shared" ref="F703:L703" si="693">SUMIFS($C703,$B703,F$7)+F702</f>
        <v>0</v>
      </c>
      <c r="G703" s="58">
        <f t="shared" si="693"/>
        <v>0</v>
      </c>
      <c r="H703" s="58">
        <f t="shared" si="693"/>
        <v>0</v>
      </c>
      <c r="I703" s="58">
        <f t="shared" si="693"/>
        <v>59</v>
      </c>
      <c r="J703" s="58">
        <f t="shared" si="693"/>
        <v>0</v>
      </c>
      <c r="K703" s="58">
        <f t="shared" si="693"/>
        <v>0</v>
      </c>
      <c r="L703" s="58">
        <f t="shared" si="693"/>
        <v>0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0" customHeight="1">
      <c r="A704" s="70"/>
      <c r="B704" s="71"/>
      <c r="C704" s="66"/>
      <c r="D704" s="66">
        <f t="shared" si="3"/>
        <v>0</v>
      </c>
      <c r="E704" s="67"/>
      <c r="F704" s="58">
        <f t="shared" ref="F704:L704" si="694">SUMIFS($C704,$B704,F$7)+F703</f>
        <v>0</v>
      </c>
      <c r="G704" s="58">
        <f t="shared" si="694"/>
        <v>0</v>
      </c>
      <c r="H704" s="58">
        <f t="shared" si="694"/>
        <v>0</v>
      </c>
      <c r="I704" s="58">
        <f t="shared" si="694"/>
        <v>59</v>
      </c>
      <c r="J704" s="58">
        <f t="shared" si="694"/>
        <v>0</v>
      </c>
      <c r="K704" s="58">
        <f t="shared" si="694"/>
        <v>0</v>
      </c>
      <c r="L704" s="58">
        <f t="shared" si="694"/>
        <v>0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0" customHeight="1">
      <c r="A705" s="70"/>
      <c r="B705" s="71"/>
      <c r="C705" s="66"/>
      <c r="D705" s="66">
        <f t="shared" si="3"/>
        <v>0</v>
      </c>
      <c r="E705" s="67"/>
      <c r="F705" s="58">
        <f t="shared" ref="F705:L705" si="695">SUMIFS($C705,$B705,F$7)+F704</f>
        <v>0</v>
      </c>
      <c r="G705" s="58">
        <f t="shared" si="695"/>
        <v>0</v>
      </c>
      <c r="H705" s="58">
        <f t="shared" si="695"/>
        <v>0</v>
      </c>
      <c r="I705" s="58">
        <f t="shared" si="695"/>
        <v>59</v>
      </c>
      <c r="J705" s="58">
        <f t="shared" si="695"/>
        <v>0</v>
      </c>
      <c r="K705" s="58">
        <f t="shared" si="695"/>
        <v>0</v>
      </c>
      <c r="L705" s="58">
        <f t="shared" si="695"/>
        <v>0</v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0" customHeight="1">
      <c r="A706" s="70"/>
      <c r="B706" s="71"/>
      <c r="C706" s="66"/>
      <c r="D706" s="66">
        <f t="shared" si="3"/>
        <v>0</v>
      </c>
      <c r="E706" s="67"/>
      <c r="F706" s="58">
        <f t="shared" ref="F706:L706" si="696">SUMIFS($C706,$B706,F$7)+F705</f>
        <v>0</v>
      </c>
      <c r="G706" s="58">
        <f t="shared" si="696"/>
        <v>0</v>
      </c>
      <c r="H706" s="58">
        <f t="shared" si="696"/>
        <v>0</v>
      </c>
      <c r="I706" s="58">
        <f t="shared" si="696"/>
        <v>59</v>
      </c>
      <c r="J706" s="58">
        <f t="shared" si="696"/>
        <v>0</v>
      </c>
      <c r="K706" s="58">
        <f t="shared" si="696"/>
        <v>0</v>
      </c>
      <c r="L706" s="58">
        <f t="shared" si="696"/>
        <v>0</v>
      </c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0" customHeight="1">
      <c r="A707" s="70"/>
      <c r="B707" s="71"/>
      <c r="C707" s="66"/>
      <c r="D707" s="66">
        <f t="shared" si="3"/>
        <v>0</v>
      </c>
      <c r="E707" s="67"/>
      <c r="F707" s="58">
        <f t="shared" ref="F707:L707" si="697">SUMIFS($C707,$B707,F$7)+F706</f>
        <v>0</v>
      </c>
      <c r="G707" s="58">
        <f t="shared" si="697"/>
        <v>0</v>
      </c>
      <c r="H707" s="58">
        <f t="shared" si="697"/>
        <v>0</v>
      </c>
      <c r="I707" s="58">
        <f t="shared" si="697"/>
        <v>59</v>
      </c>
      <c r="J707" s="58">
        <f t="shared" si="697"/>
        <v>0</v>
      </c>
      <c r="K707" s="58">
        <f t="shared" si="697"/>
        <v>0</v>
      </c>
      <c r="L707" s="58">
        <f t="shared" si="697"/>
        <v>0</v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0" customHeight="1">
      <c r="A708" s="70"/>
      <c r="B708" s="71"/>
      <c r="C708" s="66"/>
      <c r="D708" s="66">
        <f t="shared" si="3"/>
        <v>0</v>
      </c>
      <c r="E708" s="67"/>
      <c r="F708" s="58">
        <f t="shared" ref="F708:L708" si="698">SUMIFS($C708,$B708,F$7)+F707</f>
        <v>0</v>
      </c>
      <c r="G708" s="58">
        <f t="shared" si="698"/>
        <v>0</v>
      </c>
      <c r="H708" s="58">
        <f t="shared" si="698"/>
        <v>0</v>
      </c>
      <c r="I708" s="58">
        <f t="shared" si="698"/>
        <v>59</v>
      </c>
      <c r="J708" s="58">
        <f t="shared" si="698"/>
        <v>0</v>
      </c>
      <c r="K708" s="58">
        <f t="shared" si="698"/>
        <v>0</v>
      </c>
      <c r="L708" s="58">
        <f t="shared" si="698"/>
        <v>0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0" customHeight="1">
      <c r="A709" s="70"/>
      <c r="B709" s="71"/>
      <c r="C709" s="66"/>
      <c r="D709" s="66">
        <f t="shared" si="3"/>
        <v>0</v>
      </c>
      <c r="E709" s="67"/>
      <c r="F709" s="58">
        <f t="shared" ref="F709:L709" si="699">SUMIFS($C709,$B709,F$7)+F708</f>
        <v>0</v>
      </c>
      <c r="G709" s="58">
        <f t="shared" si="699"/>
        <v>0</v>
      </c>
      <c r="H709" s="58">
        <f t="shared" si="699"/>
        <v>0</v>
      </c>
      <c r="I709" s="58">
        <f t="shared" si="699"/>
        <v>59</v>
      </c>
      <c r="J709" s="58">
        <f t="shared" si="699"/>
        <v>0</v>
      </c>
      <c r="K709" s="58">
        <f t="shared" si="699"/>
        <v>0</v>
      </c>
      <c r="L709" s="58">
        <f t="shared" si="699"/>
        <v>0</v>
      </c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0" customHeight="1">
      <c r="A710" s="70"/>
      <c r="B710" s="71"/>
      <c r="C710" s="66"/>
      <c r="D710" s="66">
        <f t="shared" si="3"/>
        <v>0</v>
      </c>
      <c r="E710" s="67"/>
      <c r="F710" s="58">
        <f t="shared" ref="F710:L710" si="700">SUMIFS($C710,$B710,F$7)+F709</f>
        <v>0</v>
      </c>
      <c r="G710" s="58">
        <f t="shared" si="700"/>
        <v>0</v>
      </c>
      <c r="H710" s="58">
        <f t="shared" si="700"/>
        <v>0</v>
      </c>
      <c r="I710" s="58">
        <f t="shared" si="700"/>
        <v>59</v>
      </c>
      <c r="J710" s="58">
        <f t="shared" si="700"/>
        <v>0</v>
      </c>
      <c r="K710" s="58">
        <f t="shared" si="700"/>
        <v>0</v>
      </c>
      <c r="L710" s="58">
        <f t="shared" si="700"/>
        <v>0</v>
      </c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0" customHeight="1">
      <c r="A711" s="70"/>
      <c r="B711" s="71"/>
      <c r="C711" s="66"/>
      <c r="D711" s="66">
        <f t="shared" si="3"/>
        <v>0</v>
      </c>
      <c r="E711" s="67"/>
      <c r="F711" s="58">
        <f t="shared" ref="F711:L711" si="701">SUMIFS($C711,$B711,F$7)+F710</f>
        <v>0</v>
      </c>
      <c r="G711" s="58">
        <f t="shared" si="701"/>
        <v>0</v>
      </c>
      <c r="H711" s="58">
        <f t="shared" si="701"/>
        <v>0</v>
      </c>
      <c r="I711" s="58">
        <f t="shared" si="701"/>
        <v>59</v>
      </c>
      <c r="J711" s="58">
        <f t="shared" si="701"/>
        <v>0</v>
      </c>
      <c r="K711" s="58">
        <f t="shared" si="701"/>
        <v>0</v>
      </c>
      <c r="L711" s="58">
        <f t="shared" si="701"/>
        <v>0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0" customHeight="1">
      <c r="A712" s="70"/>
      <c r="B712" s="71"/>
      <c r="C712" s="66"/>
      <c r="D712" s="66">
        <f t="shared" si="3"/>
        <v>0</v>
      </c>
      <c r="E712" s="67"/>
      <c r="F712" s="58">
        <f t="shared" ref="F712:L712" si="702">SUMIFS($C712,$B712,F$7)+F711</f>
        <v>0</v>
      </c>
      <c r="G712" s="58">
        <f t="shared" si="702"/>
        <v>0</v>
      </c>
      <c r="H712" s="58">
        <f t="shared" si="702"/>
        <v>0</v>
      </c>
      <c r="I712" s="58">
        <f t="shared" si="702"/>
        <v>59</v>
      </c>
      <c r="J712" s="58">
        <f t="shared" si="702"/>
        <v>0</v>
      </c>
      <c r="K712" s="58">
        <f t="shared" si="702"/>
        <v>0</v>
      </c>
      <c r="L712" s="58">
        <f t="shared" si="702"/>
        <v>0</v>
      </c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0" customHeight="1">
      <c r="A713" s="70"/>
      <c r="B713" s="71"/>
      <c r="C713" s="66"/>
      <c r="D713" s="66">
        <f t="shared" si="3"/>
        <v>0</v>
      </c>
      <c r="E713" s="67"/>
      <c r="F713" s="58">
        <f t="shared" ref="F713:L713" si="703">SUMIFS($C713,$B713,F$7)+F712</f>
        <v>0</v>
      </c>
      <c r="G713" s="58">
        <f t="shared" si="703"/>
        <v>0</v>
      </c>
      <c r="H713" s="58">
        <f t="shared" si="703"/>
        <v>0</v>
      </c>
      <c r="I713" s="58">
        <f t="shared" si="703"/>
        <v>59</v>
      </c>
      <c r="J713" s="58">
        <f t="shared" si="703"/>
        <v>0</v>
      </c>
      <c r="K713" s="58">
        <f t="shared" si="703"/>
        <v>0</v>
      </c>
      <c r="L713" s="58">
        <f t="shared" si="703"/>
        <v>0</v>
      </c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0" customHeight="1">
      <c r="A714" s="70"/>
      <c r="B714" s="71"/>
      <c r="C714" s="66"/>
      <c r="D714" s="66">
        <f t="shared" si="3"/>
        <v>0</v>
      </c>
      <c r="E714" s="67"/>
      <c r="F714" s="58">
        <f t="shared" ref="F714:L714" si="704">SUMIFS($C714,$B714,F$7)+F713</f>
        <v>0</v>
      </c>
      <c r="G714" s="58">
        <f t="shared" si="704"/>
        <v>0</v>
      </c>
      <c r="H714" s="58">
        <f t="shared" si="704"/>
        <v>0</v>
      </c>
      <c r="I714" s="58">
        <f t="shared" si="704"/>
        <v>59</v>
      </c>
      <c r="J714" s="58">
        <f t="shared" si="704"/>
        <v>0</v>
      </c>
      <c r="K714" s="58">
        <f t="shared" si="704"/>
        <v>0</v>
      </c>
      <c r="L714" s="58">
        <f t="shared" si="704"/>
        <v>0</v>
      </c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0" customHeight="1">
      <c r="A715" s="70"/>
      <c r="B715" s="71"/>
      <c r="C715" s="66"/>
      <c r="D715" s="66">
        <f t="shared" si="3"/>
        <v>0</v>
      </c>
      <c r="E715" s="67"/>
      <c r="F715" s="58">
        <f t="shared" ref="F715:L715" si="705">SUMIFS($C715,$B715,F$7)+F714</f>
        <v>0</v>
      </c>
      <c r="G715" s="58">
        <f t="shared" si="705"/>
        <v>0</v>
      </c>
      <c r="H715" s="58">
        <f t="shared" si="705"/>
        <v>0</v>
      </c>
      <c r="I715" s="58">
        <f t="shared" si="705"/>
        <v>59</v>
      </c>
      <c r="J715" s="58">
        <f t="shared" si="705"/>
        <v>0</v>
      </c>
      <c r="K715" s="58">
        <f t="shared" si="705"/>
        <v>0</v>
      </c>
      <c r="L715" s="58">
        <f t="shared" si="705"/>
        <v>0</v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0" customHeight="1">
      <c r="A716" s="70"/>
      <c r="B716" s="71"/>
      <c r="C716" s="66"/>
      <c r="D716" s="66">
        <f t="shared" si="3"/>
        <v>0</v>
      </c>
      <c r="E716" s="67"/>
      <c r="F716" s="58">
        <f t="shared" ref="F716:L716" si="706">SUMIFS($C716,$B716,F$7)+F715</f>
        <v>0</v>
      </c>
      <c r="G716" s="58">
        <f t="shared" si="706"/>
        <v>0</v>
      </c>
      <c r="H716" s="58">
        <f t="shared" si="706"/>
        <v>0</v>
      </c>
      <c r="I716" s="58">
        <f t="shared" si="706"/>
        <v>59</v>
      </c>
      <c r="J716" s="58">
        <f t="shared" si="706"/>
        <v>0</v>
      </c>
      <c r="K716" s="58">
        <f t="shared" si="706"/>
        <v>0</v>
      </c>
      <c r="L716" s="58">
        <f t="shared" si="706"/>
        <v>0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0" customHeight="1">
      <c r="A717" s="70"/>
      <c r="B717" s="71"/>
      <c r="C717" s="66"/>
      <c r="D717" s="66">
        <f t="shared" si="3"/>
        <v>0</v>
      </c>
      <c r="E717" s="67"/>
      <c r="F717" s="58">
        <f t="shared" ref="F717:L717" si="707">SUMIFS($C717,$B717,F$7)+F716</f>
        <v>0</v>
      </c>
      <c r="G717" s="58">
        <f t="shared" si="707"/>
        <v>0</v>
      </c>
      <c r="H717" s="58">
        <f t="shared" si="707"/>
        <v>0</v>
      </c>
      <c r="I717" s="58">
        <f t="shared" si="707"/>
        <v>59</v>
      </c>
      <c r="J717" s="58">
        <f t="shared" si="707"/>
        <v>0</v>
      </c>
      <c r="K717" s="58">
        <f t="shared" si="707"/>
        <v>0</v>
      </c>
      <c r="L717" s="58">
        <f t="shared" si="707"/>
        <v>0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0" customHeight="1">
      <c r="A718" s="70"/>
      <c r="B718" s="71"/>
      <c r="C718" s="66"/>
      <c r="D718" s="66">
        <f t="shared" si="3"/>
        <v>0</v>
      </c>
      <c r="E718" s="67"/>
      <c r="F718" s="58">
        <f t="shared" ref="F718:L718" si="708">SUMIFS($C718,$B718,F$7)+F717</f>
        <v>0</v>
      </c>
      <c r="G718" s="58">
        <f t="shared" si="708"/>
        <v>0</v>
      </c>
      <c r="H718" s="58">
        <f t="shared" si="708"/>
        <v>0</v>
      </c>
      <c r="I718" s="58">
        <f t="shared" si="708"/>
        <v>59</v>
      </c>
      <c r="J718" s="58">
        <f t="shared" si="708"/>
        <v>0</v>
      </c>
      <c r="K718" s="58">
        <f t="shared" si="708"/>
        <v>0</v>
      </c>
      <c r="L718" s="58">
        <f t="shared" si="708"/>
        <v>0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0" customHeight="1">
      <c r="A719" s="70"/>
      <c r="B719" s="71"/>
      <c r="C719" s="66"/>
      <c r="D719" s="66">
        <f t="shared" si="3"/>
        <v>0</v>
      </c>
      <c r="E719" s="67"/>
      <c r="F719" s="58">
        <f t="shared" ref="F719:L719" si="709">SUMIFS($C719,$B719,F$7)+F718</f>
        <v>0</v>
      </c>
      <c r="G719" s="58">
        <f t="shared" si="709"/>
        <v>0</v>
      </c>
      <c r="H719" s="58">
        <f t="shared" si="709"/>
        <v>0</v>
      </c>
      <c r="I719" s="58">
        <f t="shared" si="709"/>
        <v>59</v>
      </c>
      <c r="J719" s="58">
        <f t="shared" si="709"/>
        <v>0</v>
      </c>
      <c r="K719" s="58">
        <f t="shared" si="709"/>
        <v>0</v>
      </c>
      <c r="L719" s="58">
        <f t="shared" si="709"/>
        <v>0</v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0" customHeight="1">
      <c r="A720" s="70"/>
      <c r="B720" s="71"/>
      <c r="C720" s="66"/>
      <c r="D720" s="66">
        <f t="shared" si="3"/>
        <v>0</v>
      </c>
      <c r="E720" s="67"/>
      <c r="F720" s="58">
        <f t="shared" ref="F720:L720" si="710">SUMIFS($C720,$B720,F$7)+F719</f>
        <v>0</v>
      </c>
      <c r="G720" s="58">
        <f t="shared" si="710"/>
        <v>0</v>
      </c>
      <c r="H720" s="58">
        <f t="shared" si="710"/>
        <v>0</v>
      </c>
      <c r="I720" s="58">
        <f t="shared" si="710"/>
        <v>59</v>
      </c>
      <c r="J720" s="58">
        <f t="shared" si="710"/>
        <v>0</v>
      </c>
      <c r="K720" s="58">
        <f t="shared" si="710"/>
        <v>0</v>
      </c>
      <c r="L720" s="58">
        <f t="shared" si="710"/>
        <v>0</v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0" customHeight="1">
      <c r="A721" s="70"/>
      <c r="B721" s="71"/>
      <c r="C721" s="66"/>
      <c r="D721" s="66">
        <f t="shared" si="3"/>
        <v>0</v>
      </c>
      <c r="E721" s="67"/>
      <c r="F721" s="58">
        <f t="shared" ref="F721:L721" si="711">SUMIFS($C721,$B721,F$7)+F720</f>
        <v>0</v>
      </c>
      <c r="G721" s="58">
        <f t="shared" si="711"/>
        <v>0</v>
      </c>
      <c r="H721" s="58">
        <f t="shared" si="711"/>
        <v>0</v>
      </c>
      <c r="I721" s="58">
        <f t="shared" si="711"/>
        <v>59</v>
      </c>
      <c r="J721" s="58">
        <f t="shared" si="711"/>
        <v>0</v>
      </c>
      <c r="K721" s="58">
        <f t="shared" si="711"/>
        <v>0</v>
      </c>
      <c r="L721" s="58">
        <f t="shared" si="711"/>
        <v>0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0" customHeight="1">
      <c r="A722" s="70"/>
      <c r="B722" s="71"/>
      <c r="C722" s="66"/>
      <c r="D722" s="66">
        <f t="shared" si="3"/>
        <v>0</v>
      </c>
      <c r="E722" s="67"/>
      <c r="F722" s="58">
        <f t="shared" ref="F722:L722" si="712">SUMIFS($C722,$B722,F$7)+F721</f>
        <v>0</v>
      </c>
      <c r="G722" s="58">
        <f t="shared" si="712"/>
        <v>0</v>
      </c>
      <c r="H722" s="58">
        <f t="shared" si="712"/>
        <v>0</v>
      </c>
      <c r="I722" s="58">
        <f t="shared" si="712"/>
        <v>59</v>
      </c>
      <c r="J722" s="58">
        <f t="shared" si="712"/>
        <v>0</v>
      </c>
      <c r="K722" s="58">
        <f t="shared" si="712"/>
        <v>0</v>
      </c>
      <c r="L722" s="58">
        <f t="shared" si="712"/>
        <v>0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0" customHeight="1">
      <c r="A723" s="70"/>
      <c r="B723" s="71"/>
      <c r="C723" s="66"/>
      <c r="D723" s="66">
        <f t="shared" si="3"/>
        <v>0</v>
      </c>
      <c r="E723" s="67"/>
      <c r="F723" s="58">
        <f t="shared" ref="F723:L723" si="713">SUMIFS($C723,$B723,F$7)+F722</f>
        <v>0</v>
      </c>
      <c r="G723" s="58">
        <f t="shared" si="713"/>
        <v>0</v>
      </c>
      <c r="H723" s="58">
        <f t="shared" si="713"/>
        <v>0</v>
      </c>
      <c r="I723" s="58">
        <f t="shared" si="713"/>
        <v>59</v>
      </c>
      <c r="J723" s="58">
        <f t="shared" si="713"/>
        <v>0</v>
      </c>
      <c r="K723" s="58">
        <f t="shared" si="713"/>
        <v>0</v>
      </c>
      <c r="L723" s="58">
        <f t="shared" si="713"/>
        <v>0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0" customHeight="1">
      <c r="A724" s="70"/>
      <c r="B724" s="71"/>
      <c r="C724" s="66"/>
      <c r="D724" s="66">
        <f t="shared" si="3"/>
        <v>0</v>
      </c>
      <c r="E724" s="67"/>
      <c r="F724" s="58">
        <f t="shared" ref="F724:L724" si="714">SUMIFS($C724,$B724,F$7)+F723</f>
        <v>0</v>
      </c>
      <c r="G724" s="58">
        <f t="shared" si="714"/>
        <v>0</v>
      </c>
      <c r="H724" s="58">
        <f t="shared" si="714"/>
        <v>0</v>
      </c>
      <c r="I724" s="58">
        <f t="shared" si="714"/>
        <v>59</v>
      </c>
      <c r="J724" s="58">
        <f t="shared" si="714"/>
        <v>0</v>
      </c>
      <c r="K724" s="58">
        <f t="shared" si="714"/>
        <v>0</v>
      </c>
      <c r="L724" s="58">
        <f t="shared" si="714"/>
        <v>0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0" customHeight="1">
      <c r="A725" s="70"/>
      <c r="B725" s="71"/>
      <c r="C725" s="66"/>
      <c r="D725" s="66">
        <f t="shared" si="3"/>
        <v>0</v>
      </c>
      <c r="E725" s="67"/>
      <c r="F725" s="58">
        <f t="shared" ref="F725:L725" si="715">SUMIFS($C725,$B725,F$7)+F724</f>
        <v>0</v>
      </c>
      <c r="G725" s="58">
        <f t="shared" si="715"/>
        <v>0</v>
      </c>
      <c r="H725" s="58">
        <f t="shared" si="715"/>
        <v>0</v>
      </c>
      <c r="I725" s="58">
        <f t="shared" si="715"/>
        <v>59</v>
      </c>
      <c r="J725" s="58">
        <f t="shared" si="715"/>
        <v>0</v>
      </c>
      <c r="K725" s="58">
        <f t="shared" si="715"/>
        <v>0</v>
      </c>
      <c r="L725" s="58">
        <f t="shared" si="715"/>
        <v>0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0" customHeight="1">
      <c r="A726" s="70"/>
      <c r="B726" s="71"/>
      <c r="C726" s="66"/>
      <c r="D726" s="66">
        <f t="shared" si="3"/>
        <v>0</v>
      </c>
      <c r="E726" s="67"/>
      <c r="F726" s="58">
        <f t="shared" ref="F726:L726" si="716">SUMIFS($C726,$B726,F$7)+F725</f>
        <v>0</v>
      </c>
      <c r="G726" s="58">
        <f t="shared" si="716"/>
        <v>0</v>
      </c>
      <c r="H726" s="58">
        <f t="shared" si="716"/>
        <v>0</v>
      </c>
      <c r="I726" s="58">
        <f t="shared" si="716"/>
        <v>59</v>
      </c>
      <c r="J726" s="58">
        <f t="shared" si="716"/>
        <v>0</v>
      </c>
      <c r="K726" s="58">
        <f t="shared" si="716"/>
        <v>0</v>
      </c>
      <c r="L726" s="58">
        <f t="shared" si="716"/>
        <v>0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0" customHeight="1">
      <c r="A727" s="70"/>
      <c r="B727" s="71"/>
      <c r="C727" s="66"/>
      <c r="D727" s="66">
        <f t="shared" si="3"/>
        <v>0</v>
      </c>
      <c r="E727" s="67"/>
      <c r="F727" s="58">
        <f t="shared" ref="F727:L727" si="717">SUMIFS($C727,$B727,F$7)+F726</f>
        <v>0</v>
      </c>
      <c r="G727" s="58">
        <f t="shared" si="717"/>
        <v>0</v>
      </c>
      <c r="H727" s="58">
        <f t="shared" si="717"/>
        <v>0</v>
      </c>
      <c r="I727" s="58">
        <f t="shared" si="717"/>
        <v>59</v>
      </c>
      <c r="J727" s="58">
        <f t="shared" si="717"/>
        <v>0</v>
      </c>
      <c r="K727" s="58">
        <f t="shared" si="717"/>
        <v>0</v>
      </c>
      <c r="L727" s="58">
        <f t="shared" si="717"/>
        <v>0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0" customHeight="1">
      <c r="A728" s="70"/>
      <c r="B728" s="71"/>
      <c r="C728" s="66"/>
      <c r="D728" s="66">
        <f t="shared" si="3"/>
        <v>0</v>
      </c>
      <c r="E728" s="67"/>
      <c r="F728" s="58">
        <f t="shared" ref="F728:L728" si="718">SUMIFS($C728,$B728,F$7)+F727</f>
        <v>0</v>
      </c>
      <c r="G728" s="58">
        <f t="shared" si="718"/>
        <v>0</v>
      </c>
      <c r="H728" s="58">
        <f t="shared" si="718"/>
        <v>0</v>
      </c>
      <c r="I728" s="58">
        <f t="shared" si="718"/>
        <v>59</v>
      </c>
      <c r="J728" s="58">
        <f t="shared" si="718"/>
        <v>0</v>
      </c>
      <c r="K728" s="58">
        <f t="shared" si="718"/>
        <v>0</v>
      </c>
      <c r="L728" s="58">
        <f t="shared" si="718"/>
        <v>0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0" customHeight="1">
      <c r="A729" s="70"/>
      <c r="B729" s="71"/>
      <c r="C729" s="66"/>
      <c r="D729" s="66">
        <f t="shared" si="3"/>
        <v>0</v>
      </c>
      <c r="E729" s="67"/>
      <c r="F729" s="58">
        <f t="shared" ref="F729:L729" si="719">SUMIFS($C729,$B729,F$7)+F728</f>
        <v>0</v>
      </c>
      <c r="G729" s="58">
        <f t="shared" si="719"/>
        <v>0</v>
      </c>
      <c r="H729" s="58">
        <f t="shared" si="719"/>
        <v>0</v>
      </c>
      <c r="I729" s="58">
        <f t="shared" si="719"/>
        <v>59</v>
      </c>
      <c r="J729" s="58">
        <f t="shared" si="719"/>
        <v>0</v>
      </c>
      <c r="K729" s="58">
        <f t="shared" si="719"/>
        <v>0</v>
      </c>
      <c r="L729" s="58">
        <f t="shared" si="719"/>
        <v>0</v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0" customHeight="1">
      <c r="A730" s="70"/>
      <c r="B730" s="71"/>
      <c r="C730" s="66"/>
      <c r="D730" s="66">
        <f t="shared" si="3"/>
        <v>0</v>
      </c>
      <c r="E730" s="67"/>
      <c r="F730" s="58">
        <f t="shared" ref="F730:L730" si="720">SUMIFS($C730,$B730,F$7)+F729</f>
        <v>0</v>
      </c>
      <c r="G730" s="58">
        <f t="shared" si="720"/>
        <v>0</v>
      </c>
      <c r="H730" s="58">
        <f t="shared" si="720"/>
        <v>0</v>
      </c>
      <c r="I730" s="58">
        <f t="shared" si="720"/>
        <v>59</v>
      </c>
      <c r="J730" s="58">
        <f t="shared" si="720"/>
        <v>0</v>
      </c>
      <c r="K730" s="58">
        <f t="shared" si="720"/>
        <v>0</v>
      </c>
      <c r="L730" s="58">
        <f t="shared" si="720"/>
        <v>0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0" customHeight="1">
      <c r="A731" s="70"/>
      <c r="B731" s="71"/>
      <c r="C731" s="66"/>
      <c r="D731" s="66">
        <f t="shared" si="3"/>
        <v>0</v>
      </c>
      <c r="E731" s="67"/>
      <c r="F731" s="58">
        <f t="shared" ref="F731:L731" si="721">SUMIFS($C731,$B731,F$7)+F730</f>
        <v>0</v>
      </c>
      <c r="G731" s="58">
        <f t="shared" si="721"/>
        <v>0</v>
      </c>
      <c r="H731" s="58">
        <f t="shared" si="721"/>
        <v>0</v>
      </c>
      <c r="I731" s="58">
        <f t="shared" si="721"/>
        <v>59</v>
      </c>
      <c r="J731" s="58">
        <f t="shared" si="721"/>
        <v>0</v>
      </c>
      <c r="K731" s="58">
        <f t="shared" si="721"/>
        <v>0</v>
      </c>
      <c r="L731" s="58">
        <f t="shared" si="721"/>
        <v>0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0" customHeight="1">
      <c r="A732" s="70"/>
      <c r="B732" s="71"/>
      <c r="C732" s="66"/>
      <c r="D732" s="66">
        <f t="shared" si="3"/>
        <v>0</v>
      </c>
      <c r="E732" s="67"/>
      <c r="F732" s="58">
        <f t="shared" ref="F732:L732" si="722">SUMIFS($C732,$B732,F$7)+F731</f>
        <v>0</v>
      </c>
      <c r="G732" s="58">
        <f t="shared" si="722"/>
        <v>0</v>
      </c>
      <c r="H732" s="58">
        <f t="shared" si="722"/>
        <v>0</v>
      </c>
      <c r="I732" s="58">
        <f t="shared" si="722"/>
        <v>59</v>
      </c>
      <c r="J732" s="58">
        <f t="shared" si="722"/>
        <v>0</v>
      </c>
      <c r="K732" s="58">
        <f t="shared" si="722"/>
        <v>0</v>
      </c>
      <c r="L732" s="58">
        <f t="shared" si="722"/>
        <v>0</v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0" customHeight="1">
      <c r="A733" s="70"/>
      <c r="B733" s="71"/>
      <c r="C733" s="66"/>
      <c r="D733" s="66">
        <f t="shared" si="3"/>
        <v>0</v>
      </c>
      <c r="E733" s="67"/>
      <c r="F733" s="58">
        <f t="shared" ref="F733:L733" si="723">SUMIFS($C733,$B733,F$7)+F732</f>
        <v>0</v>
      </c>
      <c r="G733" s="58">
        <f t="shared" si="723"/>
        <v>0</v>
      </c>
      <c r="H733" s="58">
        <f t="shared" si="723"/>
        <v>0</v>
      </c>
      <c r="I733" s="58">
        <f t="shared" si="723"/>
        <v>59</v>
      </c>
      <c r="J733" s="58">
        <f t="shared" si="723"/>
        <v>0</v>
      </c>
      <c r="K733" s="58">
        <f t="shared" si="723"/>
        <v>0</v>
      </c>
      <c r="L733" s="58">
        <f t="shared" si="723"/>
        <v>0</v>
      </c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0" customHeight="1">
      <c r="A734" s="70"/>
      <c r="B734" s="71"/>
      <c r="C734" s="66"/>
      <c r="D734" s="66">
        <f t="shared" si="3"/>
        <v>0</v>
      </c>
      <c r="E734" s="67"/>
      <c r="F734" s="58">
        <f t="shared" ref="F734:L734" si="724">SUMIFS($C734,$B734,F$7)+F733</f>
        <v>0</v>
      </c>
      <c r="G734" s="58">
        <f t="shared" si="724"/>
        <v>0</v>
      </c>
      <c r="H734" s="58">
        <f t="shared" si="724"/>
        <v>0</v>
      </c>
      <c r="I734" s="58">
        <f t="shared" si="724"/>
        <v>59</v>
      </c>
      <c r="J734" s="58">
        <f t="shared" si="724"/>
        <v>0</v>
      </c>
      <c r="K734" s="58">
        <f t="shared" si="724"/>
        <v>0</v>
      </c>
      <c r="L734" s="58">
        <f t="shared" si="724"/>
        <v>0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0" customHeight="1">
      <c r="A735" s="70"/>
      <c r="B735" s="71"/>
      <c r="C735" s="66"/>
      <c r="D735" s="66">
        <f t="shared" si="3"/>
        <v>0</v>
      </c>
      <c r="E735" s="67"/>
      <c r="F735" s="58">
        <f t="shared" ref="F735:L735" si="725">SUMIFS($C735,$B735,F$7)+F734</f>
        <v>0</v>
      </c>
      <c r="G735" s="58">
        <f t="shared" si="725"/>
        <v>0</v>
      </c>
      <c r="H735" s="58">
        <f t="shared" si="725"/>
        <v>0</v>
      </c>
      <c r="I735" s="58">
        <f t="shared" si="725"/>
        <v>59</v>
      </c>
      <c r="J735" s="58">
        <f t="shared" si="725"/>
        <v>0</v>
      </c>
      <c r="K735" s="58">
        <f t="shared" si="725"/>
        <v>0</v>
      </c>
      <c r="L735" s="58">
        <f t="shared" si="725"/>
        <v>0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0" customHeight="1">
      <c r="A736" s="70"/>
      <c r="B736" s="71"/>
      <c r="C736" s="66"/>
      <c r="D736" s="66">
        <f t="shared" si="3"/>
        <v>0</v>
      </c>
      <c r="E736" s="67"/>
      <c r="F736" s="58">
        <f t="shared" ref="F736:L736" si="726">SUMIFS($C736,$B736,F$7)+F735</f>
        <v>0</v>
      </c>
      <c r="G736" s="58">
        <f t="shared" si="726"/>
        <v>0</v>
      </c>
      <c r="H736" s="58">
        <f t="shared" si="726"/>
        <v>0</v>
      </c>
      <c r="I736" s="58">
        <f t="shared" si="726"/>
        <v>59</v>
      </c>
      <c r="J736" s="58">
        <f t="shared" si="726"/>
        <v>0</v>
      </c>
      <c r="K736" s="58">
        <f t="shared" si="726"/>
        <v>0</v>
      </c>
      <c r="L736" s="58">
        <f t="shared" si="726"/>
        <v>0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0" customHeight="1">
      <c r="A737" s="70"/>
      <c r="B737" s="71"/>
      <c r="C737" s="66"/>
      <c r="D737" s="66">
        <f t="shared" si="3"/>
        <v>0</v>
      </c>
      <c r="E737" s="67"/>
      <c r="F737" s="58">
        <f t="shared" ref="F737:L737" si="727">SUMIFS($C737,$B737,F$7)+F736</f>
        <v>0</v>
      </c>
      <c r="G737" s="58">
        <f t="shared" si="727"/>
        <v>0</v>
      </c>
      <c r="H737" s="58">
        <f t="shared" si="727"/>
        <v>0</v>
      </c>
      <c r="I737" s="58">
        <f t="shared" si="727"/>
        <v>59</v>
      </c>
      <c r="J737" s="58">
        <f t="shared" si="727"/>
        <v>0</v>
      </c>
      <c r="K737" s="58">
        <f t="shared" si="727"/>
        <v>0</v>
      </c>
      <c r="L737" s="58">
        <f t="shared" si="727"/>
        <v>0</v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0" customHeight="1">
      <c r="A738" s="70"/>
      <c r="B738" s="71"/>
      <c r="C738" s="66"/>
      <c r="D738" s="66">
        <f t="shared" si="3"/>
        <v>0</v>
      </c>
      <c r="E738" s="67"/>
      <c r="F738" s="58">
        <f t="shared" ref="F738:L738" si="728">SUMIFS($C738,$B738,F$7)+F737</f>
        <v>0</v>
      </c>
      <c r="G738" s="58">
        <f t="shared" si="728"/>
        <v>0</v>
      </c>
      <c r="H738" s="58">
        <f t="shared" si="728"/>
        <v>0</v>
      </c>
      <c r="I738" s="58">
        <f t="shared" si="728"/>
        <v>59</v>
      </c>
      <c r="J738" s="58">
        <f t="shared" si="728"/>
        <v>0</v>
      </c>
      <c r="K738" s="58">
        <f t="shared" si="728"/>
        <v>0</v>
      </c>
      <c r="L738" s="58">
        <f t="shared" si="728"/>
        <v>0</v>
      </c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0" customHeight="1">
      <c r="A739" s="70"/>
      <c r="B739" s="71"/>
      <c r="C739" s="66"/>
      <c r="D739" s="66">
        <f t="shared" si="3"/>
        <v>0</v>
      </c>
      <c r="E739" s="67"/>
      <c r="F739" s="58">
        <f t="shared" ref="F739:L739" si="729">SUMIFS($C739,$B739,F$7)+F738</f>
        <v>0</v>
      </c>
      <c r="G739" s="58">
        <f t="shared" si="729"/>
        <v>0</v>
      </c>
      <c r="H739" s="58">
        <f t="shared" si="729"/>
        <v>0</v>
      </c>
      <c r="I739" s="58">
        <f t="shared" si="729"/>
        <v>59</v>
      </c>
      <c r="J739" s="58">
        <f t="shared" si="729"/>
        <v>0</v>
      </c>
      <c r="K739" s="58">
        <f t="shared" si="729"/>
        <v>0</v>
      </c>
      <c r="L739" s="58">
        <f t="shared" si="729"/>
        <v>0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0" customHeight="1">
      <c r="A740" s="70"/>
      <c r="B740" s="71"/>
      <c r="C740" s="66"/>
      <c r="D740" s="66">
        <f t="shared" si="3"/>
        <v>0</v>
      </c>
      <c r="E740" s="67"/>
      <c r="F740" s="58">
        <f t="shared" ref="F740:L740" si="730">SUMIFS($C740,$B740,F$7)+F739</f>
        <v>0</v>
      </c>
      <c r="G740" s="58">
        <f t="shared" si="730"/>
        <v>0</v>
      </c>
      <c r="H740" s="58">
        <f t="shared" si="730"/>
        <v>0</v>
      </c>
      <c r="I740" s="58">
        <f t="shared" si="730"/>
        <v>59</v>
      </c>
      <c r="J740" s="58">
        <f t="shared" si="730"/>
        <v>0</v>
      </c>
      <c r="K740" s="58">
        <f t="shared" si="730"/>
        <v>0</v>
      </c>
      <c r="L740" s="58">
        <f t="shared" si="730"/>
        <v>0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0" customHeight="1">
      <c r="A741" s="70"/>
      <c r="B741" s="71"/>
      <c r="C741" s="66"/>
      <c r="D741" s="66">
        <f t="shared" si="3"/>
        <v>0</v>
      </c>
      <c r="E741" s="67"/>
      <c r="F741" s="58">
        <f t="shared" ref="F741:L741" si="731">SUMIFS($C741,$B741,F$7)+F740</f>
        <v>0</v>
      </c>
      <c r="G741" s="58">
        <f t="shared" si="731"/>
        <v>0</v>
      </c>
      <c r="H741" s="58">
        <f t="shared" si="731"/>
        <v>0</v>
      </c>
      <c r="I741" s="58">
        <f t="shared" si="731"/>
        <v>59</v>
      </c>
      <c r="J741" s="58">
        <f t="shared" si="731"/>
        <v>0</v>
      </c>
      <c r="K741" s="58">
        <f t="shared" si="731"/>
        <v>0</v>
      </c>
      <c r="L741" s="58">
        <f t="shared" si="731"/>
        <v>0</v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0" customHeight="1">
      <c r="A742" s="70"/>
      <c r="B742" s="71"/>
      <c r="C742" s="66"/>
      <c r="D742" s="66">
        <f t="shared" si="3"/>
        <v>0</v>
      </c>
      <c r="E742" s="67"/>
      <c r="F742" s="58">
        <f t="shared" ref="F742:L742" si="732">SUMIFS($C742,$B742,F$7)+F741</f>
        <v>0</v>
      </c>
      <c r="G742" s="58">
        <f t="shared" si="732"/>
        <v>0</v>
      </c>
      <c r="H742" s="58">
        <f t="shared" si="732"/>
        <v>0</v>
      </c>
      <c r="I742" s="58">
        <f t="shared" si="732"/>
        <v>59</v>
      </c>
      <c r="J742" s="58">
        <f t="shared" si="732"/>
        <v>0</v>
      </c>
      <c r="K742" s="58">
        <f t="shared" si="732"/>
        <v>0</v>
      </c>
      <c r="L742" s="58">
        <f t="shared" si="732"/>
        <v>0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0" customHeight="1">
      <c r="A743" s="70"/>
      <c r="B743" s="71"/>
      <c r="C743" s="66"/>
      <c r="D743" s="66">
        <f t="shared" si="3"/>
        <v>0</v>
      </c>
      <c r="E743" s="67"/>
      <c r="F743" s="58">
        <f t="shared" ref="F743:L743" si="733">SUMIFS($C743,$B743,F$7)+F742</f>
        <v>0</v>
      </c>
      <c r="G743" s="58">
        <f t="shared" si="733"/>
        <v>0</v>
      </c>
      <c r="H743" s="58">
        <f t="shared" si="733"/>
        <v>0</v>
      </c>
      <c r="I743" s="58">
        <f t="shared" si="733"/>
        <v>59</v>
      </c>
      <c r="J743" s="58">
        <f t="shared" si="733"/>
        <v>0</v>
      </c>
      <c r="K743" s="58">
        <f t="shared" si="733"/>
        <v>0</v>
      </c>
      <c r="L743" s="58">
        <f t="shared" si="733"/>
        <v>0</v>
      </c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0" customHeight="1">
      <c r="A744" s="70"/>
      <c r="B744" s="71"/>
      <c r="C744" s="66"/>
      <c r="D744" s="66">
        <f t="shared" si="3"/>
        <v>0</v>
      </c>
      <c r="E744" s="67"/>
      <c r="F744" s="58">
        <f t="shared" ref="F744:L744" si="734">SUMIFS($C744,$B744,F$7)+F743</f>
        <v>0</v>
      </c>
      <c r="G744" s="58">
        <f t="shared" si="734"/>
        <v>0</v>
      </c>
      <c r="H744" s="58">
        <f t="shared" si="734"/>
        <v>0</v>
      </c>
      <c r="I744" s="58">
        <f t="shared" si="734"/>
        <v>59</v>
      </c>
      <c r="J744" s="58">
        <f t="shared" si="734"/>
        <v>0</v>
      </c>
      <c r="K744" s="58">
        <f t="shared" si="734"/>
        <v>0</v>
      </c>
      <c r="L744" s="58">
        <f t="shared" si="734"/>
        <v>0</v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0" customHeight="1">
      <c r="A745" s="70"/>
      <c r="B745" s="71"/>
      <c r="C745" s="66"/>
      <c r="D745" s="66">
        <f t="shared" si="3"/>
        <v>0</v>
      </c>
      <c r="E745" s="67"/>
      <c r="F745" s="58">
        <f t="shared" ref="F745:L745" si="735">SUMIFS($C745,$B745,F$7)+F744</f>
        <v>0</v>
      </c>
      <c r="G745" s="58">
        <f t="shared" si="735"/>
        <v>0</v>
      </c>
      <c r="H745" s="58">
        <f t="shared" si="735"/>
        <v>0</v>
      </c>
      <c r="I745" s="58">
        <f t="shared" si="735"/>
        <v>59</v>
      </c>
      <c r="J745" s="58">
        <f t="shared" si="735"/>
        <v>0</v>
      </c>
      <c r="K745" s="58">
        <f t="shared" si="735"/>
        <v>0</v>
      </c>
      <c r="L745" s="58">
        <f t="shared" si="735"/>
        <v>0</v>
      </c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0" customHeight="1">
      <c r="A746" s="70"/>
      <c r="B746" s="71"/>
      <c r="C746" s="66"/>
      <c r="D746" s="66">
        <f t="shared" si="3"/>
        <v>0</v>
      </c>
      <c r="E746" s="67"/>
      <c r="F746" s="58">
        <f t="shared" ref="F746:L746" si="736">SUMIFS($C746,$B746,F$7)+F745</f>
        <v>0</v>
      </c>
      <c r="G746" s="58">
        <f t="shared" si="736"/>
        <v>0</v>
      </c>
      <c r="H746" s="58">
        <f t="shared" si="736"/>
        <v>0</v>
      </c>
      <c r="I746" s="58">
        <f t="shared" si="736"/>
        <v>59</v>
      </c>
      <c r="J746" s="58">
        <f t="shared" si="736"/>
        <v>0</v>
      </c>
      <c r="K746" s="58">
        <f t="shared" si="736"/>
        <v>0</v>
      </c>
      <c r="L746" s="58">
        <f t="shared" si="736"/>
        <v>0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0" customHeight="1">
      <c r="A747" s="70"/>
      <c r="B747" s="71"/>
      <c r="C747" s="66"/>
      <c r="D747" s="66">
        <f t="shared" si="3"/>
        <v>0</v>
      </c>
      <c r="E747" s="67"/>
      <c r="F747" s="58">
        <f t="shared" ref="F747:L747" si="737">SUMIFS($C747,$B747,F$7)+F746</f>
        <v>0</v>
      </c>
      <c r="G747" s="58">
        <f t="shared" si="737"/>
        <v>0</v>
      </c>
      <c r="H747" s="58">
        <f t="shared" si="737"/>
        <v>0</v>
      </c>
      <c r="I747" s="58">
        <f t="shared" si="737"/>
        <v>59</v>
      </c>
      <c r="J747" s="58">
        <f t="shared" si="737"/>
        <v>0</v>
      </c>
      <c r="K747" s="58">
        <f t="shared" si="737"/>
        <v>0</v>
      </c>
      <c r="L747" s="58">
        <f t="shared" si="737"/>
        <v>0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0" customHeight="1">
      <c r="A748" s="70"/>
      <c r="B748" s="71"/>
      <c r="C748" s="66"/>
      <c r="D748" s="66">
        <f t="shared" si="3"/>
        <v>0</v>
      </c>
      <c r="E748" s="67"/>
      <c r="F748" s="58">
        <f t="shared" ref="F748:L748" si="738">SUMIFS($C748,$B748,F$7)+F747</f>
        <v>0</v>
      </c>
      <c r="G748" s="58">
        <f t="shared" si="738"/>
        <v>0</v>
      </c>
      <c r="H748" s="58">
        <f t="shared" si="738"/>
        <v>0</v>
      </c>
      <c r="I748" s="58">
        <f t="shared" si="738"/>
        <v>59</v>
      </c>
      <c r="J748" s="58">
        <f t="shared" si="738"/>
        <v>0</v>
      </c>
      <c r="K748" s="58">
        <f t="shared" si="738"/>
        <v>0</v>
      </c>
      <c r="L748" s="58">
        <f t="shared" si="738"/>
        <v>0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0" customHeight="1">
      <c r="A749" s="70"/>
      <c r="B749" s="71"/>
      <c r="C749" s="66"/>
      <c r="D749" s="66">
        <f t="shared" si="3"/>
        <v>0</v>
      </c>
      <c r="E749" s="67"/>
      <c r="F749" s="58">
        <f t="shared" ref="F749:L749" si="739">SUMIFS($C749,$B749,F$7)+F748</f>
        <v>0</v>
      </c>
      <c r="G749" s="58">
        <f t="shared" si="739"/>
        <v>0</v>
      </c>
      <c r="H749" s="58">
        <f t="shared" si="739"/>
        <v>0</v>
      </c>
      <c r="I749" s="58">
        <f t="shared" si="739"/>
        <v>59</v>
      </c>
      <c r="J749" s="58">
        <f t="shared" si="739"/>
        <v>0</v>
      </c>
      <c r="K749" s="58">
        <f t="shared" si="739"/>
        <v>0</v>
      </c>
      <c r="L749" s="58">
        <f t="shared" si="739"/>
        <v>0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0" customHeight="1">
      <c r="A750" s="70"/>
      <c r="B750" s="71"/>
      <c r="C750" s="66"/>
      <c r="D750" s="66">
        <f t="shared" si="3"/>
        <v>0</v>
      </c>
      <c r="E750" s="67"/>
      <c r="F750" s="58">
        <f t="shared" ref="F750:L750" si="740">SUMIFS($C750,$B750,F$7)+F749</f>
        <v>0</v>
      </c>
      <c r="G750" s="58">
        <f t="shared" si="740"/>
        <v>0</v>
      </c>
      <c r="H750" s="58">
        <f t="shared" si="740"/>
        <v>0</v>
      </c>
      <c r="I750" s="58">
        <f t="shared" si="740"/>
        <v>59</v>
      </c>
      <c r="J750" s="58">
        <f t="shared" si="740"/>
        <v>0</v>
      </c>
      <c r="K750" s="58">
        <f t="shared" si="740"/>
        <v>0</v>
      </c>
      <c r="L750" s="58">
        <f t="shared" si="740"/>
        <v>0</v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0" customHeight="1">
      <c r="A751" s="70"/>
      <c r="B751" s="71"/>
      <c r="C751" s="66"/>
      <c r="D751" s="66">
        <f t="shared" si="3"/>
        <v>0</v>
      </c>
      <c r="E751" s="67"/>
      <c r="F751" s="58">
        <f t="shared" ref="F751:L751" si="741">SUMIFS($C751,$B751,F$7)+F750</f>
        <v>0</v>
      </c>
      <c r="G751" s="58">
        <f t="shared" si="741"/>
        <v>0</v>
      </c>
      <c r="H751" s="58">
        <f t="shared" si="741"/>
        <v>0</v>
      </c>
      <c r="I751" s="58">
        <f t="shared" si="741"/>
        <v>59</v>
      </c>
      <c r="J751" s="58">
        <f t="shared" si="741"/>
        <v>0</v>
      </c>
      <c r="K751" s="58">
        <f t="shared" si="741"/>
        <v>0</v>
      </c>
      <c r="L751" s="58">
        <f t="shared" si="741"/>
        <v>0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0" customHeight="1">
      <c r="A752" s="70"/>
      <c r="B752" s="71"/>
      <c r="C752" s="66"/>
      <c r="D752" s="66">
        <f t="shared" si="3"/>
        <v>0</v>
      </c>
      <c r="E752" s="67"/>
      <c r="F752" s="58">
        <f t="shared" ref="F752:L752" si="742">SUMIFS($C752,$B752,F$7)+F751</f>
        <v>0</v>
      </c>
      <c r="G752" s="58">
        <f t="shared" si="742"/>
        <v>0</v>
      </c>
      <c r="H752" s="58">
        <f t="shared" si="742"/>
        <v>0</v>
      </c>
      <c r="I752" s="58">
        <f t="shared" si="742"/>
        <v>59</v>
      </c>
      <c r="J752" s="58">
        <f t="shared" si="742"/>
        <v>0</v>
      </c>
      <c r="K752" s="58">
        <f t="shared" si="742"/>
        <v>0</v>
      </c>
      <c r="L752" s="58">
        <f t="shared" si="742"/>
        <v>0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0" customHeight="1">
      <c r="A753" s="70"/>
      <c r="B753" s="71"/>
      <c r="C753" s="66"/>
      <c r="D753" s="66">
        <f t="shared" si="3"/>
        <v>0</v>
      </c>
      <c r="E753" s="67"/>
      <c r="F753" s="58">
        <f t="shared" ref="F753:L753" si="743">SUMIFS($C753,$B753,F$7)+F752</f>
        <v>0</v>
      </c>
      <c r="G753" s="58">
        <f t="shared" si="743"/>
        <v>0</v>
      </c>
      <c r="H753" s="58">
        <f t="shared" si="743"/>
        <v>0</v>
      </c>
      <c r="I753" s="58">
        <f t="shared" si="743"/>
        <v>59</v>
      </c>
      <c r="J753" s="58">
        <f t="shared" si="743"/>
        <v>0</v>
      </c>
      <c r="K753" s="58">
        <f t="shared" si="743"/>
        <v>0</v>
      </c>
      <c r="L753" s="58">
        <f t="shared" si="743"/>
        <v>0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0" customHeight="1">
      <c r="A754" s="70"/>
      <c r="B754" s="71"/>
      <c r="C754" s="66"/>
      <c r="D754" s="66">
        <f t="shared" si="3"/>
        <v>0</v>
      </c>
      <c r="E754" s="67"/>
      <c r="F754" s="58">
        <f t="shared" ref="F754:L754" si="744">SUMIFS($C754,$B754,F$7)+F753</f>
        <v>0</v>
      </c>
      <c r="G754" s="58">
        <f t="shared" si="744"/>
        <v>0</v>
      </c>
      <c r="H754" s="58">
        <f t="shared" si="744"/>
        <v>0</v>
      </c>
      <c r="I754" s="58">
        <f t="shared" si="744"/>
        <v>59</v>
      </c>
      <c r="J754" s="58">
        <f t="shared" si="744"/>
        <v>0</v>
      </c>
      <c r="K754" s="58">
        <f t="shared" si="744"/>
        <v>0</v>
      </c>
      <c r="L754" s="58">
        <f t="shared" si="744"/>
        <v>0</v>
      </c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0" customHeight="1">
      <c r="A755" s="70"/>
      <c r="B755" s="71"/>
      <c r="C755" s="66"/>
      <c r="D755" s="66">
        <f t="shared" si="3"/>
        <v>0</v>
      </c>
      <c r="E755" s="67"/>
      <c r="F755" s="58">
        <f t="shared" ref="F755:L755" si="745">SUMIFS($C755,$B755,F$7)+F754</f>
        <v>0</v>
      </c>
      <c r="G755" s="58">
        <f t="shared" si="745"/>
        <v>0</v>
      </c>
      <c r="H755" s="58">
        <f t="shared" si="745"/>
        <v>0</v>
      </c>
      <c r="I755" s="58">
        <f t="shared" si="745"/>
        <v>59</v>
      </c>
      <c r="J755" s="58">
        <f t="shared" si="745"/>
        <v>0</v>
      </c>
      <c r="K755" s="58">
        <f t="shared" si="745"/>
        <v>0</v>
      </c>
      <c r="L755" s="58">
        <f t="shared" si="745"/>
        <v>0</v>
      </c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0" customHeight="1">
      <c r="A756" s="70"/>
      <c r="B756" s="71"/>
      <c r="C756" s="66"/>
      <c r="D756" s="66">
        <f t="shared" si="3"/>
        <v>0</v>
      </c>
      <c r="E756" s="67"/>
      <c r="F756" s="58">
        <f t="shared" ref="F756:L756" si="746">SUMIFS($C756,$B756,F$7)+F755</f>
        <v>0</v>
      </c>
      <c r="G756" s="58">
        <f t="shared" si="746"/>
        <v>0</v>
      </c>
      <c r="H756" s="58">
        <f t="shared" si="746"/>
        <v>0</v>
      </c>
      <c r="I756" s="58">
        <f t="shared" si="746"/>
        <v>59</v>
      </c>
      <c r="J756" s="58">
        <f t="shared" si="746"/>
        <v>0</v>
      </c>
      <c r="K756" s="58">
        <f t="shared" si="746"/>
        <v>0</v>
      </c>
      <c r="L756" s="58">
        <f t="shared" si="746"/>
        <v>0</v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0" customHeight="1">
      <c r="A757" s="70"/>
      <c r="B757" s="71"/>
      <c r="C757" s="66"/>
      <c r="D757" s="66">
        <f t="shared" si="3"/>
        <v>0</v>
      </c>
      <c r="E757" s="67"/>
      <c r="F757" s="58">
        <f t="shared" ref="F757:L757" si="747">SUMIFS($C757,$B757,F$7)+F756</f>
        <v>0</v>
      </c>
      <c r="G757" s="58">
        <f t="shared" si="747"/>
        <v>0</v>
      </c>
      <c r="H757" s="58">
        <f t="shared" si="747"/>
        <v>0</v>
      </c>
      <c r="I757" s="58">
        <f t="shared" si="747"/>
        <v>59</v>
      </c>
      <c r="J757" s="58">
        <f t="shared" si="747"/>
        <v>0</v>
      </c>
      <c r="K757" s="58">
        <f t="shared" si="747"/>
        <v>0</v>
      </c>
      <c r="L757" s="58">
        <f t="shared" si="747"/>
        <v>0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0" customHeight="1">
      <c r="A758" s="70"/>
      <c r="B758" s="71"/>
      <c r="C758" s="66"/>
      <c r="D758" s="66">
        <f t="shared" si="3"/>
        <v>0</v>
      </c>
      <c r="E758" s="67"/>
      <c r="F758" s="58">
        <f t="shared" ref="F758:L758" si="748">SUMIFS($C758,$B758,F$7)+F757</f>
        <v>0</v>
      </c>
      <c r="G758" s="58">
        <f t="shared" si="748"/>
        <v>0</v>
      </c>
      <c r="H758" s="58">
        <f t="shared" si="748"/>
        <v>0</v>
      </c>
      <c r="I758" s="58">
        <f t="shared" si="748"/>
        <v>59</v>
      </c>
      <c r="J758" s="58">
        <f t="shared" si="748"/>
        <v>0</v>
      </c>
      <c r="K758" s="58">
        <f t="shared" si="748"/>
        <v>0</v>
      </c>
      <c r="L758" s="58">
        <f t="shared" si="748"/>
        <v>0</v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0" customHeight="1">
      <c r="A759" s="70"/>
      <c r="B759" s="71"/>
      <c r="C759" s="66"/>
      <c r="D759" s="66">
        <f t="shared" si="3"/>
        <v>0</v>
      </c>
      <c r="E759" s="67"/>
      <c r="F759" s="58">
        <f t="shared" ref="F759:L759" si="749">SUMIFS($C759,$B759,F$7)+F758</f>
        <v>0</v>
      </c>
      <c r="G759" s="58">
        <f t="shared" si="749"/>
        <v>0</v>
      </c>
      <c r="H759" s="58">
        <f t="shared" si="749"/>
        <v>0</v>
      </c>
      <c r="I759" s="58">
        <f t="shared" si="749"/>
        <v>59</v>
      </c>
      <c r="J759" s="58">
        <f t="shared" si="749"/>
        <v>0</v>
      </c>
      <c r="K759" s="58">
        <f t="shared" si="749"/>
        <v>0</v>
      </c>
      <c r="L759" s="58">
        <f t="shared" si="749"/>
        <v>0</v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0" customHeight="1">
      <c r="A760" s="70"/>
      <c r="B760" s="71"/>
      <c r="C760" s="66"/>
      <c r="D760" s="66">
        <f t="shared" si="3"/>
        <v>0</v>
      </c>
      <c r="E760" s="67"/>
      <c r="F760" s="58">
        <f t="shared" ref="F760:L760" si="750">SUMIFS($C760,$B760,F$7)+F759</f>
        <v>0</v>
      </c>
      <c r="G760" s="58">
        <f t="shared" si="750"/>
        <v>0</v>
      </c>
      <c r="H760" s="58">
        <f t="shared" si="750"/>
        <v>0</v>
      </c>
      <c r="I760" s="58">
        <f t="shared" si="750"/>
        <v>59</v>
      </c>
      <c r="J760" s="58">
        <f t="shared" si="750"/>
        <v>0</v>
      </c>
      <c r="K760" s="58">
        <f t="shared" si="750"/>
        <v>0</v>
      </c>
      <c r="L760" s="58">
        <f t="shared" si="750"/>
        <v>0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0" customHeight="1">
      <c r="A761" s="70"/>
      <c r="B761" s="71"/>
      <c r="C761" s="66"/>
      <c r="D761" s="66">
        <f t="shared" si="3"/>
        <v>0</v>
      </c>
      <c r="E761" s="67"/>
      <c r="F761" s="58">
        <f t="shared" ref="F761:L761" si="751">SUMIFS($C761,$B761,F$7)+F760</f>
        <v>0</v>
      </c>
      <c r="G761" s="58">
        <f t="shared" si="751"/>
        <v>0</v>
      </c>
      <c r="H761" s="58">
        <f t="shared" si="751"/>
        <v>0</v>
      </c>
      <c r="I761" s="58">
        <f t="shared" si="751"/>
        <v>59</v>
      </c>
      <c r="J761" s="58">
        <f t="shared" si="751"/>
        <v>0</v>
      </c>
      <c r="K761" s="58">
        <f t="shared" si="751"/>
        <v>0</v>
      </c>
      <c r="L761" s="58">
        <f t="shared" si="751"/>
        <v>0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0" customHeight="1">
      <c r="A762" s="70"/>
      <c r="B762" s="71"/>
      <c r="C762" s="66"/>
      <c r="D762" s="66">
        <f t="shared" si="3"/>
        <v>0</v>
      </c>
      <c r="E762" s="67"/>
      <c r="F762" s="58">
        <f t="shared" ref="F762:L762" si="752">SUMIFS($C762,$B762,F$7)+F761</f>
        <v>0</v>
      </c>
      <c r="G762" s="58">
        <f t="shared" si="752"/>
        <v>0</v>
      </c>
      <c r="H762" s="58">
        <f t="shared" si="752"/>
        <v>0</v>
      </c>
      <c r="I762" s="58">
        <f t="shared" si="752"/>
        <v>59</v>
      </c>
      <c r="J762" s="58">
        <f t="shared" si="752"/>
        <v>0</v>
      </c>
      <c r="K762" s="58">
        <f t="shared" si="752"/>
        <v>0</v>
      </c>
      <c r="L762" s="58">
        <f t="shared" si="752"/>
        <v>0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0" customHeight="1">
      <c r="A763" s="70"/>
      <c r="B763" s="71"/>
      <c r="C763" s="66"/>
      <c r="D763" s="66">
        <f t="shared" si="3"/>
        <v>0</v>
      </c>
      <c r="E763" s="67"/>
      <c r="F763" s="58">
        <f t="shared" ref="F763:L763" si="753">SUMIFS($C763,$B763,F$7)+F762</f>
        <v>0</v>
      </c>
      <c r="G763" s="58">
        <f t="shared" si="753"/>
        <v>0</v>
      </c>
      <c r="H763" s="58">
        <f t="shared" si="753"/>
        <v>0</v>
      </c>
      <c r="I763" s="58">
        <f t="shared" si="753"/>
        <v>59</v>
      </c>
      <c r="J763" s="58">
        <f t="shared" si="753"/>
        <v>0</v>
      </c>
      <c r="K763" s="58">
        <f t="shared" si="753"/>
        <v>0</v>
      </c>
      <c r="L763" s="58">
        <f t="shared" si="753"/>
        <v>0</v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0" customHeight="1">
      <c r="A764" s="70"/>
      <c r="B764" s="71"/>
      <c r="C764" s="66"/>
      <c r="D764" s="66">
        <f t="shared" si="3"/>
        <v>0</v>
      </c>
      <c r="E764" s="67"/>
      <c r="F764" s="58">
        <f t="shared" ref="F764:L764" si="754">SUMIFS($C764,$B764,F$7)+F763</f>
        <v>0</v>
      </c>
      <c r="G764" s="58">
        <f t="shared" si="754"/>
        <v>0</v>
      </c>
      <c r="H764" s="58">
        <f t="shared" si="754"/>
        <v>0</v>
      </c>
      <c r="I764" s="58">
        <f t="shared" si="754"/>
        <v>59</v>
      </c>
      <c r="J764" s="58">
        <f t="shared" si="754"/>
        <v>0</v>
      </c>
      <c r="K764" s="58">
        <f t="shared" si="754"/>
        <v>0</v>
      </c>
      <c r="L764" s="58">
        <f t="shared" si="754"/>
        <v>0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0" customHeight="1">
      <c r="A765" s="70"/>
      <c r="B765" s="71"/>
      <c r="C765" s="66"/>
      <c r="D765" s="66">
        <f t="shared" si="3"/>
        <v>0</v>
      </c>
      <c r="E765" s="67"/>
      <c r="F765" s="58">
        <f t="shared" ref="F765:L765" si="755">SUMIFS($C765,$B765,F$7)+F764</f>
        <v>0</v>
      </c>
      <c r="G765" s="58">
        <f t="shared" si="755"/>
        <v>0</v>
      </c>
      <c r="H765" s="58">
        <f t="shared" si="755"/>
        <v>0</v>
      </c>
      <c r="I765" s="58">
        <f t="shared" si="755"/>
        <v>59</v>
      </c>
      <c r="J765" s="58">
        <f t="shared" si="755"/>
        <v>0</v>
      </c>
      <c r="K765" s="58">
        <f t="shared" si="755"/>
        <v>0</v>
      </c>
      <c r="L765" s="58">
        <f t="shared" si="755"/>
        <v>0</v>
      </c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0" customHeight="1">
      <c r="A766" s="70"/>
      <c r="B766" s="71"/>
      <c r="C766" s="66"/>
      <c r="D766" s="66">
        <f t="shared" si="3"/>
        <v>0</v>
      </c>
      <c r="E766" s="67"/>
      <c r="F766" s="58">
        <f t="shared" ref="F766:L766" si="756">SUMIFS($C766,$B766,F$7)+F765</f>
        <v>0</v>
      </c>
      <c r="G766" s="58">
        <f t="shared" si="756"/>
        <v>0</v>
      </c>
      <c r="H766" s="58">
        <f t="shared" si="756"/>
        <v>0</v>
      </c>
      <c r="I766" s="58">
        <f t="shared" si="756"/>
        <v>59</v>
      </c>
      <c r="J766" s="58">
        <f t="shared" si="756"/>
        <v>0</v>
      </c>
      <c r="K766" s="58">
        <f t="shared" si="756"/>
        <v>0</v>
      </c>
      <c r="L766" s="58">
        <f t="shared" si="756"/>
        <v>0</v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0" customHeight="1">
      <c r="A767" s="70"/>
      <c r="B767" s="71"/>
      <c r="C767" s="66"/>
      <c r="D767" s="66">
        <f t="shared" si="3"/>
        <v>0</v>
      </c>
      <c r="E767" s="67"/>
      <c r="F767" s="58">
        <f t="shared" ref="F767:L767" si="757">SUMIFS($C767,$B767,F$7)+F766</f>
        <v>0</v>
      </c>
      <c r="G767" s="58">
        <f t="shared" si="757"/>
        <v>0</v>
      </c>
      <c r="H767" s="58">
        <f t="shared" si="757"/>
        <v>0</v>
      </c>
      <c r="I767" s="58">
        <f t="shared" si="757"/>
        <v>59</v>
      </c>
      <c r="J767" s="58">
        <f t="shared" si="757"/>
        <v>0</v>
      </c>
      <c r="K767" s="58">
        <f t="shared" si="757"/>
        <v>0</v>
      </c>
      <c r="L767" s="58">
        <f t="shared" si="757"/>
        <v>0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0" customHeight="1">
      <c r="A768" s="70"/>
      <c r="B768" s="71"/>
      <c r="C768" s="66"/>
      <c r="D768" s="66">
        <f t="shared" si="3"/>
        <v>0</v>
      </c>
      <c r="E768" s="67"/>
      <c r="F768" s="58">
        <f t="shared" ref="F768:L768" si="758">SUMIFS($C768,$B768,F$7)+F767</f>
        <v>0</v>
      </c>
      <c r="G768" s="58">
        <f t="shared" si="758"/>
        <v>0</v>
      </c>
      <c r="H768" s="58">
        <f t="shared" si="758"/>
        <v>0</v>
      </c>
      <c r="I768" s="58">
        <f t="shared" si="758"/>
        <v>59</v>
      </c>
      <c r="J768" s="58">
        <f t="shared" si="758"/>
        <v>0</v>
      </c>
      <c r="K768" s="58">
        <f t="shared" si="758"/>
        <v>0</v>
      </c>
      <c r="L768" s="58">
        <f t="shared" si="758"/>
        <v>0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0" customHeight="1">
      <c r="A769" s="70"/>
      <c r="B769" s="71"/>
      <c r="C769" s="66"/>
      <c r="D769" s="66">
        <f t="shared" si="3"/>
        <v>0</v>
      </c>
      <c r="E769" s="67"/>
      <c r="F769" s="58">
        <f t="shared" ref="F769:L769" si="759">SUMIFS($C769,$B769,F$7)+F768</f>
        <v>0</v>
      </c>
      <c r="G769" s="58">
        <f t="shared" si="759"/>
        <v>0</v>
      </c>
      <c r="H769" s="58">
        <f t="shared" si="759"/>
        <v>0</v>
      </c>
      <c r="I769" s="58">
        <f t="shared" si="759"/>
        <v>59</v>
      </c>
      <c r="J769" s="58">
        <f t="shared" si="759"/>
        <v>0</v>
      </c>
      <c r="K769" s="58">
        <f t="shared" si="759"/>
        <v>0</v>
      </c>
      <c r="L769" s="58">
        <f t="shared" si="759"/>
        <v>0</v>
      </c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0" customHeight="1">
      <c r="A770" s="70"/>
      <c r="B770" s="71"/>
      <c r="C770" s="66"/>
      <c r="D770" s="66">
        <f t="shared" si="3"/>
        <v>0</v>
      </c>
      <c r="E770" s="67"/>
      <c r="F770" s="58">
        <f t="shared" ref="F770:L770" si="760">SUMIFS($C770,$B770,F$7)+F769</f>
        <v>0</v>
      </c>
      <c r="G770" s="58">
        <f t="shared" si="760"/>
        <v>0</v>
      </c>
      <c r="H770" s="58">
        <f t="shared" si="760"/>
        <v>0</v>
      </c>
      <c r="I770" s="58">
        <f t="shared" si="760"/>
        <v>59</v>
      </c>
      <c r="J770" s="58">
        <f t="shared" si="760"/>
        <v>0</v>
      </c>
      <c r="K770" s="58">
        <f t="shared" si="760"/>
        <v>0</v>
      </c>
      <c r="L770" s="58">
        <f t="shared" si="760"/>
        <v>0</v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0" customHeight="1">
      <c r="A771" s="70"/>
      <c r="B771" s="71"/>
      <c r="C771" s="66"/>
      <c r="D771" s="66">
        <f t="shared" si="3"/>
        <v>0</v>
      </c>
      <c r="E771" s="67"/>
      <c r="F771" s="58">
        <f t="shared" ref="F771:L771" si="761">SUMIFS($C771,$B771,F$7)+F770</f>
        <v>0</v>
      </c>
      <c r="G771" s="58">
        <f t="shared" si="761"/>
        <v>0</v>
      </c>
      <c r="H771" s="58">
        <f t="shared" si="761"/>
        <v>0</v>
      </c>
      <c r="I771" s="58">
        <f t="shared" si="761"/>
        <v>59</v>
      </c>
      <c r="J771" s="58">
        <f t="shared" si="761"/>
        <v>0</v>
      </c>
      <c r="K771" s="58">
        <f t="shared" si="761"/>
        <v>0</v>
      </c>
      <c r="L771" s="58">
        <f t="shared" si="761"/>
        <v>0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0" customHeight="1">
      <c r="A772" s="70"/>
      <c r="B772" s="71"/>
      <c r="C772" s="66"/>
      <c r="D772" s="66">
        <f t="shared" si="3"/>
        <v>0</v>
      </c>
      <c r="E772" s="67"/>
      <c r="F772" s="58">
        <f t="shared" ref="F772:L772" si="762">SUMIFS($C772,$B772,F$7)+F771</f>
        <v>0</v>
      </c>
      <c r="G772" s="58">
        <f t="shared" si="762"/>
        <v>0</v>
      </c>
      <c r="H772" s="58">
        <f t="shared" si="762"/>
        <v>0</v>
      </c>
      <c r="I772" s="58">
        <f t="shared" si="762"/>
        <v>59</v>
      </c>
      <c r="J772" s="58">
        <f t="shared" si="762"/>
        <v>0</v>
      </c>
      <c r="K772" s="58">
        <f t="shared" si="762"/>
        <v>0</v>
      </c>
      <c r="L772" s="58">
        <f t="shared" si="762"/>
        <v>0</v>
      </c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0" customHeight="1">
      <c r="A773" s="70"/>
      <c r="B773" s="71"/>
      <c r="C773" s="66"/>
      <c r="D773" s="66">
        <f t="shared" si="3"/>
        <v>0</v>
      </c>
      <c r="E773" s="67"/>
      <c r="F773" s="58">
        <f t="shared" ref="F773:L773" si="763">SUMIFS($C773,$B773,F$7)+F772</f>
        <v>0</v>
      </c>
      <c r="G773" s="58">
        <f t="shared" si="763"/>
        <v>0</v>
      </c>
      <c r="H773" s="58">
        <f t="shared" si="763"/>
        <v>0</v>
      </c>
      <c r="I773" s="58">
        <f t="shared" si="763"/>
        <v>59</v>
      </c>
      <c r="J773" s="58">
        <f t="shared" si="763"/>
        <v>0</v>
      </c>
      <c r="K773" s="58">
        <f t="shared" si="763"/>
        <v>0</v>
      </c>
      <c r="L773" s="58">
        <f t="shared" si="763"/>
        <v>0</v>
      </c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0" customHeight="1">
      <c r="A774" s="70"/>
      <c r="B774" s="71"/>
      <c r="C774" s="66"/>
      <c r="D774" s="66">
        <f t="shared" si="3"/>
        <v>0</v>
      </c>
      <c r="E774" s="67"/>
      <c r="F774" s="58">
        <f t="shared" ref="F774:L774" si="764">SUMIFS($C774,$B774,F$7)+F773</f>
        <v>0</v>
      </c>
      <c r="G774" s="58">
        <f t="shared" si="764"/>
        <v>0</v>
      </c>
      <c r="H774" s="58">
        <f t="shared" si="764"/>
        <v>0</v>
      </c>
      <c r="I774" s="58">
        <f t="shared" si="764"/>
        <v>59</v>
      </c>
      <c r="J774" s="58">
        <f t="shared" si="764"/>
        <v>0</v>
      </c>
      <c r="K774" s="58">
        <f t="shared" si="764"/>
        <v>0</v>
      </c>
      <c r="L774" s="58">
        <f t="shared" si="764"/>
        <v>0</v>
      </c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0" customHeight="1">
      <c r="A775" s="70"/>
      <c r="B775" s="71"/>
      <c r="C775" s="66"/>
      <c r="D775" s="66">
        <f t="shared" si="3"/>
        <v>0</v>
      </c>
      <c r="E775" s="67"/>
      <c r="F775" s="58">
        <f t="shared" ref="F775:L775" si="765">SUMIFS($C775,$B775,F$7)+F774</f>
        <v>0</v>
      </c>
      <c r="G775" s="58">
        <f t="shared" si="765"/>
        <v>0</v>
      </c>
      <c r="H775" s="58">
        <f t="shared" si="765"/>
        <v>0</v>
      </c>
      <c r="I775" s="58">
        <f t="shared" si="765"/>
        <v>59</v>
      </c>
      <c r="J775" s="58">
        <f t="shared" si="765"/>
        <v>0</v>
      </c>
      <c r="K775" s="58">
        <f t="shared" si="765"/>
        <v>0</v>
      </c>
      <c r="L775" s="58">
        <f t="shared" si="765"/>
        <v>0</v>
      </c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0" customHeight="1">
      <c r="A776" s="70"/>
      <c r="B776" s="71"/>
      <c r="C776" s="66"/>
      <c r="D776" s="66">
        <f t="shared" si="3"/>
        <v>0</v>
      </c>
      <c r="E776" s="67"/>
      <c r="F776" s="58">
        <f t="shared" ref="F776:L776" si="766">SUMIFS($C776,$B776,F$7)+F775</f>
        <v>0</v>
      </c>
      <c r="G776" s="58">
        <f t="shared" si="766"/>
        <v>0</v>
      </c>
      <c r="H776" s="58">
        <f t="shared" si="766"/>
        <v>0</v>
      </c>
      <c r="I776" s="58">
        <f t="shared" si="766"/>
        <v>59</v>
      </c>
      <c r="J776" s="58">
        <f t="shared" si="766"/>
        <v>0</v>
      </c>
      <c r="K776" s="58">
        <f t="shared" si="766"/>
        <v>0</v>
      </c>
      <c r="L776" s="58">
        <f t="shared" si="766"/>
        <v>0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0" customHeight="1">
      <c r="A777" s="70"/>
      <c r="B777" s="71"/>
      <c r="C777" s="66"/>
      <c r="D777" s="66">
        <f t="shared" si="3"/>
        <v>0</v>
      </c>
      <c r="E777" s="67"/>
      <c r="F777" s="58">
        <f t="shared" ref="F777:L777" si="767">SUMIFS($C777,$B777,F$7)+F776</f>
        <v>0</v>
      </c>
      <c r="G777" s="58">
        <f t="shared" si="767"/>
        <v>0</v>
      </c>
      <c r="H777" s="58">
        <f t="shared" si="767"/>
        <v>0</v>
      </c>
      <c r="I777" s="58">
        <f t="shared" si="767"/>
        <v>59</v>
      </c>
      <c r="J777" s="58">
        <f t="shared" si="767"/>
        <v>0</v>
      </c>
      <c r="K777" s="58">
        <f t="shared" si="767"/>
        <v>0</v>
      </c>
      <c r="L777" s="58">
        <f t="shared" si="767"/>
        <v>0</v>
      </c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0" customHeight="1">
      <c r="A778" s="70"/>
      <c r="B778" s="71"/>
      <c r="C778" s="66"/>
      <c r="D778" s="66">
        <f t="shared" si="3"/>
        <v>0</v>
      </c>
      <c r="E778" s="67"/>
      <c r="F778" s="58">
        <f t="shared" ref="F778:L778" si="768">SUMIFS($C778,$B778,F$7)+F777</f>
        <v>0</v>
      </c>
      <c r="G778" s="58">
        <f t="shared" si="768"/>
        <v>0</v>
      </c>
      <c r="H778" s="58">
        <f t="shared" si="768"/>
        <v>0</v>
      </c>
      <c r="I778" s="58">
        <f t="shared" si="768"/>
        <v>59</v>
      </c>
      <c r="J778" s="58">
        <f t="shared" si="768"/>
        <v>0</v>
      </c>
      <c r="K778" s="58">
        <f t="shared" si="768"/>
        <v>0</v>
      </c>
      <c r="L778" s="58">
        <f t="shared" si="768"/>
        <v>0</v>
      </c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0" customHeight="1">
      <c r="A779" s="70"/>
      <c r="B779" s="71"/>
      <c r="C779" s="66"/>
      <c r="D779" s="66">
        <f t="shared" si="3"/>
        <v>0</v>
      </c>
      <c r="E779" s="67"/>
      <c r="F779" s="58">
        <f t="shared" ref="F779:L779" si="769">SUMIFS($C779,$B779,F$7)+F778</f>
        <v>0</v>
      </c>
      <c r="G779" s="58">
        <f t="shared" si="769"/>
        <v>0</v>
      </c>
      <c r="H779" s="58">
        <f t="shared" si="769"/>
        <v>0</v>
      </c>
      <c r="I779" s="58">
        <f t="shared" si="769"/>
        <v>59</v>
      </c>
      <c r="J779" s="58">
        <f t="shared" si="769"/>
        <v>0</v>
      </c>
      <c r="K779" s="58">
        <f t="shared" si="769"/>
        <v>0</v>
      </c>
      <c r="L779" s="58">
        <f t="shared" si="769"/>
        <v>0</v>
      </c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0" customHeight="1">
      <c r="A780" s="70"/>
      <c r="B780" s="71"/>
      <c r="C780" s="66"/>
      <c r="D780" s="66">
        <f t="shared" si="3"/>
        <v>0</v>
      </c>
      <c r="E780" s="67"/>
      <c r="F780" s="58">
        <f t="shared" ref="F780:L780" si="770">SUMIFS($C780,$B780,F$7)+F779</f>
        <v>0</v>
      </c>
      <c r="G780" s="58">
        <f t="shared" si="770"/>
        <v>0</v>
      </c>
      <c r="H780" s="58">
        <f t="shared" si="770"/>
        <v>0</v>
      </c>
      <c r="I780" s="58">
        <f t="shared" si="770"/>
        <v>59</v>
      </c>
      <c r="J780" s="58">
        <f t="shared" si="770"/>
        <v>0</v>
      </c>
      <c r="K780" s="58">
        <f t="shared" si="770"/>
        <v>0</v>
      </c>
      <c r="L780" s="58">
        <f t="shared" si="770"/>
        <v>0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0" customHeight="1">
      <c r="A781" s="70"/>
      <c r="B781" s="71"/>
      <c r="C781" s="66"/>
      <c r="D781" s="66">
        <f t="shared" si="3"/>
        <v>0</v>
      </c>
      <c r="E781" s="67"/>
      <c r="F781" s="58">
        <f t="shared" ref="F781:L781" si="771">SUMIFS($C781,$B781,F$7)+F780</f>
        <v>0</v>
      </c>
      <c r="G781" s="58">
        <f t="shared" si="771"/>
        <v>0</v>
      </c>
      <c r="H781" s="58">
        <f t="shared" si="771"/>
        <v>0</v>
      </c>
      <c r="I781" s="58">
        <f t="shared" si="771"/>
        <v>59</v>
      </c>
      <c r="J781" s="58">
        <f t="shared" si="771"/>
        <v>0</v>
      </c>
      <c r="K781" s="58">
        <f t="shared" si="771"/>
        <v>0</v>
      </c>
      <c r="L781" s="58">
        <f t="shared" si="771"/>
        <v>0</v>
      </c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0" customHeight="1">
      <c r="A782" s="70"/>
      <c r="B782" s="71"/>
      <c r="C782" s="66"/>
      <c r="D782" s="66">
        <f t="shared" si="3"/>
        <v>0</v>
      </c>
      <c r="E782" s="67"/>
      <c r="F782" s="58">
        <f t="shared" ref="F782:L782" si="772">SUMIFS($C782,$B782,F$7)+F781</f>
        <v>0</v>
      </c>
      <c r="G782" s="58">
        <f t="shared" si="772"/>
        <v>0</v>
      </c>
      <c r="H782" s="58">
        <f t="shared" si="772"/>
        <v>0</v>
      </c>
      <c r="I782" s="58">
        <f t="shared" si="772"/>
        <v>59</v>
      </c>
      <c r="J782" s="58">
        <f t="shared" si="772"/>
        <v>0</v>
      </c>
      <c r="K782" s="58">
        <f t="shared" si="772"/>
        <v>0</v>
      </c>
      <c r="L782" s="58">
        <f t="shared" si="772"/>
        <v>0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0" customHeight="1">
      <c r="A783" s="70"/>
      <c r="B783" s="71"/>
      <c r="C783" s="66"/>
      <c r="D783" s="66">
        <f t="shared" si="3"/>
        <v>0</v>
      </c>
      <c r="E783" s="67"/>
      <c r="F783" s="58">
        <f t="shared" ref="F783:L783" si="773">SUMIFS($C783,$B783,F$7)+F782</f>
        <v>0</v>
      </c>
      <c r="G783" s="58">
        <f t="shared" si="773"/>
        <v>0</v>
      </c>
      <c r="H783" s="58">
        <f t="shared" si="773"/>
        <v>0</v>
      </c>
      <c r="I783" s="58">
        <f t="shared" si="773"/>
        <v>59</v>
      </c>
      <c r="J783" s="58">
        <f t="shared" si="773"/>
        <v>0</v>
      </c>
      <c r="K783" s="58">
        <f t="shared" si="773"/>
        <v>0</v>
      </c>
      <c r="L783" s="58">
        <f t="shared" si="773"/>
        <v>0</v>
      </c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0" customHeight="1">
      <c r="A784" s="70"/>
      <c r="B784" s="71"/>
      <c r="C784" s="66"/>
      <c r="D784" s="66">
        <f t="shared" si="3"/>
        <v>0</v>
      </c>
      <c r="E784" s="67"/>
      <c r="F784" s="58">
        <f t="shared" ref="F784:L784" si="774">SUMIFS($C784,$B784,F$7)+F783</f>
        <v>0</v>
      </c>
      <c r="G784" s="58">
        <f t="shared" si="774"/>
        <v>0</v>
      </c>
      <c r="H784" s="58">
        <f t="shared" si="774"/>
        <v>0</v>
      </c>
      <c r="I784" s="58">
        <f t="shared" si="774"/>
        <v>59</v>
      </c>
      <c r="J784" s="58">
        <f t="shared" si="774"/>
        <v>0</v>
      </c>
      <c r="K784" s="58">
        <f t="shared" si="774"/>
        <v>0</v>
      </c>
      <c r="L784" s="58">
        <f t="shared" si="774"/>
        <v>0</v>
      </c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0" customHeight="1">
      <c r="A785" s="70"/>
      <c r="B785" s="71"/>
      <c r="C785" s="66"/>
      <c r="D785" s="66">
        <f t="shared" si="3"/>
        <v>0</v>
      </c>
      <c r="E785" s="67"/>
      <c r="F785" s="58">
        <f t="shared" ref="F785:L785" si="775">SUMIFS($C785,$B785,F$7)+F784</f>
        <v>0</v>
      </c>
      <c r="G785" s="58">
        <f t="shared" si="775"/>
        <v>0</v>
      </c>
      <c r="H785" s="58">
        <f t="shared" si="775"/>
        <v>0</v>
      </c>
      <c r="I785" s="58">
        <f t="shared" si="775"/>
        <v>59</v>
      </c>
      <c r="J785" s="58">
        <f t="shared" si="775"/>
        <v>0</v>
      </c>
      <c r="K785" s="58">
        <f t="shared" si="775"/>
        <v>0</v>
      </c>
      <c r="L785" s="58">
        <f t="shared" si="775"/>
        <v>0</v>
      </c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0" customHeight="1">
      <c r="A786" s="70"/>
      <c r="B786" s="71"/>
      <c r="C786" s="66"/>
      <c r="D786" s="66">
        <f t="shared" si="3"/>
        <v>0</v>
      </c>
      <c r="E786" s="67"/>
      <c r="F786" s="58">
        <f t="shared" ref="F786:L786" si="776">SUMIFS($C786,$B786,F$7)+F785</f>
        <v>0</v>
      </c>
      <c r="G786" s="58">
        <f t="shared" si="776"/>
        <v>0</v>
      </c>
      <c r="H786" s="58">
        <f t="shared" si="776"/>
        <v>0</v>
      </c>
      <c r="I786" s="58">
        <f t="shared" si="776"/>
        <v>59</v>
      </c>
      <c r="J786" s="58">
        <f t="shared" si="776"/>
        <v>0</v>
      </c>
      <c r="K786" s="58">
        <f t="shared" si="776"/>
        <v>0</v>
      </c>
      <c r="L786" s="58">
        <f t="shared" si="776"/>
        <v>0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0" customHeight="1">
      <c r="A787" s="70"/>
      <c r="B787" s="71"/>
      <c r="C787" s="66"/>
      <c r="D787" s="66">
        <f t="shared" si="3"/>
        <v>0</v>
      </c>
      <c r="E787" s="67"/>
      <c r="F787" s="58">
        <f t="shared" ref="F787:L787" si="777">SUMIFS($C787,$B787,F$7)+F786</f>
        <v>0</v>
      </c>
      <c r="G787" s="58">
        <f t="shared" si="777"/>
        <v>0</v>
      </c>
      <c r="H787" s="58">
        <f t="shared" si="777"/>
        <v>0</v>
      </c>
      <c r="I787" s="58">
        <f t="shared" si="777"/>
        <v>59</v>
      </c>
      <c r="J787" s="58">
        <f t="shared" si="777"/>
        <v>0</v>
      </c>
      <c r="K787" s="58">
        <f t="shared" si="777"/>
        <v>0</v>
      </c>
      <c r="L787" s="58">
        <f t="shared" si="777"/>
        <v>0</v>
      </c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0" customHeight="1">
      <c r="A788" s="70"/>
      <c r="B788" s="71"/>
      <c r="C788" s="66"/>
      <c r="D788" s="66">
        <f t="shared" si="3"/>
        <v>0</v>
      </c>
      <c r="E788" s="67"/>
      <c r="F788" s="58">
        <f t="shared" ref="F788:L788" si="778">SUMIFS($C788,$B788,F$7)+F787</f>
        <v>0</v>
      </c>
      <c r="G788" s="58">
        <f t="shared" si="778"/>
        <v>0</v>
      </c>
      <c r="H788" s="58">
        <f t="shared" si="778"/>
        <v>0</v>
      </c>
      <c r="I788" s="58">
        <f t="shared" si="778"/>
        <v>59</v>
      </c>
      <c r="J788" s="58">
        <f t="shared" si="778"/>
        <v>0</v>
      </c>
      <c r="K788" s="58">
        <f t="shared" si="778"/>
        <v>0</v>
      </c>
      <c r="L788" s="58">
        <f t="shared" si="778"/>
        <v>0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0" customHeight="1">
      <c r="A789" s="70"/>
      <c r="B789" s="71"/>
      <c r="C789" s="66"/>
      <c r="D789" s="66">
        <f t="shared" si="3"/>
        <v>0</v>
      </c>
      <c r="E789" s="67"/>
      <c r="F789" s="58">
        <f t="shared" ref="F789:L789" si="779">SUMIFS($C789,$B789,F$7)+F788</f>
        <v>0</v>
      </c>
      <c r="G789" s="58">
        <f t="shared" si="779"/>
        <v>0</v>
      </c>
      <c r="H789" s="58">
        <f t="shared" si="779"/>
        <v>0</v>
      </c>
      <c r="I789" s="58">
        <f t="shared" si="779"/>
        <v>59</v>
      </c>
      <c r="J789" s="58">
        <f t="shared" si="779"/>
        <v>0</v>
      </c>
      <c r="K789" s="58">
        <f t="shared" si="779"/>
        <v>0</v>
      </c>
      <c r="L789" s="58">
        <f t="shared" si="779"/>
        <v>0</v>
      </c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0" customHeight="1">
      <c r="A790" s="70"/>
      <c r="B790" s="71"/>
      <c r="C790" s="66"/>
      <c r="D790" s="66">
        <f t="shared" si="3"/>
        <v>0</v>
      </c>
      <c r="E790" s="67"/>
      <c r="F790" s="58">
        <f t="shared" ref="F790:L790" si="780">SUMIFS($C790,$B790,F$7)+F789</f>
        <v>0</v>
      </c>
      <c r="G790" s="58">
        <f t="shared" si="780"/>
        <v>0</v>
      </c>
      <c r="H790" s="58">
        <f t="shared" si="780"/>
        <v>0</v>
      </c>
      <c r="I790" s="58">
        <f t="shared" si="780"/>
        <v>59</v>
      </c>
      <c r="J790" s="58">
        <f t="shared" si="780"/>
        <v>0</v>
      </c>
      <c r="K790" s="58">
        <f t="shared" si="780"/>
        <v>0</v>
      </c>
      <c r="L790" s="58">
        <f t="shared" si="780"/>
        <v>0</v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0" customHeight="1">
      <c r="A791" s="70"/>
      <c r="B791" s="71"/>
      <c r="C791" s="66"/>
      <c r="D791" s="66">
        <f t="shared" si="3"/>
        <v>0</v>
      </c>
      <c r="E791" s="67"/>
      <c r="F791" s="58">
        <f t="shared" ref="F791:L791" si="781">SUMIFS($C791,$B791,F$7)+F790</f>
        <v>0</v>
      </c>
      <c r="G791" s="58">
        <f t="shared" si="781"/>
        <v>0</v>
      </c>
      <c r="H791" s="58">
        <f t="shared" si="781"/>
        <v>0</v>
      </c>
      <c r="I791" s="58">
        <f t="shared" si="781"/>
        <v>59</v>
      </c>
      <c r="J791" s="58">
        <f t="shared" si="781"/>
        <v>0</v>
      </c>
      <c r="K791" s="58">
        <f t="shared" si="781"/>
        <v>0</v>
      </c>
      <c r="L791" s="58">
        <f t="shared" si="781"/>
        <v>0</v>
      </c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0" customHeight="1">
      <c r="A792" s="70"/>
      <c r="B792" s="71"/>
      <c r="C792" s="66"/>
      <c r="D792" s="66">
        <f t="shared" si="3"/>
        <v>0</v>
      </c>
      <c r="E792" s="67"/>
      <c r="F792" s="58">
        <f t="shared" ref="F792:L792" si="782">SUMIFS($C792,$B792,F$7)+F791</f>
        <v>0</v>
      </c>
      <c r="G792" s="58">
        <f t="shared" si="782"/>
        <v>0</v>
      </c>
      <c r="H792" s="58">
        <f t="shared" si="782"/>
        <v>0</v>
      </c>
      <c r="I792" s="58">
        <f t="shared" si="782"/>
        <v>59</v>
      </c>
      <c r="J792" s="58">
        <f t="shared" si="782"/>
        <v>0</v>
      </c>
      <c r="K792" s="58">
        <f t="shared" si="782"/>
        <v>0</v>
      </c>
      <c r="L792" s="58">
        <f t="shared" si="782"/>
        <v>0</v>
      </c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0" customHeight="1">
      <c r="A793" s="70"/>
      <c r="B793" s="71"/>
      <c r="C793" s="66"/>
      <c r="D793" s="66">
        <f t="shared" si="3"/>
        <v>0</v>
      </c>
      <c r="E793" s="67"/>
      <c r="F793" s="58">
        <f t="shared" ref="F793:L793" si="783">SUMIFS($C793,$B793,F$7)+F792</f>
        <v>0</v>
      </c>
      <c r="G793" s="58">
        <f t="shared" si="783"/>
        <v>0</v>
      </c>
      <c r="H793" s="58">
        <f t="shared" si="783"/>
        <v>0</v>
      </c>
      <c r="I793" s="58">
        <f t="shared" si="783"/>
        <v>59</v>
      </c>
      <c r="J793" s="58">
        <f t="shared" si="783"/>
        <v>0</v>
      </c>
      <c r="K793" s="58">
        <f t="shared" si="783"/>
        <v>0</v>
      </c>
      <c r="L793" s="58">
        <f t="shared" si="783"/>
        <v>0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0" customHeight="1">
      <c r="A794" s="70"/>
      <c r="B794" s="71"/>
      <c r="C794" s="66"/>
      <c r="D794" s="66">
        <f t="shared" si="3"/>
        <v>0</v>
      </c>
      <c r="E794" s="67"/>
      <c r="F794" s="58">
        <f t="shared" ref="F794:L794" si="784">SUMIFS($C794,$B794,F$7)+F793</f>
        <v>0</v>
      </c>
      <c r="G794" s="58">
        <f t="shared" si="784"/>
        <v>0</v>
      </c>
      <c r="H794" s="58">
        <f t="shared" si="784"/>
        <v>0</v>
      </c>
      <c r="I794" s="58">
        <f t="shared" si="784"/>
        <v>59</v>
      </c>
      <c r="J794" s="58">
        <f t="shared" si="784"/>
        <v>0</v>
      </c>
      <c r="K794" s="58">
        <f t="shared" si="784"/>
        <v>0</v>
      </c>
      <c r="L794" s="58">
        <f t="shared" si="784"/>
        <v>0</v>
      </c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0" customHeight="1">
      <c r="A795" s="70"/>
      <c r="B795" s="71"/>
      <c r="C795" s="66"/>
      <c r="D795" s="66">
        <f t="shared" si="3"/>
        <v>0</v>
      </c>
      <c r="E795" s="67"/>
      <c r="F795" s="58">
        <f t="shared" ref="F795:L795" si="785">SUMIFS($C795,$B795,F$7)+F794</f>
        <v>0</v>
      </c>
      <c r="G795" s="58">
        <f t="shared" si="785"/>
        <v>0</v>
      </c>
      <c r="H795" s="58">
        <f t="shared" si="785"/>
        <v>0</v>
      </c>
      <c r="I795" s="58">
        <f t="shared" si="785"/>
        <v>59</v>
      </c>
      <c r="J795" s="58">
        <f t="shared" si="785"/>
        <v>0</v>
      </c>
      <c r="K795" s="58">
        <f t="shared" si="785"/>
        <v>0</v>
      </c>
      <c r="L795" s="58">
        <f t="shared" si="785"/>
        <v>0</v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0" customHeight="1">
      <c r="A796" s="70"/>
      <c r="B796" s="71"/>
      <c r="C796" s="66"/>
      <c r="D796" s="66">
        <f t="shared" si="3"/>
        <v>0</v>
      </c>
      <c r="E796" s="67"/>
      <c r="F796" s="58">
        <f t="shared" ref="F796:L796" si="786">SUMIFS($C796,$B796,F$7)+F795</f>
        <v>0</v>
      </c>
      <c r="G796" s="58">
        <f t="shared" si="786"/>
        <v>0</v>
      </c>
      <c r="H796" s="58">
        <f t="shared" si="786"/>
        <v>0</v>
      </c>
      <c r="I796" s="58">
        <f t="shared" si="786"/>
        <v>59</v>
      </c>
      <c r="J796" s="58">
        <f t="shared" si="786"/>
        <v>0</v>
      </c>
      <c r="K796" s="58">
        <f t="shared" si="786"/>
        <v>0</v>
      </c>
      <c r="L796" s="58">
        <f t="shared" si="786"/>
        <v>0</v>
      </c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0" customHeight="1">
      <c r="A797" s="70"/>
      <c r="B797" s="71"/>
      <c r="C797" s="66"/>
      <c r="D797" s="66">
        <f t="shared" si="3"/>
        <v>0</v>
      </c>
      <c r="E797" s="67"/>
      <c r="F797" s="58">
        <f t="shared" ref="F797:L797" si="787">SUMIFS($C797,$B797,F$7)+F796</f>
        <v>0</v>
      </c>
      <c r="G797" s="58">
        <f t="shared" si="787"/>
        <v>0</v>
      </c>
      <c r="H797" s="58">
        <f t="shared" si="787"/>
        <v>0</v>
      </c>
      <c r="I797" s="58">
        <f t="shared" si="787"/>
        <v>59</v>
      </c>
      <c r="J797" s="58">
        <f t="shared" si="787"/>
        <v>0</v>
      </c>
      <c r="K797" s="58">
        <f t="shared" si="787"/>
        <v>0</v>
      </c>
      <c r="L797" s="58">
        <f t="shared" si="787"/>
        <v>0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0" customHeight="1">
      <c r="A798" s="70"/>
      <c r="B798" s="71"/>
      <c r="C798" s="66"/>
      <c r="D798" s="66">
        <f t="shared" si="3"/>
        <v>0</v>
      </c>
      <c r="E798" s="67"/>
      <c r="F798" s="58">
        <f t="shared" ref="F798:L798" si="788">SUMIFS($C798,$B798,F$7)+F797</f>
        <v>0</v>
      </c>
      <c r="G798" s="58">
        <f t="shared" si="788"/>
        <v>0</v>
      </c>
      <c r="H798" s="58">
        <f t="shared" si="788"/>
        <v>0</v>
      </c>
      <c r="I798" s="58">
        <f t="shared" si="788"/>
        <v>59</v>
      </c>
      <c r="J798" s="58">
        <f t="shared" si="788"/>
        <v>0</v>
      </c>
      <c r="K798" s="58">
        <f t="shared" si="788"/>
        <v>0</v>
      </c>
      <c r="L798" s="58">
        <f t="shared" si="788"/>
        <v>0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0" customHeight="1">
      <c r="A799" s="70"/>
      <c r="B799" s="71"/>
      <c r="C799" s="66"/>
      <c r="D799" s="66">
        <f t="shared" si="3"/>
        <v>0</v>
      </c>
      <c r="E799" s="67"/>
      <c r="F799" s="58">
        <f t="shared" ref="F799:L799" si="789">SUMIFS($C799,$B799,F$7)+F798</f>
        <v>0</v>
      </c>
      <c r="G799" s="58">
        <f t="shared" si="789"/>
        <v>0</v>
      </c>
      <c r="H799" s="58">
        <f t="shared" si="789"/>
        <v>0</v>
      </c>
      <c r="I799" s="58">
        <f t="shared" si="789"/>
        <v>59</v>
      </c>
      <c r="J799" s="58">
        <f t="shared" si="789"/>
        <v>0</v>
      </c>
      <c r="K799" s="58">
        <f t="shared" si="789"/>
        <v>0</v>
      </c>
      <c r="L799" s="58">
        <f t="shared" si="789"/>
        <v>0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0" customHeight="1">
      <c r="A800" s="70"/>
      <c r="B800" s="71"/>
      <c r="C800" s="66"/>
      <c r="D800" s="66">
        <f t="shared" si="3"/>
        <v>0</v>
      </c>
      <c r="E800" s="67"/>
      <c r="F800" s="58">
        <f t="shared" ref="F800:L800" si="790">SUMIFS($C800,$B800,F$7)+F799</f>
        <v>0</v>
      </c>
      <c r="G800" s="58">
        <f t="shared" si="790"/>
        <v>0</v>
      </c>
      <c r="H800" s="58">
        <f t="shared" si="790"/>
        <v>0</v>
      </c>
      <c r="I800" s="58">
        <f t="shared" si="790"/>
        <v>59</v>
      </c>
      <c r="J800" s="58">
        <f t="shared" si="790"/>
        <v>0</v>
      </c>
      <c r="K800" s="58">
        <f t="shared" si="790"/>
        <v>0</v>
      </c>
      <c r="L800" s="58">
        <f t="shared" si="790"/>
        <v>0</v>
      </c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0" customHeight="1">
      <c r="A801" s="70"/>
      <c r="B801" s="71"/>
      <c r="C801" s="66"/>
      <c r="D801" s="66">
        <f t="shared" si="3"/>
        <v>0</v>
      </c>
      <c r="E801" s="67"/>
      <c r="F801" s="58">
        <f t="shared" ref="F801:L801" si="791">SUMIFS($C801,$B801,F$7)+F800</f>
        <v>0</v>
      </c>
      <c r="G801" s="58">
        <f t="shared" si="791"/>
        <v>0</v>
      </c>
      <c r="H801" s="58">
        <f t="shared" si="791"/>
        <v>0</v>
      </c>
      <c r="I801" s="58">
        <f t="shared" si="791"/>
        <v>59</v>
      </c>
      <c r="J801" s="58">
        <f t="shared" si="791"/>
        <v>0</v>
      </c>
      <c r="K801" s="58">
        <f t="shared" si="791"/>
        <v>0</v>
      </c>
      <c r="L801" s="58">
        <f t="shared" si="791"/>
        <v>0</v>
      </c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0" customHeight="1">
      <c r="A802" s="70"/>
      <c r="B802" s="71"/>
      <c r="C802" s="66"/>
      <c r="D802" s="66">
        <f t="shared" si="3"/>
        <v>0</v>
      </c>
      <c r="E802" s="67"/>
      <c r="F802" s="58">
        <f t="shared" ref="F802:L802" si="792">SUMIFS($C802,$B802,F$7)+F801</f>
        <v>0</v>
      </c>
      <c r="G802" s="58">
        <f t="shared" si="792"/>
        <v>0</v>
      </c>
      <c r="H802" s="58">
        <f t="shared" si="792"/>
        <v>0</v>
      </c>
      <c r="I802" s="58">
        <f t="shared" si="792"/>
        <v>59</v>
      </c>
      <c r="J802" s="58">
        <f t="shared" si="792"/>
        <v>0</v>
      </c>
      <c r="K802" s="58">
        <f t="shared" si="792"/>
        <v>0</v>
      </c>
      <c r="L802" s="58">
        <f t="shared" si="792"/>
        <v>0</v>
      </c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0" customHeight="1">
      <c r="A803" s="70"/>
      <c r="B803" s="71"/>
      <c r="C803" s="66"/>
      <c r="D803" s="66">
        <f t="shared" si="3"/>
        <v>0</v>
      </c>
      <c r="E803" s="67"/>
      <c r="F803" s="58">
        <f t="shared" ref="F803:L803" si="793">SUMIFS($C803,$B803,F$7)+F802</f>
        <v>0</v>
      </c>
      <c r="G803" s="58">
        <f t="shared" si="793"/>
        <v>0</v>
      </c>
      <c r="H803" s="58">
        <f t="shared" si="793"/>
        <v>0</v>
      </c>
      <c r="I803" s="58">
        <f t="shared" si="793"/>
        <v>59</v>
      </c>
      <c r="J803" s="58">
        <f t="shared" si="793"/>
        <v>0</v>
      </c>
      <c r="K803" s="58">
        <f t="shared" si="793"/>
        <v>0</v>
      </c>
      <c r="L803" s="58">
        <f t="shared" si="793"/>
        <v>0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0" customHeight="1">
      <c r="A804" s="70"/>
      <c r="B804" s="71"/>
      <c r="C804" s="66"/>
      <c r="D804" s="66">
        <f t="shared" si="3"/>
        <v>0</v>
      </c>
      <c r="E804" s="67"/>
      <c r="F804" s="58">
        <f t="shared" ref="F804:L804" si="794">SUMIFS($C804,$B804,F$7)+F803</f>
        <v>0</v>
      </c>
      <c r="G804" s="58">
        <f t="shared" si="794"/>
        <v>0</v>
      </c>
      <c r="H804" s="58">
        <f t="shared" si="794"/>
        <v>0</v>
      </c>
      <c r="I804" s="58">
        <f t="shared" si="794"/>
        <v>59</v>
      </c>
      <c r="J804" s="58">
        <f t="shared" si="794"/>
        <v>0</v>
      </c>
      <c r="K804" s="58">
        <f t="shared" si="794"/>
        <v>0</v>
      </c>
      <c r="L804" s="58">
        <f t="shared" si="794"/>
        <v>0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0" customHeight="1">
      <c r="A805" s="70"/>
      <c r="B805" s="71"/>
      <c r="C805" s="66"/>
      <c r="D805" s="66">
        <f t="shared" si="3"/>
        <v>0</v>
      </c>
      <c r="E805" s="67"/>
      <c r="F805" s="58">
        <f t="shared" ref="F805:L805" si="795">SUMIFS($C805,$B805,F$7)+F804</f>
        <v>0</v>
      </c>
      <c r="G805" s="58">
        <f t="shared" si="795"/>
        <v>0</v>
      </c>
      <c r="H805" s="58">
        <f t="shared" si="795"/>
        <v>0</v>
      </c>
      <c r="I805" s="58">
        <f t="shared" si="795"/>
        <v>59</v>
      </c>
      <c r="J805" s="58">
        <f t="shared" si="795"/>
        <v>0</v>
      </c>
      <c r="K805" s="58">
        <f t="shared" si="795"/>
        <v>0</v>
      </c>
      <c r="L805" s="58">
        <f t="shared" si="795"/>
        <v>0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0" customHeight="1">
      <c r="A806" s="70"/>
      <c r="B806" s="71"/>
      <c r="C806" s="66"/>
      <c r="D806" s="66">
        <f t="shared" si="3"/>
        <v>0</v>
      </c>
      <c r="E806" s="67"/>
      <c r="F806" s="58">
        <f t="shared" ref="F806:L806" si="796">SUMIFS($C806,$B806,F$7)+F805</f>
        <v>0</v>
      </c>
      <c r="G806" s="58">
        <f t="shared" si="796"/>
        <v>0</v>
      </c>
      <c r="H806" s="58">
        <f t="shared" si="796"/>
        <v>0</v>
      </c>
      <c r="I806" s="58">
        <f t="shared" si="796"/>
        <v>59</v>
      </c>
      <c r="J806" s="58">
        <f t="shared" si="796"/>
        <v>0</v>
      </c>
      <c r="K806" s="58">
        <f t="shared" si="796"/>
        <v>0</v>
      </c>
      <c r="L806" s="58">
        <f t="shared" si="796"/>
        <v>0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0" customHeight="1">
      <c r="A807" s="70"/>
      <c r="B807" s="71"/>
      <c r="C807" s="66"/>
      <c r="D807" s="66">
        <f t="shared" si="3"/>
        <v>0</v>
      </c>
      <c r="E807" s="67"/>
      <c r="F807" s="58">
        <f t="shared" ref="F807:L807" si="797">SUMIFS($C807,$B807,F$7)+F806</f>
        <v>0</v>
      </c>
      <c r="G807" s="58">
        <f t="shared" si="797"/>
        <v>0</v>
      </c>
      <c r="H807" s="58">
        <f t="shared" si="797"/>
        <v>0</v>
      </c>
      <c r="I807" s="58">
        <f t="shared" si="797"/>
        <v>59</v>
      </c>
      <c r="J807" s="58">
        <f t="shared" si="797"/>
        <v>0</v>
      </c>
      <c r="K807" s="58">
        <f t="shared" si="797"/>
        <v>0</v>
      </c>
      <c r="L807" s="58">
        <f t="shared" si="797"/>
        <v>0</v>
      </c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0" customHeight="1">
      <c r="A808" s="70"/>
      <c r="B808" s="71"/>
      <c r="C808" s="66"/>
      <c r="D808" s="66">
        <f t="shared" si="3"/>
        <v>0</v>
      </c>
      <c r="E808" s="67"/>
      <c r="F808" s="58">
        <f t="shared" ref="F808:L808" si="798">SUMIFS($C808,$B808,F$7)+F807</f>
        <v>0</v>
      </c>
      <c r="G808" s="58">
        <f t="shared" si="798"/>
        <v>0</v>
      </c>
      <c r="H808" s="58">
        <f t="shared" si="798"/>
        <v>0</v>
      </c>
      <c r="I808" s="58">
        <f t="shared" si="798"/>
        <v>59</v>
      </c>
      <c r="J808" s="58">
        <f t="shared" si="798"/>
        <v>0</v>
      </c>
      <c r="K808" s="58">
        <f t="shared" si="798"/>
        <v>0</v>
      </c>
      <c r="L808" s="58">
        <f t="shared" si="798"/>
        <v>0</v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0" customHeight="1">
      <c r="A809" s="70"/>
      <c r="B809" s="71"/>
      <c r="C809" s="66"/>
      <c r="D809" s="66">
        <f t="shared" si="3"/>
        <v>0</v>
      </c>
      <c r="E809" s="67"/>
      <c r="F809" s="58">
        <f t="shared" ref="F809:L809" si="799">SUMIFS($C809,$B809,F$7)+F808</f>
        <v>0</v>
      </c>
      <c r="G809" s="58">
        <f t="shared" si="799"/>
        <v>0</v>
      </c>
      <c r="H809" s="58">
        <f t="shared" si="799"/>
        <v>0</v>
      </c>
      <c r="I809" s="58">
        <f t="shared" si="799"/>
        <v>59</v>
      </c>
      <c r="J809" s="58">
        <f t="shared" si="799"/>
        <v>0</v>
      </c>
      <c r="K809" s="58">
        <f t="shared" si="799"/>
        <v>0</v>
      </c>
      <c r="L809" s="58">
        <f t="shared" si="799"/>
        <v>0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0" customHeight="1">
      <c r="A810" s="70"/>
      <c r="B810" s="71"/>
      <c r="C810" s="66"/>
      <c r="D810" s="66">
        <f t="shared" si="3"/>
        <v>0</v>
      </c>
      <c r="E810" s="67"/>
      <c r="F810" s="58">
        <f t="shared" ref="F810:L810" si="800">SUMIFS($C810,$B810,F$7)+F809</f>
        <v>0</v>
      </c>
      <c r="G810" s="58">
        <f t="shared" si="800"/>
        <v>0</v>
      </c>
      <c r="H810" s="58">
        <f t="shared" si="800"/>
        <v>0</v>
      </c>
      <c r="I810" s="58">
        <f t="shared" si="800"/>
        <v>59</v>
      </c>
      <c r="J810" s="58">
        <f t="shared" si="800"/>
        <v>0</v>
      </c>
      <c r="K810" s="58">
        <f t="shared" si="800"/>
        <v>0</v>
      </c>
      <c r="L810" s="58">
        <f t="shared" si="800"/>
        <v>0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0" customHeight="1">
      <c r="A811" s="70"/>
      <c r="B811" s="71"/>
      <c r="C811" s="66"/>
      <c r="D811" s="66">
        <f t="shared" si="3"/>
        <v>0</v>
      </c>
      <c r="E811" s="67"/>
      <c r="F811" s="58">
        <f t="shared" ref="F811:L811" si="801">SUMIFS($C811,$B811,F$7)+F810</f>
        <v>0</v>
      </c>
      <c r="G811" s="58">
        <f t="shared" si="801"/>
        <v>0</v>
      </c>
      <c r="H811" s="58">
        <f t="shared" si="801"/>
        <v>0</v>
      </c>
      <c r="I811" s="58">
        <f t="shared" si="801"/>
        <v>59</v>
      </c>
      <c r="J811" s="58">
        <f t="shared" si="801"/>
        <v>0</v>
      </c>
      <c r="K811" s="58">
        <f t="shared" si="801"/>
        <v>0</v>
      </c>
      <c r="L811" s="58">
        <f t="shared" si="801"/>
        <v>0</v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0" customHeight="1">
      <c r="A812" s="70"/>
      <c r="B812" s="71"/>
      <c r="C812" s="66"/>
      <c r="D812" s="66">
        <f t="shared" si="3"/>
        <v>0</v>
      </c>
      <c r="E812" s="67"/>
      <c r="F812" s="58">
        <f t="shared" ref="F812:L812" si="802">SUMIFS($C812,$B812,F$7)+F811</f>
        <v>0</v>
      </c>
      <c r="G812" s="58">
        <f t="shared" si="802"/>
        <v>0</v>
      </c>
      <c r="H812" s="58">
        <f t="shared" si="802"/>
        <v>0</v>
      </c>
      <c r="I812" s="58">
        <f t="shared" si="802"/>
        <v>59</v>
      </c>
      <c r="J812" s="58">
        <f t="shared" si="802"/>
        <v>0</v>
      </c>
      <c r="K812" s="58">
        <f t="shared" si="802"/>
        <v>0</v>
      </c>
      <c r="L812" s="58">
        <f t="shared" si="802"/>
        <v>0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0" customHeight="1">
      <c r="A813" s="70"/>
      <c r="B813" s="71"/>
      <c r="C813" s="66"/>
      <c r="D813" s="66">
        <f t="shared" si="3"/>
        <v>0</v>
      </c>
      <c r="E813" s="67"/>
      <c r="F813" s="58">
        <f t="shared" ref="F813:L813" si="803">SUMIFS($C813,$B813,F$7)+F812</f>
        <v>0</v>
      </c>
      <c r="G813" s="58">
        <f t="shared" si="803"/>
        <v>0</v>
      </c>
      <c r="H813" s="58">
        <f t="shared" si="803"/>
        <v>0</v>
      </c>
      <c r="I813" s="58">
        <f t="shared" si="803"/>
        <v>59</v>
      </c>
      <c r="J813" s="58">
        <f t="shared" si="803"/>
        <v>0</v>
      </c>
      <c r="K813" s="58">
        <f t="shared" si="803"/>
        <v>0</v>
      </c>
      <c r="L813" s="58">
        <f t="shared" si="803"/>
        <v>0</v>
      </c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0" customHeight="1">
      <c r="A814" s="70"/>
      <c r="B814" s="71"/>
      <c r="C814" s="66"/>
      <c r="D814" s="66">
        <f t="shared" si="3"/>
        <v>0</v>
      </c>
      <c r="E814" s="67"/>
      <c r="F814" s="58">
        <f t="shared" ref="F814:L814" si="804">SUMIFS($C814,$B814,F$7)+F813</f>
        <v>0</v>
      </c>
      <c r="G814" s="58">
        <f t="shared" si="804"/>
        <v>0</v>
      </c>
      <c r="H814" s="58">
        <f t="shared" si="804"/>
        <v>0</v>
      </c>
      <c r="I814" s="58">
        <f t="shared" si="804"/>
        <v>59</v>
      </c>
      <c r="J814" s="58">
        <f t="shared" si="804"/>
        <v>0</v>
      </c>
      <c r="K814" s="58">
        <f t="shared" si="804"/>
        <v>0</v>
      </c>
      <c r="L814" s="58">
        <f t="shared" si="804"/>
        <v>0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0" customHeight="1">
      <c r="A815" s="70"/>
      <c r="B815" s="71"/>
      <c r="C815" s="66"/>
      <c r="D815" s="66">
        <f t="shared" si="3"/>
        <v>0</v>
      </c>
      <c r="E815" s="67"/>
      <c r="F815" s="58">
        <f t="shared" ref="F815:L815" si="805">SUMIFS($C815,$B815,F$7)+F814</f>
        <v>0</v>
      </c>
      <c r="G815" s="58">
        <f t="shared" si="805"/>
        <v>0</v>
      </c>
      <c r="H815" s="58">
        <f t="shared" si="805"/>
        <v>0</v>
      </c>
      <c r="I815" s="58">
        <f t="shared" si="805"/>
        <v>59</v>
      </c>
      <c r="J815" s="58">
        <f t="shared" si="805"/>
        <v>0</v>
      </c>
      <c r="K815" s="58">
        <f t="shared" si="805"/>
        <v>0</v>
      </c>
      <c r="L815" s="58">
        <f t="shared" si="805"/>
        <v>0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0" customHeight="1">
      <c r="A816" s="70"/>
      <c r="B816" s="71"/>
      <c r="C816" s="66"/>
      <c r="D816" s="66">
        <f t="shared" si="3"/>
        <v>0</v>
      </c>
      <c r="E816" s="67"/>
      <c r="F816" s="58">
        <f t="shared" ref="F816:L816" si="806">SUMIFS($C816,$B816,F$7)+F815</f>
        <v>0</v>
      </c>
      <c r="G816" s="58">
        <f t="shared" si="806"/>
        <v>0</v>
      </c>
      <c r="H816" s="58">
        <f t="shared" si="806"/>
        <v>0</v>
      </c>
      <c r="I816" s="58">
        <f t="shared" si="806"/>
        <v>59</v>
      </c>
      <c r="J816" s="58">
        <f t="shared" si="806"/>
        <v>0</v>
      </c>
      <c r="K816" s="58">
        <f t="shared" si="806"/>
        <v>0</v>
      </c>
      <c r="L816" s="58">
        <f t="shared" si="806"/>
        <v>0</v>
      </c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0" customHeight="1">
      <c r="A817" s="70"/>
      <c r="B817" s="71"/>
      <c r="C817" s="66"/>
      <c r="D817" s="66">
        <f t="shared" si="3"/>
        <v>0</v>
      </c>
      <c r="E817" s="67"/>
      <c r="F817" s="58">
        <f t="shared" ref="F817:L817" si="807">SUMIFS($C817,$B817,F$7)+F816</f>
        <v>0</v>
      </c>
      <c r="G817" s="58">
        <f t="shared" si="807"/>
        <v>0</v>
      </c>
      <c r="H817" s="58">
        <f t="shared" si="807"/>
        <v>0</v>
      </c>
      <c r="I817" s="58">
        <f t="shared" si="807"/>
        <v>59</v>
      </c>
      <c r="J817" s="58">
        <f t="shared" si="807"/>
        <v>0</v>
      </c>
      <c r="K817" s="58">
        <f t="shared" si="807"/>
        <v>0</v>
      </c>
      <c r="L817" s="58">
        <f t="shared" si="807"/>
        <v>0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0" customHeight="1">
      <c r="A818" s="70"/>
      <c r="B818" s="71"/>
      <c r="C818" s="66"/>
      <c r="D818" s="66">
        <f t="shared" si="3"/>
        <v>0</v>
      </c>
      <c r="E818" s="67"/>
      <c r="F818" s="58">
        <f t="shared" ref="F818:L818" si="808">SUMIFS($C818,$B818,F$7)+F817</f>
        <v>0</v>
      </c>
      <c r="G818" s="58">
        <f t="shared" si="808"/>
        <v>0</v>
      </c>
      <c r="H818" s="58">
        <f t="shared" si="808"/>
        <v>0</v>
      </c>
      <c r="I818" s="58">
        <f t="shared" si="808"/>
        <v>59</v>
      </c>
      <c r="J818" s="58">
        <f t="shared" si="808"/>
        <v>0</v>
      </c>
      <c r="K818" s="58">
        <f t="shared" si="808"/>
        <v>0</v>
      </c>
      <c r="L818" s="58">
        <f t="shared" si="808"/>
        <v>0</v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0" customHeight="1">
      <c r="A819" s="70"/>
      <c r="B819" s="71"/>
      <c r="C819" s="66"/>
      <c r="D819" s="66">
        <f t="shared" si="3"/>
        <v>0</v>
      </c>
      <c r="E819" s="67"/>
      <c r="F819" s="58">
        <f t="shared" ref="F819:L819" si="809">SUMIFS($C819,$B819,F$7)+F818</f>
        <v>0</v>
      </c>
      <c r="G819" s="58">
        <f t="shared" si="809"/>
        <v>0</v>
      </c>
      <c r="H819" s="58">
        <f t="shared" si="809"/>
        <v>0</v>
      </c>
      <c r="I819" s="58">
        <f t="shared" si="809"/>
        <v>59</v>
      </c>
      <c r="J819" s="58">
        <f t="shared" si="809"/>
        <v>0</v>
      </c>
      <c r="K819" s="58">
        <f t="shared" si="809"/>
        <v>0</v>
      </c>
      <c r="L819" s="58">
        <f t="shared" si="809"/>
        <v>0</v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0" customHeight="1">
      <c r="A820" s="70"/>
      <c r="B820" s="71"/>
      <c r="C820" s="66"/>
      <c r="D820" s="66">
        <f t="shared" si="3"/>
        <v>0</v>
      </c>
      <c r="E820" s="67"/>
      <c r="F820" s="58">
        <f t="shared" ref="F820:L820" si="810">SUMIFS($C820,$B820,F$7)+F819</f>
        <v>0</v>
      </c>
      <c r="G820" s="58">
        <f t="shared" si="810"/>
        <v>0</v>
      </c>
      <c r="H820" s="58">
        <f t="shared" si="810"/>
        <v>0</v>
      </c>
      <c r="I820" s="58">
        <f t="shared" si="810"/>
        <v>59</v>
      </c>
      <c r="J820" s="58">
        <f t="shared" si="810"/>
        <v>0</v>
      </c>
      <c r="K820" s="58">
        <f t="shared" si="810"/>
        <v>0</v>
      </c>
      <c r="L820" s="58">
        <f t="shared" si="810"/>
        <v>0</v>
      </c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0" customHeight="1">
      <c r="A821" s="70"/>
      <c r="B821" s="71"/>
      <c r="C821" s="66"/>
      <c r="D821" s="66">
        <f t="shared" si="3"/>
        <v>0</v>
      </c>
      <c r="E821" s="67"/>
      <c r="F821" s="58">
        <f t="shared" ref="F821:L821" si="811">SUMIFS($C821,$B821,F$7)+F820</f>
        <v>0</v>
      </c>
      <c r="G821" s="58">
        <f t="shared" si="811"/>
        <v>0</v>
      </c>
      <c r="H821" s="58">
        <f t="shared" si="811"/>
        <v>0</v>
      </c>
      <c r="I821" s="58">
        <f t="shared" si="811"/>
        <v>59</v>
      </c>
      <c r="J821" s="58">
        <f t="shared" si="811"/>
        <v>0</v>
      </c>
      <c r="K821" s="58">
        <f t="shared" si="811"/>
        <v>0</v>
      </c>
      <c r="L821" s="58">
        <f t="shared" si="811"/>
        <v>0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0" customHeight="1">
      <c r="A822" s="70"/>
      <c r="B822" s="71"/>
      <c r="C822" s="66"/>
      <c r="D822" s="66">
        <f t="shared" si="3"/>
        <v>0</v>
      </c>
      <c r="E822" s="67"/>
      <c r="F822" s="58">
        <f t="shared" ref="F822:L822" si="812">SUMIFS($C822,$B822,F$7)+F821</f>
        <v>0</v>
      </c>
      <c r="G822" s="58">
        <f t="shared" si="812"/>
        <v>0</v>
      </c>
      <c r="H822" s="58">
        <f t="shared" si="812"/>
        <v>0</v>
      </c>
      <c r="I822" s="58">
        <f t="shared" si="812"/>
        <v>59</v>
      </c>
      <c r="J822" s="58">
        <f t="shared" si="812"/>
        <v>0</v>
      </c>
      <c r="K822" s="58">
        <f t="shared" si="812"/>
        <v>0</v>
      </c>
      <c r="L822" s="58">
        <f t="shared" si="812"/>
        <v>0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0" customHeight="1">
      <c r="A823" s="70"/>
      <c r="B823" s="71"/>
      <c r="C823" s="66"/>
      <c r="D823" s="66">
        <f t="shared" si="3"/>
        <v>0</v>
      </c>
      <c r="E823" s="67"/>
      <c r="F823" s="58">
        <f t="shared" ref="F823:L823" si="813">SUMIFS($C823,$B823,F$7)+F822</f>
        <v>0</v>
      </c>
      <c r="G823" s="58">
        <f t="shared" si="813"/>
        <v>0</v>
      </c>
      <c r="H823" s="58">
        <f t="shared" si="813"/>
        <v>0</v>
      </c>
      <c r="I823" s="58">
        <f t="shared" si="813"/>
        <v>59</v>
      </c>
      <c r="J823" s="58">
        <f t="shared" si="813"/>
        <v>0</v>
      </c>
      <c r="K823" s="58">
        <f t="shared" si="813"/>
        <v>0</v>
      </c>
      <c r="L823" s="58">
        <f t="shared" si="813"/>
        <v>0</v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0" customHeight="1">
      <c r="A824" s="70"/>
      <c r="B824" s="71"/>
      <c r="C824" s="66"/>
      <c r="D824" s="66">
        <f t="shared" si="3"/>
        <v>0</v>
      </c>
      <c r="E824" s="67"/>
      <c r="F824" s="58">
        <f t="shared" ref="F824:L824" si="814">SUMIFS($C824,$B824,F$7)+F823</f>
        <v>0</v>
      </c>
      <c r="G824" s="58">
        <f t="shared" si="814"/>
        <v>0</v>
      </c>
      <c r="H824" s="58">
        <f t="shared" si="814"/>
        <v>0</v>
      </c>
      <c r="I824" s="58">
        <f t="shared" si="814"/>
        <v>59</v>
      </c>
      <c r="J824" s="58">
        <f t="shared" si="814"/>
        <v>0</v>
      </c>
      <c r="K824" s="58">
        <f t="shared" si="814"/>
        <v>0</v>
      </c>
      <c r="L824" s="58">
        <f t="shared" si="814"/>
        <v>0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0" customHeight="1">
      <c r="A825" s="70"/>
      <c r="B825" s="71"/>
      <c r="C825" s="66"/>
      <c r="D825" s="66">
        <f t="shared" si="3"/>
        <v>0</v>
      </c>
      <c r="E825" s="67"/>
      <c r="F825" s="58">
        <f t="shared" ref="F825:L825" si="815">SUMIFS($C825,$B825,F$7)+F824</f>
        <v>0</v>
      </c>
      <c r="G825" s="58">
        <f t="shared" si="815"/>
        <v>0</v>
      </c>
      <c r="H825" s="58">
        <f t="shared" si="815"/>
        <v>0</v>
      </c>
      <c r="I825" s="58">
        <f t="shared" si="815"/>
        <v>59</v>
      </c>
      <c r="J825" s="58">
        <f t="shared" si="815"/>
        <v>0</v>
      </c>
      <c r="K825" s="58">
        <f t="shared" si="815"/>
        <v>0</v>
      </c>
      <c r="L825" s="58">
        <f t="shared" si="815"/>
        <v>0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0" customHeight="1">
      <c r="A826" s="70"/>
      <c r="B826" s="71"/>
      <c r="C826" s="66"/>
      <c r="D826" s="66">
        <f t="shared" si="3"/>
        <v>0</v>
      </c>
      <c r="E826" s="67"/>
      <c r="F826" s="58">
        <f t="shared" ref="F826:L826" si="816">SUMIFS($C826,$B826,F$7)+F825</f>
        <v>0</v>
      </c>
      <c r="G826" s="58">
        <f t="shared" si="816"/>
        <v>0</v>
      </c>
      <c r="H826" s="58">
        <f t="shared" si="816"/>
        <v>0</v>
      </c>
      <c r="I826" s="58">
        <f t="shared" si="816"/>
        <v>59</v>
      </c>
      <c r="J826" s="58">
        <f t="shared" si="816"/>
        <v>0</v>
      </c>
      <c r="K826" s="58">
        <f t="shared" si="816"/>
        <v>0</v>
      </c>
      <c r="L826" s="58">
        <f t="shared" si="816"/>
        <v>0</v>
      </c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0" customHeight="1">
      <c r="A827" s="70"/>
      <c r="B827" s="71"/>
      <c r="C827" s="66"/>
      <c r="D827" s="66">
        <f t="shared" si="3"/>
        <v>0</v>
      </c>
      <c r="E827" s="67"/>
      <c r="F827" s="58">
        <f t="shared" ref="F827:L827" si="817">SUMIFS($C827,$B827,F$7)+F826</f>
        <v>0</v>
      </c>
      <c r="G827" s="58">
        <f t="shared" si="817"/>
        <v>0</v>
      </c>
      <c r="H827" s="58">
        <f t="shared" si="817"/>
        <v>0</v>
      </c>
      <c r="I827" s="58">
        <f t="shared" si="817"/>
        <v>59</v>
      </c>
      <c r="J827" s="58">
        <f t="shared" si="817"/>
        <v>0</v>
      </c>
      <c r="K827" s="58">
        <f t="shared" si="817"/>
        <v>0</v>
      </c>
      <c r="L827" s="58">
        <f t="shared" si="817"/>
        <v>0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0" customHeight="1">
      <c r="A828" s="70"/>
      <c r="B828" s="71"/>
      <c r="C828" s="66"/>
      <c r="D828" s="66">
        <f t="shared" si="3"/>
        <v>0</v>
      </c>
      <c r="E828" s="67"/>
      <c r="F828" s="58">
        <f t="shared" ref="F828:L828" si="818">SUMIFS($C828,$B828,F$7)+F827</f>
        <v>0</v>
      </c>
      <c r="G828" s="58">
        <f t="shared" si="818"/>
        <v>0</v>
      </c>
      <c r="H828" s="58">
        <f t="shared" si="818"/>
        <v>0</v>
      </c>
      <c r="I828" s="58">
        <f t="shared" si="818"/>
        <v>59</v>
      </c>
      <c r="J828" s="58">
        <f t="shared" si="818"/>
        <v>0</v>
      </c>
      <c r="K828" s="58">
        <f t="shared" si="818"/>
        <v>0</v>
      </c>
      <c r="L828" s="58">
        <f t="shared" si="818"/>
        <v>0</v>
      </c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0" customHeight="1">
      <c r="A829" s="70"/>
      <c r="B829" s="71"/>
      <c r="C829" s="66"/>
      <c r="D829" s="66">
        <f t="shared" si="3"/>
        <v>0</v>
      </c>
      <c r="E829" s="67"/>
      <c r="F829" s="58">
        <f t="shared" ref="F829:L829" si="819">SUMIFS($C829,$B829,F$7)+F828</f>
        <v>0</v>
      </c>
      <c r="G829" s="58">
        <f t="shared" si="819"/>
        <v>0</v>
      </c>
      <c r="H829" s="58">
        <f t="shared" si="819"/>
        <v>0</v>
      </c>
      <c r="I829" s="58">
        <f t="shared" si="819"/>
        <v>59</v>
      </c>
      <c r="J829" s="58">
        <f t="shared" si="819"/>
        <v>0</v>
      </c>
      <c r="K829" s="58">
        <f t="shared" si="819"/>
        <v>0</v>
      </c>
      <c r="L829" s="58">
        <f t="shared" si="819"/>
        <v>0</v>
      </c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0" customHeight="1">
      <c r="A830" s="70"/>
      <c r="B830" s="71"/>
      <c r="C830" s="66"/>
      <c r="D830" s="66">
        <f t="shared" si="3"/>
        <v>0</v>
      </c>
      <c r="E830" s="67"/>
      <c r="F830" s="58">
        <f t="shared" ref="F830:L830" si="820">SUMIFS($C830,$B830,F$7)+F829</f>
        <v>0</v>
      </c>
      <c r="G830" s="58">
        <f t="shared" si="820"/>
        <v>0</v>
      </c>
      <c r="H830" s="58">
        <f t="shared" si="820"/>
        <v>0</v>
      </c>
      <c r="I830" s="58">
        <f t="shared" si="820"/>
        <v>59</v>
      </c>
      <c r="J830" s="58">
        <f t="shared" si="820"/>
        <v>0</v>
      </c>
      <c r="K830" s="58">
        <f t="shared" si="820"/>
        <v>0</v>
      </c>
      <c r="L830" s="58">
        <f t="shared" si="820"/>
        <v>0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0" customHeight="1">
      <c r="A831" s="70"/>
      <c r="B831" s="71"/>
      <c r="C831" s="66"/>
      <c r="D831" s="66">
        <f t="shared" si="3"/>
        <v>0</v>
      </c>
      <c r="E831" s="67"/>
      <c r="F831" s="58">
        <f t="shared" ref="F831:L831" si="821">SUMIFS($C831,$B831,F$7)+F830</f>
        <v>0</v>
      </c>
      <c r="G831" s="58">
        <f t="shared" si="821"/>
        <v>0</v>
      </c>
      <c r="H831" s="58">
        <f t="shared" si="821"/>
        <v>0</v>
      </c>
      <c r="I831" s="58">
        <f t="shared" si="821"/>
        <v>59</v>
      </c>
      <c r="J831" s="58">
        <f t="shared" si="821"/>
        <v>0</v>
      </c>
      <c r="K831" s="58">
        <f t="shared" si="821"/>
        <v>0</v>
      </c>
      <c r="L831" s="58">
        <f t="shared" si="821"/>
        <v>0</v>
      </c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0" customHeight="1">
      <c r="A832" s="70"/>
      <c r="B832" s="71"/>
      <c r="C832" s="66"/>
      <c r="D832" s="66">
        <f t="shared" si="3"/>
        <v>0</v>
      </c>
      <c r="E832" s="67"/>
      <c r="F832" s="58">
        <f t="shared" ref="F832:L832" si="822">SUMIFS($C832,$B832,F$7)+F831</f>
        <v>0</v>
      </c>
      <c r="G832" s="58">
        <f t="shared" si="822"/>
        <v>0</v>
      </c>
      <c r="H832" s="58">
        <f t="shared" si="822"/>
        <v>0</v>
      </c>
      <c r="I832" s="58">
        <f t="shared" si="822"/>
        <v>59</v>
      </c>
      <c r="J832" s="58">
        <f t="shared" si="822"/>
        <v>0</v>
      </c>
      <c r="K832" s="58">
        <f t="shared" si="822"/>
        <v>0</v>
      </c>
      <c r="L832" s="58">
        <f t="shared" si="822"/>
        <v>0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0" customHeight="1">
      <c r="A833" s="70"/>
      <c r="B833" s="71"/>
      <c r="C833" s="66"/>
      <c r="D833" s="66">
        <f t="shared" si="3"/>
        <v>0</v>
      </c>
      <c r="E833" s="67"/>
      <c r="F833" s="58">
        <f t="shared" ref="F833:L833" si="823">SUMIFS($C833,$B833,F$7)+F832</f>
        <v>0</v>
      </c>
      <c r="G833" s="58">
        <f t="shared" si="823"/>
        <v>0</v>
      </c>
      <c r="H833" s="58">
        <f t="shared" si="823"/>
        <v>0</v>
      </c>
      <c r="I833" s="58">
        <f t="shared" si="823"/>
        <v>59</v>
      </c>
      <c r="J833" s="58">
        <f t="shared" si="823"/>
        <v>0</v>
      </c>
      <c r="K833" s="58">
        <f t="shared" si="823"/>
        <v>0</v>
      </c>
      <c r="L833" s="58">
        <f t="shared" si="823"/>
        <v>0</v>
      </c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0" customHeight="1">
      <c r="A834" s="70"/>
      <c r="B834" s="71"/>
      <c r="C834" s="66"/>
      <c r="D834" s="66">
        <f t="shared" si="3"/>
        <v>0</v>
      </c>
      <c r="E834" s="67"/>
      <c r="F834" s="58">
        <f t="shared" ref="F834:L834" si="824">SUMIFS($C834,$B834,F$7)+F833</f>
        <v>0</v>
      </c>
      <c r="G834" s="58">
        <f t="shared" si="824"/>
        <v>0</v>
      </c>
      <c r="H834" s="58">
        <f t="shared" si="824"/>
        <v>0</v>
      </c>
      <c r="I834" s="58">
        <f t="shared" si="824"/>
        <v>59</v>
      </c>
      <c r="J834" s="58">
        <f t="shared" si="824"/>
        <v>0</v>
      </c>
      <c r="K834" s="58">
        <f t="shared" si="824"/>
        <v>0</v>
      </c>
      <c r="L834" s="58">
        <f t="shared" si="824"/>
        <v>0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0" customHeight="1">
      <c r="A835" s="70"/>
      <c r="B835" s="71"/>
      <c r="C835" s="66"/>
      <c r="D835" s="66">
        <f t="shared" si="3"/>
        <v>0</v>
      </c>
      <c r="E835" s="67"/>
      <c r="F835" s="58">
        <f t="shared" ref="F835:L835" si="825">SUMIFS($C835,$B835,F$7)+F834</f>
        <v>0</v>
      </c>
      <c r="G835" s="58">
        <f t="shared" si="825"/>
        <v>0</v>
      </c>
      <c r="H835" s="58">
        <f t="shared" si="825"/>
        <v>0</v>
      </c>
      <c r="I835" s="58">
        <f t="shared" si="825"/>
        <v>59</v>
      </c>
      <c r="J835" s="58">
        <f t="shared" si="825"/>
        <v>0</v>
      </c>
      <c r="K835" s="58">
        <f t="shared" si="825"/>
        <v>0</v>
      </c>
      <c r="L835" s="58">
        <f t="shared" si="825"/>
        <v>0</v>
      </c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0" customHeight="1">
      <c r="A836" s="70"/>
      <c r="B836" s="71"/>
      <c r="C836" s="66"/>
      <c r="D836" s="66">
        <f t="shared" si="3"/>
        <v>0</v>
      </c>
      <c r="E836" s="67"/>
      <c r="F836" s="58">
        <f t="shared" ref="F836:L836" si="826">SUMIFS($C836,$B836,F$7)+F835</f>
        <v>0</v>
      </c>
      <c r="G836" s="58">
        <f t="shared" si="826"/>
        <v>0</v>
      </c>
      <c r="H836" s="58">
        <f t="shared" si="826"/>
        <v>0</v>
      </c>
      <c r="I836" s="58">
        <f t="shared" si="826"/>
        <v>59</v>
      </c>
      <c r="J836" s="58">
        <f t="shared" si="826"/>
        <v>0</v>
      </c>
      <c r="K836" s="58">
        <f t="shared" si="826"/>
        <v>0</v>
      </c>
      <c r="L836" s="58">
        <f t="shared" si="826"/>
        <v>0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0" customHeight="1">
      <c r="A837" s="70"/>
      <c r="B837" s="71"/>
      <c r="C837" s="66"/>
      <c r="D837" s="66">
        <f t="shared" si="3"/>
        <v>0</v>
      </c>
      <c r="E837" s="67"/>
      <c r="F837" s="58">
        <f t="shared" ref="F837:L837" si="827">SUMIFS($C837,$B837,F$7)+F836</f>
        <v>0</v>
      </c>
      <c r="G837" s="58">
        <f t="shared" si="827"/>
        <v>0</v>
      </c>
      <c r="H837" s="58">
        <f t="shared" si="827"/>
        <v>0</v>
      </c>
      <c r="I837" s="58">
        <f t="shared" si="827"/>
        <v>59</v>
      </c>
      <c r="J837" s="58">
        <f t="shared" si="827"/>
        <v>0</v>
      </c>
      <c r="K837" s="58">
        <f t="shared" si="827"/>
        <v>0</v>
      </c>
      <c r="L837" s="58">
        <f t="shared" si="827"/>
        <v>0</v>
      </c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0" customHeight="1">
      <c r="A838" s="70"/>
      <c r="B838" s="71"/>
      <c r="C838" s="66"/>
      <c r="D838" s="66">
        <f t="shared" si="3"/>
        <v>0</v>
      </c>
      <c r="E838" s="67"/>
      <c r="F838" s="58">
        <f t="shared" ref="F838:L838" si="828">SUMIFS($C838,$B838,F$7)+F837</f>
        <v>0</v>
      </c>
      <c r="G838" s="58">
        <f t="shared" si="828"/>
        <v>0</v>
      </c>
      <c r="H838" s="58">
        <f t="shared" si="828"/>
        <v>0</v>
      </c>
      <c r="I838" s="58">
        <f t="shared" si="828"/>
        <v>59</v>
      </c>
      <c r="J838" s="58">
        <f t="shared" si="828"/>
        <v>0</v>
      </c>
      <c r="K838" s="58">
        <f t="shared" si="828"/>
        <v>0</v>
      </c>
      <c r="L838" s="58">
        <f t="shared" si="828"/>
        <v>0</v>
      </c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0" customHeight="1">
      <c r="A839" s="70"/>
      <c r="B839" s="71"/>
      <c r="C839" s="66"/>
      <c r="D839" s="66">
        <f t="shared" si="3"/>
        <v>0</v>
      </c>
      <c r="E839" s="67"/>
      <c r="F839" s="58">
        <f t="shared" ref="F839:L839" si="829">SUMIFS($C839,$B839,F$7)+F838</f>
        <v>0</v>
      </c>
      <c r="G839" s="58">
        <f t="shared" si="829"/>
        <v>0</v>
      </c>
      <c r="H839" s="58">
        <f t="shared" si="829"/>
        <v>0</v>
      </c>
      <c r="I839" s="58">
        <f t="shared" si="829"/>
        <v>59</v>
      </c>
      <c r="J839" s="58">
        <f t="shared" si="829"/>
        <v>0</v>
      </c>
      <c r="K839" s="58">
        <f t="shared" si="829"/>
        <v>0</v>
      </c>
      <c r="L839" s="58">
        <f t="shared" si="829"/>
        <v>0</v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0" customHeight="1">
      <c r="A840" s="70"/>
      <c r="B840" s="71"/>
      <c r="C840" s="66"/>
      <c r="D840" s="66">
        <f t="shared" si="3"/>
        <v>0</v>
      </c>
      <c r="E840" s="67"/>
      <c r="F840" s="58">
        <f t="shared" ref="F840:L840" si="830">SUMIFS($C840,$B840,F$7)+F839</f>
        <v>0</v>
      </c>
      <c r="G840" s="58">
        <f t="shared" si="830"/>
        <v>0</v>
      </c>
      <c r="H840" s="58">
        <f t="shared" si="830"/>
        <v>0</v>
      </c>
      <c r="I840" s="58">
        <f t="shared" si="830"/>
        <v>59</v>
      </c>
      <c r="J840" s="58">
        <f t="shared" si="830"/>
        <v>0</v>
      </c>
      <c r="K840" s="58">
        <f t="shared" si="830"/>
        <v>0</v>
      </c>
      <c r="L840" s="58">
        <f t="shared" si="830"/>
        <v>0</v>
      </c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0" customHeight="1">
      <c r="A841" s="70"/>
      <c r="B841" s="71"/>
      <c r="C841" s="66"/>
      <c r="D841" s="66">
        <f t="shared" si="3"/>
        <v>0</v>
      </c>
      <c r="E841" s="67"/>
      <c r="F841" s="58">
        <f t="shared" ref="F841:L841" si="831">SUMIFS($C841,$B841,F$7)+F840</f>
        <v>0</v>
      </c>
      <c r="G841" s="58">
        <f t="shared" si="831"/>
        <v>0</v>
      </c>
      <c r="H841" s="58">
        <f t="shared" si="831"/>
        <v>0</v>
      </c>
      <c r="I841" s="58">
        <f t="shared" si="831"/>
        <v>59</v>
      </c>
      <c r="J841" s="58">
        <f t="shared" si="831"/>
        <v>0</v>
      </c>
      <c r="K841" s="58">
        <f t="shared" si="831"/>
        <v>0</v>
      </c>
      <c r="L841" s="58">
        <f t="shared" si="831"/>
        <v>0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0" customHeight="1">
      <c r="A842" s="70"/>
      <c r="B842" s="71"/>
      <c r="C842" s="66"/>
      <c r="D842" s="66">
        <f t="shared" si="3"/>
        <v>0</v>
      </c>
      <c r="E842" s="67"/>
      <c r="F842" s="58">
        <f t="shared" ref="F842:L842" si="832">SUMIFS($C842,$B842,F$7)+F841</f>
        <v>0</v>
      </c>
      <c r="G842" s="58">
        <f t="shared" si="832"/>
        <v>0</v>
      </c>
      <c r="H842" s="58">
        <f t="shared" si="832"/>
        <v>0</v>
      </c>
      <c r="I842" s="58">
        <f t="shared" si="832"/>
        <v>59</v>
      </c>
      <c r="J842" s="58">
        <f t="shared" si="832"/>
        <v>0</v>
      </c>
      <c r="K842" s="58">
        <f t="shared" si="832"/>
        <v>0</v>
      </c>
      <c r="L842" s="58">
        <f t="shared" si="832"/>
        <v>0</v>
      </c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0" customHeight="1">
      <c r="A843" s="70"/>
      <c r="B843" s="71"/>
      <c r="C843" s="66"/>
      <c r="D843" s="66">
        <f t="shared" si="3"/>
        <v>0</v>
      </c>
      <c r="E843" s="67"/>
      <c r="F843" s="58">
        <f t="shared" ref="F843:L843" si="833">SUMIFS($C843,$B843,F$7)+F842</f>
        <v>0</v>
      </c>
      <c r="G843" s="58">
        <f t="shared" si="833"/>
        <v>0</v>
      </c>
      <c r="H843" s="58">
        <f t="shared" si="833"/>
        <v>0</v>
      </c>
      <c r="I843" s="58">
        <f t="shared" si="833"/>
        <v>59</v>
      </c>
      <c r="J843" s="58">
        <f t="shared" si="833"/>
        <v>0</v>
      </c>
      <c r="K843" s="58">
        <f t="shared" si="833"/>
        <v>0</v>
      </c>
      <c r="L843" s="58">
        <f t="shared" si="833"/>
        <v>0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0" customHeight="1">
      <c r="A844" s="70"/>
      <c r="B844" s="71"/>
      <c r="C844" s="66"/>
      <c r="D844" s="66">
        <f t="shared" si="3"/>
        <v>0</v>
      </c>
      <c r="E844" s="67"/>
      <c r="F844" s="58">
        <f t="shared" ref="F844:L844" si="834">SUMIFS($C844,$B844,F$7)+F843</f>
        <v>0</v>
      </c>
      <c r="G844" s="58">
        <f t="shared" si="834"/>
        <v>0</v>
      </c>
      <c r="H844" s="58">
        <f t="shared" si="834"/>
        <v>0</v>
      </c>
      <c r="I844" s="58">
        <f t="shared" si="834"/>
        <v>59</v>
      </c>
      <c r="J844" s="58">
        <f t="shared" si="834"/>
        <v>0</v>
      </c>
      <c r="K844" s="58">
        <f t="shared" si="834"/>
        <v>0</v>
      </c>
      <c r="L844" s="58">
        <f t="shared" si="834"/>
        <v>0</v>
      </c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0" customHeight="1">
      <c r="A845" s="70"/>
      <c r="B845" s="71"/>
      <c r="C845" s="66"/>
      <c r="D845" s="66">
        <f t="shared" si="3"/>
        <v>0</v>
      </c>
      <c r="E845" s="67"/>
      <c r="F845" s="58">
        <f t="shared" ref="F845:L845" si="835">SUMIFS($C845,$B845,F$7)+F844</f>
        <v>0</v>
      </c>
      <c r="G845" s="58">
        <f t="shared" si="835"/>
        <v>0</v>
      </c>
      <c r="H845" s="58">
        <f t="shared" si="835"/>
        <v>0</v>
      </c>
      <c r="I845" s="58">
        <f t="shared" si="835"/>
        <v>59</v>
      </c>
      <c r="J845" s="58">
        <f t="shared" si="835"/>
        <v>0</v>
      </c>
      <c r="K845" s="58">
        <f t="shared" si="835"/>
        <v>0</v>
      </c>
      <c r="L845" s="58">
        <f t="shared" si="835"/>
        <v>0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0" customHeight="1">
      <c r="A846" s="70"/>
      <c r="B846" s="71"/>
      <c r="C846" s="66"/>
      <c r="D846" s="66">
        <f t="shared" si="3"/>
        <v>0</v>
      </c>
      <c r="E846" s="67"/>
      <c r="F846" s="58">
        <f t="shared" ref="F846:L846" si="836">SUMIFS($C846,$B846,F$7)+F845</f>
        <v>0</v>
      </c>
      <c r="G846" s="58">
        <f t="shared" si="836"/>
        <v>0</v>
      </c>
      <c r="H846" s="58">
        <f t="shared" si="836"/>
        <v>0</v>
      </c>
      <c r="I846" s="58">
        <f t="shared" si="836"/>
        <v>59</v>
      </c>
      <c r="J846" s="58">
        <f t="shared" si="836"/>
        <v>0</v>
      </c>
      <c r="K846" s="58">
        <f t="shared" si="836"/>
        <v>0</v>
      </c>
      <c r="L846" s="58">
        <f t="shared" si="836"/>
        <v>0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0" customHeight="1">
      <c r="A847" s="70"/>
      <c r="B847" s="71"/>
      <c r="C847" s="66"/>
      <c r="D847" s="66">
        <f t="shared" si="3"/>
        <v>0</v>
      </c>
      <c r="E847" s="67"/>
      <c r="F847" s="58">
        <f t="shared" ref="F847:L847" si="837">SUMIFS($C847,$B847,F$7)+F846</f>
        <v>0</v>
      </c>
      <c r="G847" s="58">
        <f t="shared" si="837"/>
        <v>0</v>
      </c>
      <c r="H847" s="58">
        <f t="shared" si="837"/>
        <v>0</v>
      </c>
      <c r="I847" s="58">
        <f t="shared" si="837"/>
        <v>59</v>
      </c>
      <c r="J847" s="58">
        <f t="shared" si="837"/>
        <v>0</v>
      </c>
      <c r="K847" s="58">
        <f t="shared" si="837"/>
        <v>0</v>
      </c>
      <c r="L847" s="58">
        <f t="shared" si="837"/>
        <v>0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0" customHeight="1">
      <c r="A848" s="70"/>
      <c r="B848" s="71"/>
      <c r="C848" s="66"/>
      <c r="D848" s="66">
        <f t="shared" si="3"/>
        <v>0</v>
      </c>
      <c r="E848" s="67"/>
      <c r="F848" s="58">
        <f t="shared" ref="F848:L848" si="838">SUMIFS($C848,$B848,F$7)+F847</f>
        <v>0</v>
      </c>
      <c r="G848" s="58">
        <f t="shared" si="838"/>
        <v>0</v>
      </c>
      <c r="H848" s="58">
        <f t="shared" si="838"/>
        <v>0</v>
      </c>
      <c r="I848" s="58">
        <f t="shared" si="838"/>
        <v>59</v>
      </c>
      <c r="J848" s="58">
        <f t="shared" si="838"/>
        <v>0</v>
      </c>
      <c r="K848" s="58">
        <f t="shared" si="838"/>
        <v>0</v>
      </c>
      <c r="L848" s="58">
        <f t="shared" si="838"/>
        <v>0</v>
      </c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0" customHeight="1">
      <c r="A849" s="70"/>
      <c r="B849" s="71"/>
      <c r="C849" s="66"/>
      <c r="D849" s="66">
        <f t="shared" si="3"/>
        <v>0</v>
      </c>
      <c r="E849" s="67"/>
      <c r="F849" s="58">
        <f t="shared" ref="F849:L849" si="839">SUMIFS($C849,$B849,F$7)+F848</f>
        <v>0</v>
      </c>
      <c r="G849" s="58">
        <f t="shared" si="839"/>
        <v>0</v>
      </c>
      <c r="H849" s="58">
        <f t="shared" si="839"/>
        <v>0</v>
      </c>
      <c r="I849" s="58">
        <f t="shared" si="839"/>
        <v>59</v>
      </c>
      <c r="J849" s="58">
        <f t="shared" si="839"/>
        <v>0</v>
      </c>
      <c r="K849" s="58">
        <f t="shared" si="839"/>
        <v>0</v>
      </c>
      <c r="L849" s="58">
        <f t="shared" si="839"/>
        <v>0</v>
      </c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0" customHeight="1">
      <c r="A850" s="70"/>
      <c r="B850" s="71"/>
      <c r="C850" s="66"/>
      <c r="D850" s="66">
        <f t="shared" si="3"/>
        <v>0</v>
      </c>
      <c r="E850" s="67"/>
      <c r="F850" s="58">
        <f t="shared" ref="F850:L850" si="840">SUMIFS($C850,$B850,F$7)+F849</f>
        <v>0</v>
      </c>
      <c r="G850" s="58">
        <f t="shared" si="840"/>
        <v>0</v>
      </c>
      <c r="H850" s="58">
        <f t="shared" si="840"/>
        <v>0</v>
      </c>
      <c r="I850" s="58">
        <f t="shared" si="840"/>
        <v>59</v>
      </c>
      <c r="J850" s="58">
        <f t="shared" si="840"/>
        <v>0</v>
      </c>
      <c r="K850" s="58">
        <f t="shared" si="840"/>
        <v>0</v>
      </c>
      <c r="L850" s="58">
        <f t="shared" si="840"/>
        <v>0</v>
      </c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0" customHeight="1">
      <c r="A851" s="70"/>
      <c r="B851" s="71"/>
      <c r="C851" s="66"/>
      <c r="D851" s="66">
        <f t="shared" si="3"/>
        <v>0</v>
      </c>
      <c r="E851" s="67"/>
      <c r="F851" s="58">
        <f t="shared" ref="F851:L851" si="841">SUMIFS($C851,$B851,F$7)+F850</f>
        <v>0</v>
      </c>
      <c r="G851" s="58">
        <f t="shared" si="841"/>
        <v>0</v>
      </c>
      <c r="H851" s="58">
        <f t="shared" si="841"/>
        <v>0</v>
      </c>
      <c r="I851" s="58">
        <f t="shared" si="841"/>
        <v>59</v>
      </c>
      <c r="J851" s="58">
        <f t="shared" si="841"/>
        <v>0</v>
      </c>
      <c r="K851" s="58">
        <f t="shared" si="841"/>
        <v>0</v>
      </c>
      <c r="L851" s="58">
        <f t="shared" si="841"/>
        <v>0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0" customHeight="1">
      <c r="A852" s="70"/>
      <c r="B852" s="71"/>
      <c r="C852" s="66"/>
      <c r="D852" s="66">
        <f t="shared" si="3"/>
        <v>0</v>
      </c>
      <c r="E852" s="67"/>
      <c r="F852" s="58">
        <f t="shared" ref="F852:L852" si="842">SUMIFS($C852,$B852,F$7)+F851</f>
        <v>0</v>
      </c>
      <c r="G852" s="58">
        <f t="shared" si="842"/>
        <v>0</v>
      </c>
      <c r="H852" s="58">
        <f t="shared" si="842"/>
        <v>0</v>
      </c>
      <c r="I852" s="58">
        <f t="shared" si="842"/>
        <v>59</v>
      </c>
      <c r="J852" s="58">
        <f t="shared" si="842"/>
        <v>0</v>
      </c>
      <c r="K852" s="58">
        <f t="shared" si="842"/>
        <v>0</v>
      </c>
      <c r="L852" s="58">
        <f t="shared" si="842"/>
        <v>0</v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0" customHeight="1">
      <c r="A853" s="70"/>
      <c r="B853" s="71"/>
      <c r="C853" s="66"/>
      <c r="D853" s="66">
        <f t="shared" si="3"/>
        <v>0</v>
      </c>
      <c r="E853" s="67"/>
      <c r="F853" s="58">
        <f t="shared" ref="F853:L853" si="843">SUMIFS($C853,$B853,F$7)+F852</f>
        <v>0</v>
      </c>
      <c r="G853" s="58">
        <f t="shared" si="843"/>
        <v>0</v>
      </c>
      <c r="H853" s="58">
        <f t="shared" si="843"/>
        <v>0</v>
      </c>
      <c r="I853" s="58">
        <f t="shared" si="843"/>
        <v>59</v>
      </c>
      <c r="J853" s="58">
        <f t="shared" si="843"/>
        <v>0</v>
      </c>
      <c r="K853" s="58">
        <f t="shared" si="843"/>
        <v>0</v>
      </c>
      <c r="L853" s="58">
        <f t="shared" si="843"/>
        <v>0</v>
      </c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0" customHeight="1">
      <c r="A854" s="70"/>
      <c r="B854" s="71"/>
      <c r="C854" s="66"/>
      <c r="D854" s="66">
        <f t="shared" si="3"/>
        <v>0</v>
      </c>
      <c r="E854" s="67"/>
      <c r="F854" s="58">
        <f t="shared" ref="F854:L854" si="844">SUMIFS($C854,$B854,F$7)+F853</f>
        <v>0</v>
      </c>
      <c r="G854" s="58">
        <f t="shared" si="844"/>
        <v>0</v>
      </c>
      <c r="H854" s="58">
        <f t="shared" si="844"/>
        <v>0</v>
      </c>
      <c r="I854" s="58">
        <f t="shared" si="844"/>
        <v>59</v>
      </c>
      <c r="J854" s="58">
        <f t="shared" si="844"/>
        <v>0</v>
      </c>
      <c r="K854" s="58">
        <f t="shared" si="844"/>
        <v>0</v>
      </c>
      <c r="L854" s="58">
        <f t="shared" si="844"/>
        <v>0</v>
      </c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0" customHeight="1">
      <c r="A855" s="70"/>
      <c r="B855" s="71"/>
      <c r="C855" s="66"/>
      <c r="D855" s="66">
        <f t="shared" si="3"/>
        <v>0</v>
      </c>
      <c r="E855" s="67"/>
      <c r="F855" s="58">
        <f t="shared" ref="F855:L855" si="845">SUMIFS($C855,$B855,F$7)+F854</f>
        <v>0</v>
      </c>
      <c r="G855" s="58">
        <f t="shared" si="845"/>
        <v>0</v>
      </c>
      <c r="H855" s="58">
        <f t="shared" si="845"/>
        <v>0</v>
      </c>
      <c r="I855" s="58">
        <f t="shared" si="845"/>
        <v>59</v>
      </c>
      <c r="J855" s="58">
        <f t="shared" si="845"/>
        <v>0</v>
      </c>
      <c r="K855" s="58">
        <f t="shared" si="845"/>
        <v>0</v>
      </c>
      <c r="L855" s="58">
        <f t="shared" si="845"/>
        <v>0</v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0" customHeight="1">
      <c r="A856" s="70"/>
      <c r="B856" s="71"/>
      <c r="C856" s="66"/>
      <c r="D856" s="66">
        <f t="shared" si="3"/>
        <v>0</v>
      </c>
      <c r="E856" s="67"/>
      <c r="F856" s="58">
        <f t="shared" ref="F856:L856" si="846">SUMIFS($C856,$B856,F$7)+F855</f>
        <v>0</v>
      </c>
      <c r="G856" s="58">
        <f t="shared" si="846"/>
        <v>0</v>
      </c>
      <c r="H856" s="58">
        <f t="shared" si="846"/>
        <v>0</v>
      </c>
      <c r="I856" s="58">
        <f t="shared" si="846"/>
        <v>59</v>
      </c>
      <c r="J856" s="58">
        <f t="shared" si="846"/>
        <v>0</v>
      </c>
      <c r="K856" s="58">
        <f t="shared" si="846"/>
        <v>0</v>
      </c>
      <c r="L856" s="58">
        <f t="shared" si="846"/>
        <v>0</v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0" customHeight="1">
      <c r="A857" s="70"/>
      <c r="B857" s="71"/>
      <c r="C857" s="66"/>
      <c r="D857" s="66">
        <f t="shared" si="3"/>
        <v>0</v>
      </c>
      <c r="E857" s="67"/>
      <c r="F857" s="58">
        <f t="shared" ref="F857:L857" si="847">SUMIFS($C857,$B857,F$7)+F856</f>
        <v>0</v>
      </c>
      <c r="G857" s="58">
        <f t="shared" si="847"/>
        <v>0</v>
      </c>
      <c r="H857" s="58">
        <f t="shared" si="847"/>
        <v>0</v>
      </c>
      <c r="I857" s="58">
        <f t="shared" si="847"/>
        <v>59</v>
      </c>
      <c r="J857" s="58">
        <f t="shared" si="847"/>
        <v>0</v>
      </c>
      <c r="K857" s="58">
        <f t="shared" si="847"/>
        <v>0</v>
      </c>
      <c r="L857" s="58">
        <f t="shared" si="847"/>
        <v>0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0" customHeight="1">
      <c r="A858" s="70"/>
      <c r="B858" s="71"/>
      <c r="C858" s="66"/>
      <c r="D858" s="66">
        <f t="shared" si="3"/>
        <v>0</v>
      </c>
      <c r="E858" s="67"/>
      <c r="F858" s="58">
        <f t="shared" ref="F858:L858" si="848">SUMIFS($C858,$B858,F$7)+F857</f>
        <v>0</v>
      </c>
      <c r="G858" s="58">
        <f t="shared" si="848"/>
        <v>0</v>
      </c>
      <c r="H858" s="58">
        <f t="shared" si="848"/>
        <v>0</v>
      </c>
      <c r="I858" s="58">
        <f t="shared" si="848"/>
        <v>59</v>
      </c>
      <c r="J858" s="58">
        <f t="shared" si="848"/>
        <v>0</v>
      </c>
      <c r="K858" s="58">
        <f t="shared" si="848"/>
        <v>0</v>
      </c>
      <c r="L858" s="58">
        <f t="shared" si="848"/>
        <v>0</v>
      </c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0" customHeight="1">
      <c r="A859" s="70"/>
      <c r="B859" s="71"/>
      <c r="C859" s="66"/>
      <c r="D859" s="66">
        <f t="shared" si="3"/>
        <v>0</v>
      </c>
      <c r="E859" s="67"/>
      <c r="F859" s="58">
        <f t="shared" ref="F859:L859" si="849">SUMIFS($C859,$B859,F$7)+F858</f>
        <v>0</v>
      </c>
      <c r="G859" s="58">
        <f t="shared" si="849"/>
        <v>0</v>
      </c>
      <c r="H859" s="58">
        <f t="shared" si="849"/>
        <v>0</v>
      </c>
      <c r="I859" s="58">
        <f t="shared" si="849"/>
        <v>59</v>
      </c>
      <c r="J859" s="58">
        <f t="shared" si="849"/>
        <v>0</v>
      </c>
      <c r="K859" s="58">
        <f t="shared" si="849"/>
        <v>0</v>
      </c>
      <c r="L859" s="58">
        <f t="shared" si="849"/>
        <v>0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0" customHeight="1">
      <c r="A860" s="70"/>
      <c r="B860" s="71"/>
      <c r="C860" s="66"/>
      <c r="D860" s="66">
        <f t="shared" si="3"/>
        <v>0</v>
      </c>
      <c r="E860" s="67"/>
      <c r="F860" s="58">
        <f t="shared" ref="F860:L860" si="850">SUMIFS($C860,$B860,F$7)+F859</f>
        <v>0</v>
      </c>
      <c r="G860" s="58">
        <f t="shared" si="850"/>
        <v>0</v>
      </c>
      <c r="H860" s="58">
        <f t="shared" si="850"/>
        <v>0</v>
      </c>
      <c r="I860" s="58">
        <f t="shared" si="850"/>
        <v>59</v>
      </c>
      <c r="J860" s="58">
        <f t="shared" si="850"/>
        <v>0</v>
      </c>
      <c r="K860" s="58">
        <f t="shared" si="850"/>
        <v>0</v>
      </c>
      <c r="L860" s="58">
        <f t="shared" si="850"/>
        <v>0</v>
      </c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0" customHeight="1">
      <c r="A861" s="70"/>
      <c r="B861" s="71"/>
      <c r="C861" s="66"/>
      <c r="D861" s="66">
        <f t="shared" si="3"/>
        <v>0</v>
      </c>
      <c r="E861" s="67"/>
      <c r="F861" s="58">
        <f t="shared" ref="F861:L861" si="851">SUMIFS($C861,$B861,F$7)+F860</f>
        <v>0</v>
      </c>
      <c r="G861" s="58">
        <f t="shared" si="851"/>
        <v>0</v>
      </c>
      <c r="H861" s="58">
        <f t="shared" si="851"/>
        <v>0</v>
      </c>
      <c r="I861" s="58">
        <f t="shared" si="851"/>
        <v>59</v>
      </c>
      <c r="J861" s="58">
        <f t="shared" si="851"/>
        <v>0</v>
      </c>
      <c r="K861" s="58">
        <f t="shared" si="851"/>
        <v>0</v>
      </c>
      <c r="L861" s="58">
        <f t="shared" si="851"/>
        <v>0</v>
      </c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0" customHeight="1">
      <c r="A862" s="70"/>
      <c r="B862" s="71"/>
      <c r="C862" s="66"/>
      <c r="D862" s="66">
        <f t="shared" si="3"/>
        <v>0</v>
      </c>
      <c r="E862" s="67"/>
      <c r="F862" s="58">
        <f t="shared" ref="F862:L862" si="852">SUMIFS($C862,$B862,F$7)+F861</f>
        <v>0</v>
      </c>
      <c r="G862" s="58">
        <f t="shared" si="852"/>
        <v>0</v>
      </c>
      <c r="H862" s="58">
        <f t="shared" si="852"/>
        <v>0</v>
      </c>
      <c r="I862" s="58">
        <f t="shared" si="852"/>
        <v>59</v>
      </c>
      <c r="J862" s="58">
        <f t="shared" si="852"/>
        <v>0</v>
      </c>
      <c r="K862" s="58">
        <f t="shared" si="852"/>
        <v>0</v>
      </c>
      <c r="L862" s="58">
        <f t="shared" si="852"/>
        <v>0</v>
      </c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0" customHeight="1">
      <c r="A863" s="70"/>
      <c r="B863" s="71"/>
      <c r="C863" s="66"/>
      <c r="D863" s="66">
        <f t="shared" si="3"/>
        <v>0</v>
      </c>
      <c r="E863" s="67"/>
      <c r="F863" s="58">
        <f t="shared" ref="F863:L863" si="853">SUMIFS($C863,$B863,F$7)+F862</f>
        <v>0</v>
      </c>
      <c r="G863" s="58">
        <f t="shared" si="853"/>
        <v>0</v>
      </c>
      <c r="H863" s="58">
        <f t="shared" si="853"/>
        <v>0</v>
      </c>
      <c r="I863" s="58">
        <f t="shared" si="853"/>
        <v>59</v>
      </c>
      <c r="J863" s="58">
        <f t="shared" si="853"/>
        <v>0</v>
      </c>
      <c r="K863" s="58">
        <f t="shared" si="853"/>
        <v>0</v>
      </c>
      <c r="L863" s="58">
        <f t="shared" si="853"/>
        <v>0</v>
      </c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0" customHeight="1">
      <c r="A864" s="70"/>
      <c r="B864" s="71"/>
      <c r="C864" s="66"/>
      <c r="D864" s="66">
        <f t="shared" si="3"/>
        <v>0</v>
      </c>
      <c r="E864" s="67"/>
      <c r="F864" s="58">
        <f t="shared" ref="F864:L864" si="854">SUMIFS($C864,$B864,F$7)+F863</f>
        <v>0</v>
      </c>
      <c r="G864" s="58">
        <f t="shared" si="854"/>
        <v>0</v>
      </c>
      <c r="H864" s="58">
        <f t="shared" si="854"/>
        <v>0</v>
      </c>
      <c r="I864" s="58">
        <f t="shared" si="854"/>
        <v>59</v>
      </c>
      <c r="J864" s="58">
        <f t="shared" si="854"/>
        <v>0</v>
      </c>
      <c r="K864" s="58">
        <f t="shared" si="854"/>
        <v>0</v>
      </c>
      <c r="L864" s="58">
        <f t="shared" si="854"/>
        <v>0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0" customHeight="1">
      <c r="A865" s="70"/>
      <c r="B865" s="71"/>
      <c r="C865" s="66"/>
      <c r="D865" s="66">
        <f t="shared" si="3"/>
        <v>0</v>
      </c>
      <c r="E865" s="67"/>
      <c r="F865" s="58">
        <f t="shared" ref="F865:L865" si="855">SUMIFS($C865,$B865,F$7)+F864</f>
        <v>0</v>
      </c>
      <c r="G865" s="58">
        <f t="shared" si="855"/>
        <v>0</v>
      </c>
      <c r="H865" s="58">
        <f t="shared" si="855"/>
        <v>0</v>
      </c>
      <c r="I865" s="58">
        <f t="shared" si="855"/>
        <v>59</v>
      </c>
      <c r="J865" s="58">
        <f t="shared" si="855"/>
        <v>0</v>
      </c>
      <c r="K865" s="58">
        <f t="shared" si="855"/>
        <v>0</v>
      </c>
      <c r="L865" s="58">
        <f t="shared" si="855"/>
        <v>0</v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0" customHeight="1">
      <c r="A866" s="70"/>
      <c r="B866" s="71"/>
      <c r="C866" s="66"/>
      <c r="D866" s="66">
        <f t="shared" si="3"/>
        <v>0</v>
      </c>
      <c r="E866" s="67"/>
      <c r="F866" s="58">
        <f t="shared" ref="F866:L866" si="856">SUMIFS($C866,$B866,F$7)+F865</f>
        <v>0</v>
      </c>
      <c r="G866" s="58">
        <f t="shared" si="856"/>
        <v>0</v>
      </c>
      <c r="H866" s="58">
        <f t="shared" si="856"/>
        <v>0</v>
      </c>
      <c r="I866" s="58">
        <f t="shared" si="856"/>
        <v>59</v>
      </c>
      <c r="J866" s="58">
        <f t="shared" si="856"/>
        <v>0</v>
      </c>
      <c r="K866" s="58">
        <f t="shared" si="856"/>
        <v>0</v>
      </c>
      <c r="L866" s="58">
        <f t="shared" si="856"/>
        <v>0</v>
      </c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0" customHeight="1">
      <c r="A867" s="70"/>
      <c r="B867" s="71"/>
      <c r="C867" s="66"/>
      <c r="D867" s="66">
        <f t="shared" si="3"/>
        <v>0</v>
      </c>
      <c r="E867" s="67"/>
      <c r="F867" s="58">
        <f t="shared" ref="F867:L867" si="857">SUMIFS($C867,$B867,F$7)+F866</f>
        <v>0</v>
      </c>
      <c r="G867" s="58">
        <f t="shared" si="857"/>
        <v>0</v>
      </c>
      <c r="H867" s="58">
        <f t="shared" si="857"/>
        <v>0</v>
      </c>
      <c r="I867" s="58">
        <f t="shared" si="857"/>
        <v>59</v>
      </c>
      <c r="J867" s="58">
        <f t="shared" si="857"/>
        <v>0</v>
      </c>
      <c r="K867" s="58">
        <f t="shared" si="857"/>
        <v>0</v>
      </c>
      <c r="L867" s="58">
        <f t="shared" si="857"/>
        <v>0</v>
      </c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0" customHeight="1">
      <c r="A868" s="70"/>
      <c r="B868" s="71"/>
      <c r="C868" s="66"/>
      <c r="D868" s="66">
        <f t="shared" si="3"/>
        <v>0</v>
      </c>
      <c r="E868" s="67"/>
      <c r="F868" s="58">
        <f t="shared" ref="F868:L868" si="858">SUMIFS($C868,$B868,F$7)+F867</f>
        <v>0</v>
      </c>
      <c r="G868" s="58">
        <f t="shared" si="858"/>
        <v>0</v>
      </c>
      <c r="H868" s="58">
        <f t="shared" si="858"/>
        <v>0</v>
      </c>
      <c r="I868" s="58">
        <f t="shared" si="858"/>
        <v>59</v>
      </c>
      <c r="J868" s="58">
        <f t="shared" si="858"/>
        <v>0</v>
      </c>
      <c r="K868" s="58">
        <f t="shared" si="858"/>
        <v>0</v>
      </c>
      <c r="L868" s="58">
        <f t="shared" si="858"/>
        <v>0</v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0" customHeight="1">
      <c r="A869" s="70"/>
      <c r="B869" s="71"/>
      <c r="C869" s="66"/>
      <c r="D869" s="66">
        <f t="shared" si="3"/>
        <v>0</v>
      </c>
      <c r="E869" s="67"/>
      <c r="F869" s="58">
        <f t="shared" ref="F869:L869" si="859">SUMIFS($C869,$B869,F$7)+F868</f>
        <v>0</v>
      </c>
      <c r="G869" s="58">
        <f t="shared" si="859"/>
        <v>0</v>
      </c>
      <c r="H869" s="58">
        <f t="shared" si="859"/>
        <v>0</v>
      </c>
      <c r="I869" s="58">
        <f t="shared" si="859"/>
        <v>59</v>
      </c>
      <c r="J869" s="58">
        <f t="shared" si="859"/>
        <v>0</v>
      </c>
      <c r="K869" s="58">
        <f t="shared" si="859"/>
        <v>0</v>
      </c>
      <c r="L869" s="58">
        <f t="shared" si="859"/>
        <v>0</v>
      </c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0" customHeight="1">
      <c r="A870" s="70"/>
      <c r="B870" s="71"/>
      <c r="C870" s="66"/>
      <c r="D870" s="66">
        <f t="shared" si="3"/>
        <v>0</v>
      </c>
      <c r="E870" s="67"/>
      <c r="F870" s="58">
        <f t="shared" ref="F870:L870" si="860">SUMIFS($C870,$B870,F$7)+F869</f>
        <v>0</v>
      </c>
      <c r="G870" s="58">
        <f t="shared" si="860"/>
        <v>0</v>
      </c>
      <c r="H870" s="58">
        <f t="shared" si="860"/>
        <v>0</v>
      </c>
      <c r="I870" s="58">
        <f t="shared" si="860"/>
        <v>59</v>
      </c>
      <c r="J870" s="58">
        <f t="shared" si="860"/>
        <v>0</v>
      </c>
      <c r="K870" s="58">
        <f t="shared" si="860"/>
        <v>0</v>
      </c>
      <c r="L870" s="58">
        <f t="shared" si="860"/>
        <v>0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0" customHeight="1">
      <c r="A871" s="70"/>
      <c r="B871" s="71"/>
      <c r="C871" s="66"/>
      <c r="D871" s="66">
        <f t="shared" si="3"/>
        <v>0</v>
      </c>
      <c r="E871" s="67"/>
      <c r="F871" s="58">
        <f t="shared" ref="F871:L871" si="861">SUMIFS($C871,$B871,F$7)+F870</f>
        <v>0</v>
      </c>
      <c r="G871" s="58">
        <f t="shared" si="861"/>
        <v>0</v>
      </c>
      <c r="H871" s="58">
        <f t="shared" si="861"/>
        <v>0</v>
      </c>
      <c r="I871" s="58">
        <f t="shared" si="861"/>
        <v>59</v>
      </c>
      <c r="J871" s="58">
        <f t="shared" si="861"/>
        <v>0</v>
      </c>
      <c r="K871" s="58">
        <f t="shared" si="861"/>
        <v>0</v>
      </c>
      <c r="L871" s="58">
        <f t="shared" si="861"/>
        <v>0</v>
      </c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0" customHeight="1">
      <c r="A872" s="70"/>
      <c r="B872" s="71"/>
      <c r="C872" s="66"/>
      <c r="D872" s="66">
        <f t="shared" si="3"/>
        <v>0</v>
      </c>
      <c r="E872" s="67"/>
      <c r="F872" s="58">
        <f t="shared" ref="F872:L872" si="862">SUMIFS($C872,$B872,F$7)+F871</f>
        <v>0</v>
      </c>
      <c r="G872" s="58">
        <f t="shared" si="862"/>
        <v>0</v>
      </c>
      <c r="H872" s="58">
        <f t="shared" si="862"/>
        <v>0</v>
      </c>
      <c r="I872" s="58">
        <f t="shared" si="862"/>
        <v>59</v>
      </c>
      <c r="J872" s="58">
        <f t="shared" si="862"/>
        <v>0</v>
      </c>
      <c r="K872" s="58">
        <f t="shared" si="862"/>
        <v>0</v>
      </c>
      <c r="L872" s="58">
        <f t="shared" si="862"/>
        <v>0</v>
      </c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0" customHeight="1">
      <c r="A873" s="70"/>
      <c r="B873" s="71"/>
      <c r="C873" s="66"/>
      <c r="D873" s="66">
        <f t="shared" si="3"/>
        <v>0</v>
      </c>
      <c r="E873" s="67"/>
      <c r="F873" s="58">
        <f t="shared" ref="F873:L873" si="863">SUMIFS($C873,$B873,F$7)+F872</f>
        <v>0</v>
      </c>
      <c r="G873" s="58">
        <f t="shared" si="863"/>
        <v>0</v>
      </c>
      <c r="H873" s="58">
        <f t="shared" si="863"/>
        <v>0</v>
      </c>
      <c r="I873" s="58">
        <f t="shared" si="863"/>
        <v>59</v>
      </c>
      <c r="J873" s="58">
        <f t="shared" si="863"/>
        <v>0</v>
      </c>
      <c r="K873" s="58">
        <f t="shared" si="863"/>
        <v>0</v>
      </c>
      <c r="L873" s="58">
        <f t="shared" si="863"/>
        <v>0</v>
      </c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0" customHeight="1">
      <c r="A874" s="70"/>
      <c r="B874" s="71"/>
      <c r="C874" s="66"/>
      <c r="D874" s="66">
        <f t="shared" si="3"/>
        <v>0</v>
      </c>
      <c r="E874" s="67"/>
      <c r="F874" s="58">
        <f t="shared" ref="F874:L874" si="864">SUMIFS($C874,$B874,F$7)+F873</f>
        <v>0</v>
      </c>
      <c r="G874" s="58">
        <f t="shared" si="864"/>
        <v>0</v>
      </c>
      <c r="H874" s="58">
        <f t="shared" si="864"/>
        <v>0</v>
      </c>
      <c r="I874" s="58">
        <f t="shared" si="864"/>
        <v>59</v>
      </c>
      <c r="J874" s="58">
        <f t="shared" si="864"/>
        <v>0</v>
      </c>
      <c r="K874" s="58">
        <f t="shared" si="864"/>
        <v>0</v>
      </c>
      <c r="L874" s="58">
        <f t="shared" si="864"/>
        <v>0</v>
      </c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0" customHeight="1">
      <c r="A875" s="70"/>
      <c r="B875" s="71"/>
      <c r="C875" s="66"/>
      <c r="D875" s="66">
        <f t="shared" si="3"/>
        <v>0</v>
      </c>
      <c r="E875" s="67"/>
      <c r="F875" s="58">
        <f t="shared" ref="F875:L875" si="865">SUMIFS($C875,$B875,F$7)+F874</f>
        <v>0</v>
      </c>
      <c r="G875" s="58">
        <f t="shared" si="865"/>
        <v>0</v>
      </c>
      <c r="H875" s="58">
        <f t="shared" si="865"/>
        <v>0</v>
      </c>
      <c r="I875" s="58">
        <f t="shared" si="865"/>
        <v>59</v>
      </c>
      <c r="J875" s="58">
        <f t="shared" si="865"/>
        <v>0</v>
      </c>
      <c r="K875" s="58">
        <f t="shared" si="865"/>
        <v>0</v>
      </c>
      <c r="L875" s="58">
        <f t="shared" si="865"/>
        <v>0</v>
      </c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0" customHeight="1">
      <c r="A876" s="70"/>
      <c r="B876" s="71"/>
      <c r="C876" s="66"/>
      <c r="D876" s="66">
        <f t="shared" si="3"/>
        <v>0</v>
      </c>
      <c r="E876" s="67"/>
      <c r="F876" s="58">
        <f t="shared" ref="F876:L876" si="866">SUMIFS($C876,$B876,F$7)+F875</f>
        <v>0</v>
      </c>
      <c r="G876" s="58">
        <f t="shared" si="866"/>
        <v>0</v>
      </c>
      <c r="H876" s="58">
        <f t="shared" si="866"/>
        <v>0</v>
      </c>
      <c r="I876" s="58">
        <f t="shared" si="866"/>
        <v>59</v>
      </c>
      <c r="J876" s="58">
        <f t="shared" si="866"/>
        <v>0</v>
      </c>
      <c r="K876" s="58">
        <f t="shared" si="866"/>
        <v>0</v>
      </c>
      <c r="L876" s="58">
        <f t="shared" si="866"/>
        <v>0</v>
      </c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0" customHeight="1">
      <c r="A877" s="70"/>
      <c r="B877" s="71"/>
      <c r="C877" s="66"/>
      <c r="D877" s="66">
        <f t="shared" si="3"/>
        <v>0</v>
      </c>
      <c r="E877" s="67"/>
      <c r="F877" s="58">
        <f t="shared" ref="F877:L877" si="867">SUMIFS($C877,$B877,F$7)+F876</f>
        <v>0</v>
      </c>
      <c r="G877" s="58">
        <f t="shared" si="867"/>
        <v>0</v>
      </c>
      <c r="H877" s="58">
        <f t="shared" si="867"/>
        <v>0</v>
      </c>
      <c r="I877" s="58">
        <f t="shared" si="867"/>
        <v>59</v>
      </c>
      <c r="J877" s="58">
        <f t="shared" si="867"/>
        <v>0</v>
      </c>
      <c r="K877" s="58">
        <f t="shared" si="867"/>
        <v>0</v>
      </c>
      <c r="L877" s="58">
        <f t="shared" si="867"/>
        <v>0</v>
      </c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0" customHeight="1">
      <c r="A878" s="70"/>
      <c r="B878" s="71"/>
      <c r="C878" s="66"/>
      <c r="D878" s="66">
        <f t="shared" si="3"/>
        <v>0</v>
      </c>
      <c r="E878" s="67"/>
      <c r="F878" s="58">
        <f t="shared" ref="F878:L878" si="868">SUMIFS($C878,$B878,F$7)+F877</f>
        <v>0</v>
      </c>
      <c r="G878" s="58">
        <f t="shared" si="868"/>
        <v>0</v>
      </c>
      <c r="H878" s="58">
        <f t="shared" si="868"/>
        <v>0</v>
      </c>
      <c r="I878" s="58">
        <f t="shared" si="868"/>
        <v>59</v>
      </c>
      <c r="J878" s="58">
        <f t="shared" si="868"/>
        <v>0</v>
      </c>
      <c r="K878" s="58">
        <f t="shared" si="868"/>
        <v>0</v>
      </c>
      <c r="L878" s="58">
        <f t="shared" si="868"/>
        <v>0</v>
      </c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0" customHeight="1">
      <c r="A879" s="70"/>
      <c r="B879" s="71"/>
      <c r="C879" s="66"/>
      <c r="D879" s="66">
        <f t="shared" si="3"/>
        <v>0</v>
      </c>
      <c r="E879" s="67"/>
      <c r="F879" s="58">
        <f t="shared" ref="F879:L879" si="869">SUMIFS($C879,$B879,F$7)+F878</f>
        <v>0</v>
      </c>
      <c r="G879" s="58">
        <f t="shared" si="869"/>
        <v>0</v>
      </c>
      <c r="H879" s="58">
        <f t="shared" si="869"/>
        <v>0</v>
      </c>
      <c r="I879" s="58">
        <f t="shared" si="869"/>
        <v>59</v>
      </c>
      <c r="J879" s="58">
        <f t="shared" si="869"/>
        <v>0</v>
      </c>
      <c r="K879" s="58">
        <f t="shared" si="869"/>
        <v>0</v>
      </c>
      <c r="L879" s="58">
        <f t="shared" si="869"/>
        <v>0</v>
      </c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0" customHeight="1">
      <c r="A880" s="70"/>
      <c r="B880" s="71"/>
      <c r="C880" s="66"/>
      <c r="D880" s="66">
        <f t="shared" si="3"/>
        <v>0</v>
      </c>
      <c r="E880" s="67"/>
      <c r="F880" s="58">
        <f t="shared" ref="F880:L880" si="870">SUMIFS($C880,$B880,F$7)+F879</f>
        <v>0</v>
      </c>
      <c r="G880" s="58">
        <f t="shared" si="870"/>
        <v>0</v>
      </c>
      <c r="H880" s="58">
        <f t="shared" si="870"/>
        <v>0</v>
      </c>
      <c r="I880" s="58">
        <f t="shared" si="870"/>
        <v>59</v>
      </c>
      <c r="J880" s="58">
        <f t="shared" si="870"/>
        <v>0</v>
      </c>
      <c r="K880" s="58">
        <f t="shared" si="870"/>
        <v>0</v>
      </c>
      <c r="L880" s="58">
        <f t="shared" si="870"/>
        <v>0</v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0" customHeight="1">
      <c r="A881" s="70"/>
      <c r="B881" s="71"/>
      <c r="C881" s="66"/>
      <c r="D881" s="66">
        <f t="shared" si="3"/>
        <v>0</v>
      </c>
      <c r="E881" s="67"/>
      <c r="F881" s="58">
        <f t="shared" ref="F881:L881" si="871">SUMIFS($C881,$B881,F$7)+F880</f>
        <v>0</v>
      </c>
      <c r="G881" s="58">
        <f t="shared" si="871"/>
        <v>0</v>
      </c>
      <c r="H881" s="58">
        <f t="shared" si="871"/>
        <v>0</v>
      </c>
      <c r="I881" s="58">
        <f t="shared" si="871"/>
        <v>59</v>
      </c>
      <c r="J881" s="58">
        <f t="shared" si="871"/>
        <v>0</v>
      </c>
      <c r="K881" s="58">
        <f t="shared" si="871"/>
        <v>0</v>
      </c>
      <c r="L881" s="58">
        <f t="shared" si="871"/>
        <v>0</v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0" customHeight="1">
      <c r="A882" s="70"/>
      <c r="B882" s="71"/>
      <c r="C882" s="66"/>
      <c r="D882" s="66">
        <f t="shared" si="3"/>
        <v>0</v>
      </c>
      <c r="E882" s="67"/>
      <c r="F882" s="58">
        <f t="shared" ref="F882:L882" si="872">SUMIFS($C882,$B882,F$7)+F881</f>
        <v>0</v>
      </c>
      <c r="G882" s="58">
        <f t="shared" si="872"/>
        <v>0</v>
      </c>
      <c r="H882" s="58">
        <f t="shared" si="872"/>
        <v>0</v>
      </c>
      <c r="I882" s="58">
        <f t="shared" si="872"/>
        <v>59</v>
      </c>
      <c r="J882" s="58">
        <f t="shared" si="872"/>
        <v>0</v>
      </c>
      <c r="K882" s="58">
        <f t="shared" si="872"/>
        <v>0</v>
      </c>
      <c r="L882" s="58">
        <f t="shared" si="872"/>
        <v>0</v>
      </c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0" customHeight="1">
      <c r="A883" s="70"/>
      <c r="B883" s="71"/>
      <c r="C883" s="66"/>
      <c r="D883" s="66">
        <f t="shared" si="3"/>
        <v>0</v>
      </c>
      <c r="E883" s="67"/>
      <c r="F883" s="58">
        <f t="shared" ref="F883:L883" si="873">SUMIFS($C883,$B883,F$7)+F882</f>
        <v>0</v>
      </c>
      <c r="G883" s="58">
        <f t="shared" si="873"/>
        <v>0</v>
      </c>
      <c r="H883" s="58">
        <f t="shared" si="873"/>
        <v>0</v>
      </c>
      <c r="I883" s="58">
        <f t="shared" si="873"/>
        <v>59</v>
      </c>
      <c r="J883" s="58">
        <f t="shared" si="873"/>
        <v>0</v>
      </c>
      <c r="K883" s="58">
        <f t="shared" si="873"/>
        <v>0</v>
      </c>
      <c r="L883" s="58">
        <f t="shared" si="873"/>
        <v>0</v>
      </c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0" customHeight="1">
      <c r="A884" s="70"/>
      <c r="B884" s="71"/>
      <c r="C884" s="66"/>
      <c r="D884" s="66">
        <f t="shared" si="3"/>
        <v>0</v>
      </c>
      <c r="E884" s="67"/>
      <c r="F884" s="58">
        <f t="shared" ref="F884:L884" si="874">SUMIFS($C884,$B884,F$7)+F883</f>
        <v>0</v>
      </c>
      <c r="G884" s="58">
        <f t="shared" si="874"/>
        <v>0</v>
      </c>
      <c r="H884" s="58">
        <f t="shared" si="874"/>
        <v>0</v>
      </c>
      <c r="I884" s="58">
        <f t="shared" si="874"/>
        <v>59</v>
      </c>
      <c r="J884" s="58">
        <f t="shared" si="874"/>
        <v>0</v>
      </c>
      <c r="K884" s="58">
        <f t="shared" si="874"/>
        <v>0</v>
      </c>
      <c r="L884" s="58">
        <f t="shared" si="874"/>
        <v>0</v>
      </c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0" customHeight="1">
      <c r="A885" s="70"/>
      <c r="B885" s="71"/>
      <c r="C885" s="66"/>
      <c r="D885" s="66">
        <f t="shared" si="3"/>
        <v>0</v>
      </c>
      <c r="E885" s="67"/>
      <c r="F885" s="58">
        <f t="shared" ref="F885:L885" si="875">SUMIFS($C885,$B885,F$7)+F884</f>
        <v>0</v>
      </c>
      <c r="G885" s="58">
        <f t="shared" si="875"/>
        <v>0</v>
      </c>
      <c r="H885" s="58">
        <f t="shared" si="875"/>
        <v>0</v>
      </c>
      <c r="I885" s="58">
        <f t="shared" si="875"/>
        <v>59</v>
      </c>
      <c r="J885" s="58">
        <f t="shared" si="875"/>
        <v>0</v>
      </c>
      <c r="K885" s="58">
        <f t="shared" si="875"/>
        <v>0</v>
      </c>
      <c r="L885" s="58">
        <f t="shared" si="875"/>
        <v>0</v>
      </c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0" customHeight="1">
      <c r="A886" s="70"/>
      <c r="B886" s="71"/>
      <c r="C886" s="66"/>
      <c r="D886" s="66">
        <f t="shared" si="3"/>
        <v>0</v>
      </c>
      <c r="E886" s="67"/>
      <c r="F886" s="58">
        <f t="shared" ref="F886:L886" si="876">SUMIFS($C886,$B886,F$7)+F885</f>
        <v>0</v>
      </c>
      <c r="G886" s="58">
        <f t="shared" si="876"/>
        <v>0</v>
      </c>
      <c r="H886" s="58">
        <f t="shared" si="876"/>
        <v>0</v>
      </c>
      <c r="I886" s="58">
        <f t="shared" si="876"/>
        <v>59</v>
      </c>
      <c r="J886" s="58">
        <f t="shared" si="876"/>
        <v>0</v>
      </c>
      <c r="K886" s="58">
        <f t="shared" si="876"/>
        <v>0</v>
      </c>
      <c r="L886" s="58">
        <f t="shared" si="876"/>
        <v>0</v>
      </c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0" customHeight="1">
      <c r="A887" s="70"/>
      <c r="B887" s="71"/>
      <c r="C887" s="66"/>
      <c r="D887" s="66">
        <f t="shared" si="3"/>
        <v>0</v>
      </c>
      <c r="E887" s="67"/>
      <c r="F887" s="58">
        <f t="shared" ref="F887:L887" si="877">SUMIFS($C887,$B887,F$7)+F886</f>
        <v>0</v>
      </c>
      <c r="G887" s="58">
        <f t="shared" si="877"/>
        <v>0</v>
      </c>
      <c r="H887" s="58">
        <f t="shared" si="877"/>
        <v>0</v>
      </c>
      <c r="I887" s="58">
        <f t="shared" si="877"/>
        <v>59</v>
      </c>
      <c r="J887" s="58">
        <f t="shared" si="877"/>
        <v>0</v>
      </c>
      <c r="K887" s="58">
        <f t="shared" si="877"/>
        <v>0</v>
      </c>
      <c r="L887" s="58">
        <f t="shared" si="877"/>
        <v>0</v>
      </c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0" customHeight="1">
      <c r="A888" s="70"/>
      <c r="B888" s="71"/>
      <c r="C888" s="66"/>
      <c r="D888" s="66">
        <f t="shared" si="3"/>
        <v>0</v>
      </c>
      <c r="E888" s="67"/>
      <c r="F888" s="58">
        <f t="shared" ref="F888:L888" si="878">SUMIFS($C888,$B888,F$7)+F887</f>
        <v>0</v>
      </c>
      <c r="G888" s="58">
        <f t="shared" si="878"/>
        <v>0</v>
      </c>
      <c r="H888" s="58">
        <f t="shared" si="878"/>
        <v>0</v>
      </c>
      <c r="I888" s="58">
        <f t="shared" si="878"/>
        <v>59</v>
      </c>
      <c r="J888" s="58">
        <f t="shared" si="878"/>
        <v>0</v>
      </c>
      <c r="K888" s="58">
        <f t="shared" si="878"/>
        <v>0</v>
      </c>
      <c r="L888" s="58">
        <f t="shared" si="878"/>
        <v>0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0" customHeight="1">
      <c r="A889" s="70"/>
      <c r="B889" s="71"/>
      <c r="C889" s="66"/>
      <c r="D889" s="66">
        <f t="shared" si="3"/>
        <v>0</v>
      </c>
      <c r="E889" s="67"/>
      <c r="F889" s="58">
        <f t="shared" ref="F889:L889" si="879">SUMIFS($C889,$B889,F$7)+F888</f>
        <v>0</v>
      </c>
      <c r="G889" s="58">
        <f t="shared" si="879"/>
        <v>0</v>
      </c>
      <c r="H889" s="58">
        <f t="shared" si="879"/>
        <v>0</v>
      </c>
      <c r="I889" s="58">
        <f t="shared" si="879"/>
        <v>59</v>
      </c>
      <c r="J889" s="58">
        <f t="shared" si="879"/>
        <v>0</v>
      </c>
      <c r="K889" s="58">
        <f t="shared" si="879"/>
        <v>0</v>
      </c>
      <c r="L889" s="58">
        <f t="shared" si="879"/>
        <v>0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0" customHeight="1">
      <c r="A890" s="70"/>
      <c r="B890" s="71"/>
      <c r="C890" s="66"/>
      <c r="D890" s="66">
        <f t="shared" si="3"/>
        <v>0</v>
      </c>
      <c r="E890" s="67"/>
      <c r="F890" s="58">
        <f t="shared" ref="F890:L890" si="880">SUMIFS($C890,$B890,F$7)+F889</f>
        <v>0</v>
      </c>
      <c r="G890" s="58">
        <f t="shared" si="880"/>
        <v>0</v>
      </c>
      <c r="H890" s="58">
        <f t="shared" si="880"/>
        <v>0</v>
      </c>
      <c r="I890" s="58">
        <f t="shared" si="880"/>
        <v>59</v>
      </c>
      <c r="J890" s="58">
        <f t="shared" si="880"/>
        <v>0</v>
      </c>
      <c r="K890" s="58">
        <f t="shared" si="880"/>
        <v>0</v>
      </c>
      <c r="L890" s="58">
        <f t="shared" si="880"/>
        <v>0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0" customHeight="1">
      <c r="A891" s="70"/>
      <c r="B891" s="71"/>
      <c r="C891" s="66"/>
      <c r="D891" s="66">
        <f t="shared" si="3"/>
        <v>0</v>
      </c>
      <c r="E891" s="67"/>
      <c r="F891" s="58">
        <f t="shared" ref="F891:L891" si="881">SUMIFS($C891,$B891,F$7)+F890</f>
        <v>0</v>
      </c>
      <c r="G891" s="58">
        <f t="shared" si="881"/>
        <v>0</v>
      </c>
      <c r="H891" s="58">
        <f t="shared" si="881"/>
        <v>0</v>
      </c>
      <c r="I891" s="58">
        <f t="shared" si="881"/>
        <v>59</v>
      </c>
      <c r="J891" s="58">
        <f t="shared" si="881"/>
        <v>0</v>
      </c>
      <c r="K891" s="58">
        <f t="shared" si="881"/>
        <v>0</v>
      </c>
      <c r="L891" s="58">
        <f t="shared" si="881"/>
        <v>0</v>
      </c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0" customHeight="1">
      <c r="A892" s="70"/>
      <c r="B892" s="71"/>
      <c r="C892" s="66"/>
      <c r="D892" s="66">
        <f t="shared" si="3"/>
        <v>0</v>
      </c>
      <c r="E892" s="67"/>
      <c r="F892" s="58">
        <f t="shared" ref="F892:L892" si="882">SUMIFS($C892,$B892,F$7)+F891</f>
        <v>0</v>
      </c>
      <c r="G892" s="58">
        <f t="shared" si="882"/>
        <v>0</v>
      </c>
      <c r="H892" s="58">
        <f t="shared" si="882"/>
        <v>0</v>
      </c>
      <c r="I892" s="58">
        <f t="shared" si="882"/>
        <v>59</v>
      </c>
      <c r="J892" s="58">
        <f t="shared" si="882"/>
        <v>0</v>
      </c>
      <c r="K892" s="58">
        <f t="shared" si="882"/>
        <v>0</v>
      </c>
      <c r="L892" s="58">
        <f t="shared" si="882"/>
        <v>0</v>
      </c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0" customHeight="1">
      <c r="A893" s="70"/>
      <c r="B893" s="71"/>
      <c r="C893" s="66"/>
      <c r="D893" s="66">
        <f t="shared" si="3"/>
        <v>0</v>
      </c>
      <c r="E893" s="67"/>
      <c r="F893" s="58">
        <f t="shared" ref="F893:L893" si="883">SUMIFS($C893,$B893,F$7)+F892</f>
        <v>0</v>
      </c>
      <c r="G893" s="58">
        <f t="shared" si="883"/>
        <v>0</v>
      </c>
      <c r="H893" s="58">
        <f t="shared" si="883"/>
        <v>0</v>
      </c>
      <c r="I893" s="58">
        <f t="shared" si="883"/>
        <v>59</v>
      </c>
      <c r="J893" s="58">
        <f t="shared" si="883"/>
        <v>0</v>
      </c>
      <c r="K893" s="58">
        <f t="shared" si="883"/>
        <v>0</v>
      </c>
      <c r="L893" s="58">
        <f t="shared" si="883"/>
        <v>0</v>
      </c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0" customHeight="1">
      <c r="A894" s="70"/>
      <c r="B894" s="71"/>
      <c r="C894" s="66"/>
      <c r="D894" s="66">
        <f t="shared" si="3"/>
        <v>0</v>
      </c>
      <c r="E894" s="67"/>
      <c r="F894" s="58">
        <f t="shared" ref="F894:L894" si="884">SUMIFS($C894,$B894,F$7)+F893</f>
        <v>0</v>
      </c>
      <c r="G894" s="58">
        <f t="shared" si="884"/>
        <v>0</v>
      </c>
      <c r="H894" s="58">
        <f t="shared" si="884"/>
        <v>0</v>
      </c>
      <c r="I894" s="58">
        <f t="shared" si="884"/>
        <v>59</v>
      </c>
      <c r="J894" s="58">
        <f t="shared" si="884"/>
        <v>0</v>
      </c>
      <c r="K894" s="58">
        <f t="shared" si="884"/>
        <v>0</v>
      </c>
      <c r="L894" s="58">
        <f t="shared" si="884"/>
        <v>0</v>
      </c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0" customHeight="1">
      <c r="A895" s="70"/>
      <c r="B895" s="71"/>
      <c r="C895" s="66"/>
      <c r="D895" s="66">
        <f t="shared" si="3"/>
        <v>0</v>
      </c>
      <c r="E895" s="67"/>
      <c r="F895" s="58">
        <f t="shared" ref="F895:L895" si="885">SUMIFS($C895,$B895,F$7)+F894</f>
        <v>0</v>
      </c>
      <c r="G895" s="58">
        <f t="shared" si="885"/>
        <v>0</v>
      </c>
      <c r="H895" s="58">
        <f t="shared" si="885"/>
        <v>0</v>
      </c>
      <c r="I895" s="58">
        <f t="shared" si="885"/>
        <v>59</v>
      </c>
      <c r="J895" s="58">
        <f t="shared" si="885"/>
        <v>0</v>
      </c>
      <c r="K895" s="58">
        <f t="shared" si="885"/>
        <v>0</v>
      </c>
      <c r="L895" s="58">
        <f t="shared" si="885"/>
        <v>0</v>
      </c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0" customHeight="1">
      <c r="A896" s="70"/>
      <c r="B896" s="71"/>
      <c r="C896" s="66"/>
      <c r="D896" s="66">
        <f t="shared" si="3"/>
        <v>0</v>
      </c>
      <c r="E896" s="67"/>
      <c r="F896" s="58">
        <f t="shared" ref="F896:L896" si="886">SUMIFS($C896,$B896,F$7)+F895</f>
        <v>0</v>
      </c>
      <c r="G896" s="58">
        <f t="shared" si="886"/>
        <v>0</v>
      </c>
      <c r="H896" s="58">
        <f t="shared" si="886"/>
        <v>0</v>
      </c>
      <c r="I896" s="58">
        <f t="shared" si="886"/>
        <v>59</v>
      </c>
      <c r="J896" s="58">
        <f t="shared" si="886"/>
        <v>0</v>
      </c>
      <c r="K896" s="58">
        <f t="shared" si="886"/>
        <v>0</v>
      </c>
      <c r="L896" s="58">
        <f t="shared" si="886"/>
        <v>0</v>
      </c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0" customHeight="1">
      <c r="A897" s="70"/>
      <c r="B897" s="71"/>
      <c r="C897" s="66"/>
      <c r="D897" s="66">
        <f t="shared" si="3"/>
        <v>0</v>
      </c>
      <c r="E897" s="67"/>
      <c r="F897" s="58">
        <f t="shared" ref="F897:L897" si="887">SUMIFS($C897,$B897,F$7)+F896</f>
        <v>0</v>
      </c>
      <c r="G897" s="58">
        <f t="shared" si="887"/>
        <v>0</v>
      </c>
      <c r="H897" s="58">
        <f t="shared" si="887"/>
        <v>0</v>
      </c>
      <c r="I897" s="58">
        <f t="shared" si="887"/>
        <v>59</v>
      </c>
      <c r="J897" s="58">
        <f t="shared" si="887"/>
        <v>0</v>
      </c>
      <c r="K897" s="58">
        <f t="shared" si="887"/>
        <v>0</v>
      </c>
      <c r="L897" s="58">
        <f t="shared" si="887"/>
        <v>0</v>
      </c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0" customHeight="1">
      <c r="A898" s="70"/>
      <c r="B898" s="71"/>
      <c r="C898" s="66"/>
      <c r="D898" s="66">
        <f t="shared" si="3"/>
        <v>0</v>
      </c>
      <c r="E898" s="67"/>
      <c r="F898" s="58">
        <f t="shared" ref="F898:L898" si="888">SUMIFS($C898,$B898,F$7)+F897</f>
        <v>0</v>
      </c>
      <c r="G898" s="58">
        <f t="shared" si="888"/>
        <v>0</v>
      </c>
      <c r="H898" s="58">
        <f t="shared" si="888"/>
        <v>0</v>
      </c>
      <c r="I898" s="58">
        <f t="shared" si="888"/>
        <v>59</v>
      </c>
      <c r="J898" s="58">
        <f t="shared" si="888"/>
        <v>0</v>
      </c>
      <c r="K898" s="58">
        <f t="shared" si="888"/>
        <v>0</v>
      </c>
      <c r="L898" s="58">
        <f t="shared" si="888"/>
        <v>0</v>
      </c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0" customHeight="1">
      <c r="A899" s="70"/>
      <c r="B899" s="71"/>
      <c r="C899" s="66"/>
      <c r="D899" s="66">
        <f t="shared" si="3"/>
        <v>0</v>
      </c>
      <c r="E899" s="67"/>
      <c r="F899" s="58">
        <f t="shared" ref="F899:L899" si="889">SUMIFS($C899,$B899,F$7)+F898</f>
        <v>0</v>
      </c>
      <c r="G899" s="58">
        <f t="shared" si="889"/>
        <v>0</v>
      </c>
      <c r="H899" s="58">
        <f t="shared" si="889"/>
        <v>0</v>
      </c>
      <c r="I899" s="58">
        <f t="shared" si="889"/>
        <v>59</v>
      </c>
      <c r="J899" s="58">
        <f t="shared" si="889"/>
        <v>0</v>
      </c>
      <c r="K899" s="58">
        <f t="shared" si="889"/>
        <v>0</v>
      </c>
      <c r="L899" s="58">
        <f t="shared" si="889"/>
        <v>0</v>
      </c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0" customHeight="1">
      <c r="A900" s="70"/>
      <c r="B900" s="71"/>
      <c r="C900" s="66"/>
      <c r="D900" s="66">
        <f t="shared" si="3"/>
        <v>0</v>
      </c>
      <c r="E900" s="67"/>
      <c r="F900" s="58">
        <f t="shared" ref="F900:L900" si="890">SUMIFS($C900,$B900,F$7)+F899</f>
        <v>0</v>
      </c>
      <c r="G900" s="58">
        <f t="shared" si="890"/>
        <v>0</v>
      </c>
      <c r="H900" s="58">
        <f t="shared" si="890"/>
        <v>0</v>
      </c>
      <c r="I900" s="58">
        <f t="shared" si="890"/>
        <v>59</v>
      </c>
      <c r="J900" s="58">
        <f t="shared" si="890"/>
        <v>0</v>
      </c>
      <c r="K900" s="58">
        <f t="shared" si="890"/>
        <v>0</v>
      </c>
      <c r="L900" s="58">
        <f t="shared" si="890"/>
        <v>0</v>
      </c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0" customHeight="1">
      <c r="A901" s="70"/>
      <c r="B901" s="71"/>
      <c r="C901" s="66"/>
      <c r="D901" s="66">
        <f t="shared" si="3"/>
        <v>0</v>
      </c>
      <c r="E901" s="67"/>
      <c r="F901" s="58">
        <f t="shared" ref="F901:L901" si="891">SUMIFS($C901,$B901,F$7)+F900</f>
        <v>0</v>
      </c>
      <c r="G901" s="58">
        <f t="shared" si="891"/>
        <v>0</v>
      </c>
      <c r="H901" s="58">
        <f t="shared" si="891"/>
        <v>0</v>
      </c>
      <c r="I901" s="58">
        <f t="shared" si="891"/>
        <v>59</v>
      </c>
      <c r="J901" s="58">
        <f t="shared" si="891"/>
        <v>0</v>
      </c>
      <c r="K901" s="58">
        <f t="shared" si="891"/>
        <v>0</v>
      </c>
      <c r="L901" s="58">
        <f t="shared" si="891"/>
        <v>0</v>
      </c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0" customHeight="1">
      <c r="A902" s="70"/>
      <c r="B902" s="71"/>
      <c r="C902" s="66"/>
      <c r="D902" s="66">
        <f t="shared" si="3"/>
        <v>0</v>
      </c>
      <c r="E902" s="67"/>
      <c r="F902" s="58">
        <f t="shared" ref="F902:L902" si="892">SUMIFS($C902,$B902,F$7)+F901</f>
        <v>0</v>
      </c>
      <c r="G902" s="58">
        <f t="shared" si="892"/>
        <v>0</v>
      </c>
      <c r="H902" s="58">
        <f t="shared" si="892"/>
        <v>0</v>
      </c>
      <c r="I902" s="58">
        <f t="shared" si="892"/>
        <v>59</v>
      </c>
      <c r="J902" s="58">
        <f t="shared" si="892"/>
        <v>0</v>
      </c>
      <c r="K902" s="58">
        <f t="shared" si="892"/>
        <v>0</v>
      </c>
      <c r="L902" s="58">
        <f t="shared" si="892"/>
        <v>0</v>
      </c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0" customHeight="1">
      <c r="A903" s="70"/>
      <c r="B903" s="71"/>
      <c r="C903" s="66"/>
      <c r="D903" s="66">
        <f t="shared" si="3"/>
        <v>0</v>
      </c>
      <c r="E903" s="67"/>
      <c r="F903" s="58">
        <f t="shared" ref="F903:L903" si="893">SUMIFS($C903,$B903,F$7)+F902</f>
        <v>0</v>
      </c>
      <c r="G903" s="58">
        <f t="shared" si="893"/>
        <v>0</v>
      </c>
      <c r="H903" s="58">
        <f t="shared" si="893"/>
        <v>0</v>
      </c>
      <c r="I903" s="58">
        <f t="shared" si="893"/>
        <v>59</v>
      </c>
      <c r="J903" s="58">
        <f t="shared" si="893"/>
        <v>0</v>
      </c>
      <c r="K903" s="58">
        <f t="shared" si="893"/>
        <v>0</v>
      </c>
      <c r="L903" s="58">
        <f t="shared" si="893"/>
        <v>0</v>
      </c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0" customHeight="1">
      <c r="A904" s="70"/>
      <c r="B904" s="71"/>
      <c r="C904" s="66"/>
      <c r="D904" s="66">
        <f t="shared" si="3"/>
        <v>0</v>
      </c>
      <c r="E904" s="67"/>
      <c r="F904" s="58">
        <f t="shared" ref="F904:L904" si="894">SUMIFS($C904,$B904,F$7)+F903</f>
        <v>0</v>
      </c>
      <c r="G904" s="58">
        <f t="shared" si="894"/>
        <v>0</v>
      </c>
      <c r="H904" s="58">
        <f t="shared" si="894"/>
        <v>0</v>
      </c>
      <c r="I904" s="58">
        <f t="shared" si="894"/>
        <v>59</v>
      </c>
      <c r="J904" s="58">
        <f t="shared" si="894"/>
        <v>0</v>
      </c>
      <c r="K904" s="58">
        <f t="shared" si="894"/>
        <v>0</v>
      </c>
      <c r="L904" s="58">
        <f t="shared" si="894"/>
        <v>0</v>
      </c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0" customHeight="1">
      <c r="A905" s="70"/>
      <c r="B905" s="71"/>
      <c r="C905" s="66"/>
      <c r="D905" s="66">
        <f t="shared" si="3"/>
        <v>0</v>
      </c>
      <c r="E905" s="67"/>
      <c r="F905" s="58">
        <f t="shared" ref="F905:L905" si="895">SUMIFS($C905,$B905,F$7)+F904</f>
        <v>0</v>
      </c>
      <c r="G905" s="58">
        <f t="shared" si="895"/>
        <v>0</v>
      </c>
      <c r="H905" s="58">
        <f t="shared" si="895"/>
        <v>0</v>
      </c>
      <c r="I905" s="58">
        <f t="shared" si="895"/>
        <v>59</v>
      </c>
      <c r="J905" s="58">
        <f t="shared" si="895"/>
        <v>0</v>
      </c>
      <c r="K905" s="58">
        <f t="shared" si="895"/>
        <v>0</v>
      </c>
      <c r="L905" s="58">
        <f t="shared" si="895"/>
        <v>0</v>
      </c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0" customHeight="1">
      <c r="A906" s="70"/>
      <c r="B906" s="71"/>
      <c r="C906" s="66"/>
      <c r="D906" s="66">
        <f t="shared" si="3"/>
        <v>0</v>
      </c>
      <c r="E906" s="67"/>
      <c r="F906" s="58">
        <f t="shared" ref="F906:L906" si="896">SUMIFS($C906,$B906,F$7)+F905</f>
        <v>0</v>
      </c>
      <c r="G906" s="58">
        <f t="shared" si="896"/>
        <v>0</v>
      </c>
      <c r="H906" s="58">
        <f t="shared" si="896"/>
        <v>0</v>
      </c>
      <c r="I906" s="58">
        <f t="shared" si="896"/>
        <v>59</v>
      </c>
      <c r="J906" s="58">
        <f t="shared" si="896"/>
        <v>0</v>
      </c>
      <c r="K906" s="58">
        <f t="shared" si="896"/>
        <v>0</v>
      </c>
      <c r="L906" s="58">
        <f t="shared" si="896"/>
        <v>0</v>
      </c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0" customHeight="1">
      <c r="A907" s="70"/>
      <c r="B907" s="71"/>
      <c r="C907" s="66"/>
      <c r="D907" s="66">
        <f t="shared" si="3"/>
        <v>0</v>
      </c>
      <c r="E907" s="67"/>
      <c r="F907" s="58">
        <f t="shared" ref="F907:L907" si="897">SUMIFS($C907,$B907,F$7)+F906</f>
        <v>0</v>
      </c>
      <c r="G907" s="58">
        <f t="shared" si="897"/>
        <v>0</v>
      </c>
      <c r="H907" s="58">
        <f t="shared" si="897"/>
        <v>0</v>
      </c>
      <c r="I907" s="58">
        <f t="shared" si="897"/>
        <v>59</v>
      </c>
      <c r="J907" s="58">
        <f t="shared" si="897"/>
        <v>0</v>
      </c>
      <c r="K907" s="58">
        <f t="shared" si="897"/>
        <v>0</v>
      </c>
      <c r="L907" s="58">
        <f t="shared" si="897"/>
        <v>0</v>
      </c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0" customHeight="1">
      <c r="A908" s="70"/>
      <c r="B908" s="71"/>
      <c r="C908" s="66"/>
      <c r="D908" s="66">
        <f t="shared" si="3"/>
        <v>0</v>
      </c>
      <c r="E908" s="67"/>
      <c r="F908" s="58">
        <f t="shared" ref="F908:L908" si="898">SUMIFS($C908,$B908,F$7)+F907</f>
        <v>0</v>
      </c>
      <c r="G908" s="58">
        <f t="shared" si="898"/>
        <v>0</v>
      </c>
      <c r="H908" s="58">
        <f t="shared" si="898"/>
        <v>0</v>
      </c>
      <c r="I908" s="58">
        <f t="shared" si="898"/>
        <v>59</v>
      </c>
      <c r="J908" s="58">
        <f t="shared" si="898"/>
        <v>0</v>
      </c>
      <c r="K908" s="58">
        <f t="shared" si="898"/>
        <v>0</v>
      </c>
      <c r="L908" s="58">
        <f t="shared" si="898"/>
        <v>0</v>
      </c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0" customHeight="1">
      <c r="A909" s="70"/>
      <c r="B909" s="71"/>
      <c r="C909" s="66"/>
      <c r="D909" s="66">
        <f t="shared" si="3"/>
        <v>0</v>
      </c>
      <c r="E909" s="67"/>
      <c r="F909" s="58">
        <f t="shared" ref="F909:L909" si="899">SUMIFS($C909,$B909,F$7)+F908</f>
        <v>0</v>
      </c>
      <c r="G909" s="58">
        <f t="shared" si="899"/>
        <v>0</v>
      </c>
      <c r="H909" s="58">
        <f t="shared" si="899"/>
        <v>0</v>
      </c>
      <c r="I909" s="58">
        <f t="shared" si="899"/>
        <v>59</v>
      </c>
      <c r="J909" s="58">
        <f t="shared" si="899"/>
        <v>0</v>
      </c>
      <c r="K909" s="58">
        <f t="shared" si="899"/>
        <v>0</v>
      </c>
      <c r="L909" s="58">
        <f t="shared" si="899"/>
        <v>0</v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0" customHeight="1">
      <c r="A910" s="70"/>
      <c r="B910" s="71"/>
      <c r="C910" s="66"/>
      <c r="D910" s="66">
        <f t="shared" si="3"/>
        <v>0</v>
      </c>
      <c r="E910" s="67"/>
      <c r="F910" s="58">
        <f t="shared" ref="F910:L910" si="900">SUMIFS($C910,$B910,F$7)+F909</f>
        <v>0</v>
      </c>
      <c r="G910" s="58">
        <f t="shared" si="900"/>
        <v>0</v>
      </c>
      <c r="H910" s="58">
        <f t="shared" si="900"/>
        <v>0</v>
      </c>
      <c r="I910" s="58">
        <f t="shared" si="900"/>
        <v>59</v>
      </c>
      <c r="J910" s="58">
        <f t="shared" si="900"/>
        <v>0</v>
      </c>
      <c r="K910" s="58">
        <f t="shared" si="900"/>
        <v>0</v>
      </c>
      <c r="L910" s="58">
        <f t="shared" si="900"/>
        <v>0</v>
      </c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0" customHeight="1">
      <c r="A911" s="70"/>
      <c r="B911" s="71"/>
      <c r="C911" s="66"/>
      <c r="D911" s="66">
        <f t="shared" si="3"/>
        <v>0</v>
      </c>
      <c r="E911" s="67"/>
      <c r="F911" s="58">
        <f t="shared" ref="F911:L911" si="901">SUMIFS($C911,$B911,F$7)+F910</f>
        <v>0</v>
      </c>
      <c r="G911" s="58">
        <f t="shared" si="901"/>
        <v>0</v>
      </c>
      <c r="H911" s="58">
        <f t="shared" si="901"/>
        <v>0</v>
      </c>
      <c r="I911" s="58">
        <f t="shared" si="901"/>
        <v>59</v>
      </c>
      <c r="J911" s="58">
        <f t="shared" si="901"/>
        <v>0</v>
      </c>
      <c r="K911" s="58">
        <f t="shared" si="901"/>
        <v>0</v>
      </c>
      <c r="L911" s="58">
        <f t="shared" si="901"/>
        <v>0</v>
      </c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0" customHeight="1">
      <c r="A912" s="70"/>
      <c r="B912" s="71"/>
      <c r="C912" s="66"/>
      <c r="D912" s="66">
        <f t="shared" si="3"/>
        <v>0</v>
      </c>
      <c r="E912" s="67"/>
      <c r="F912" s="58">
        <f t="shared" ref="F912:L912" si="902">SUMIFS($C912,$B912,F$7)+F911</f>
        <v>0</v>
      </c>
      <c r="G912" s="58">
        <f t="shared" si="902"/>
        <v>0</v>
      </c>
      <c r="H912" s="58">
        <f t="shared" si="902"/>
        <v>0</v>
      </c>
      <c r="I912" s="58">
        <f t="shared" si="902"/>
        <v>59</v>
      </c>
      <c r="J912" s="58">
        <f t="shared" si="902"/>
        <v>0</v>
      </c>
      <c r="K912" s="58">
        <f t="shared" si="902"/>
        <v>0</v>
      </c>
      <c r="L912" s="58">
        <f t="shared" si="902"/>
        <v>0</v>
      </c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0" customHeight="1">
      <c r="A913" s="70"/>
      <c r="B913" s="71"/>
      <c r="C913" s="66"/>
      <c r="D913" s="66">
        <f t="shared" si="3"/>
        <v>0</v>
      </c>
      <c r="E913" s="67"/>
      <c r="F913" s="58">
        <f t="shared" ref="F913:L913" si="903">SUMIFS($C913,$B913,F$7)+F912</f>
        <v>0</v>
      </c>
      <c r="G913" s="58">
        <f t="shared" si="903"/>
        <v>0</v>
      </c>
      <c r="H913" s="58">
        <f t="shared" si="903"/>
        <v>0</v>
      </c>
      <c r="I913" s="58">
        <f t="shared" si="903"/>
        <v>59</v>
      </c>
      <c r="J913" s="58">
        <f t="shared" si="903"/>
        <v>0</v>
      </c>
      <c r="K913" s="58">
        <f t="shared" si="903"/>
        <v>0</v>
      </c>
      <c r="L913" s="58">
        <f t="shared" si="903"/>
        <v>0</v>
      </c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0" customHeight="1">
      <c r="A914" s="70"/>
      <c r="B914" s="71"/>
      <c r="C914" s="66"/>
      <c r="D914" s="66">
        <f t="shared" si="3"/>
        <v>0</v>
      </c>
      <c r="E914" s="67"/>
      <c r="F914" s="58">
        <f t="shared" ref="F914:L914" si="904">SUMIFS($C914,$B914,F$7)+F913</f>
        <v>0</v>
      </c>
      <c r="G914" s="58">
        <f t="shared" si="904"/>
        <v>0</v>
      </c>
      <c r="H914" s="58">
        <f t="shared" si="904"/>
        <v>0</v>
      </c>
      <c r="I914" s="58">
        <f t="shared" si="904"/>
        <v>59</v>
      </c>
      <c r="J914" s="58">
        <f t="shared" si="904"/>
        <v>0</v>
      </c>
      <c r="K914" s="58">
        <f t="shared" si="904"/>
        <v>0</v>
      </c>
      <c r="L914" s="58">
        <f t="shared" si="904"/>
        <v>0</v>
      </c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0" customHeight="1">
      <c r="A915" s="70"/>
      <c r="B915" s="71"/>
      <c r="C915" s="66"/>
      <c r="D915" s="66">
        <f t="shared" si="3"/>
        <v>0</v>
      </c>
      <c r="E915" s="67"/>
      <c r="F915" s="58">
        <f t="shared" ref="F915:L915" si="905">SUMIFS($C915,$B915,F$7)+F914</f>
        <v>0</v>
      </c>
      <c r="G915" s="58">
        <f t="shared" si="905"/>
        <v>0</v>
      </c>
      <c r="H915" s="58">
        <f t="shared" si="905"/>
        <v>0</v>
      </c>
      <c r="I915" s="58">
        <f t="shared" si="905"/>
        <v>59</v>
      </c>
      <c r="J915" s="58">
        <f t="shared" si="905"/>
        <v>0</v>
      </c>
      <c r="K915" s="58">
        <f t="shared" si="905"/>
        <v>0</v>
      </c>
      <c r="L915" s="58">
        <f t="shared" si="905"/>
        <v>0</v>
      </c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0" customHeight="1">
      <c r="A916" s="70"/>
      <c r="B916" s="71"/>
      <c r="C916" s="66"/>
      <c r="D916" s="66">
        <f t="shared" si="3"/>
        <v>0</v>
      </c>
      <c r="E916" s="67"/>
      <c r="F916" s="58">
        <f t="shared" ref="F916:L916" si="906">SUMIFS($C916,$B916,F$7)+F915</f>
        <v>0</v>
      </c>
      <c r="G916" s="58">
        <f t="shared" si="906"/>
        <v>0</v>
      </c>
      <c r="H916" s="58">
        <f t="shared" si="906"/>
        <v>0</v>
      </c>
      <c r="I916" s="58">
        <f t="shared" si="906"/>
        <v>59</v>
      </c>
      <c r="J916" s="58">
        <f t="shared" si="906"/>
        <v>0</v>
      </c>
      <c r="K916" s="58">
        <f t="shared" si="906"/>
        <v>0</v>
      </c>
      <c r="L916" s="58">
        <f t="shared" si="906"/>
        <v>0</v>
      </c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0" customHeight="1">
      <c r="A917" s="70"/>
      <c r="B917" s="71"/>
      <c r="C917" s="66"/>
      <c r="D917" s="66">
        <f t="shared" si="3"/>
        <v>0</v>
      </c>
      <c r="E917" s="67"/>
      <c r="F917" s="58">
        <f t="shared" ref="F917:L917" si="907">SUMIFS($C917,$B917,F$7)+F916</f>
        <v>0</v>
      </c>
      <c r="G917" s="58">
        <f t="shared" si="907"/>
        <v>0</v>
      </c>
      <c r="H917" s="58">
        <f t="shared" si="907"/>
        <v>0</v>
      </c>
      <c r="I917" s="58">
        <f t="shared" si="907"/>
        <v>59</v>
      </c>
      <c r="J917" s="58">
        <f t="shared" si="907"/>
        <v>0</v>
      </c>
      <c r="K917" s="58">
        <f t="shared" si="907"/>
        <v>0</v>
      </c>
      <c r="L917" s="58">
        <f t="shared" si="907"/>
        <v>0</v>
      </c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0" customHeight="1">
      <c r="A918" s="70"/>
      <c r="B918" s="71"/>
      <c r="C918" s="66"/>
      <c r="D918" s="66">
        <f t="shared" si="3"/>
        <v>0</v>
      </c>
      <c r="E918" s="67"/>
      <c r="F918" s="58">
        <f t="shared" ref="F918:L918" si="908">SUMIFS($C918,$B918,F$7)+F917</f>
        <v>0</v>
      </c>
      <c r="G918" s="58">
        <f t="shared" si="908"/>
        <v>0</v>
      </c>
      <c r="H918" s="58">
        <f t="shared" si="908"/>
        <v>0</v>
      </c>
      <c r="I918" s="58">
        <f t="shared" si="908"/>
        <v>59</v>
      </c>
      <c r="J918" s="58">
        <f t="shared" si="908"/>
        <v>0</v>
      </c>
      <c r="K918" s="58">
        <f t="shared" si="908"/>
        <v>0</v>
      </c>
      <c r="L918" s="58">
        <f t="shared" si="908"/>
        <v>0</v>
      </c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0" customHeight="1">
      <c r="A919" s="70"/>
      <c r="B919" s="71"/>
      <c r="C919" s="66"/>
      <c r="D919" s="66">
        <f t="shared" si="3"/>
        <v>0</v>
      </c>
      <c r="E919" s="67"/>
      <c r="F919" s="58">
        <f t="shared" ref="F919:L919" si="909">SUMIFS($C919,$B919,F$7)+F918</f>
        <v>0</v>
      </c>
      <c r="G919" s="58">
        <f t="shared" si="909"/>
        <v>0</v>
      </c>
      <c r="H919" s="58">
        <f t="shared" si="909"/>
        <v>0</v>
      </c>
      <c r="I919" s="58">
        <f t="shared" si="909"/>
        <v>59</v>
      </c>
      <c r="J919" s="58">
        <f t="shared" si="909"/>
        <v>0</v>
      </c>
      <c r="K919" s="58">
        <f t="shared" si="909"/>
        <v>0</v>
      </c>
      <c r="L919" s="58">
        <f t="shared" si="909"/>
        <v>0</v>
      </c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0" customHeight="1">
      <c r="A920" s="70"/>
      <c r="B920" s="71"/>
      <c r="C920" s="66"/>
      <c r="D920" s="66">
        <f t="shared" si="3"/>
        <v>0</v>
      </c>
      <c r="E920" s="67"/>
      <c r="F920" s="58">
        <f t="shared" ref="F920:L920" si="910">SUMIFS($C920,$B920,F$7)+F919</f>
        <v>0</v>
      </c>
      <c r="G920" s="58">
        <f t="shared" si="910"/>
        <v>0</v>
      </c>
      <c r="H920" s="58">
        <f t="shared" si="910"/>
        <v>0</v>
      </c>
      <c r="I920" s="58">
        <f t="shared" si="910"/>
        <v>59</v>
      </c>
      <c r="J920" s="58">
        <f t="shared" si="910"/>
        <v>0</v>
      </c>
      <c r="K920" s="58">
        <f t="shared" si="910"/>
        <v>0</v>
      </c>
      <c r="L920" s="58">
        <f t="shared" si="910"/>
        <v>0</v>
      </c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0" customHeight="1">
      <c r="A921" s="70"/>
      <c r="B921" s="71"/>
      <c r="C921" s="66"/>
      <c r="D921" s="66">
        <f t="shared" si="3"/>
        <v>0</v>
      </c>
      <c r="E921" s="67"/>
      <c r="F921" s="58">
        <f t="shared" ref="F921:L921" si="911">SUMIFS($C921,$B921,F$7)+F920</f>
        <v>0</v>
      </c>
      <c r="G921" s="58">
        <f t="shared" si="911"/>
        <v>0</v>
      </c>
      <c r="H921" s="58">
        <f t="shared" si="911"/>
        <v>0</v>
      </c>
      <c r="I921" s="58">
        <f t="shared" si="911"/>
        <v>59</v>
      </c>
      <c r="J921" s="58">
        <f t="shared" si="911"/>
        <v>0</v>
      </c>
      <c r="K921" s="58">
        <f t="shared" si="911"/>
        <v>0</v>
      </c>
      <c r="L921" s="58">
        <f t="shared" si="911"/>
        <v>0</v>
      </c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0" customHeight="1">
      <c r="A922" s="70"/>
      <c r="B922" s="71"/>
      <c r="C922" s="66"/>
      <c r="D922" s="66">
        <f t="shared" si="3"/>
        <v>0</v>
      </c>
      <c r="E922" s="67"/>
      <c r="F922" s="58">
        <f t="shared" ref="F922:L922" si="912">SUMIFS($C922,$B922,F$7)+F921</f>
        <v>0</v>
      </c>
      <c r="G922" s="58">
        <f t="shared" si="912"/>
        <v>0</v>
      </c>
      <c r="H922" s="58">
        <f t="shared" si="912"/>
        <v>0</v>
      </c>
      <c r="I922" s="58">
        <f t="shared" si="912"/>
        <v>59</v>
      </c>
      <c r="J922" s="58">
        <f t="shared" si="912"/>
        <v>0</v>
      </c>
      <c r="K922" s="58">
        <f t="shared" si="912"/>
        <v>0</v>
      </c>
      <c r="L922" s="58">
        <f t="shared" si="912"/>
        <v>0</v>
      </c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0" customHeight="1">
      <c r="A923" s="70"/>
      <c r="B923" s="71"/>
      <c r="C923" s="66"/>
      <c r="D923" s="66">
        <f t="shared" si="3"/>
        <v>0</v>
      </c>
      <c r="E923" s="67"/>
      <c r="F923" s="58">
        <f t="shared" ref="F923:L923" si="913">SUMIFS($C923,$B923,F$7)+F922</f>
        <v>0</v>
      </c>
      <c r="G923" s="58">
        <f t="shared" si="913"/>
        <v>0</v>
      </c>
      <c r="H923" s="58">
        <f t="shared" si="913"/>
        <v>0</v>
      </c>
      <c r="I923" s="58">
        <f t="shared" si="913"/>
        <v>59</v>
      </c>
      <c r="J923" s="58">
        <f t="shared" si="913"/>
        <v>0</v>
      </c>
      <c r="K923" s="58">
        <f t="shared" si="913"/>
        <v>0</v>
      </c>
      <c r="L923" s="58">
        <f t="shared" si="913"/>
        <v>0</v>
      </c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0" customHeight="1">
      <c r="A924" s="70"/>
      <c r="B924" s="71"/>
      <c r="C924" s="66"/>
      <c r="D924" s="66">
        <f t="shared" si="3"/>
        <v>0</v>
      </c>
      <c r="E924" s="67"/>
      <c r="F924" s="58">
        <f t="shared" ref="F924:L924" si="914">SUMIFS($C924,$B924,F$7)+F923</f>
        <v>0</v>
      </c>
      <c r="G924" s="58">
        <f t="shared" si="914"/>
        <v>0</v>
      </c>
      <c r="H924" s="58">
        <f t="shared" si="914"/>
        <v>0</v>
      </c>
      <c r="I924" s="58">
        <f t="shared" si="914"/>
        <v>59</v>
      </c>
      <c r="J924" s="58">
        <f t="shared" si="914"/>
        <v>0</v>
      </c>
      <c r="K924" s="58">
        <f t="shared" si="914"/>
        <v>0</v>
      </c>
      <c r="L924" s="58">
        <f t="shared" si="914"/>
        <v>0</v>
      </c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0" customHeight="1">
      <c r="A925" s="70"/>
      <c r="B925" s="71"/>
      <c r="C925" s="66"/>
      <c r="D925" s="66">
        <f t="shared" si="3"/>
        <v>0</v>
      </c>
      <c r="E925" s="67"/>
      <c r="F925" s="58">
        <f t="shared" ref="F925:L925" si="915">SUMIFS($C925,$B925,F$7)+F924</f>
        <v>0</v>
      </c>
      <c r="G925" s="58">
        <f t="shared" si="915"/>
        <v>0</v>
      </c>
      <c r="H925" s="58">
        <f t="shared" si="915"/>
        <v>0</v>
      </c>
      <c r="I925" s="58">
        <f t="shared" si="915"/>
        <v>59</v>
      </c>
      <c r="J925" s="58">
        <f t="shared" si="915"/>
        <v>0</v>
      </c>
      <c r="K925" s="58">
        <f t="shared" si="915"/>
        <v>0</v>
      </c>
      <c r="L925" s="58">
        <f t="shared" si="915"/>
        <v>0</v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0" customHeight="1">
      <c r="A926" s="70"/>
      <c r="B926" s="71"/>
      <c r="C926" s="66"/>
      <c r="D926" s="66">
        <f t="shared" si="3"/>
        <v>0</v>
      </c>
      <c r="E926" s="67"/>
      <c r="F926" s="58">
        <f t="shared" ref="F926:L926" si="916">SUMIFS($C926,$B926,F$7)+F925</f>
        <v>0</v>
      </c>
      <c r="G926" s="58">
        <f t="shared" si="916"/>
        <v>0</v>
      </c>
      <c r="H926" s="58">
        <f t="shared" si="916"/>
        <v>0</v>
      </c>
      <c r="I926" s="58">
        <f t="shared" si="916"/>
        <v>59</v>
      </c>
      <c r="J926" s="58">
        <f t="shared" si="916"/>
        <v>0</v>
      </c>
      <c r="K926" s="58">
        <f t="shared" si="916"/>
        <v>0</v>
      </c>
      <c r="L926" s="58">
        <f t="shared" si="916"/>
        <v>0</v>
      </c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0" customHeight="1">
      <c r="A927" s="70"/>
      <c r="B927" s="71"/>
      <c r="C927" s="66"/>
      <c r="D927" s="66">
        <f t="shared" si="3"/>
        <v>0</v>
      </c>
      <c r="E927" s="67"/>
      <c r="F927" s="58">
        <f t="shared" ref="F927:L927" si="917">SUMIFS($C927,$B927,F$7)+F926</f>
        <v>0</v>
      </c>
      <c r="G927" s="58">
        <f t="shared" si="917"/>
        <v>0</v>
      </c>
      <c r="H927" s="58">
        <f t="shared" si="917"/>
        <v>0</v>
      </c>
      <c r="I927" s="58">
        <f t="shared" si="917"/>
        <v>59</v>
      </c>
      <c r="J927" s="58">
        <f t="shared" si="917"/>
        <v>0</v>
      </c>
      <c r="K927" s="58">
        <f t="shared" si="917"/>
        <v>0</v>
      </c>
      <c r="L927" s="58">
        <f t="shared" si="917"/>
        <v>0</v>
      </c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0" customHeight="1">
      <c r="A928" s="70"/>
      <c r="B928" s="71"/>
      <c r="C928" s="66"/>
      <c r="D928" s="66">
        <f t="shared" si="3"/>
        <v>0</v>
      </c>
      <c r="E928" s="67"/>
      <c r="F928" s="58">
        <f t="shared" ref="F928:L928" si="918">SUMIFS($C928,$B928,F$7)+F927</f>
        <v>0</v>
      </c>
      <c r="G928" s="58">
        <f t="shared" si="918"/>
        <v>0</v>
      </c>
      <c r="H928" s="58">
        <f t="shared" si="918"/>
        <v>0</v>
      </c>
      <c r="I928" s="58">
        <f t="shared" si="918"/>
        <v>59</v>
      </c>
      <c r="J928" s="58">
        <f t="shared" si="918"/>
        <v>0</v>
      </c>
      <c r="K928" s="58">
        <f t="shared" si="918"/>
        <v>0</v>
      </c>
      <c r="L928" s="58">
        <f t="shared" si="918"/>
        <v>0</v>
      </c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0" customHeight="1">
      <c r="A929" s="70"/>
      <c r="B929" s="71"/>
      <c r="C929" s="66"/>
      <c r="D929" s="66">
        <f t="shared" si="3"/>
        <v>0</v>
      </c>
      <c r="E929" s="67"/>
      <c r="F929" s="58">
        <f t="shared" ref="F929:L929" si="919">SUMIFS($C929,$B929,F$7)+F928</f>
        <v>0</v>
      </c>
      <c r="G929" s="58">
        <f t="shared" si="919"/>
        <v>0</v>
      </c>
      <c r="H929" s="58">
        <f t="shared" si="919"/>
        <v>0</v>
      </c>
      <c r="I929" s="58">
        <f t="shared" si="919"/>
        <v>59</v>
      </c>
      <c r="J929" s="58">
        <f t="shared" si="919"/>
        <v>0</v>
      </c>
      <c r="K929" s="58">
        <f t="shared" si="919"/>
        <v>0</v>
      </c>
      <c r="L929" s="58">
        <f t="shared" si="919"/>
        <v>0</v>
      </c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0" customHeight="1">
      <c r="A930" s="70"/>
      <c r="B930" s="71"/>
      <c r="C930" s="66"/>
      <c r="D930" s="66">
        <f t="shared" si="3"/>
        <v>0</v>
      </c>
      <c r="E930" s="67"/>
      <c r="F930" s="58">
        <f t="shared" ref="F930:L930" si="920">SUMIFS($C930,$B930,F$7)+F929</f>
        <v>0</v>
      </c>
      <c r="G930" s="58">
        <f t="shared" si="920"/>
        <v>0</v>
      </c>
      <c r="H930" s="58">
        <f t="shared" si="920"/>
        <v>0</v>
      </c>
      <c r="I930" s="58">
        <f t="shared" si="920"/>
        <v>59</v>
      </c>
      <c r="J930" s="58">
        <f t="shared" si="920"/>
        <v>0</v>
      </c>
      <c r="K930" s="58">
        <f t="shared" si="920"/>
        <v>0</v>
      </c>
      <c r="L930" s="58">
        <f t="shared" si="920"/>
        <v>0</v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0" customHeight="1">
      <c r="A931" s="70"/>
      <c r="B931" s="71"/>
      <c r="C931" s="66"/>
      <c r="D931" s="66">
        <f t="shared" si="3"/>
        <v>0</v>
      </c>
      <c r="E931" s="67"/>
      <c r="F931" s="58">
        <f t="shared" ref="F931:L931" si="921">SUMIFS($C931,$B931,F$7)+F930</f>
        <v>0</v>
      </c>
      <c r="G931" s="58">
        <f t="shared" si="921"/>
        <v>0</v>
      </c>
      <c r="H931" s="58">
        <f t="shared" si="921"/>
        <v>0</v>
      </c>
      <c r="I931" s="58">
        <f t="shared" si="921"/>
        <v>59</v>
      </c>
      <c r="J931" s="58">
        <f t="shared" si="921"/>
        <v>0</v>
      </c>
      <c r="K931" s="58">
        <f t="shared" si="921"/>
        <v>0</v>
      </c>
      <c r="L931" s="58">
        <f t="shared" si="921"/>
        <v>0</v>
      </c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0" customHeight="1">
      <c r="A932" s="70"/>
      <c r="B932" s="71"/>
      <c r="C932" s="66"/>
      <c r="D932" s="66">
        <f t="shared" si="3"/>
        <v>0</v>
      </c>
      <c r="E932" s="67"/>
      <c r="F932" s="58">
        <f t="shared" ref="F932:L932" si="922">SUMIFS($C932,$B932,F$7)+F931</f>
        <v>0</v>
      </c>
      <c r="G932" s="58">
        <f t="shared" si="922"/>
        <v>0</v>
      </c>
      <c r="H932" s="58">
        <f t="shared" si="922"/>
        <v>0</v>
      </c>
      <c r="I932" s="58">
        <f t="shared" si="922"/>
        <v>59</v>
      </c>
      <c r="J932" s="58">
        <f t="shared" si="922"/>
        <v>0</v>
      </c>
      <c r="K932" s="58">
        <f t="shared" si="922"/>
        <v>0</v>
      </c>
      <c r="L932" s="58">
        <f t="shared" si="922"/>
        <v>0</v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0" customHeight="1">
      <c r="A933" s="70"/>
      <c r="B933" s="71"/>
      <c r="C933" s="66"/>
      <c r="D933" s="66">
        <f t="shared" si="3"/>
        <v>0</v>
      </c>
      <c r="E933" s="67"/>
      <c r="F933" s="58">
        <f t="shared" ref="F933:L933" si="923">SUMIFS($C933,$B933,F$7)+F932</f>
        <v>0</v>
      </c>
      <c r="G933" s="58">
        <f t="shared" si="923"/>
        <v>0</v>
      </c>
      <c r="H933" s="58">
        <f t="shared" si="923"/>
        <v>0</v>
      </c>
      <c r="I933" s="58">
        <f t="shared" si="923"/>
        <v>59</v>
      </c>
      <c r="J933" s="58">
        <f t="shared" si="923"/>
        <v>0</v>
      </c>
      <c r="K933" s="58">
        <f t="shared" si="923"/>
        <v>0</v>
      </c>
      <c r="L933" s="58">
        <f t="shared" si="923"/>
        <v>0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0" customHeight="1">
      <c r="A934" s="70"/>
      <c r="B934" s="71"/>
      <c r="C934" s="66"/>
      <c r="D934" s="66">
        <f t="shared" si="3"/>
        <v>0</v>
      </c>
      <c r="E934" s="67"/>
      <c r="F934" s="58">
        <f t="shared" ref="F934:L934" si="924">SUMIFS($C934,$B934,F$7)+F933</f>
        <v>0</v>
      </c>
      <c r="G934" s="58">
        <f t="shared" si="924"/>
        <v>0</v>
      </c>
      <c r="H934" s="58">
        <f t="shared" si="924"/>
        <v>0</v>
      </c>
      <c r="I934" s="58">
        <f t="shared" si="924"/>
        <v>59</v>
      </c>
      <c r="J934" s="58">
        <f t="shared" si="924"/>
        <v>0</v>
      </c>
      <c r="K934" s="58">
        <f t="shared" si="924"/>
        <v>0</v>
      </c>
      <c r="L934" s="58">
        <f t="shared" si="924"/>
        <v>0</v>
      </c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0" customHeight="1">
      <c r="A935" s="70"/>
      <c r="B935" s="71"/>
      <c r="C935" s="66"/>
      <c r="D935" s="66">
        <f t="shared" si="3"/>
        <v>0</v>
      </c>
      <c r="E935" s="67"/>
      <c r="F935" s="58">
        <f t="shared" ref="F935:L935" si="925">SUMIFS($C935,$B935,F$7)+F934</f>
        <v>0</v>
      </c>
      <c r="G935" s="58">
        <f t="shared" si="925"/>
        <v>0</v>
      </c>
      <c r="H935" s="58">
        <f t="shared" si="925"/>
        <v>0</v>
      </c>
      <c r="I935" s="58">
        <f t="shared" si="925"/>
        <v>59</v>
      </c>
      <c r="J935" s="58">
        <f t="shared" si="925"/>
        <v>0</v>
      </c>
      <c r="K935" s="58">
        <f t="shared" si="925"/>
        <v>0</v>
      </c>
      <c r="L935" s="58">
        <f t="shared" si="925"/>
        <v>0</v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0" customHeight="1">
      <c r="A936" s="70"/>
      <c r="B936" s="71"/>
      <c r="C936" s="66"/>
      <c r="D936" s="66">
        <f t="shared" si="3"/>
        <v>0</v>
      </c>
      <c r="E936" s="67"/>
      <c r="F936" s="58">
        <f t="shared" ref="F936:L936" si="926">SUMIFS($C936,$B936,F$7)+F935</f>
        <v>0</v>
      </c>
      <c r="G936" s="58">
        <f t="shared" si="926"/>
        <v>0</v>
      </c>
      <c r="H936" s="58">
        <f t="shared" si="926"/>
        <v>0</v>
      </c>
      <c r="I936" s="58">
        <f t="shared" si="926"/>
        <v>59</v>
      </c>
      <c r="J936" s="58">
        <f t="shared" si="926"/>
        <v>0</v>
      </c>
      <c r="K936" s="58">
        <f t="shared" si="926"/>
        <v>0</v>
      </c>
      <c r="L936" s="58">
        <f t="shared" si="926"/>
        <v>0</v>
      </c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0" customHeight="1">
      <c r="A937" s="70"/>
      <c r="B937" s="71"/>
      <c r="C937" s="66"/>
      <c r="D937" s="66">
        <f t="shared" si="3"/>
        <v>0</v>
      </c>
      <c r="E937" s="67"/>
      <c r="F937" s="58">
        <f t="shared" ref="F937:L937" si="927">SUMIFS($C937,$B937,F$7)+F936</f>
        <v>0</v>
      </c>
      <c r="G937" s="58">
        <f t="shared" si="927"/>
        <v>0</v>
      </c>
      <c r="H937" s="58">
        <f t="shared" si="927"/>
        <v>0</v>
      </c>
      <c r="I937" s="58">
        <f t="shared" si="927"/>
        <v>59</v>
      </c>
      <c r="J937" s="58">
        <f t="shared" si="927"/>
        <v>0</v>
      </c>
      <c r="K937" s="58">
        <f t="shared" si="927"/>
        <v>0</v>
      </c>
      <c r="L937" s="58">
        <f t="shared" si="927"/>
        <v>0</v>
      </c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0" customHeight="1">
      <c r="A938" s="70"/>
      <c r="B938" s="71"/>
      <c r="C938" s="66"/>
      <c r="D938" s="66">
        <f t="shared" si="3"/>
        <v>0</v>
      </c>
      <c r="E938" s="67"/>
      <c r="F938" s="58">
        <f t="shared" ref="F938:L938" si="928">SUMIFS($C938,$B938,F$7)+F937</f>
        <v>0</v>
      </c>
      <c r="G938" s="58">
        <f t="shared" si="928"/>
        <v>0</v>
      </c>
      <c r="H938" s="58">
        <f t="shared" si="928"/>
        <v>0</v>
      </c>
      <c r="I938" s="58">
        <f t="shared" si="928"/>
        <v>59</v>
      </c>
      <c r="J938" s="58">
        <f t="shared" si="928"/>
        <v>0</v>
      </c>
      <c r="K938" s="58">
        <f t="shared" si="928"/>
        <v>0</v>
      </c>
      <c r="L938" s="58">
        <f t="shared" si="928"/>
        <v>0</v>
      </c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0" customHeight="1">
      <c r="A939" s="70"/>
      <c r="B939" s="71"/>
      <c r="C939" s="66"/>
      <c r="D939" s="66">
        <f t="shared" si="3"/>
        <v>0</v>
      </c>
      <c r="E939" s="67"/>
      <c r="F939" s="58">
        <f t="shared" ref="F939:L939" si="929">SUMIFS($C939,$B939,F$7)+F938</f>
        <v>0</v>
      </c>
      <c r="G939" s="58">
        <f t="shared" si="929"/>
        <v>0</v>
      </c>
      <c r="H939" s="58">
        <f t="shared" si="929"/>
        <v>0</v>
      </c>
      <c r="I939" s="58">
        <f t="shared" si="929"/>
        <v>59</v>
      </c>
      <c r="J939" s="58">
        <f t="shared" si="929"/>
        <v>0</v>
      </c>
      <c r="K939" s="58">
        <f t="shared" si="929"/>
        <v>0</v>
      </c>
      <c r="L939" s="58">
        <f t="shared" si="929"/>
        <v>0</v>
      </c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0" customHeight="1">
      <c r="A940" s="70"/>
      <c r="B940" s="71"/>
      <c r="C940" s="66"/>
      <c r="D940" s="66">
        <f t="shared" si="3"/>
        <v>0</v>
      </c>
      <c r="E940" s="67"/>
      <c r="F940" s="58">
        <f t="shared" ref="F940:L940" si="930">SUMIFS($C940,$B940,F$7)+F939</f>
        <v>0</v>
      </c>
      <c r="G940" s="58">
        <f t="shared" si="930"/>
        <v>0</v>
      </c>
      <c r="H940" s="58">
        <f t="shared" si="930"/>
        <v>0</v>
      </c>
      <c r="I940" s="58">
        <f t="shared" si="930"/>
        <v>59</v>
      </c>
      <c r="J940" s="58">
        <f t="shared" si="930"/>
        <v>0</v>
      </c>
      <c r="K940" s="58">
        <f t="shared" si="930"/>
        <v>0</v>
      </c>
      <c r="L940" s="58">
        <f t="shared" si="930"/>
        <v>0</v>
      </c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0" customHeight="1">
      <c r="A941" s="70"/>
      <c r="B941" s="71"/>
      <c r="C941" s="66"/>
      <c r="D941" s="66">
        <f t="shared" si="3"/>
        <v>0</v>
      </c>
      <c r="E941" s="67"/>
      <c r="F941" s="58">
        <f t="shared" ref="F941:L941" si="931">SUMIFS($C941,$B941,F$7)+F940</f>
        <v>0</v>
      </c>
      <c r="G941" s="58">
        <f t="shared" si="931"/>
        <v>0</v>
      </c>
      <c r="H941" s="58">
        <f t="shared" si="931"/>
        <v>0</v>
      </c>
      <c r="I941" s="58">
        <f t="shared" si="931"/>
        <v>59</v>
      </c>
      <c r="J941" s="58">
        <f t="shared" si="931"/>
        <v>0</v>
      </c>
      <c r="K941" s="58">
        <f t="shared" si="931"/>
        <v>0</v>
      </c>
      <c r="L941" s="58">
        <f t="shared" si="931"/>
        <v>0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0" customHeight="1">
      <c r="A942" s="70"/>
      <c r="B942" s="71"/>
      <c r="C942" s="66"/>
      <c r="D942" s="66">
        <f t="shared" si="3"/>
        <v>0</v>
      </c>
      <c r="E942" s="67"/>
      <c r="F942" s="58">
        <f t="shared" ref="F942:L942" si="932">SUMIFS($C942,$B942,F$7)+F941</f>
        <v>0</v>
      </c>
      <c r="G942" s="58">
        <f t="shared" si="932"/>
        <v>0</v>
      </c>
      <c r="H942" s="58">
        <f t="shared" si="932"/>
        <v>0</v>
      </c>
      <c r="I942" s="58">
        <f t="shared" si="932"/>
        <v>59</v>
      </c>
      <c r="J942" s="58">
        <f t="shared" si="932"/>
        <v>0</v>
      </c>
      <c r="K942" s="58">
        <f t="shared" si="932"/>
        <v>0</v>
      </c>
      <c r="L942" s="58">
        <f t="shared" si="932"/>
        <v>0</v>
      </c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0" customHeight="1">
      <c r="A943" s="70"/>
      <c r="B943" s="71"/>
      <c r="C943" s="66"/>
      <c r="D943" s="66">
        <f t="shared" si="3"/>
        <v>0</v>
      </c>
      <c r="E943" s="67"/>
      <c r="F943" s="58">
        <f t="shared" ref="F943:L943" si="933">SUMIFS($C943,$B943,F$7)+F942</f>
        <v>0</v>
      </c>
      <c r="G943" s="58">
        <f t="shared" si="933"/>
        <v>0</v>
      </c>
      <c r="H943" s="58">
        <f t="shared" si="933"/>
        <v>0</v>
      </c>
      <c r="I943" s="58">
        <f t="shared" si="933"/>
        <v>59</v>
      </c>
      <c r="J943" s="58">
        <f t="shared" si="933"/>
        <v>0</v>
      </c>
      <c r="K943" s="58">
        <f t="shared" si="933"/>
        <v>0</v>
      </c>
      <c r="L943" s="58">
        <f t="shared" si="933"/>
        <v>0</v>
      </c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0" customHeight="1">
      <c r="A944" s="70"/>
      <c r="B944" s="71"/>
      <c r="C944" s="66"/>
      <c r="D944" s="66">
        <f t="shared" si="3"/>
        <v>0</v>
      </c>
      <c r="E944" s="67"/>
      <c r="F944" s="58">
        <f t="shared" ref="F944:L944" si="934">SUMIFS($C944,$B944,F$7)+F943</f>
        <v>0</v>
      </c>
      <c r="G944" s="58">
        <f t="shared" si="934"/>
        <v>0</v>
      </c>
      <c r="H944" s="58">
        <f t="shared" si="934"/>
        <v>0</v>
      </c>
      <c r="I944" s="58">
        <f t="shared" si="934"/>
        <v>59</v>
      </c>
      <c r="J944" s="58">
        <f t="shared" si="934"/>
        <v>0</v>
      </c>
      <c r="K944" s="58">
        <f t="shared" si="934"/>
        <v>0</v>
      </c>
      <c r="L944" s="58">
        <f t="shared" si="934"/>
        <v>0</v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0" customHeight="1">
      <c r="A945" s="70"/>
      <c r="B945" s="71"/>
      <c r="C945" s="66"/>
      <c r="D945" s="66">
        <f t="shared" si="3"/>
        <v>0</v>
      </c>
      <c r="E945" s="67"/>
      <c r="F945" s="58">
        <f t="shared" ref="F945:L945" si="935">SUMIFS($C945,$B945,F$7)+F944</f>
        <v>0</v>
      </c>
      <c r="G945" s="58">
        <f t="shared" si="935"/>
        <v>0</v>
      </c>
      <c r="H945" s="58">
        <f t="shared" si="935"/>
        <v>0</v>
      </c>
      <c r="I945" s="58">
        <f t="shared" si="935"/>
        <v>59</v>
      </c>
      <c r="J945" s="58">
        <f t="shared" si="935"/>
        <v>0</v>
      </c>
      <c r="K945" s="58">
        <f t="shared" si="935"/>
        <v>0</v>
      </c>
      <c r="L945" s="58">
        <f t="shared" si="935"/>
        <v>0</v>
      </c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0" customHeight="1">
      <c r="A946" s="70"/>
      <c r="B946" s="71"/>
      <c r="C946" s="66"/>
      <c r="D946" s="66">
        <f t="shared" si="3"/>
        <v>0</v>
      </c>
      <c r="E946" s="67"/>
      <c r="F946" s="58">
        <f t="shared" ref="F946:L946" si="936">SUMIFS($C946,$B946,F$7)+F945</f>
        <v>0</v>
      </c>
      <c r="G946" s="58">
        <f t="shared" si="936"/>
        <v>0</v>
      </c>
      <c r="H946" s="58">
        <f t="shared" si="936"/>
        <v>0</v>
      </c>
      <c r="I946" s="58">
        <f t="shared" si="936"/>
        <v>59</v>
      </c>
      <c r="J946" s="58">
        <f t="shared" si="936"/>
        <v>0</v>
      </c>
      <c r="K946" s="58">
        <f t="shared" si="936"/>
        <v>0</v>
      </c>
      <c r="L946" s="58">
        <f t="shared" si="936"/>
        <v>0</v>
      </c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0" customHeight="1">
      <c r="A947" s="70"/>
      <c r="B947" s="71"/>
      <c r="C947" s="66"/>
      <c r="D947" s="66">
        <f t="shared" si="3"/>
        <v>0</v>
      </c>
      <c r="E947" s="67"/>
      <c r="F947" s="58">
        <f t="shared" ref="F947:L947" si="937">SUMIFS($C947,$B947,F$7)+F946</f>
        <v>0</v>
      </c>
      <c r="G947" s="58">
        <f t="shared" si="937"/>
        <v>0</v>
      </c>
      <c r="H947" s="58">
        <f t="shared" si="937"/>
        <v>0</v>
      </c>
      <c r="I947" s="58">
        <f t="shared" si="937"/>
        <v>59</v>
      </c>
      <c r="J947" s="58">
        <f t="shared" si="937"/>
        <v>0</v>
      </c>
      <c r="K947" s="58">
        <f t="shared" si="937"/>
        <v>0</v>
      </c>
      <c r="L947" s="58">
        <f t="shared" si="937"/>
        <v>0</v>
      </c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0" customHeight="1">
      <c r="A948" s="70"/>
      <c r="B948" s="71"/>
      <c r="C948" s="66"/>
      <c r="D948" s="66">
        <f t="shared" si="3"/>
        <v>0</v>
      </c>
      <c r="E948" s="67"/>
      <c r="F948" s="58">
        <f t="shared" ref="F948:L948" si="938">SUMIFS($C948,$B948,F$7)+F947</f>
        <v>0</v>
      </c>
      <c r="G948" s="58">
        <f t="shared" si="938"/>
        <v>0</v>
      </c>
      <c r="H948" s="58">
        <f t="shared" si="938"/>
        <v>0</v>
      </c>
      <c r="I948" s="58">
        <f t="shared" si="938"/>
        <v>59</v>
      </c>
      <c r="J948" s="58">
        <f t="shared" si="938"/>
        <v>0</v>
      </c>
      <c r="K948" s="58">
        <f t="shared" si="938"/>
        <v>0</v>
      </c>
      <c r="L948" s="58">
        <f t="shared" si="938"/>
        <v>0</v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0" customHeight="1">
      <c r="A949" s="70"/>
      <c r="B949" s="71"/>
      <c r="C949" s="66"/>
      <c r="D949" s="66">
        <f t="shared" si="3"/>
        <v>0</v>
      </c>
      <c r="E949" s="67"/>
      <c r="F949" s="58">
        <f t="shared" ref="F949:L949" si="939">SUMIFS($C949,$B949,F$7)+F948</f>
        <v>0</v>
      </c>
      <c r="G949" s="58">
        <f t="shared" si="939"/>
        <v>0</v>
      </c>
      <c r="H949" s="58">
        <f t="shared" si="939"/>
        <v>0</v>
      </c>
      <c r="I949" s="58">
        <f t="shared" si="939"/>
        <v>59</v>
      </c>
      <c r="J949" s="58">
        <f t="shared" si="939"/>
        <v>0</v>
      </c>
      <c r="K949" s="58">
        <f t="shared" si="939"/>
        <v>0</v>
      </c>
      <c r="L949" s="58">
        <f t="shared" si="939"/>
        <v>0</v>
      </c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0" customHeight="1">
      <c r="A950" s="70"/>
      <c r="B950" s="71"/>
      <c r="C950" s="66"/>
      <c r="D950" s="66">
        <f t="shared" si="3"/>
        <v>0</v>
      </c>
      <c r="E950" s="67"/>
      <c r="F950" s="58">
        <f t="shared" ref="F950:L950" si="940">SUMIFS($C950,$B950,F$7)+F949</f>
        <v>0</v>
      </c>
      <c r="G950" s="58">
        <f t="shared" si="940"/>
        <v>0</v>
      </c>
      <c r="H950" s="58">
        <f t="shared" si="940"/>
        <v>0</v>
      </c>
      <c r="I950" s="58">
        <f t="shared" si="940"/>
        <v>59</v>
      </c>
      <c r="J950" s="58">
        <f t="shared" si="940"/>
        <v>0</v>
      </c>
      <c r="K950" s="58">
        <f t="shared" si="940"/>
        <v>0</v>
      </c>
      <c r="L950" s="58">
        <f t="shared" si="940"/>
        <v>0</v>
      </c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0" customHeight="1">
      <c r="A951" s="70"/>
      <c r="B951" s="71"/>
      <c r="C951" s="66"/>
      <c r="D951" s="66">
        <f t="shared" si="3"/>
        <v>0</v>
      </c>
      <c r="E951" s="67"/>
      <c r="F951" s="58">
        <f t="shared" ref="F951:L951" si="941">SUMIFS($C951,$B951,F$7)+F950</f>
        <v>0</v>
      </c>
      <c r="G951" s="58">
        <f t="shared" si="941"/>
        <v>0</v>
      </c>
      <c r="H951" s="58">
        <f t="shared" si="941"/>
        <v>0</v>
      </c>
      <c r="I951" s="58">
        <f t="shared" si="941"/>
        <v>59</v>
      </c>
      <c r="J951" s="58">
        <f t="shared" si="941"/>
        <v>0</v>
      </c>
      <c r="K951" s="58">
        <f t="shared" si="941"/>
        <v>0</v>
      </c>
      <c r="L951" s="58">
        <f t="shared" si="941"/>
        <v>0</v>
      </c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0" customHeight="1">
      <c r="A952" s="70"/>
      <c r="B952" s="71"/>
      <c r="C952" s="66"/>
      <c r="D952" s="66">
        <f t="shared" si="3"/>
        <v>0</v>
      </c>
      <c r="E952" s="67"/>
      <c r="F952" s="58">
        <f t="shared" ref="F952:L952" si="942">SUMIFS($C952,$B952,F$7)+F951</f>
        <v>0</v>
      </c>
      <c r="G952" s="58">
        <f t="shared" si="942"/>
        <v>0</v>
      </c>
      <c r="H952" s="58">
        <f t="shared" si="942"/>
        <v>0</v>
      </c>
      <c r="I952" s="58">
        <f t="shared" si="942"/>
        <v>59</v>
      </c>
      <c r="J952" s="58">
        <f t="shared" si="942"/>
        <v>0</v>
      </c>
      <c r="K952" s="58">
        <f t="shared" si="942"/>
        <v>0</v>
      </c>
      <c r="L952" s="58">
        <f t="shared" si="942"/>
        <v>0</v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0" customHeight="1">
      <c r="A953" s="70"/>
      <c r="B953" s="71"/>
      <c r="C953" s="66"/>
      <c r="D953" s="66">
        <f t="shared" si="3"/>
        <v>0</v>
      </c>
      <c r="E953" s="67"/>
      <c r="F953" s="58">
        <f t="shared" ref="F953:L953" si="943">SUMIFS($C953,$B953,F$7)+F952</f>
        <v>0</v>
      </c>
      <c r="G953" s="58">
        <f t="shared" si="943"/>
        <v>0</v>
      </c>
      <c r="H953" s="58">
        <f t="shared" si="943"/>
        <v>0</v>
      </c>
      <c r="I953" s="58">
        <f t="shared" si="943"/>
        <v>59</v>
      </c>
      <c r="J953" s="58">
        <f t="shared" si="943"/>
        <v>0</v>
      </c>
      <c r="K953" s="58">
        <f t="shared" si="943"/>
        <v>0</v>
      </c>
      <c r="L953" s="58">
        <f t="shared" si="943"/>
        <v>0</v>
      </c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0" customHeight="1">
      <c r="A954" s="70"/>
      <c r="B954" s="71"/>
      <c r="C954" s="66"/>
      <c r="D954" s="66">
        <f t="shared" si="3"/>
        <v>0</v>
      </c>
      <c r="E954" s="67"/>
      <c r="F954" s="58">
        <f t="shared" ref="F954:L954" si="944">SUMIFS($C954,$B954,F$7)+F953</f>
        <v>0</v>
      </c>
      <c r="G954" s="58">
        <f t="shared" si="944"/>
        <v>0</v>
      </c>
      <c r="H954" s="58">
        <f t="shared" si="944"/>
        <v>0</v>
      </c>
      <c r="I954" s="58">
        <f t="shared" si="944"/>
        <v>59</v>
      </c>
      <c r="J954" s="58">
        <f t="shared" si="944"/>
        <v>0</v>
      </c>
      <c r="K954" s="58">
        <f t="shared" si="944"/>
        <v>0</v>
      </c>
      <c r="L954" s="58">
        <f t="shared" si="944"/>
        <v>0</v>
      </c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0" customHeight="1">
      <c r="A955" s="70"/>
      <c r="B955" s="71"/>
      <c r="C955" s="66"/>
      <c r="D955" s="66">
        <f t="shared" si="3"/>
        <v>0</v>
      </c>
      <c r="E955" s="67"/>
      <c r="F955" s="58">
        <f t="shared" ref="F955:L955" si="945">SUMIFS($C955,$B955,F$7)+F954</f>
        <v>0</v>
      </c>
      <c r="G955" s="58">
        <f t="shared" si="945"/>
        <v>0</v>
      </c>
      <c r="H955" s="58">
        <f t="shared" si="945"/>
        <v>0</v>
      </c>
      <c r="I955" s="58">
        <f t="shared" si="945"/>
        <v>59</v>
      </c>
      <c r="J955" s="58">
        <f t="shared" si="945"/>
        <v>0</v>
      </c>
      <c r="K955" s="58">
        <f t="shared" si="945"/>
        <v>0</v>
      </c>
      <c r="L955" s="58">
        <f t="shared" si="945"/>
        <v>0</v>
      </c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0" customHeight="1">
      <c r="A956" s="70"/>
      <c r="B956" s="71"/>
      <c r="C956" s="66"/>
      <c r="D956" s="66">
        <f t="shared" si="3"/>
        <v>0</v>
      </c>
      <c r="E956" s="67"/>
      <c r="F956" s="58">
        <f t="shared" ref="F956:L956" si="946">SUMIFS($C956,$B956,F$7)+F955</f>
        <v>0</v>
      </c>
      <c r="G956" s="58">
        <f t="shared" si="946"/>
        <v>0</v>
      </c>
      <c r="H956" s="58">
        <f t="shared" si="946"/>
        <v>0</v>
      </c>
      <c r="I956" s="58">
        <f t="shared" si="946"/>
        <v>59</v>
      </c>
      <c r="J956" s="58">
        <f t="shared" si="946"/>
        <v>0</v>
      </c>
      <c r="K956" s="58">
        <f t="shared" si="946"/>
        <v>0</v>
      </c>
      <c r="L956" s="58">
        <f t="shared" si="946"/>
        <v>0</v>
      </c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0" customHeight="1">
      <c r="A957" s="70"/>
      <c r="B957" s="71"/>
      <c r="C957" s="66"/>
      <c r="D957" s="66">
        <f t="shared" si="3"/>
        <v>0</v>
      </c>
      <c r="E957" s="67"/>
      <c r="F957" s="58">
        <f t="shared" ref="F957:L957" si="947">SUMIFS($C957,$B957,F$7)+F956</f>
        <v>0</v>
      </c>
      <c r="G957" s="58">
        <f t="shared" si="947"/>
        <v>0</v>
      </c>
      <c r="H957" s="58">
        <f t="shared" si="947"/>
        <v>0</v>
      </c>
      <c r="I957" s="58">
        <f t="shared" si="947"/>
        <v>59</v>
      </c>
      <c r="J957" s="58">
        <f t="shared" si="947"/>
        <v>0</v>
      </c>
      <c r="K957" s="58">
        <f t="shared" si="947"/>
        <v>0</v>
      </c>
      <c r="L957" s="58">
        <f t="shared" si="947"/>
        <v>0</v>
      </c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0" customHeight="1">
      <c r="A958" s="70"/>
      <c r="B958" s="71"/>
      <c r="C958" s="66"/>
      <c r="D958" s="66">
        <f t="shared" si="3"/>
        <v>0</v>
      </c>
      <c r="E958" s="67"/>
      <c r="F958" s="58">
        <f t="shared" ref="F958:L958" si="948">SUMIFS($C958,$B958,F$7)+F957</f>
        <v>0</v>
      </c>
      <c r="G958" s="58">
        <f t="shared" si="948"/>
        <v>0</v>
      </c>
      <c r="H958" s="58">
        <f t="shared" si="948"/>
        <v>0</v>
      </c>
      <c r="I958" s="58">
        <f t="shared" si="948"/>
        <v>59</v>
      </c>
      <c r="J958" s="58">
        <f t="shared" si="948"/>
        <v>0</v>
      </c>
      <c r="K958" s="58">
        <f t="shared" si="948"/>
        <v>0</v>
      </c>
      <c r="L958" s="58">
        <f t="shared" si="948"/>
        <v>0</v>
      </c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0" customHeight="1">
      <c r="A959" s="70"/>
      <c r="B959" s="71"/>
      <c r="C959" s="66"/>
      <c r="D959" s="66">
        <f t="shared" si="3"/>
        <v>0</v>
      </c>
      <c r="E959" s="67"/>
      <c r="F959" s="58">
        <f t="shared" ref="F959:L959" si="949">SUMIFS($C959,$B959,F$7)+F958</f>
        <v>0</v>
      </c>
      <c r="G959" s="58">
        <f t="shared" si="949"/>
        <v>0</v>
      </c>
      <c r="H959" s="58">
        <f t="shared" si="949"/>
        <v>0</v>
      </c>
      <c r="I959" s="58">
        <f t="shared" si="949"/>
        <v>59</v>
      </c>
      <c r="J959" s="58">
        <f t="shared" si="949"/>
        <v>0</v>
      </c>
      <c r="K959" s="58">
        <f t="shared" si="949"/>
        <v>0</v>
      </c>
      <c r="L959" s="58">
        <f t="shared" si="949"/>
        <v>0</v>
      </c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0" customHeight="1">
      <c r="A960" s="70"/>
      <c r="B960" s="71"/>
      <c r="C960" s="66"/>
      <c r="D960" s="66">
        <f t="shared" si="3"/>
        <v>0</v>
      </c>
      <c r="E960" s="67"/>
      <c r="F960" s="58">
        <f t="shared" ref="F960:L960" si="950">SUMIFS($C960,$B960,F$7)+F959</f>
        <v>0</v>
      </c>
      <c r="G960" s="58">
        <f t="shared" si="950"/>
        <v>0</v>
      </c>
      <c r="H960" s="58">
        <f t="shared" si="950"/>
        <v>0</v>
      </c>
      <c r="I960" s="58">
        <f t="shared" si="950"/>
        <v>59</v>
      </c>
      <c r="J960" s="58">
        <f t="shared" si="950"/>
        <v>0</v>
      </c>
      <c r="K960" s="58">
        <f t="shared" si="950"/>
        <v>0</v>
      </c>
      <c r="L960" s="58">
        <f t="shared" si="950"/>
        <v>0</v>
      </c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0" customHeight="1">
      <c r="A961" s="70"/>
      <c r="B961" s="71"/>
      <c r="C961" s="66"/>
      <c r="D961" s="66">
        <f t="shared" si="3"/>
        <v>0</v>
      </c>
      <c r="E961" s="67"/>
      <c r="F961" s="58">
        <f t="shared" ref="F961:L961" si="951">SUMIFS($C961,$B961,F$7)+F960</f>
        <v>0</v>
      </c>
      <c r="G961" s="58">
        <f t="shared" si="951"/>
        <v>0</v>
      </c>
      <c r="H961" s="58">
        <f t="shared" si="951"/>
        <v>0</v>
      </c>
      <c r="I961" s="58">
        <f t="shared" si="951"/>
        <v>59</v>
      </c>
      <c r="J961" s="58">
        <f t="shared" si="951"/>
        <v>0</v>
      </c>
      <c r="K961" s="58">
        <f t="shared" si="951"/>
        <v>0</v>
      </c>
      <c r="L961" s="58">
        <f t="shared" si="951"/>
        <v>0</v>
      </c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0" customHeight="1">
      <c r="A962" s="70"/>
      <c r="B962" s="71"/>
      <c r="C962" s="66"/>
      <c r="D962" s="66">
        <f t="shared" si="3"/>
        <v>0</v>
      </c>
      <c r="E962" s="67"/>
      <c r="F962" s="58">
        <f t="shared" ref="F962:L962" si="952">SUMIFS($C962,$B962,F$7)+F961</f>
        <v>0</v>
      </c>
      <c r="G962" s="58">
        <f t="shared" si="952"/>
        <v>0</v>
      </c>
      <c r="H962" s="58">
        <f t="shared" si="952"/>
        <v>0</v>
      </c>
      <c r="I962" s="58">
        <f t="shared" si="952"/>
        <v>59</v>
      </c>
      <c r="J962" s="58">
        <f t="shared" si="952"/>
        <v>0</v>
      </c>
      <c r="K962" s="58">
        <f t="shared" si="952"/>
        <v>0</v>
      </c>
      <c r="L962" s="58">
        <f t="shared" si="952"/>
        <v>0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0" customHeight="1">
      <c r="A963" s="70"/>
      <c r="B963" s="71"/>
      <c r="C963" s="66"/>
      <c r="D963" s="66">
        <f t="shared" si="3"/>
        <v>0</v>
      </c>
      <c r="E963" s="67"/>
      <c r="F963" s="58">
        <f t="shared" ref="F963:L963" si="953">SUMIFS($C963,$B963,F$7)+F962</f>
        <v>0</v>
      </c>
      <c r="G963" s="58">
        <f t="shared" si="953"/>
        <v>0</v>
      </c>
      <c r="H963" s="58">
        <f t="shared" si="953"/>
        <v>0</v>
      </c>
      <c r="I963" s="58">
        <f t="shared" si="953"/>
        <v>59</v>
      </c>
      <c r="J963" s="58">
        <f t="shared" si="953"/>
        <v>0</v>
      </c>
      <c r="K963" s="58">
        <f t="shared" si="953"/>
        <v>0</v>
      </c>
      <c r="L963" s="58">
        <f t="shared" si="953"/>
        <v>0</v>
      </c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0" customHeight="1">
      <c r="A964" s="70"/>
      <c r="B964" s="71"/>
      <c r="C964" s="66"/>
      <c r="D964" s="66">
        <f t="shared" si="3"/>
        <v>0</v>
      </c>
      <c r="E964" s="67"/>
      <c r="F964" s="58">
        <f t="shared" ref="F964:L964" si="954">SUMIFS($C964,$B964,F$7)+F963</f>
        <v>0</v>
      </c>
      <c r="G964" s="58">
        <f t="shared" si="954"/>
        <v>0</v>
      </c>
      <c r="H964" s="58">
        <f t="shared" si="954"/>
        <v>0</v>
      </c>
      <c r="I964" s="58">
        <f t="shared" si="954"/>
        <v>59</v>
      </c>
      <c r="J964" s="58">
        <f t="shared" si="954"/>
        <v>0</v>
      </c>
      <c r="K964" s="58">
        <f t="shared" si="954"/>
        <v>0</v>
      </c>
      <c r="L964" s="58">
        <f t="shared" si="954"/>
        <v>0</v>
      </c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0" customHeight="1">
      <c r="A965" s="70"/>
      <c r="B965" s="71"/>
      <c r="C965" s="66"/>
      <c r="D965" s="66">
        <f t="shared" si="3"/>
        <v>0</v>
      </c>
      <c r="E965" s="67"/>
      <c r="F965" s="58">
        <f t="shared" ref="F965:L965" si="955">SUMIFS($C965,$B965,F$7)+F964</f>
        <v>0</v>
      </c>
      <c r="G965" s="58">
        <f t="shared" si="955"/>
        <v>0</v>
      </c>
      <c r="H965" s="58">
        <f t="shared" si="955"/>
        <v>0</v>
      </c>
      <c r="I965" s="58">
        <f t="shared" si="955"/>
        <v>59</v>
      </c>
      <c r="J965" s="58">
        <f t="shared" si="955"/>
        <v>0</v>
      </c>
      <c r="K965" s="58">
        <f t="shared" si="955"/>
        <v>0</v>
      </c>
      <c r="L965" s="58">
        <f t="shared" si="955"/>
        <v>0</v>
      </c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0" customHeight="1">
      <c r="A966" s="70"/>
      <c r="B966" s="71"/>
      <c r="C966" s="66"/>
      <c r="D966" s="66">
        <f t="shared" si="3"/>
        <v>0</v>
      </c>
      <c r="E966" s="67"/>
      <c r="F966" s="58">
        <f t="shared" ref="F966:L966" si="956">SUMIFS($C966,$B966,F$7)+F965</f>
        <v>0</v>
      </c>
      <c r="G966" s="58">
        <f t="shared" si="956"/>
        <v>0</v>
      </c>
      <c r="H966" s="58">
        <f t="shared" si="956"/>
        <v>0</v>
      </c>
      <c r="I966" s="58">
        <f t="shared" si="956"/>
        <v>59</v>
      </c>
      <c r="J966" s="58">
        <f t="shared" si="956"/>
        <v>0</v>
      </c>
      <c r="K966" s="58">
        <f t="shared" si="956"/>
        <v>0</v>
      </c>
      <c r="L966" s="58">
        <f t="shared" si="956"/>
        <v>0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0" customHeight="1">
      <c r="A967" s="70"/>
      <c r="B967" s="71"/>
      <c r="C967" s="66"/>
      <c r="D967" s="66">
        <f t="shared" si="3"/>
        <v>0</v>
      </c>
      <c r="E967" s="67"/>
      <c r="F967" s="58">
        <f t="shared" ref="F967:L967" si="957">SUMIFS($C967,$B967,F$7)+F966</f>
        <v>0</v>
      </c>
      <c r="G967" s="58">
        <f t="shared" si="957"/>
        <v>0</v>
      </c>
      <c r="H967" s="58">
        <f t="shared" si="957"/>
        <v>0</v>
      </c>
      <c r="I967" s="58">
        <f t="shared" si="957"/>
        <v>59</v>
      </c>
      <c r="J967" s="58">
        <f t="shared" si="957"/>
        <v>0</v>
      </c>
      <c r="K967" s="58">
        <f t="shared" si="957"/>
        <v>0</v>
      </c>
      <c r="L967" s="58">
        <f t="shared" si="957"/>
        <v>0</v>
      </c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0" customHeight="1">
      <c r="A968" s="70"/>
      <c r="B968" s="71"/>
      <c r="C968" s="66"/>
      <c r="D968" s="66">
        <f t="shared" si="3"/>
        <v>0</v>
      </c>
      <c r="E968" s="67"/>
      <c r="F968" s="58">
        <f t="shared" ref="F968:L968" si="958">SUMIFS($C968,$B968,F$7)+F967</f>
        <v>0</v>
      </c>
      <c r="G968" s="58">
        <f t="shared" si="958"/>
        <v>0</v>
      </c>
      <c r="H968" s="58">
        <f t="shared" si="958"/>
        <v>0</v>
      </c>
      <c r="I968" s="58">
        <f t="shared" si="958"/>
        <v>59</v>
      </c>
      <c r="J968" s="58">
        <f t="shared" si="958"/>
        <v>0</v>
      </c>
      <c r="K968" s="58">
        <f t="shared" si="958"/>
        <v>0</v>
      </c>
      <c r="L968" s="58">
        <f t="shared" si="958"/>
        <v>0</v>
      </c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0" customHeight="1">
      <c r="A969" s="70"/>
      <c r="B969" s="71"/>
      <c r="C969" s="66"/>
      <c r="D969" s="66">
        <f t="shared" si="3"/>
        <v>0</v>
      </c>
      <c r="E969" s="67"/>
      <c r="F969" s="58">
        <f t="shared" ref="F969:L969" si="959">SUMIFS($C969,$B969,F$7)+F968</f>
        <v>0</v>
      </c>
      <c r="G969" s="58">
        <f t="shared" si="959"/>
        <v>0</v>
      </c>
      <c r="H969" s="58">
        <f t="shared" si="959"/>
        <v>0</v>
      </c>
      <c r="I969" s="58">
        <f t="shared" si="959"/>
        <v>59</v>
      </c>
      <c r="J969" s="58">
        <f t="shared" si="959"/>
        <v>0</v>
      </c>
      <c r="K969" s="58">
        <f t="shared" si="959"/>
        <v>0</v>
      </c>
      <c r="L969" s="58">
        <f t="shared" si="959"/>
        <v>0</v>
      </c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0" customHeight="1">
      <c r="A970" s="70"/>
      <c r="B970" s="71"/>
      <c r="C970" s="66"/>
      <c r="D970" s="66">
        <f t="shared" si="3"/>
        <v>0</v>
      </c>
      <c r="E970" s="67"/>
      <c r="F970" s="58">
        <f t="shared" ref="F970:L970" si="960">SUMIFS($C970,$B970,F$7)+F969</f>
        <v>0</v>
      </c>
      <c r="G970" s="58">
        <f t="shared" si="960"/>
        <v>0</v>
      </c>
      <c r="H970" s="58">
        <f t="shared" si="960"/>
        <v>0</v>
      </c>
      <c r="I970" s="58">
        <f t="shared" si="960"/>
        <v>59</v>
      </c>
      <c r="J970" s="58">
        <f t="shared" si="960"/>
        <v>0</v>
      </c>
      <c r="K970" s="58">
        <f t="shared" si="960"/>
        <v>0</v>
      </c>
      <c r="L970" s="58">
        <f t="shared" si="960"/>
        <v>0</v>
      </c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0" customHeight="1">
      <c r="A971" s="70"/>
      <c r="B971" s="71"/>
      <c r="C971" s="66"/>
      <c r="D971" s="66">
        <f t="shared" si="3"/>
        <v>0</v>
      </c>
      <c r="E971" s="67"/>
      <c r="F971" s="58">
        <f t="shared" ref="F971:L971" si="961">SUMIFS($C971,$B971,F$7)+F970</f>
        <v>0</v>
      </c>
      <c r="G971" s="58">
        <f t="shared" si="961"/>
        <v>0</v>
      </c>
      <c r="H971" s="58">
        <f t="shared" si="961"/>
        <v>0</v>
      </c>
      <c r="I971" s="58">
        <f t="shared" si="961"/>
        <v>59</v>
      </c>
      <c r="J971" s="58">
        <f t="shared" si="961"/>
        <v>0</v>
      </c>
      <c r="K971" s="58">
        <f t="shared" si="961"/>
        <v>0</v>
      </c>
      <c r="L971" s="58">
        <f t="shared" si="961"/>
        <v>0</v>
      </c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0" customHeight="1">
      <c r="A972" s="70"/>
      <c r="B972" s="71"/>
      <c r="C972" s="66"/>
      <c r="D972" s="66">
        <f t="shared" si="3"/>
        <v>0</v>
      </c>
      <c r="E972" s="67"/>
      <c r="F972" s="58">
        <f t="shared" ref="F972:L972" si="962">SUMIFS($C972,$B972,F$7)+F971</f>
        <v>0</v>
      </c>
      <c r="G972" s="58">
        <f t="shared" si="962"/>
        <v>0</v>
      </c>
      <c r="H972" s="58">
        <f t="shared" si="962"/>
        <v>0</v>
      </c>
      <c r="I972" s="58">
        <f t="shared" si="962"/>
        <v>59</v>
      </c>
      <c r="J972" s="58">
        <f t="shared" si="962"/>
        <v>0</v>
      </c>
      <c r="K972" s="58">
        <f t="shared" si="962"/>
        <v>0</v>
      </c>
      <c r="L972" s="58">
        <f t="shared" si="962"/>
        <v>0</v>
      </c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0" customHeight="1">
      <c r="A973" s="70"/>
      <c r="B973" s="71"/>
      <c r="C973" s="66"/>
      <c r="D973" s="66">
        <f t="shared" si="3"/>
        <v>0</v>
      </c>
      <c r="E973" s="67"/>
      <c r="F973" s="58">
        <f t="shared" ref="F973:L973" si="963">SUMIFS($C973,$B973,F$7)+F972</f>
        <v>0</v>
      </c>
      <c r="G973" s="58">
        <f t="shared" si="963"/>
        <v>0</v>
      </c>
      <c r="H973" s="58">
        <f t="shared" si="963"/>
        <v>0</v>
      </c>
      <c r="I973" s="58">
        <f t="shared" si="963"/>
        <v>59</v>
      </c>
      <c r="J973" s="58">
        <f t="shared" si="963"/>
        <v>0</v>
      </c>
      <c r="K973" s="58">
        <f t="shared" si="963"/>
        <v>0</v>
      </c>
      <c r="L973" s="58">
        <f t="shared" si="963"/>
        <v>0</v>
      </c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0" customHeight="1">
      <c r="A974" s="70"/>
      <c r="B974" s="71"/>
      <c r="C974" s="66"/>
      <c r="D974" s="66">
        <f t="shared" si="3"/>
        <v>0</v>
      </c>
      <c r="E974" s="67"/>
      <c r="F974" s="58">
        <f t="shared" ref="F974:L974" si="964">SUMIFS($C974,$B974,F$7)+F973</f>
        <v>0</v>
      </c>
      <c r="G974" s="58">
        <f t="shared" si="964"/>
        <v>0</v>
      </c>
      <c r="H974" s="58">
        <f t="shared" si="964"/>
        <v>0</v>
      </c>
      <c r="I974" s="58">
        <f t="shared" si="964"/>
        <v>59</v>
      </c>
      <c r="J974" s="58">
        <f t="shared" si="964"/>
        <v>0</v>
      </c>
      <c r="K974" s="58">
        <f t="shared" si="964"/>
        <v>0</v>
      </c>
      <c r="L974" s="58">
        <f t="shared" si="964"/>
        <v>0</v>
      </c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0" customHeight="1">
      <c r="A975" s="70"/>
      <c r="B975" s="71"/>
      <c r="C975" s="66"/>
      <c r="D975" s="66">
        <f t="shared" si="3"/>
        <v>0</v>
      </c>
      <c r="E975" s="67"/>
      <c r="F975" s="58">
        <f t="shared" ref="F975:L975" si="965">SUMIFS($C975,$B975,F$7)+F974</f>
        <v>0</v>
      </c>
      <c r="G975" s="58">
        <f t="shared" si="965"/>
        <v>0</v>
      </c>
      <c r="H975" s="58">
        <f t="shared" si="965"/>
        <v>0</v>
      </c>
      <c r="I975" s="58">
        <f t="shared" si="965"/>
        <v>59</v>
      </c>
      <c r="J975" s="58">
        <f t="shared" si="965"/>
        <v>0</v>
      </c>
      <c r="K975" s="58">
        <f t="shared" si="965"/>
        <v>0</v>
      </c>
      <c r="L975" s="58">
        <f t="shared" si="965"/>
        <v>0</v>
      </c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0" customHeight="1">
      <c r="A976" s="70"/>
      <c r="B976" s="71"/>
      <c r="C976" s="66"/>
      <c r="D976" s="66">
        <f t="shared" si="3"/>
        <v>0</v>
      </c>
      <c r="E976" s="67"/>
      <c r="F976" s="58">
        <f t="shared" ref="F976:L976" si="966">SUMIFS($C976,$B976,F$7)+F975</f>
        <v>0</v>
      </c>
      <c r="G976" s="58">
        <f t="shared" si="966"/>
        <v>0</v>
      </c>
      <c r="H976" s="58">
        <f t="shared" si="966"/>
        <v>0</v>
      </c>
      <c r="I976" s="58">
        <f t="shared" si="966"/>
        <v>59</v>
      </c>
      <c r="J976" s="58">
        <f t="shared" si="966"/>
        <v>0</v>
      </c>
      <c r="K976" s="58">
        <f t="shared" si="966"/>
        <v>0</v>
      </c>
      <c r="L976" s="58">
        <f t="shared" si="966"/>
        <v>0</v>
      </c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0" customHeight="1">
      <c r="A977" s="70"/>
      <c r="B977" s="71"/>
      <c r="C977" s="66"/>
      <c r="D977" s="66">
        <f t="shared" si="3"/>
        <v>0</v>
      </c>
      <c r="E977" s="67"/>
      <c r="F977" s="58">
        <f t="shared" ref="F977:L977" si="967">SUMIFS($C977,$B977,F$7)+F976</f>
        <v>0</v>
      </c>
      <c r="G977" s="58">
        <f t="shared" si="967"/>
        <v>0</v>
      </c>
      <c r="H977" s="58">
        <f t="shared" si="967"/>
        <v>0</v>
      </c>
      <c r="I977" s="58">
        <f t="shared" si="967"/>
        <v>59</v>
      </c>
      <c r="J977" s="58">
        <f t="shared" si="967"/>
        <v>0</v>
      </c>
      <c r="K977" s="58">
        <f t="shared" si="967"/>
        <v>0</v>
      </c>
      <c r="L977" s="58">
        <f t="shared" si="967"/>
        <v>0</v>
      </c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0" customHeight="1">
      <c r="A978" s="70"/>
      <c r="B978" s="71"/>
      <c r="C978" s="66"/>
      <c r="D978" s="66">
        <f t="shared" si="3"/>
        <v>0</v>
      </c>
      <c r="E978" s="67"/>
      <c r="F978" s="58">
        <f t="shared" ref="F978:L978" si="968">SUMIFS($C978,$B978,F$7)+F977</f>
        <v>0</v>
      </c>
      <c r="G978" s="58">
        <f t="shared" si="968"/>
        <v>0</v>
      </c>
      <c r="H978" s="58">
        <f t="shared" si="968"/>
        <v>0</v>
      </c>
      <c r="I978" s="58">
        <f t="shared" si="968"/>
        <v>59</v>
      </c>
      <c r="J978" s="58">
        <f t="shared" si="968"/>
        <v>0</v>
      </c>
      <c r="K978" s="58">
        <f t="shared" si="968"/>
        <v>0</v>
      </c>
      <c r="L978" s="58">
        <f t="shared" si="968"/>
        <v>0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0" customHeight="1">
      <c r="A979" s="70"/>
      <c r="B979" s="71"/>
      <c r="C979" s="66"/>
      <c r="D979" s="66">
        <f t="shared" si="3"/>
        <v>0</v>
      </c>
      <c r="E979" s="67"/>
      <c r="F979" s="58">
        <f t="shared" ref="F979:L979" si="969">SUMIFS($C979,$B979,F$7)+F978</f>
        <v>0</v>
      </c>
      <c r="G979" s="58">
        <f t="shared" si="969"/>
        <v>0</v>
      </c>
      <c r="H979" s="58">
        <f t="shared" si="969"/>
        <v>0</v>
      </c>
      <c r="I979" s="58">
        <f t="shared" si="969"/>
        <v>59</v>
      </c>
      <c r="J979" s="58">
        <f t="shared" si="969"/>
        <v>0</v>
      </c>
      <c r="K979" s="58">
        <f t="shared" si="969"/>
        <v>0</v>
      </c>
      <c r="L979" s="58">
        <f t="shared" si="969"/>
        <v>0</v>
      </c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0" customHeight="1">
      <c r="A980" s="70"/>
      <c r="B980" s="71"/>
      <c r="C980" s="66"/>
      <c r="D980" s="66">
        <f t="shared" si="3"/>
        <v>0</v>
      </c>
      <c r="E980" s="67"/>
      <c r="F980" s="58">
        <f t="shared" ref="F980:L980" si="970">SUMIFS($C980,$B980,F$7)+F979</f>
        <v>0</v>
      </c>
      <c r="G980" s="58">
        <f t="shared" si="970"/>
        <v>0</v>
      </c>
      <c r="H980" s="58">
        <f t="shared" si="970"/>
        <v>0</v>
      </c>
      <c r="I980" s="58">
        <f t="shared" si="970"/>
        <v>59</v>
      </c>
      <c r="J980" s="58">
        <f t="shared" si="970"/>
        <v>0</v>
      </c>
      <c r="K980" s="58">
        <f t="shared" si="970"/>
        <v>0</v>
      </c>
      <c r="L980" s="58">
        <f t="shared" si="970"/>
        <v>0</v>
      </c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0" customHeight="1">
      <c r="A981" s="70"/>
      <c r="B981" s="71"/>
      <c r="C981" s="66"/>
      <c r="D981" s="66">
        <f t="shared" si="3"/>
        <v>0</v>
      </c>
      <c r="E981" s="67"/>
      <c r="F981" s="58">
        <f t="shared" ref="F981:L981" si="971">SUMIFS($C981,$B981,F$7)+F980</f>
        <v>0</v>
      </c>
      <c r="G981" s="58">
        <f t="shared" si="971"/>
        <v>0</v>
      </c>
      <c r="H981" s="58">
        <f t="shared" si="971"/>
        <v>0</v>
      </c>
      <c r="I981" s="58">
        <f t="shared" si="971"/>
        <v>59</v>
      </c>
      <c r="J981" s="58">
        <f t="shared" si="971"/>
        <v>0</v>
      </c>
      <c r="K981" s="58">
        <f t="shared" si="971"/>
        <v>0</v>
      </c>
      <c r="L981" s="58">
        <f t="shared" si="971"/>
        <v>0</v>
      </c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0" customHeight="1">
      <c r="A982" s="70"/>
      <c r="B982" s="71"/>
      <c r="C982" s="66"/>
      <c r="D982" s="66">
        <f t="shared" si="3"/>
        <v>0</v>
      </c>
      <c r="E982" s="67"/>
      <c r="F982" s="58">
        <f t="shared" ref="F982:L982" si="972">SUMIFS($C982,$B982,F$7)+F981</f>
        <v>0</v>
      </c>
      <c r="G982" s="58">
        <f t="shared" si="972"/>
        <v>0</v>
      </c>
      <c r="H982" s="58">
        <f t="shared" si="972"/>
        <v>0</v>
      </c>
      <c r="I982" s="58">
        <f t="shared" si="972"/>
        <v>59</v>
      </c>
      <c r="J982" s="58">
        <f t="shared" si="972"/>
        <v>0</v>
      </c>
      <c r="K982" s="58">
        <f t="shared" si="972"/>
        <v>0</v>
      </c>
      <c r="L982" s="58">
        <f t="shared" si="972"/>
        <v>0</v>
      </c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0" customHeight="1">
      <c r="A983" s="70"/>
      <c r="B983" s="71"/>
      <c r="C983" s="66"/>
      <c r="D983" s="66">
        <f t="shared" si="3"/>
        <v>0</v>
      </c>
      <c r="E983" s="67"/>
      <c r="F983" s="58">
        <f t="shared" ref="F983:L983" si="973">SUMIFS($C983,$B983,F$7)+F982</f>
        <v>0</v>
      </c>
      <c r="G983" s="58">
        <f t="shared" si="973"/>
        <v>0</v>
      </c>
      <c r="H983" s="58">
        <f t="shared" si="973"/>
        <v>0</v>
      </c>
      <c r="I983" s="58">
        <f t="shared" si="973"/>
        <v>59</v>
      </c>
      <c r="J983" s="58">
        <f t="shared" si="973"/>
        <v>0</v>
      </c>
      <c r="K983" s="58">
        <f t="shared" si="973"/>
        <v>0</v>
      </c>
      <c r="L983" s="58">
        <f t="shared" si="973"/>
        <v>0</v>
      </c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0" customHeight="1">
      <c r="A984" s="70"/>
      <c r="B984" s="71"/>
      <c r="C984" s="66"/>
      <c r="D984" s="66">
        <f t="shared" si="3"/>
        <v>0</v>
      </c>
      <c r="E984" s="67"/>
      <c r="F984" s="58">
        <f t="shared" ref="F984:L984" si="974">SUMIFS($C984,$B984,F$7)+F983</f>
        <v>0</v>
      </c>
      <c r="G984" s="58">
        <f t="shared" si="974"/>
        <v>0</v>
      </c>
      <c r="H984" s="58">
        <f t="shared" si="974"/>
        <v>0</v>
      </c>
      <c r="I984" s="58">
        <f t="shared" si="974"/>
        <v>59</v>
      </c>
      <c r="J984" s="58">
        <f t="shared" si="974"/>
        <v>0</v>
      </c>
      <c r="K984" s="58">
        <f t="shared" si="974"/>
        <v>0</v>
      </c>
      <c r="L984" s="58">
        <f t="shared" si="974"/>
        <v>0</v>
      </c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0" customHeight="1">
      <c r="A985" s="70"/>
      <c r="B985" s="71"/>
      <c r="C985" s="66"/>
      <c r="D985" s="66">
        <f t="shared" si="3"/>
        <v>0</v>
      </c>
      <c r="E985" s="67"/>
      <c r="F985" s="58">
        <f t="shared" ref="F985:L985" si="975">SUMIFS($C985,$B985,F$7)+F984</f>
        <v>0</v>
      </c>
      <c r="G985" s="58">
        <f t="shared" si="975"/>
        <v>0</v>
      </c>
      <c r="H985" s="58">
        <f t="shared" si="975"/>
        <v>0</v>
      </c>
      <c r="I985" s="58">
        <f t="shared" si="975"/>
        <v>59</v>
      </c>
      <c r="J985" s="58">
        <f t="shared" si="975"/>
        <v>0</v>
      </c>
      <c r="K985" s="58">
        <f t="shared" si="975"/>
        <v>0</v>
      </c>
      <c r="L985" s="58">
        <f t="shared" si="975"/>
        <v>0</v>
      </c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0" customHeight="1">
      <c r="A986" s="70"/>
      <c r="B986" s="71"/>
      <c r="C986" s="66"/>
      <c r="D986" s="66">
        <f t="shared" si="3"/>
        <v>0</v>
      </c>
      <c r="E986" s="67"/>
      <c r="F986" s="58">
        <f t="shared" ref="F986:L986" si="976">SUMIFS($C986,$B986,F$7)+F985</f>
        <v>0</v>
      </c>
      <c r="G986" s="58">
        <f t="shared" si="976"/>
        <v>0</v>
      </c>
      <c r="H986" s="58">
        <f t="shared" si="976"/>
        <v>0</v>
      </c>
      <c r="I986" s="58">
        <f t="shared" si="976"/>
        <v>59</v>
      </c>
      <c r="J986" s="58">
        <f t="shared" si="976"/>
        <v>0</v>
      </c>
      <c r="K986" s="58">
        <f t="shared" si="976"/>
        <v>0</v>
      </c>
      <c r="L986" s="58">
        <f t="shared" si="976"/>
        <v>0</v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0" customHeight="1">
      <c r="A987" s="70"/>
      <c r="B987" s="71"/>
      <c r="C987" s="66"/>
      <c r="D987" s="66">
        <f t="shared" si="3"/>
        <v>0</v>
      </c>
      <c r="E987" s="67"/>
      <c r="F987" s="58">
        <f t="shared" ref="F987:L987" si="977">SUMIFS($C987,$B987,F$7)+F986</f>
        <v>0</v>
      </c>
      <c r="G987" s="58">
        <f t="shared" si="977"/>
        <v>0</v>
      </c>
      <c r="H987" s="58">
        <f t="shared" si="977"/>
        <v>0</v>
      </c>
      <c r="I987" s="58">
        <f t="shared" si="977"/>
        <v>59</v>
      </c>
      <c r="J987" s="58">
        <f t="shared" si="977"/>
        <v>0</v>
      </c>
      <c r="K987" s="58">
        <f t="shared" si="977"/>
        <v>0</v>
      </c>
      <c r="L987" s="58">
        <f t="shared" si="977"/>
        <v>0</v>
      </c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0" customHeight="1">
      <c r="A988" s="70"/>
      <c r="B988" s="71"/>
      <c r="C988" s="66"/>
      <c r="D988" s="66">
        <f t="shared" si="3"/>
        <v>0</v>
      </c>
      <c r="E988" s="67"/>
      <c r="F988" s="58">
        <f t="shared" ref="F988:L988" si="978">SUMIFS($C988,$B988,F$7)+F987</f>
        <v>0</v>
      </c>
      <c r="G988" s="58">
        <f t="shared" si="978"/>
        <v>0</v>
      </c>
      <c r="H988" s="58">
        <f t="shared" si="978"/>
        <v>0</v>
      </c>
      <c r="I988" s="58">
        <f t="shared" si="978"/>
        <v>59</v>
      </c>
      <c r="J988" s="58">
        <f t="shared" si="978"/>
        <v>0</v>
      </c>
      <c r="K988" s="58">
        <f t="shared" si="978"/>
        <v>0</v>
      </c>
      <c r="L988" s="58">
        <f t="shared" si="978"/>
        <v>0</v>
      </c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0" customHeight="1">
      <c r="A989" s="70"/>
      <c r="B989" s="71"/>
      <c r="C989" s="66"/>
      <c r="D989" s="66">
        <f t="shared" si="3"/>
        <v>0</v>
      </c>
      <c r="E989" s="67"/>
      <c r="F989" s="58">
        <f t="shared" ref="F989:L989" si="979">SUMIFS($C989,$B989,F$7)+F988</f>
        <v>0</v>
      </c>
      <c r="G989" s="58">
        <f t="shared" si="979"/>
        <v>0</v>
      </c>
      <c r="H989" s="58">
        <f t="shared" si="979"/>
        <v>0</v>
      </c>
      <c r="I989" s="58">
        <f t="shared" si="979"/>
        <v>59</v>
      </c>
      <c r="J989" s="58">
        <f t="shared" si="979"/>
        <v>0</v>
      </c>
      <c r="K989" s="58">
        <f t="shared" si="979"/>
        <v>0</v>
      </c>
      <c r="L989" s="58">
        <f t="shared" si="979"/>
        <v>0</v>
      </c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0" customHeight="1">
      <c r="A990" s="70"/>
      <c r="B990" s="71"/>
      <c r="C990" s="66"/>
      <c r="D990" s="66">
        <f t="shared" si="3"/>
        <v>0</v>
      </c>
      <c r="E990" s="67"/>
      <c r="F990" s="58">
        <f t="shared" ref="F990:L990" si="980">SUMIFS($C990,$B990,F$7)+F989</f>
        <v>0</v>
      </c>
      <c r="G990" s="58">
        <f t="shared" si="980"/>
        <v>0</v>
      </c>
      <c r="H990" s="58">
        <f t="shared" si="980"/>
        <v>0</v>
      </c>
      <c r="I990" s="58">
        <f t="shared" si="980"/>
        <v>59</v>
      </c>
      <c r="J990" s="58">
        <f t="shared" si="980"/>
        <v>0</v>
      </c>
      <c r="K990" s="58">
        <f t="shared" si="980"/>
        <v>0</v>
      </c>
      <c r="L990" s="58">
        <f t="shared" si="980"/>
        <v>0</v>
      </c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0" customHeight="1">
      <c r="A991" s="70"/>
      <c r="B991" s="71"/>
      <c r="C991" s="66"/>
      <c r="D991" s="66">
        <f t="shared" si="3"/>
        <v>0</v>
      </c>
      <c r="E991" s="67"/>
      <c r="F991" s="58">
        <f t="shared" ref="F991:L991" si="981">SUMIFS($C991,$B991,F$7)+F990</f>
        <v>0</v>
      </c>
      <c r="G991" s="58">
        <f t="shared" si="981"/>
        <v>0</v>
      </c>
      <c r="H991" s="58">
        <f t="shared" si="981"/>
        <v>0</v>
      </c>
      <c r="I991" s="58">
        <f t="shared" si="981"/>
        <v>59</v>
      </c>
      <c r="J991" s="58">
        <f t="shared" si="981"/>
        <v>0</v>
      </c>
      <c r="K991" s="58">
        <f t="shared" si="981"/>
        <v>0</v>
      </c>
      <c r="L991" s="58">
        <f t="shared" si="981"/>
        <v>0</v>
      </c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0" customHeight="1">
      <c r="A992" s="70"/>
      <c r="B992" s="71"/>
      <c r="C992" s="66"/>
      <c r="D992" s="66">
        <f t="shared" si="3"/>
        <v>0</v>
      </c>
      <c r="E992" s="67"/>
      <c r="F992" s="58">
        <f t="shared" ref="F992:L992" si="982">SUMIFS($C992,$B992,F$7)+F991</f>
        <v>0</v>
      </c>
      <c r="G992" s="58">
        <f t="shared" si="982"/>
        <v>0</v>
      </c>
      <c r="H992" s="58">
        <f t="shared" si="982"/>
        <v>0</v>
      </c>
      <c r="I992" s="58">
        <f t="shared" si="982"/>
        <v>59</v>
      </c>
      <c r="J992" s="58">
        <f t="shared" si="982"/>
        <v>0</v>
      </c>
      <c r="K992" s="58">
        <f t="shared" si="982"/>
        <v>0</v>
      </c>
      <c r="L992" s="58">
        <f t="shared" si="982"/>
        <v>0</v>
      </c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0" customHeight="1">
      <c r="A993" s="70"/>
      <c r="B993" s="71"/>
      <c r="C993" s="66"/>
      <c r="D993" s="66">
        <f t="shared" si="3"/>
        <v>0</v>
      </c>
      <c r="E993" s="67"/>
      <c r="F993" s="58">
        <f t="shared" ref="F993:L993" si="983">SUMIFS($C993,$B993,F$7)+F992</f>
        <v>0</v>
      </c>
      <c r="G993" s="58">
        <f t="shared" si="983"/>
        <v>0</v>
      </c>
      <c r="H993" s="58">
        <f t="shared" si="983"/>
        <v>0</v>
      </c>
      <c r="I993" s="58">
        <f t="shared" si="983"/>
        <v>59</v>
      </c>
      <c r="J993" s="58">
        <f t="shared" si="983"/>
        <v>0</v>
      </c>
      <c r="K993" s="58">
        <f t="shared" si="983"/>
        <v>0</v>
      </c>
      <c r="L993" s="58">
        <f t="shared" si="983"/>
        <v>0</v>
      </c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0" customHeight="1">
      <c r="A994" s="70"/>
      <c r="B994" s="71"/>
      <c r="C994" s="66"/>
      <c r="D994" s="66">
        <f t="shared" si="3"/>
        <v>0</v>
      </c>
      <c r="E994" s="67"/>
      <c r="F994" s="58">
        <f t="shared" ref="F994:L994" si="984">SUMIFS($C994,$B994,F$7)+F993</f>
        <v>0</v>
      </c>
      <c r="G994" s="58">
        <f t="shared" si="984"/>
        <v>0</v>
      </c>
      <c r="H994" s="58">
        <f t="shared" si="984"/>
        <v>0</v>
      </c>
      <c r="I994" s="58">
        <f t="shared" si="984"/>
        <v>59</v>
      </c>
      <c r="J994" s="58">
        <f t="shared" si="984"/>
        <v>0</v>
      </c>
      <c r="K994" s="58">
        <f t="shared" si="984"/>
        <v>0</v>
      </c>
      <c r="L994" s="58">
        <f t="shared" si="984"/>
        <v>0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0" customHeight="1">
      <c r="A995" s="70"/>
      <c r="B995" s="71"/>
      <c r="C995" s="66"/>
      <c r="D995" s="66">
        <f t="shared" si="3"/>
        <v>0</v>
      </c>
      <c r="E995" s="67"/>
      <c r="F995" s="58">
        <f t="shared" ref="F995:L995" si="985">SUMIFS($C995,$B995,F$7)+F994</f>
        <v>0</v>
      </c>
      <c r="G995" s="58">
        <f t="shared" si="985"/>
        <v>0</v>
      </c>
      <c r="H995" s="58">
        <f t="shared" si="985"/>
        <v>0</v>
      </c>
      <c r="I995" s="58">
        <f t="shared" si="985"/>
        <v>59</v>
      </c>
      <c r="J995" s="58">
        <f t="shared" si="985"/>
        <v>0</v>
      </c>
      <c r="K995" s="58">
        <f t="shared" si="985"/>
        <v>0</v>
      </c>
      <c r="L995" s="58">
        <f t="shared" si="985"/>
        <v>0</v>
      </c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0" customHeight="1">
      <c r="A996" s="70"/>
      <c r="B996" s="71"/>
      <c r="C996" s="66"/>
      <c r="D996" s="66">
        <f t="shared" si="3"/>
        <v>0</v>
      </c>
      <c r="E996" s="67"/>
      <c r="F996" s="58">
        <f t="shared" ref="F996:L996" si="986">SUMIFS($C996,$B996,F$7)+F995</f>
        <v>0</v>
      </c>
      <c r="G996" s="58">
        <f t="shared" si="986"/>
        <v>0</v>
      </c>
      <c r="H996" s="58">
        <f t="shared" si="986"/>
        <v>0</v>
      </c>
      <c r="I996" s="58">
        <f t="shared" si="986"/>
        <v>59</v>
      </c>
      <c r="J996" s="58">
        <f t="shared" si="986"/>
        <v>0</v>
      </c>
      <c r="K996" s="58">
        <f t="shared" si="986"/>
        <v>0</v>
      </c>
      <c r="L996" s="58">
        <f t="shared" si="986"/>
        <v>0</v>
      </c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0" customHeight="1">
      <c r="A997" s="70"/>
      <c r="B997" s="71"/>
      <c r="C997" s="66"/>
      <c r="D997" s="66">
        <f t="shared" si="3"/>
        <v>0</v>
      </c>
      <c r="E997" s="67"/>
      <c r="F997" s="58">
        <f t="shared" ref="F997:L997" si="987">SUMIFS($C997,$B997,F$7)+F996</f>
        <v>0</v>
      </c>
      <c r="G997" s="58">
        <f t="shared" si="987"/>
        <v>0</v>
      </c>
      <c r="H997" s="58">
        <f t="shared" si="987"/>
        <v>0</v>
      </c>
      <c r="I997" s="58">
        <f t="shared" si="987"/>
        <v>59</v>
      </c>
      <c r="J997" s="58">
        <f t="shared" si="987"/>
        <v>0</v>
      </c>
      <c r="K997" s="58">
        <f t="shared" si="987"/>
        <v>0</v>
      </c>
      <c r="L997" s="58">
        <f t="shared" si="987"/>
        <v>0</v>
      </c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0" customHeight="1">
      <c r="A998" s="70"/>
      <c r="B998" s="71"/>
      <c r="C998" s="66"/>
      <c r="D998" s="66">
        <f t="shared" si="3"/>
        <v>0</v>
      </c>
      <c r="E998" s="67"/>
      <c r="F998" s="58">
        <f t="shared" ref="F998:L998" si="988">SUMIFS($C998,$B998,F$7)+F997</f>
        <v>0</v>
      </c>
      <c r="G998" s="58">
        <f t="shared" si="988"/>
        <v>0</v>
      </c>
      <c r="H998" s="58">
        <f t="shared" si="988"/>
        <v>0</v>
      </c>
      <c r="I998" s="58">
        <f t="shared" si="988"/>
        <v>59</v>
      </c>
      <c r="J998" s="58">
        <f t="shared" si="988"/>
        <v>0</v>
      </c>
      <c r="K998" s="58">
        <f t="shared" si="988"/>
        <v>0</v>
      </c>
      <c r="L998" s="58">
        <f t="shared" si="988"/>
        <v>0</v>
      </c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0" customHeight="1">
      <c r="A999" s="70"/>
      <c r="B999" s="71"/>
      <c r="C999" s="66"/>
      <c r="D999" s="66">
        <f t="shared" si="3"/>
        <v>0</v>
      </c>
      <c r="E999" s="67"/>
      <c r="F999" s="58">
        <f t="shared" ref="F999:L999" si="989">SUMIFS($C999,$B999,F$7)+F998</f>
        <v>0</v>
      </c>
      <c r="G999" s="58">
        <f t="shared" si="989"/>
        <v>0</v>
      </c>
      <c r="H999" s="58">
        <f t="shared" si="989"/>
        <v>0</v>
      </c>
      <c r="I999" s="58">
        <f t="shared" si="989"/>
        <v>59</v>
      </c>
      <c r="J999" s="58">
        <f t="shared" si="989"/>
        <v>0</v>
      </c>
      <c r="K999" s="58">
        <f t="shared" si="989"/>
        <v>0</v>
      </c>
      <c r="L999" s="58">
        <f t="shared" si="989"/>
        <v>0</v>
      </c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0" customHeight="1">
      <c r="A1000" s="70"/>
      <c r="B1000" s="71"/>
      <c r="C1000" s="66"/>
      <c r="D1000" s="66">
        <f t="shared" si="3"/>
        <v>0</v>
      </c>
      <c r="E1000" s="67"/>
      <c r="F1000" s="58">
        <f t="shared" ref="F1000:L1000" si="990">SUMIFS($C1000,$B1000,F$7)+F999</f>
        <v>0</v>
      </c>
      <c r="G1000" s="58">
        <f t="shared" si="990"/>
        <v>0</v>
      </c>
      <c r="H1000" s="58">
        <f t="shared" si="990"/>
        <v>0</v>
      </c>
      <c r="I1000" s="58">
        <f t="shared" si="990"/>
        <v>59</v>
      </c>
      <c r="J1000" s="58">
        <f t="shared" si="990"/>
        <v>0</v>
      </c>
      <c r="K1000" s="58">
        <f t="shared" si="990"/>
        <v>0</v>
      </c>
      <c r="L1000" s="58">
        <f t="shared" si="990"/>
        <v>0</v>
      </c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ht="15.0" customHeight="1">
      <c r="A1001" s="70"/>
      <c r="B1001" s="71"/>
      <c r="C1001" s="66"/>
      <c r="D1001" s="66">
        <f t="shared" si="3"/>
        <v>0</v>
      </c>
      <c r="E1001" s="67"/>
      <c r="F1001" s="58">
        <f t="shared" ref="F1001:L1001" si="991">SUMIFS($C1001,$B1001,F$7)+F1000</f>
        <v>0</v>
      </c>
      <c r="G1001" s="58">
        <f t="shared" si="991"/>
        <v>0</v>
      </c>
      <c r="H1001" s="58">
        <f t="shared" si="991"/>
        <v>0</v>
      </c>
      <c r="I1001" s="58">
        <f t="shared" si="991"/>
        <v>59</v>
      </c>
      <c r="J1001" s="58">
        <f t="shared" si="991"/>
        <v>0</v>
      </c>
      <c r="K1001" s="58">
        <f t="shared" si="991"/>
        <v>0</v>
      </c>
      <c r="L1001" s="58">
        <f t="shared" si="991"/>
        <v>0</v>
      </c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ht="15.0" customHeight="1">
      <c r="A1002" s="70"/>
      <c r="B1002" s="71"/>
      <c r="C1002" s="66"/>
      <c r="D1002" s="66">
        <f t="shared" si="3"/>
        <v>0</v>
      </c>
      <c r="E1002" s="67"/>
      <c r="F1002" s="58">
        <f t="shared" ref="F1002:L1002" si="992">SUMIFS($C1002,$B1002,F$7)+F1001</f>
        <v>0</v>
      </c>
      <c r="G1002" s="58">
        <f t="shared" si="992"/>
        <v>0</v>
      </c>
      <c r="H1002" s="58">
        <f t="shared" si="992"/>
        <v>0</v>
      </c>
      <c r="I1002" s="58">
        <f t="shared" si="992"/>
        <v>59</v>
      </c>
      <c r="J1002" s="58">
        <f t="shared" si="992"/>
        <v>0</v>
      </c>
      <c r="K1002" s="58">
        <f t="shared" si="992"/>
        <v>0</v>
      </c>
      <c r="L1002" s="58">
        <f t="shared" si="992"/>
        <v>0</v>
      </c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ht="15.0" customHeight="1">
      <c r="A1003" s="70"/>
      <c r="B1003" s="71"/>
      <c r="C1003" s="66"/>
      <c r="D1003" s="66">
        <f t="shared" si="3"/>
        <v>0</v>
      </c>
      <c r="E1003" s="67"/>
      <c r="F1003" s="58">
        <f t="shared" ref="F1003:L1003" si="993">SUMIFS($C1003,$B1003,F$7)+F1002</f>
        <v>0</v>
      </c>
      <c r="G1003" s="58">
        <f t="shared" si="993"/>
        <v>0</v>
      </c>
      <c r="H1003" s="58">
        <f t="shared" si="993"/>
        <v>0</v>
      </c>
      <c r="I1003" s="58">
        <f t="shared" si="993"/>
        <v>59</v>
      </c>
      <c r="J1003" s="58">
        <f t="shared" si="993"/>
        <v>0</v>
      </c>
      <c r="K1003" s="58">
        <f t="shared" si="993"/>
        <v>0</v>
      </c>
      <c r="L1003" s="58">
        <f t="shared" si="993"/>
        <v>0</v>
      </c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ht="15.0" customHeight="1">
      <c r="A1004" s="70"/>
      <c r="B1004" s="71"/>
      <c r="C1004" s="66"/>
      <c r="D1004" s="66">
        <f t="shared" si="3"/>
        <v>0</v>
      </c>
      <c r="E1004" s="67"/>
      <c r="F1004" s="58">
        <f t="shared" ref="F1004:L1004" si="994">SUMIFS($C1004,$B1004,F$7)+F1003</f>
        <v>0</v>
      </c>
      <c r="G1004" s="58">
        <f t="shared" si="994"/>
        <v>0</v>
      </c>
      <c r="H1004" s="58">
        <f t="shared" si="994"/>
        <v>0</v>
      </c>
      <c r="I1004" s="58">
        <f t="shared" si="994"/>
        <v>59</v>
      </c>
      <c r="J1004" s="58">
        <f t="shared" si="994"/>
        <v>0</v>
      </c>
      <c r="K1004" s="58">
        <f t="shared" si="994"/>
        <v>0</v>
      </c>
      <c r="L1004" s="58">
        <f t="shared" si="994"/>
        <v>0</v>
      </c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ht="15.0" customHeight="1">
      <c r="A1005" s="70"/>
      <c r="B1005" s="71"/>
      <c r="C1005" s="66"/>
      <c r="D1005" s="66">
        <f t="shared" si="3"/>
        <v>0</v>
      </c>
      <c r="E1005" s="67"/>
      <c r="F1005" s="58">
        <f t="shared" ref="F1005:L1005" si="995">SUMIFS($C1005,$B1005,F$7)+F1004</f>
        <v>0</v>
      </c>
      <c r="G1005" s="58">
        <f t="shared" si="995"/>
        <v>0</v>
      </c>
      <c r="H1005" s="58">
        <f t="shared" si="995"/>
        <v>0</v>
      </c>
      <c r="I1005" s="58">
        <f t="shared" si="995"/>
        <v>59</v>
      </c>
      <c r="J1005" s="58">
        <f t="shared" si="995"/>
        <v>0</v>
      </c>
      <c r="K1005" s="58">
        <f t="shared" si="995"/>
        <v>0</v>
      </c>
      <c r="L1005" s="58">
        <f t="shared" si="995"/>
        <v>0</v>
      </c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</sheetData>
  <mergeCells count="3">
    <mergeCell ref="A1:L1"/>
    <mergeCell ref="F8:L8"/>
    <mergeCell ref="F10:L10"/>
  </mergeCells>
  <dataValidations>
    <dataValidation type="list" allowBlank="1" sqref="B13:B1005">
      <formula1>#REF!</formula1>
    </dataValidation>
    <dataValidation type="custom" allowBlank="1" showDropDown="1" sqref="C13:D1005 F13:F1005 I13:I1005">
      <formula1>AND(ISNUMBER(C13),(NOT(OR(NOT(ISERROR(DATEVALUE(C13))), AND(ISNUMBER(C13), LEFT(CELL("format", C13))="D")))))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4" width="9.75"/>
    <col customWidth="1" min="5" max="5" width="38.5"/>
    <col customWidth="1" min="6" max="12" width="8.75"/>
  </cols>
  <sheetData>
    <row r="1" ht="15.0" customHeight="1">
      <c r="A1" s="2" t="s">
        <v>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0" customHeight="1">
      <c r="A2" s="4" t="s">
        <v>4</v>
      </c>
      <c r="B2" s="5" t="s">
        <v>5</v>
      </c>
      <c r="C2" s="6" t="s">
        <v>6</v>
      </c>
      <c r="D2" s="6" t="s">
        <v>7</v>
      </c>
      <c r="E2" s="7" t="s">
        <v>8</v>
      </c>
      <c r="F2" s="8"/>
      <c r="G2" s="9"/>
      <c r="H2" s="9"/>
      <c r="I2" s="8"/>
      <c r="J2" s="9"/>
      <c r="K2" s="9"/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0" customHeight="1">
      <c r="A3" s="11" t="s">
        <v>9</v>
      </c>
      <c r="B3" s="12">
        <f>F11</f>
        <v>157</v>
      </c>
      <c r="C3" s="13"/>
      <c r="D3" s="14"/>
      <c r="E3" s="15"/>
      <c r="F3" s="16"/>
      <c r="G3" s="18" t="s">
        <v>12</v>
      </c>
      <c r="H3" s="17"/>
      <c r="I3" s="16"/>
      <c r="J3" s="17"/>
      <c r="K3" s="17"/>
      <c r="L3" s="1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0" customHeight="1">
      <c r="A4" s="11" t="s">
        <v>13</v>
      </c>
      <c r="B4" s="12">
        <f>G11</f>
        <v>3</v>
      </c>
      <c r="C4" s="13"/>
      <c r="D4" s="14"/>
      <c r="E4" s="15"/>
      <c r="F4" s="16"/>
      <c r="G4" s="18" t="s">
        <v>15</v>
      </c>
      <c r="H4" s="17"/>
      <c r="J4" s="17"/>
      <c r="K4" s="17"/>
      <c r="L4" s="1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0" customHeight="1">
      <c r="A5" s="11" t="s">
        <v>16</v>
      </c>
      <c r="B5" s="12">
        <f>H11</f>
        <v>25</v>
      </c>
      <c r="C5" s="13"/>
      <c r="D5" s="14"/>
      <c r="E5" s="15"/>
      <c r="F5" s="16"/>
      <c r="G5" s="17"/>
      <c r="H5" s="17"/>
      <c r="I5" s="16"/>
      <c r="J5" s="17"/>
      <c r="K5" s="17"/>
      <c r="L5" s="1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0" customHeight="1">
      <c r="A6" s="11" t="s">
        <v>17</v>
      </c>
      <c r="B6" s="12">
        <f>I11</f>
        <v>187</v>
      </c>
      <c r="C6" s="13"/>
      <c r="D6" s="14"/>
      <c r="E6" s="15"/>
      <c r="F6" s="16"/>
      <c r="G6" s="20"/>
      <c r="H6" s="21" t="s">
        <v>19</v>
      </c>
      <c r="I6" s="22">
        <f>I11/44</f>
        <v>4.25</v>
      </c>
      <c r="J6" s="17"/>
      <c r="K6" s="17"/>
      <c r="L6" s="1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0" customHeight="1">
      <c r="A7" s="11" t="s">
        <v>20</v>
      </c>
      <c r="B7" s="12">
        <f>J11</f>
        <v>0</v>
      </c>
      <c r="C7" s="13"/>
      <c r="D7" s="14"/>
      <c r="E7" s="15"/>
      <c r="F7" s="23" t="s">
        <v>9</v>
      </c>
      <c r="G7" s="24" t="s">
        <v>13</v>
      </c>
      <c r="H7" s="24" t="s">
        <v>16</v>
      </c>
      <c r="I7" s="23" t="s">
        <v>17</v>
      </c>
      <c r="J7" s="24" t="s">
        <v>20</v>
      </c>
      <c r="K7" s="24" t="s">
        <v>21</v>
      </c>
      <c r="L7" s="24" t="s">
        <v>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0" customHeight="1">
      <c r="A8" s="19" t="s">
        <v>21</v>
      </c>
      <c r="B8" s="12">
        <f>K11</f>
        <v>0</v>
      </c>
      <c r="C8" s="13"/>
      <c r="D8" s="14"/>
      <c r="E8" s="15"/>
      <c r="F8" s="25" t="s">
        <v>23</v>
      </c>
      <c r="G8" s="26"/>
      <c r="H8" s="26"/>
      <c r="I8" s="26"/>
      <c r="J8" s="26"/>
      <c r="K8" s="26"/>
      <c r="L8" s="2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0" customHeight="1">
      <c r="A9" s="28" t="s">
        <v>22</v>
      </c>
      <c r="B9" s="29">
        <f>L11</f>
        <v>0</v>
      </c>
      <c r="C9" s="30"/>
      <c r="D9" s="31"/>
      <c r="E9" s="32"/>
      <c r="F9" s="33"/>
      <c r="G9" s="34"/>
      <c r="H9" s="34"/>
      <c r="I9" s="33">
        <v>142.0</v>
      </c>
      <c r="J9" s="34"/>
      <c r="K9" s="34"/>
      <c r="L9" s="34"/>
      <c r="M9" s="35" t="s">
        <v>24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0" customHeight="1">
      <c r="A10" s="36"/>
      <c r="B10" s="37"/>
      <c r="C10" s="8"/>
      <c r="D10" s="8"/>
      <c r="E10" s="38"/>
      <c r="F10" s="39" t="s">
        <v>25</v>
      </c>
      <c r="G10" s="26"/>
      <c r="H10" s="26"/>
      <c r="I10" s="26"/>
      <c r="J10" s="26"/>
      <c r="K10" s="26"/>
      <c r="L10" s="2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0" customHeight="1">
      <c r="A11" s="36"/>
      <c r="B11" s="37"/>
      <c r="C11" s="8"/>
      <c r="D11" s="8"/>
      <c r="E11" s="40"/>
      <c r="F11" s="41">
        <f t="shared" ref="F11:L11" si="1">SUMIFS($C$13:$C1014,$B$13:$B1014,F$7)+F$9</f>
        <v>157</v>
      </c>
      <c r="G11" s="41">
        <f t="shared" si="1"/>
        <v>3</v>
      </c>
      <c r="H11" s="41">
        <f t="shared" si="1"/>
        <v>25</v>
      </c>
      <c r="I11" s="41">
        <f t="shared" si="1"/>
        <v>187</v>
      </c>
      <c r="J11" s="41">
        <f t="shared" si="1"/>
        <v>0</v>
      </c>
      <c r="K11" s="41">
        <f t="shared" si="1"/>
        <v>0</v>
      </c>
      <c r="L11" s="41">
        <f t="shared" si="1"/>
        <v>0</v>
      </c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ht="24.75" customHeight="1">
      <c r="A12" s="45" t="s">
        <v>27</v>
      </c>
      <c r="B12" s="46" t="s">
        <v>4</v>
      </c>
      <c r="C12" s="47" t="s">
        <v>28</v>
      </c>
      <c r="D12" s="47" t="s">
        <v>6</v>
      </c>
      <c r="E12" s="48" t="s">
        <v>8</v>
      </c>
      <c r="F12" s="49" t="s">
        <v>9</v>
      </c>
      <c r="G12" s="49" t="s">
        <v>13</v>
      </c>
      <c r="H12" s="49" t="s">
        <v>16</v>
      </c>
      <c r="I12" s="49" t="s">
        <v>17</v>
      </c>
      <c r="J12" s="49" t="s">
        <v>20</v>
      </c>
      <c r="K12" s="49" t="s">
        <v>21</v>
      </c>
      <c r="L12" s="49" t="s">
        <v>22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</row>
    <row r="13" ht="15.0" customHeight="1">
      <c r="A13" s="52">
        <v>45903.0</v>
      </c>
      <c r="B13" s="53" t="s">
        <v>9</v>
      </c>
      <c r="C13" s="54">
        <v>14.0</v>
      </c>
      <c r="D13" s="55">
        <f t="shared" ref="D13:D144" si="3">550*C13</f>
        <v>7700</v>
      </c>
      <c r="E13" s="57"/>
      <c r="F13" s="58">
        <f t="shared" ref="F13:L13" si="2">SUMIFS($C13,$B13,F$7)+F9</f>
        <v>14</v>
      </c>
      <c r="G13" s="58">
        <f t="shared" si="2"/>
        <v>0</v>
      </c>
      <c r="H13" s="58">
        <f t="shared" si="2"/>
        <v>0</v>
      </c>
      <c r="I13" s="58">
        <f t="shared" si="2"/>
        <v>142</v>
      </c>
      <c r="J13" s="58">
        <f t="shared" si="2"/>
        <v>0</v>
      </c>
      <c r="K13" s="58">
        <f t="shared" si="2"/>
        <v>0</v>
      </c>
      <c r="L13" s="58">
        <f t="shared" si="2"/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0" customHeight="1">
      <c r="A14" s="52"/>
      <c r="B14" s="53"/>
      <c r="C14" s="54"/>
      <c r="D14" s="55">
        <f t="shared" si="3"/>
        <v>0</v>
      </c>
      <c r="E14" s="60"/>
      <c r="F14" s="58">
        <f t="shared" ref="F14:L14" si="4">SUMIFS($C14,$B14,F$7)+F13</f>
        <v>14</v>
      </c>
      <c r="G14" s="58">
        <f t="shared" si="4"/>
        <v>0</v>
      </c>
      <c r="H14" s="58">
        <f t="shared" si="4"/>
        <v>0</v>
      </c>
      <c r="I14" s="58">
        <f t="shared" si="4"/>
        <v>142</v>
      </c>
      <c r="J14" s="58">
        <f t="shared" si="4"/>
        <v>0</v>
      </c>
      <c r="K14" s="58">
        <f t="shared" si="4"/>
        <v>0</v>
      </c>
      <c r="L14" s="58">
        <f t="shared" si="4"/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0" customHeight="1">
      <c r="A15" s="52">
        <v>45904.0</v>
      </c>
      <c r="B15" s="53" t="s">
        <v>9</v>
      </c>
      <c r="C15" s="54">
        <v>15.0</v>
      </c>
      <c r="D15" s="55">
        <f t="shared" si="3"/>
        <v>8250</v>
      </c>
      <c r="E15" s="57"/>
      <c r="F15" s="58">
        <f t="shared" ref="F15:L15" si="5">SUMIFS($C15,$B15,F$7)+F14</f>
        <v>29</v>
      </c>
      <c r="G15" s="58">
        <f t="shared" si="5"/>
        <v>0</v>
      </c>
      <c r="H15" s="58">
        <f t="shared" si="5"/>
        <v>0</v>
      </c>
      <c r="I15" s="58">
        <f t="shared" si="5"/>
        <v>142</v>
      </c>
      <c r="J15" s="58">
        <f t="shared" si="5"/>
        <v>0</v>
      </c>
      <c r="K15" s="58">
        <f t="shared" si="5"/>
        <v>0</v>
      </c>
      <c r="L15" s="58">
        <f t="shared" si="5"/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0" customHeight="1">
      <c r="A16" s="52"/>
      <c r="B16" s="53"/>
      <c r="C16" s="54"/>
      <c r="D16" s="55">
        <f t="shared" si="3"/>
        <v>0</v>
      </c>
      <c r="E16" s="60"/>
      <c r="F16" s="58">
        <f t="shared" ref="F16:L16" si="6">SUMIFS($C16,$B16,F$7)+F15</f>
        <v>29</v>
      </c>
      <c r="G16" s="58">
        <f t="shared" si="6"/>
        <v>0</v>
      </c>
      <c r="H16" s="58">
        <f t="shared" si="6"/>
        <v>0</v>
      </c>
      <c r="I16" s="58">
        <f t="shared" si="6"/>
        <v>142</v>
      </c>
      <c r="J16" s="58">
        <f t="shared" si="6"/>
        <v>0</v>
      </c>
      <c r="K16" s="58">
        <f t="shared" si="6"/>
        <v>0</v>
      </c>
      <c r="L16" s="58">
        <f t="shared" si="6"/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0" customHeight="1">
      <c r="A17" s="52">
        <v>45905.0</v>
      </c>
      <c r="B17" s="53" t="s">
        <v>9</v>
      </c>
      <c r="C17" s="54">
        <v>13.0</v>
      </c>
      <c r="D17" s="55">
        <f t="shared" si="3"/>
        <v>7150</v>
      </c>
      <c r="E17" s="57"/>
      <c r="F17" s="58">
        <f t="shared" ref="F17:L17" si="7">SUMIFS($C17,$B17,F$7)+F16</f>
        <v>42</v>
      </c>
      <c r="G17" s="58">
        <f t="shared" si="7"/>
        <v>0</v>
      </c>
      <c r="H17" s="58">
        <f t="shared" si="7"/>
        <v>0</v>
      </c>
      <c r="I17" s="58">
        <f t="shared" si="7"/>
        <v>142</v>
      </c>
      <c r="J17" s="58">
        <f t="shared" si="7"/>
        <v>0</v>
      </c>
      <c r="K17" s="58">
        <f t="shared" si="7"/>
        <v>0</v>
      </c>
      <c r="L17" s="58">
        <f t="shared" si="7"/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0" customHeight="1">
      <c r="A18" s="52"/>
      <c r="B18" s="53"/>
      <c r="C18" s="54"/>
      <c r="D18" s="55">
        <f t="shared" si="3"/>
        <v>0</v>
      </c>
      <c r="E18" s="57"/>
      <c r="F18" s="58">
        <f t="shared" ref="F18:L18" si="8">SUMIFS($C18,$B18,F$7)+F17</f>
        <v>42</v>
      </c>
      <c r="G18" s="58">
        <f t="shared" si="8"/>
        <v>0</v>
      </c>
      <c r="H18" s="58">
        <f t="shared" si="8"/>
        <v>0</v>
      </c>
      <c r="I18" s="58">
        <f t="shared" si="8"/>
        <v>142</v>
      </c>
      <c r="J18" s="58">
        <f t="shared" si="8"/>
        <v>0</v>
      </c>
      <c r="K18" s="58">
        <f t="shared" si="8"/>
        <v>0</v>
      </c>
      <c r="L18" s="58">
        <f t="shared" si="8"/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0" customHeight="1">
      <c r="A19" s="52">
        <v>45906.0</v>
      </c>
      <c r="B19" s="53" t="s">
        <v>9</v>
      </c>
      <c r="C19" s="54">
        <v>12.0</v>
      </c>
      <c r="D19" s="55">
        <f t="shared" si="3"/>
        <v>6600</v>
      </c>
      <c r="E19" s="60"/>
      <c r="F19" s="58">
        <f t="shared" ref="F19:L19" si="9">SUMIFS($C19,$B19,F$7)+F18</f>
        <v>54</v>
      </c>
      <c r="G19" s="58">
        <f t="shared" si="9"/>
        <v>0</v>
      </c>
      <c r="H19" s="58">
        <f t="shared" si="9"/>
        <v>0</v>
      </c>
      <c r="I19" s="58">
        <f t="shared" si="9"/>
        <v>142</v>
      </c>
      <c r="J19" s="58">
        <f t="shared" si="9"/>
        <v>0</v>
      </c>
      <c r="K19" s="58">
        <f t="shared" si="9"/>
        <v>0</v>
      </c>
      <c r="L19" s="58">
        <f t="shared" si="9"/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0" customHeight="1">
      <c r="A20" s="52"/>
      <c r="B20" s="53"/>
      <c r="C20" s="54"/>
      <c r="D20" s="55">
        <f t="shared" si="3"/>
        <v>0</v>
      </c>
      <c r="E20" s="57"/>
      <c r="F20" s="58">
        <f t="shared" ref="F20:L20" si="10">SUMIFS($C20,$B20,F$7)+F19</f>
        <v>54</v>
      </c>
      <c r="G20" s="58">
        <f t="shared" si="10"/>
        <v>0</v>
      </c>
      <c r="H20" s="58">
        <f t="shared" si="10"/>
        <v>0</v>
      </c>
      <c r="I20" s="58">
        <f t="shared" si="10"/>
        <v>142</v>
      </c>
      <c r="J20" s="58">
        <f t="shared" si="10"/>
        <v>0</v>
      </c>
      <c r="K20" s="58">
        <f t="shared" si="10"/>
        <v>0</v>
      </c>
      <c r="L20" s="58">
        <f t="shared" si="10"/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0" customHeight="1">
      <c r="A21" s="52">
        <v>45908.0</v>
      </c>
      <c r="B21" s="53" t="s">
        <v>9</v>
      </c>
      <c r="C21" s="54">
        <v>16.0</v>
      </c>
      <c r="D21" s="55">
        <f t="shared" si="3"/>
        <v>8800</v>
      </c>
      <c r="E21" s="60"/>
      <c r="F21" s="58">
        <f t="shared" ref="F21:L21" si="11">SUMIFS($C21,$B21,F$7)+F20</f>
        <v>70</v>
      </c>
      <c r="G21" s="58">
        <f t="shared" si="11"/>
        <v>0</v>
      </c>
      <c r="H21" s="58">
        <f t="shared" si="11"/>
        <v>0</v>
      </c>
      <c r="I21" s="58">
        <f t="shared" si="11"/>
        <v>142</v>
      </c>
      <c r="J21" s="58">
        <f t="shared" si="11"/>
        <v>0</v>
      </c>
      <c r="K21" s="58">
        <f t="shared" si="11"/>
        <v>0</v>
      </c>
      <c r="L21" s="58">
        <f t="shared" si="11"/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0" customHeight="1">
      <c r="A22" s="52">
        <v>45908.0</v>
      </c>
      <c r="B22" s="53" t="s">
        <v>9</v>
      </c>
      <c r="C22" s="54">
        <v>-8.0</v>
      </c>
      <c r="D22" s="55">
        <f t="shared" si="3"/>
        <v>-4400</v>
      </c>
      <c r="E22" s="60" t="s">
        <v>13</v>
      </c>
      <c r="F22" s="58">
        <f t="shared" ref="F22:L22" si="12">SUMIFS($C22,$B22,F$7)+F21</f>
        <v>62</v>
      </c>
      <c r="G22" s="58">
        <f t="shared" si="12"/>
        <v>0</v>
      </c>
      <c r="H22" s="58">
        <f t="shared" si="12"/>
        <v>0</v>
      </c>
      <c r="I22" s="58">
        <f t="shared" si="12"/>
        <v>142</v>
      </c>
      <c r="J22" s="58">
        <f t="shared" si="12"/>
        <v>0</v>
      </c>
      <c r="K22" s="58">
        <f t="shared" si="12"/>
        <v>0</v>
      </c>
      <c r="L22" s="58">
        <f t="shared" si="12"/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0" customHeight="1">
      <c r="A23" s="52">
        <v>45908.0</v>
      </c>
      <c r="B23" s="53" t="s">
        <v>13</v>
      </c>
      <c r="C23" s="54">
        <v>8.0</v>
      </c>
      <c r="D23" s="55">
        <f t="shared" si="3"/>
        <v>4400</v>
      </c>
      <c r="E23" s="60"/>
      <c r="F23" s="58">
        <f t="shared" ref="F23:L23" si="13">SUMIFS($C23,$B23,F$7)+F22</f>
        <v>62</v>
      </c>
      <c r="G23" s="58">
        <f t="shared" si="13"/>
        <v>8</v>
      </c>
      <c r="H23" s="58">
        <f t="shared" si="13"/>
        <v>0</v>
      </c>
      <c r="I23" s="58">
        <f t="shared" si="13"/>
        <v>142</v>
      </c>
      <c r="J23" s="58">
        <f t="shared" si="13"/>
        <v>0</v>
      </c>
      <c r="K23" s="58">
        <f t="shared" si="13"/>
        <v>0</v>
      </c>
      <c r="L23" s="58">
        <f t="shared" si="13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0" customHeight="1">
      <c r="A24" s="52">
        <v>45908.0</v>
      </c>
      <c r="B24" s="53" t="s">
        <v>13</v>
      </c>
      <c r="C24" s="54">
        <v>-6.0</v>
      </c>
      <c r="D24" s="55">
        <f t="shared" si="3"/>
        <v>-3300</v>
      </c>
      <c r="E24" s="60"/>
      <c r="F24" s="58">
        <f t="shared" ref="F24:L24" si="14">SUMIFS($C24,$B24,F$7)+F23</f>
        <v>62</v>
      </c>
      <c r="G24" s="58">
        <f t="shared" si="14"/>
        <v>2</v>
      </c>
      <c r="H24" s="58">
        <f t="shared" si="14"/>
        <v>0</v>
      </c>
      <c r="I24" s="58">
        <f t="shared" si="14"/>
        <v>142</v>
      </c>
      <c r="J24" s="58">
        <f t="shared" si="14"/>
        <v>0</v>
      </c>
      <c r="K24" s="58">
        <f t="shared" si="14"/>
        <v>0</v>
      </c>
      <c r="L24" s="58">
        <f t="shared" si="14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0" customHeight="1">
      <c r="A25" s="52">
        <v>45908.0</v>
      </c>
      <c r="B25" s="53" t="s">
        <v>16</v>
      </c>
      <c r="C25" s="54">
        <v>6.0</v>
      </c>
      <c r="D25" s="55">
        <f t="shared" si="3"/>
        <v>3300</v>
      </c>
      <c r="E25" s="57"/>
      <c r="F25" s="58">
        <f t="shared" ref="F25:L25" si="15">SUMIFS($C25,$B25,F$7)+F24</f>
        <v>62</v>
      </c>
      <c r="G25" s="58">
        <f t="shared" si="15"/>
        <v>2</v>
      </c>
      <c r="H25" s="58">
        <f t="shared" si="15"/>
        <v>6</v>
      </c>
      <c r="I25" s="58">
        <f t="shared" si="15"/>
        <v>142</v>
      </c>
      <c r="J25" s="58">
        <f t="shared" si="15"/>
        <v>0</v>
      </c>
      <c r="K25" s="58">
        <f t="shared" si="15"/>
        <v>0</v>
      </c>
      <c r="L25" s="58">
        <f t="shared" si="15"/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0" customHeight="1">
      <c r="A26" s="52">
        <v>45908.0</v>
      </c>
      <c r="B26" s="53" t="s">
        <v>17</v>
      </c>
      <c r="C26" s="54">
        <v>-1.0</v>
      </c>
      <c r="D26" s="55">
        <f t="shared" si="3"/>
        <v>-550</v>
      </c>
      <c r="E26" s="60" t="s">
        <v>38</v>
      </c>
      <c r="F26" s="58">
        <f t="shared" ref="F26:L26" si="16">SUMIFS($C26,$B26,F$7)+F25</f>
        <v>62</v>
      </c>
      <c r="G26" s="58">
        <f t="shared" si="16"/>
        <v>2</v>
      </c>
      <c r="H26" s="58">
        <f t="shared" si="16"/>
        <v>6</v>
      </c>
      <c r="I26" s="58">
        <f t="shared" si="16"/>
        <v>141</v>
      </c>
      <c r="J26" s="58">
        <f t="shared" si="16"/>
        <v>0</v>
      </c>
      <c r="K26" s="58">
        <f t="shared" si="16"/>
        <v>0</v>
      </c>
      <c r="L26" s="58">
        <f t="shared" si="16"/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0" customHeight="1">
      <c r="A27" s="52"/>
      <c r="B27" s="59"/>
      <c r="C27" s="54"/>
      <c r="D27" s="55">
        <f t="shared" si="3"/>
        <v>0</v>
      </c>
      <c r="E27" s="60"/>
      <c r="F27" s="58">
        <f t="shared" ref="F27:L27" si="17">SUMIFS($C27,$B27,F$7)+F26</f>
        <v>62</v>
      </c>
      <c r="G27" s="58">
        <f t="shared" si="17"/>
        <v>2</v>
      </c>
      <c r="H27" s="58">
        <f t="shared" si="17"/>
        <v>6</v>
      </c>
      <c r="I27" s="58">
        <f t="shared" si="17"/>
        <v>141</v>
      </c>
      <c r="J27" s="58">
        <f t="shared" si="17"/>
        <v>0</v>
      </c>
      <c r="K27" s="58">
        <f t="shared" si="17"/>
        <v>0</v>
      </c>
      <c r="L27" s="58">
        <f t="shared" si="17"/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0" customHeight="1">
      <c r="A28" s="52">
        <v>45909.0</v>
      </c>
      <c r="B28" s="53" t="s">
        <v>9</v>
      </c>
      <c r="C28" s="54">
        <v>14.0</v>
      </c>
      <c r="D28" s="55">
        <f t="shared" si="3"/>
        <v>7700</v>
      </c>
      <c r="E28" s="60"/>
      <c r="F28" s="58">
        <f t="shared" ref="F28:L28" si="18">SUMIFS($C28,$B28,F$7)+F27</f>
        <v>76</v>
      </c>
      <c r="G28" s="58">
        <f t="shared" si="18"/>
        <v>2</v>
      </c>
      <c r="H28" s="58">
        <f t="shared" si="18"/>
        <v>6</v>
      </c>
      <c r="I28" s="58">
        <f t="shared" si="18"/>
        <v>141</v>
      </c>
      <c r="J28" s="58">
        <f t="shared" si="18"/>
        <v>0</v>
      </c>
      <c r="K28" s="58">
        <f t="shared" si="18"/>
        <v>0</v>
      </c>
      <c r="L28" s="58">
        <f t="shared" si="18"/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0" customHeight="1">
      <c r="A29" s="52">
        <v>45909.0</v>
      </c>
      <c r="B29" s="53" t="s">
        <v>9</v>
      </c>
      <c r="C29" s="54">
        <v>-8.0</v>
      </c>
      <c r="D29" s="55">
        <f t="shared" si="3"/>
        <v>-4400</v>
      </c>
      <c r="E29" s="60" t="s">
        <v>13</v>
      </c>
      <c r="F29" s="58">
        <f t="shared" ref="F29:L29" si="19">SUMIFS($C29,$B29,F$7)+F28</f>
        <v>68</v>
      </c>
      <c r="G29" s="58">
        <f t="shared" si="19"/>
        <v>2</v>
      </c>
      <c r="H29" s="58">
        <f t="shared" si="19"/>
        <v>6</v>
      </c>
      <c r="I29" s="58">
        <f t="shared" si="19"/>
        <v>141</v>
      </c>
      <c r="J29" s="58">
        <f t="shared" si="19"/>
        <v>0</v>
      </c>
      <c r="K29" s="58">
        <f t="shared" si="19"/>
        <v>0</v>
      </c>
      <c r="L29" s="58">
        <f t="shared" si="19"/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0" customHeight="1">
      <c r="A30" s="52">
        <v>45909.0</v>
      </c>
      <c r="B30" s="53" t="s">
        <v>13</v>
      </c>
      <c r="C30" s="54">
        <v>8.0</v>
      </c>
      <c r="D30" s="55">
        <f t="shared" si="3"/>
        <v>4400</v>
      </c>
      <c r="E30" s="60"/>
      <c r="F30" s="58">
        <f t="shared" ref="F30:L30" si="20">SUMIFS($C30,$B30,F$7)+F29</f>
        <v>68</v>
      </c>
      <c r="G30" s="58">
        <f t="shared" si="20"/>
        <v>10</v>
      </c>
      <c r="H30" s="58">
        <f t="shared" si="20"/>
        <v>6</v>
      </c>
      <c r="I30" s="58">
        <f t="shared" si="20"/>
        <v>141</v>
      </c>
      <c r="J30" s="58">
        <f t="shared" si="20"/>
        <v>0</v>
      </c>
      <c r="K30" s="58">
        <f t="shared" si="20"/>
        <v>0</v>
      </c>
      <c r="L30" s="58">
        <f t="shared" si="20"/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0" customHeight="1">
      <c r="A31" s="52">
        <v>45909.0</v>
      </c>
      <c r="B31" s="53" t="s">
        <v>13</v>
      </c>
      <c r="C31" s="54">
        <v>-2.0</v>
      </c>
      <c r="D31" s="55">
        <f t="shared" si="3"/>
        <v>-1100</v>
      </c>
      <c r="E31" s="60"/>
      <c r="F31" s="58">
        <f t="shared" ref="F31:L31" si="21">SUMIFS($C31,$B31,F$7)+F30</f>
        <v>68</v>
      </c>
      <c r="G31" s="58">
        <f t="shared" si="21"/>
        <v>8</v>
      </c>
      <c r="H31" s="58">
        <f t="shared" si="21"/>
        <v>6</v>
      </c>
      <c r="I31" s="58">
        <f t="shared" si="21"/>
        <v>141</v>
      </c>
      <c r="J31" s="58">
        <f t="shared" si="21"/>
        <v>0</v>
      </c>
      <c r="K31" s="58">
        <f t="shared" si="21"/>
        <v>0</v>
      </c>
      <c r="L31" s="58">
        <f t="shared" si="21"/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0" customHeight="1">
      <c r="A32" s="68">
        <v>45909.0</v>
      </c>
      <c r="B32" s="64" t="s">
        <v>16</v>
      </c>
      <c r="C32" s="65">
        <v>2.0</v>
      </c>
      <c r="D32" s="55">
        <f t="shared" si="3"/>
        <v>1100</v>
      </c>
      <c r="E32" s="57"/>
      <c r="F32" s="58">
        <f t="shared" ref="F32:L32" si="22">SUMIFS($C32,$B32,F$7)+F31</f>
        <v>68</v>
      </c>
      <c r="G32" s="58">
        <f t="shared" si="22"/>
        <v>8</v>
      </c>
      <c r="H32" s="58">
        <f t="shared" si="22"/>
        <v>8</v>
      </c>
      <c r="I32" s="58">
        <f t="shared" si="22"/>
        <v>141</v>
      </c>
      <c r="J32" s="58">
        <f t="shared" si="22"/>
        <v>0</v>
      </c>
      <c r="K32" s="58">
        <f t="shared" si="22"/>
        <v>0</v>
      </c>
      <c r="L32" s="58">
        <f t="shared" si="22"/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0" customHeight="1">
      <c r="A33" s="68"/>
      <c r="B33" s="64"/>
      <c r="C33" s="65"/>
      <c r="D33" s="55">
        <f t="shared" si="3"/>
        <v>0</v>
      </c>
      <c r="E33" s="60"/>
      <c r="F33" s="58">
        <f t="shared" ref="F33:L33" si="23">SUMIFS($C33,$B33,F$7)+F32</f>
        <v>68</v>
      </c>
      <c r="G33" s="58">
        <f t="shared" si="23"/>
        <v>8</v>
      </c>
      <c r="H33" s="58">
        <f t="shared" si="23"/>
        <v>8</v>
      </c>
      <c r="I33" s="58">
        <f t="shared" si="23"/>
        <v>141</v>
      </c>
      <c r="J33" s="58">
        <f t="shared" si="23"/>
        <v>0</v>
      </c>
      <c r="K33" s="58">
        <f t="shared" si="23"/>
        <v>0</v>
      </c>
      <c r="L33" s="58">
        <f t="shared" si="23"/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0" customHeight="1">
      <c r="A34" s="68">
        <v>45910.0</v>
      </c>
      <c r="B34" s="64" t="s">
        <v>9</v>
      </c>
      <c r="C34" s="65">
        <v>10.0</v>
      </c>
      <c r="D34" s="66">
        <f t="shared" si="3"/>
        <v>5500</v>
      </c>
      <c r="E34" s="67"/>
      <c r="F34" s="58">
        <f t="shared" ref="F34:L34" si="24">SUMIFS($C34,$B34,F$7)+F33</f>
        <v>78</v>
      </c>
      <c r="G34" s="58">
        <f t="shared" si="24"/>
        <v>8</v>
      </c>
      <c r="H34" s="58">
        <f t="shared" si="24"/>
        <v>8</v>
      </c>
      <c r="I34" s="58">
        <f t="shared" si="24"/>
        <v>141</v>
      </c>
      <c r="J34" s="58">
        <f t="shared" si="24"/>
        <v>0</v>
      </c>
      <c r="K34" s="58">
        <f t="shared" si="24"/>
        <v>0</v>
      </c>
      <c r="L34" s="58">
        <f t="shared" si="24"/>
        <v>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0" customHeight="1">
      <c r="A35" s="68">
        <v>45910.0</v>
      </c>
      <c r="B35" s="64" t="s">
        <v>9</v>
      </c>
      <c r="C35" s="65">
        <v>-3.0</v>
      </c>
      <c r="D35" s="66">
        <f t="shared" si="3"/>
        <v>-1650</v>
      </c>
      <c r="E35" s="56" t="s">
        <v>13</v>
      </c>
      <c r="F35" s="58">
        <f t="shared" ref="F35:L35" si="25">SUMIFS($C35,$B35,F$7)+F34</f>
        <v>75</v>
      </c>
      <c r="G35" s="58">
        <f t="shared" si="25"/>
        <v>8</v>
      </c>
      <c r="H35" s="58">
        <f t="shared" si="25"/>
        <v>8</v>
      </c>
      <c r="I35" s="58">
        <f t="shared" si="25"/>
        <v>141</v>
      </c>
      <c r="J35" s="58">
        <f t="shared" si="25"/>
        <v>0</v>
      </c>
      <c r="K35" s="58">
        <f t="shared" si="25"/>
        <v>0</v>
      </c>
      <c r="L35" s="58">
        <f t="shared" si="25"/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0" customHeight="1">
      <c r="A36" s="68">
        <v>45910.0</v>
      </c>
      <c r="B36" s="64" t="s">
        <v>13</v>
      </c>
      <c r="C36" s="65">
        <v>3.0</v>
      </c>
      <c r="D36" s="66">
        <f t="shared" si="3"/>
        <v>1650</v>
      </c>
      <c r="E36" s="56"/>
      <c r="F36" s="58">
        <f t="shared" ref="F36:L36" si="26">SUMIFS($C36,$B36,F$7)+F35</f>
        <v>75</v>
      </c>
      <c r="G36" s="58">
        <f t="shared" si="26"/>
        <v>11</v>
      </c>
      <c r="H36" s="58">
        <f t="shared" si="26"/>
        <v>8</v>
      </c>
      <c r="I36" s="58">
        <f t="shared" si="26"/>
        <v>141</v>
      </c>
      <c r="J36" s="58">
        <f t="shared" si="26"/>
        <v>0</v>
      </c>
      <c r="K36" s="58">
        <f t="shared" si="26"/>
        <v>0</v>
      </c>
      <c r="L36" s="58">
        <f t="shared" si="26"/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0" customHeight="1">
      <c r="A37" s="68"/>
      <c r="B37" s="64"/>
      <c r="C37" s="65"/>
      <c r="D37" s="66">
        <f t="shared" si="3"/>
        <v>0</v>
      </c>
      <c r="E37" s="67"/>
      <c r="F37" s="58">
        <f t="shared" ref="F37:L37" si="27">SUMIFS($C37,$B37,F$7)+F36</f>
        <v>75</v>
      </c>
      <c r="G37" s="58">
        <f t="shared" si="27"/>
        <v>11</v>
      </c>
      <c r="H37" s="58">
        <f t="shared" si="27"/>
        <v>8</v>
      </c>
      <c r="I37" s="58">
        <f t="shared" si="27"/>
        <v>141</v>
      </c>
      <c r="J37" s="58">
        <f t="shared" si="27"/>
        <v>0</v>
      </c>
      <c r="K37" s="58">
        <f t="shared" si="27"/>
        <v>0</v>
      </c>
      <c r="L37" s="58">
        <f t="shared" si="27"/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0" customHeight="1">
      <c r="A38" s="68">
        <v>45911.0</v>
      </c>
      <c r="B38" s="64" t="s">
        <v>17</v>
      </c>
      <c r="C38" s="65">
        <v>-88.0</v>
      </c>
      <c r="D38" s="66">
        <f t="shared" si="3"/>
        <v>-48400</v>
      </c>
      <c r="E38" s="56" t="s">
        <v>48</v>
      </c>
      <c r="F38" s="58">
        <f t="shared" ref="F38:L38" si="28">SUMIFS($C38,$B38,F$7)+F37</f>
        <v>75</v>
      </c>
      <c r="G38" s="58">
        <f t="shared" si="28"/>
        <v>11</v>
      </c>
      <c r="H38" s="58">
        <f t="shared" si="28"/>
        <v>8</v>
      </c>
      <c r="I38" s="58">
        <f t="shared" si="28"/>
        <v>53</v>
      </c>
      <c r="J38" s="58">
        <f t="shared" si="28"/>
        <v>0</v>
      </c>
      <c r="K38" s="58">
        <f t="shared" si="28"/>
        <v>0</v>
      </c>
      <c r="L38" s="58">
        <f t="shared" si="28"/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0" customHeight="1">
      <c r="A39" s="68">
        <v>45911.0</v>
      </c>
      <c r="B39" s="64" t="s">
        <v>9</v>
      </c>
      <c r="C39" s="65">
        <v>16.0</v>
      </c>
      <c r="D39" s="66">
        <f t="shared" si="3"/>
        <v>8800</v>
      </c>
      <c r="E39" s="56"/>
      <c r="F39" s="58">
        <f t="shared" ref="F39:L39" si="29">SUMIFS($C39,$B39,F$7)+F38</f>
        <v>91</v>
      </c>
      <c r="G39" s="58">
        <f t="shared" si="29"/>
        <v>11</v>
      </c>
      <c r="H39" s="58">
        <f t="shared" si="29"/>
        <v>8</v>
      </c>
      <c r="I39" s="58">
        <f t="shared" si="29"/>
        <v>53</v>
      </c>
      <c r="J39" s="58">
        <f t="shared" si="29"/>
        <v>0</v>
      </c>
      <c r="K39" s="58">
        <f t="shared" si="29"/>
        <v>0</v>
      </c>
      <c r="L39" s="58">
        <f t="shared" si="29"/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0" customHeight="1">
      <c r="A40" s="68">
        <v>45911.0</v>
      </c>
      <c r="B40" s="64" t="s">
        <v>9</v>
      </c>
      <c r="C40" s="65">
        <v>-1.0</v>
      </c>
      <c r="D40" s="66">
        <f t="shared" si="3"/>
        <v>-550</v>
      </c>
      <c r="E40" s="56" t="s">
        <v>16</v>
      </c>
      <c r="F40" s="58">
        <f t="shared" ref="F40:L40" si="30">SUMIFS($C40,$B40,F$7)+F39</f>
        <v>90</v>
      </c>
      <c r="G40" s="58">
        <f t="shared" si="30"/>
        <v>11</v>
      </c>
      <c r="H40" s="58">
        <f t="shared" si="30"/>
        <v>8</v>
      </c>
      <c r="I40" s="58">
        <f t="shared" si="30"/>
        <v>53</v>
      </c>
      <c r="J40" s="58">
        <f t="shared" si="30"/>
        <v>0</v>
      </c>
      <c r="K40" s="58">
        <f t="shared" si="30"/>
        <v>0</v>
      </c>
      <c r="L40" s="58">
        <f t="shared" si="30"/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0" customHeight="1">
      <c r="A41" s="68">
        <v>45911.0</v>
      </c>
      <c r="B41" s="64" t="s">
        <v>16</v>
      </c>
      <c r="C41" s="65">
        <v>1.0</v>
      </c>
      <c r="D41" s="66">
        <f t="shared" si="3"/>
        <v>550</v>
      </c>
      <c r="E41" s="56"/>
      <c r="F41" s="58">
        <f t="shared" ref="F41:L41" si="31">SUMIFS($C41,$B41,F$7)+F40</f>
        <v>90</v>
      </c>
      <c r="G41" s="58">
        <f t="shared" si="31"/>
        <v>11</v>
      </c>
      <c r="H41" s="58">
        <f t="shared" si="31"/>
        <v>9</v>
      </c>
      <c r="I41" s="58">
        <f t="shared" si="31"/>
        <v>53</v>
      </c>
      <c r="J41" s="58">
        <f t="shared" si="31"/>
        <v>0</v>
      </c>
      <c r="K41" s="58">
        <f t="shared" si="31"/>
        <v>0</v>
      </c>
      <c r="L41" s="58">
        <f t="shared" si="31"/>
        <v>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0" customHeight="1">
      <c r="A42" s="70"/>
      <c r="B42" s="71"/>
      <c r="C42" s="66"/>
      <c r="D42" s="66">
        <f t="shared" si="3"/>
        <v>0</v>
      </c>
      <c r="E42" s="67"/>
      <c r="F42" s="58">
        <f t="shared" ref="F42:L42" si="32">SUMIFS($C42,$B42,F$7)+F41</f>
        <v>90</v>
      </c>
      <c r="G42" s="58">
        <f t="shared" si="32"/>
        <v>11</v>
      </c>
      <c r="H42" s="58">
        <f t="shared" si="32"/>
        <v>9</v>
      </c>
      <c r="I42" s="58">
        <f t="shared" si="32"/>
        <v>53</v>
      </c>
      <c r="J42" s="58">
        <f t="shared" si="32"/>
        <v>0</v>
      </c>
      <c r="K42" s="58">
        <f t="shared" si="32"/>
        <v>0</v>
      </c>
      <c r="L42" s="58">
        <f t="shared" si="32"/>
        <v>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0" customHeight="1">
      <c r="A43" s="68">
        <v>45912.0</v>
      </c>
      <c r="B43" s="64" t="s">
        <v>13</v>
      </c>
      <c r="C43" s="65">
        <v>-11.0</v>
      </c>
      <c r="D43" s="66">
        <f t="shared" si="3"/>
        <v>-6050</v>
      </c>
      <c r="E43" s="67"/>
      <c r="F43" s="58">
        <f t="shared" ref="F43:L43" si="33">SUMIFS($C43,$B43,F$7)+F42</f>
        <v>90</v>
      </c>
      <c r="G43" s="58">
        <f t="shared" si="33"/>
        <v>0</v>
      </c>
      <c r="H43" s="58">
        <f t="shared" si="33"/>
        <v>9</v>
      </c>
      <c r="I43" s="58">
        <f t="shared" si="33"/>
        <v>53</v>
      </c>
      <c r="J43" s="58">
        <f t="shared" si="33"/>
        <v>0</v>
      </c>
      <c r="K43" s="58">
        <f t="shared" si="33"/>
        <v>0</v>
      </c>
      <c r="L43" s="58">
        <f t="shared" si="33"/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0" customHeight="1">
      <c r="A44" s="68">
        <v>45912.0</v>
      </c>
      <c r="B44" s="64" t="s">
        <v>16</v>
      </c>
      <c r="C44" s="65">
        <v>-9.0</v>
      </c>
      <c r="D44" s="66">
        <f t="shared" si="3"/>
        <v>-4950</v>
      </c>
      <c r="E44" s="67"/>
      <c r="F44" s="58">
        <f t="shared" ref="F44:L44" si="34">SUMIFS($C44,$B44,F$7)+F43</f>
        <v>90</v>
      </c>
      <c r="G44" s="58">
        <f t="shared" si="34"/>
        <v>0</v>
      </c>
      <c r="H44" s="58">
        <f t="shared" si="34"/>
        <v>0</v>
      </c>
      <c r="I44" s="58">
        <f t="shared" si="34"/>
        <v>53</v>
      </c>
      <c r="J44" s="58">
        <f t="shared" si="34"/>
        <v>0</v>
      </c>
      <c r="K44" s="58">
        <f t="shared" si="34"/>
        <v>0</v>
      </c>
      <c r="L44" s="58">
        <f t="shared" si="34"/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0" customHeight="1">
      <c r="A45" s="68">
        <v>45912.0</v>
      </c>
      <c r="B45" s="64" t="s">
        <v>17</v>
      </c>
      <c r="C45" s="65">
        <v>20.0</v>
      </c>
      <c r="D45" s="66">
        <f t="shared" si="3"/>
        <v>11000</v>
      </c>
      <c r="E45" s="56" t="s">
        <v>53</v>
      </c>
      <c r="F45" s="58">
        <f t="shared" ref="F45:L45" si="35">SUMIFS($C45,$B45,F$7)+F44</f>
        <v>90</v>
      </c>
      <c r="G45" s="58">
        <f t="shared" si="35"/>
        <v>0</v>
      </c>
      <c r="H45" s="58">
        <f t="shared" si="35"/>
        <v>0</v>
      </c>
      <c r="I45" s="58">
        <f t="shared" si="35"/>
        <v>73</v>
      </c>
      <c r="J45" s="58">
        <f t="shared" si="35"/>
        <v>0</v>
      </c>
      <c r="K45" s="58">
        <f t="shared" si="35"/>
        <v>0</v>
      </c>
      <c r="L45" s="58">
        <f t="shared" si="35"/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0" customHeight="1">
      <c r="A46" s="70"/>
      <c r="B46" s="71"/>
      <c r="C46" s="66"/>
      <c r="D46" s="66">
        <f t="shared" si="3"/>
        <v>0</v>
      </c>
      <c r="E46" s="67"/>
      <c r="F46" s="58">
        <f t="shared" ref="F46:L46" si="36">SUMIFS($C46,$B46,F$7)+F45</f>
        <v>90</v>
      </c>
      <c r="G46" s="58">
        <f t="shared" si="36"/>
        <v>0</v>
      </c>
      <c r="H46" s="58">
        <f t="shared" si="36"/>
        <v>0</v>
      </c>
      <c r="I46" s="58">
        <f t="shared" si="36"/>
        <v>73</v>
      </c>
      <c r="J46" s="58">
        <f t="shared" si="36"/>
        <v>0</v>
      </c>
      <c r="K46" s="58">
        <f t="shared" si="36"/>
        <v>0</v>
      </c>
      <c r="L46" s="58">
        <f t="shared" si="36"/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0" customHeight="1">
      <c r="A47" s="68">
        <v>45912.0</v>
      </c>
      <c r="B47" s="64" t="s">
        <v>9</v>
      </c>
      <c r="C47" s="65">
        <v>16.0</v>
      </c>
      <c r="D47" s="66">
        <f t="shared" si="3"/>
        <v>8800</v>
      </c>
      <c r="E47" s="67"/>
      <c r="F47" s="58">
        <f t="shared" ref="F47:L47" si="37">SUMIFS($C47,$B47,F$7)+F46</f>
        <v>106</v>
      </c>
      <c r="G47" s="58">
        <f t="shared" si="37"/>
        <v>0</v>
      </c>
      <c r="H47" s="58">
        <f t="shared" si="37"/>
        <v>0</v>
      </c>
      <c r="I47" s="58">
        <f t="shared" si="37"/>
        <v>73</v>
      </c>
      <c r="J47" s="58">
        <f t="shared" si="37"/>
        <v>0</v>
      </c>
      <c r="K47" s="58">
        <f t="shared" si="37"/>
        <v>0</v>
      </c>
      <c r="L47" s="58">
        <f t="shared" si="37"/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0" customHeight="1">
      <c r="A48" s="68">
        <v>45912.0</v>
      </c>
      <c r="B48" s="64" t="s">
        <v>9</v>
      </c>
      <c r="C48" s="65">
        <v>-4.0</v>
      </c>
      <c r="D48" s="66">
        <f t="shared" si="3"/>
        <v>-2200</v>
      </c>
      <c r="E48" s="56" t="s">
        <v>13</v>
      </c>
      <c r="F48" s="58">
        <f t="shared" ref="F48:L48" si="38">SUMIFS($C48,$B48,F$7)+F47</f>
        <v>102</v>
      </c>
      <c r="G48" s="58">
        <f t="shared" si="38"/>
        <v>0</v>
      </c>
      <c r="H48" s="58">
        <f t="shared" si="38"/>
        <v>0</v>
      </c>
      <c r="I48" s="58">
        <f t="shared" si="38"/>
        <v>73</v>
      </c>
      <c r="J48" s="58">
        <f t="shared" si="38"/>
        <v>0</v>
      </c>
      <c r="K48" s="58">
        <f t="shared" si="38"/>
        <v>0</v>
      </c>
      <c r="L48" s="58">
        <f t="shared" si="38"/>
        <v>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0" customHeight="1">
      <c r="A49" s="68">
        <v>45912.0</v>
      </c>
      <c r="B49" s="64" t="s">
        <v>13</v>
      </c>
      <c r="C49" s="65">
        <v>4.0</v>
      </c>
      <c r="D49" s="66">
        <f t="shared" si="3"/>
        <v>2200</v>
      </c>
      <c r="E49" s="67"/>
      <c r="F49" s="58">
        <f t="shared" ref="F49:L49" si="39">SUMIFS($C49,$B49,F$7)+F48</f>
        <v>102</v>
      </c>
      <c r="G49" s="58">
        <f t="shared" si="39"/>
        <v>4</v>
      </c>
      <c r="H49" s="58">
        <f t="shared" si="39"/>
        <v>0</v>
      </c>
      <c r="I49" s="58">
        <f t="shared" si="39"/>
        <v>73</v>
      </c>
      <c r="J49" s="58">
        <f t="shared" si="39"/>
        <v>0</v>
      </c>
      <c r="K49" s="58">
        <f t="shared" si="39"/>
        <v>0</v>
      </c>
      <c r="L49" s="58">
        <f t="shared" si="39"/>
        <v>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0" customHeight="1">
      <c r="A50" s="70"/>
      <c r="B50" s="71"/>
      <c r="C50" s="66"/>
      <c r="D50" s="66">
        <f t="shared" si="3"/>
        <v>0</v>
      </c>
      <c r="E50" s="67"/>
      <c r="F50" s="58">
        <f t="shared" ref="F50:L50" si="40">SUMIFS($C50,$B50,F$7)+F49</f>
        <v>102</v>
      </c>
      <c r="G50" s="58">
        <f t="shared" si="40"/>
        <v>4</v>
      </c>
      <c r="H50" s="58">
        <f t="shared" si="40"/>
        <v>0</v>
      </c>
      <c r="I50" s="58">
        <f t="shared" si="40"/>
        <v>73</v>
      </c>
      <c r="J50" s="58">
        <f t="shared" si="40"/>
        <v>0</v>
      </c>
      <c r="K50" s="58">
        <f t="shared" si="40"/>
        <v>0</v>
      </c>
      <c r="L50" s="58">
        <f t="shared" si="40"/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0" customHeight="1">
      <c r="A51" s="68">
        <v>45913.0</v>
      </c>
      <c r="B51" s="64" t="s">
        <v>9</v>
      </c>
      <c r="C51" s="65">
        <v>16.0</v>
      </c>
      <c r="D51" s="66">
        <f t="shared" si="3"/>
        <v>8800</v>
      </c>
      <c r="E51" s="67"/>
      <c r="F51" s="58">
        <f t="shared" ref="F51:L51" si="41">SUMIFS($C51,$B51,F$7)+F50</f>
        <v>118</v>
      </c>
      <c r="G51" s="58">
        <f t="shared" si="41"/>
        <v>4</v>
      </c>
      <c r="H51" s="58">
        <f t="shared" si="41"/>
        <v>0</v>
      </c>
      <c r="I51" s="58">
        <f t="shared" si="41"/>
        <v>73</v>
      </c>
      <c r="J51" s="58">
        <f t="shared" si="41"/>
        <v>0</v>
      </c>
      <c r="K51" s="58">
        <f t="shared" si="41"/>
        <v>0</v>
      </c>
      <c r="L51" s="58">
        <f t="shared" si="41"/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0" customHeight="1">
      <c r="A52" s="70"/>
      <c r="B52" s="71"/>
      <c r="C52" s="66"/>
      <c r="D52" s="66">
        <f t="shared" si="3"/>
        <v>0</v>
      </c>
      <c r="E52" s="67"/>
      <c r="F52" s="58">
        <f t="shared" ref="F52:L52" si="42">SUMIFS($C52,$B52,F$7)+F51</f>
        <v>118</v>
      </c>
      <c r="G52" s="58">
        <f t="shared" si="42"/>
        <v>4</v>
      </c>
      <c r="H52" s="58">
        <f t="shared" si="42"/>
        <v>0</v>
      </c>
      <c r="I52" s="58">
        <f t="shared" si="42"/>
        <v>73</v>
      </c>
      <c r="J52" s="58">
        <f t="shared" si="42"/>
        <v>0</v>
      </c>
      <c r="K52" s="58">
        <f t="shared" si="42"/>
        <v>0</v>
      </c>
      <c r="L52" s="58">
        <f t="shared" si="42"/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0" customHeight="1">
      <c r="A53" s="68">
        <v>45915.0</v>
      </c>
      <c r="B53" s="64" t="s">
        <v>9</v>
      </c>
      <c r="C53" s="65">
        <v>13.0</v>
      </c>
      <c r="D53" s="66">
        <f t="shared" si="3"/>
        <v>7150</v>
      </c>
      <c r="E53" s="67"/>
      <c r="F53" s="58">
        <f t="shared" ref="F53:L53" si="43">SUMIFS($C53,$B53,F$7)+F52</f>
        <v>131</v>
      </c>
      <c r="G53" s="58">
        <f t="shared" si="43"/>
        <v>4</v>
      </c>
      <c r="H53" s="58">
        <f t="shared" si="43"/>
        <v>0</v>
      </c>
      <c r="I53" s="58">
        <f t="shared" si="43"/>
        <v>73</v>
      </c>
      <c r="J53" s="58">
        <f t="shared" si="43"/>
        <v>0</v>
      </c>
      <c r="K53" s="58">
        <f t="shared" si="43"/>
        <v>0</v>
      </c>
      <c r="L53" s="58">
        <f t="shared" si="43"/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0" customHeight="1">
      <c r="A54" s="70"/>
      <c r="B54" s="71"/>
      <c r="C54" s="66"/>
      <c r="D54" s="66">
        <f t="shared" si="3"/>
        <v>0</v>
      </c>
      <c r="E54" s="67"/>
      <c r="F54" s="58">
        <f t="shared" ref="F54:L54" si="44">SUMIFS($C54,$B54,F$7)+F53</f>
        <v>131</v>
      </c>
      <c r="G54" s="58">
        <f t="shared" si="44"/>
        <v>4</v>
      </c>
      <c r="H54" s="58">
        <f t="shared" si="44"/>
        <v>0</v>
      </c>
      <c r="I54" s="58">
        <f t="shared" si="44"/>
        <v>73</v>
      </c>
      <c r="J54" s="58">
        <f t="shared" si="44"/>
        <v>0</v>
      </c>
      <c r="K54" s="58">
        <f t="shared" si="44"/>
        <v>0</v>
      </c>
      <c r="L54" s="58">
        <f t="shared" si="44"/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0" customHeight="1">
      <c r="A55" s="68">
        <v>45916.0</v>
      </c>
      <c r="B55" s="64" t="s">
        <v>9</v>
      </c>
      <c r="C55" s="65">
        <v>17.0</v>
      </c>
      <c r="D55" s="66">
        <f t="shared" si="3"/>
        <v>9350</v>
      </c>
      <c r="E55" s="67"/>
      <c r="F55" s="58">
        <f t="shared" ref="F55:L55" si="45">SUMIFS($C55,$B55,F$7)+F54</f>
        <v>148</v>
      </c>
      <c r="G55" s="58">
        <f t="shared" si="45"/>
        <v>4</v>
      </c>
      <c r="H55" s="58">
        <f t="shared" si="45"/>
        <v>0</v>
      </c>
      <c r="I55" s="58">
        <f t="shared" si="45"/>
        <v>73</v>
      </c>
      <c r="J55" s="58">
        <f t="shared" si="45"/>
        <v>0</v>
      </c>
      <c r="K55" s="58">
        <f t="shared" si="45"/>
        <v>0</v>
      </c>
      <c r="L55" s="58">
        <f t="shared" si="45"/>
        <v>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0" customHeight="1">
      <c r="A56" s="68">
        <v>45916.0</v>
      </c>
      <c r="B56" s="64" t="s">
        <v>9</v>
      </c>
      <c r="C56" s="65">
        <v>-1.0</v>
      </c>
      <c r="D56" s="66">
        <f t="shared" si="3"/>
        <v>-550</v>
      </c>
      <c r="E56" s="56" t="s">
        <v>13</v>
      </c>
      <c r="F56" s="58">
        <f t="shared" ref="F56:L56" si="46">SUMIFS($C56,$B56,F$7)+F55</f>
        <v>147</v>
      </c>
      <c r="G56" s="58">
        <f t="shared" si="46"/>
        <v>4</v>
      </c>
      <c r="H56" s="58">
        <f t="shared" si="46"/>
        <v>0</v>
      </c>
      <c r="I56" s="58">
        <f t="shared" si="46"/>
        <v>73</v>
      </c>
      <c r="J56" s="58">
        <f t="shared" si="46"/>
        <v>0</v>
      </c>
      <c r="K56" s="58">
        <f t="shared" si="46"/>
        <v>0</v>
      </c>
      <c r="L56" s="58">
        <f t="shared" si="46"/>
        <v>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0" customHeight="1">
      <c r="A57" s="68">
        <v>45916.0</v>
      </c>
      <c r="B57" s="64" t="s">
        <v>13</v>
      </c>
      <c r="C57" s="65">
        <v>1.0</v>
      </c>
      <c r="D57" s="66">
        <f t="shared" si="3"/>
        <v>550</v>
      </c>
      <c r="E57" s="67"/>
      <c r="F57" s="58">
        <f t="shared" ref="F57:L57" si="47">SUMIFS($C57,$B57,F$7)+F56</f>
        <v>147</v>
      </c>
      <c r="G57" s="58">
        <f t="shared" si="47"/>
        <v>5</v>
      </c>
      <c r="H57" s="58">
        <f t="shared" si="47"/>
        <v>0</v>
      </c>
      <c r="I57" s="58">
        <f t="shared" si="47"/>
        <v>73</v>
      </c>
      <c r="J57" s="58">
        <f t="shared" si="47"/>
        <v>0</v>
      </c>
      <c r="K57" s="58">
        <f t="shared" si="47"/>
        <v>0</v>
      </c>
      <c r="L57" s="58">
        <f t="shared" si="47"/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0" customHeight="1">
      <c r="A58" s="68">
        <v>45916.0</v>
      </c>
      <c r="B58" s="64" t="s">
        <v>13</v>
      </c>
      <c r="C58" s="65">
        <v>-5.0</v>
      </c>
      <c r="D58" s="66">
        <f t="shared" si="3"/>
        <v>-2750</v>
      </c>
      <c r="E58" s="67"/>
      <c r="F58" s="58">
        <f t="shared" ref="F58:L58" si="48">SUMIFS($C58,$B58,F$7)+F57</f>
        <v>147</v>
      </c>
      <c r="G58" s="58">
        <f t="shared" si="48"/>
        <v>0</v>
      </c>
      <c r="H58" s="58">
        <f t="shared" si="48"/>
        <v>0</v>
      </c>
      <c r="I58" s="58">
        <f t="shared" si="48"/>
        <v>73</v>
      </c>
      <c r="J58" s="58">
        <f t="shared" si="48"/>
        <v>0</v>
      </c>
      <c r="K58" s="58">
        <f t="shared" si="48"/>
        <v>0</v>
      </c>
      <c r="L58" s="58">
        <f t="shared" si="48"/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0" customHeight="1">
      <c r="A59" s="68">
        <v>45916.0</v>
      </c>
      <c r="B59" s="64" t="s">
        <v>17</v>
      </c>
      <c r="C59" s="65">
        <v>5.0</v>
      </c>
      <c r="D59" s="66">
        <f t="shared" si="3"/>
        <v>2750</v>
      </c>
      <c r="E59" s="56" t="s">
        <v>65</v>
      </c>
      <c r="F59" s="58">
        <f t="shared" ref="F59:L59" si="49">SUMIFS($C59,$B59,F$7)+F58</f>
        <v>147</v>
      </c>
      <c r="G59" s="58">
        <f t="shared" si="49"/>
        <v>0</v>
      </c>
      <c r="H59" s="58">
        <f t="shared" si="49"/>
        <v>0</v>
      </c>
      <c r="I59" s="58">
        <f t="shared" si="49"/>
        <v>78</v>
      </c>
      <c r="J59" s="58">
        <f t="shared" si="49"/>
        <v>0</v>
      </c>
      <c r="K59" s="58">
        <f t="shared" si="49"/>
        <v>0</v>
      </c>
      <c r="L59" s="58">
        <f t="shared" si="49"/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0" customHeight="1">
      <c r="A60" s="68">
        <v>45916.0</v>
      </c>
      <c r="B60" s="64" t="s">
        <v>9</v>
      </c>
      <c r="C60" s="65">
        <v>-131.0</v>
      </c>
      <c r="D60" s="66">
        <f t="shared" si="3"/>
        <v>-72050</v>
      </c>
      <c r="E60" s="67"/>
      <c r="F60" s="58">
        <f t="shared" ref="F60:L60" si="50">SUMIFS($C60,$B60,F$7)+F59</f>
        <v>16</v>
      </c>
      <c r="G60" s="58">
        <f t="shared" si="50"/>
        <v>0</v>
      </c>
      <c r="H60" s="58">
        <f t="shared" si="50"/>
        <v>0</v>
      </c>
      <c r="I60" s="58">
        <f t="shared" si="50"/>
        <v>78</v>
      </c>
      <c r="J60" s="58">
        <f t="shared" si="50"/>
        <v>0</v>
      </c>
      <c r="K60" s="58">
        <f t="shared" si="50"/>
        <v>0</v>
      </c>
      <c r="L60" s="58">
        <f t="shared" si="50"/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0" customHeight="1">
      <c r="A61" s="68">
        <v>45916.0</v>
      </c>
      <c r="B61" s="64" t="s">
        <v>17</v>
      </c>
      <c r="C61" s="65">
        <v>131.0</v>
      </c>
      <c r="D61" s="66">
        <f t="shared" si="3"/>
        <v>72050</v>
      </c>
      <c r="E61" s="56" t="s">
        <v>68</v>
      </c>
      <c r="F61" s="58">
        <f t="shared" ref="F61:L61" si="51">SUMIFS($C61,$B61,F$7)+F60</f>
        <v>16</v>
      </c>
      <c r="G61" s="58">
        <f t="shared" si="51"/>
        <v>0</v>
      </c>
      <c r="H61" s="58">
        <f t="shared" si="51"/>
        <v>0</v>
      </c>
      <c r="I61" s="58">
        <f t="shared" si="51"/>
        <v>209</v>
      </c>
      <c r="J61" s="58">
        <f t="shared" si="51"/>
        <v>0</v>
      </c>
      <c r="K61" s="58">
        <f t="shared" si="51"/>
        <v>0</v>
      </c>
      <c r="L61" s="58">
        <f t="shared" si="51"/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0" customHeight="1">
      <c r="A62" s="70"/>
      <c r="B62" s="71"/>
      <c r="C62" s="66"/>
      <c r="D62" s="66">
        <f t="shared" si="3"/>
        <v>0</v>
      </c>
      <c r="E62" s="67"/>
      <c r="F62" s="58">
        <f t="shared" ref="F62:L62" si="52">SUMIFS($C62,$B62,F$7)+F61</f>
        <v>16</v>
      </c>
      <c r="G62" s="58">
        <f t="shared" si="52"/>
        <v>0</v>
      </c>
      <c r="H62" s="58">
        <f t="shared" si="52"/>
        <v>0</v>
      </c>
      <c r="I62" s="58">
        <f t="shared" si="52"/>
        <v>209</v>
      </c>
      <c r="J62" s="58">
        <f t="shared" si="52"/>
        <v>0</v>
      </c>
      <c r="K62" s="58">
        <f t="shared" si="52"/>
        <v>0</v>
      </c>
      <c r="L62" s="58">
        <f t="shared" si="52"/>
        <v>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0" customHeight="1">
      <c r="A63" s="68">
        <v>45917.0</v>
      </c>
      <c r="B63" s="64" t="s">
        <v>9</v>
      </c>
      <c r="C63" s="65">
        <v>16.0</v>
      </c>
      <c r="D63" s="66">
        <f t="shared" si="3"/>
        <v>8800</v>
      </c>
      <c r="E63" s="67"/>
      <c r="F63" s="58">
        <f t="shared" ref="F63:L63" si="53">SUMIFS($C63,$B63,F$7)+F62</f>
        <v>32</v>
      </c>
      <c r="G63" s="58">
        <f t="shared" si="53"/>
        <v>0</v>
      </c>
      <c r="H63" s="58">
        <f t="shared" si="53"/>
        <v>0</v>
      </c>
      <c r="I63" s="58">
        <f t="shared" si="53"/>
        <v>209</v>
      </c>
      <c r="J63" s="58">
        <f t="shared" si="53"/>
        <v>0</v>
      </c>
      <c r="K63" s="58">
        <f t="shared" si="53"/>
        <v>0</v>
      </c>
      <c r="L63" s="58">
        <f t="shared" si="53"/>
        <v>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0" customHeight="1">
      <c r="A64" s="68">
        <v>45917.0</v>
      </c>
      <c r="B64" s="64" t="s">
        <v>9</v>
      </c>
      <c r="C64" s="65">
        <v>-3.0</v>
      </c>
      <c r="D64" s="66">
        <f t="shared" si="3"/>
        <v>-1650</v>
      </c>
      <c r="E64" s="56" t="s">
        <v>13</v>
      </c>
      <c r="F64" s="58">
        <f t="shared" ref="F64:L64" si="54">SUMIFS($C64,$B64,F$7)+F63</f>
        <v>29</v>
      </c>
      <c r="G64" s="58">
        <f t="shared" si="54"/>
        <v>0</v>
      </c>
      <c r="H64" s="58">
        <f t="shared" si="54"/>
        <v>0</v>
      </c>
      <c r="I64" s="58">
        <f t="shared" si="54"/>
        <v>209</v>
      </c>
      <c r="J64" s="58">
        <f t="shared" si="54"/>
        <v>0</v>
      </c>
      <c r="K64" s="58">
        <f t="shared" si="54"/>
        <v>0</v>
      </c>
      <c r="L64" s="58">
        <f t="shared" si="54"/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0" customHeight="1">
      <c r="A65" s="68">
        <v>45917.0</v>
      </c>
      <c r="B65" s="64" t="s">
        <v>13</v>
      </c>
      <c r="C65" s="65">
        <v>3.0</v>
      </c>
      <c r="D65" s="66">
        <f t="shared" si="3"/>
        <v>1650</v>
      </c>
      <c r="E65" s="67"/>
      <c r="F65" s="58">
        <f t="shared" ref="F65:L65" si="55">SUMIFS($C65,$B65,F$7)+F64</f>
        <v>29</v>
      </c>
      <c r="G65" s="58">
        <f t="shared" si="55"/>
        <v>3</v>
      </c>
      <c r="H65" s="58">
        <f t="shared" si="55"/>
        <v>0</v>
      </c>
      <c r="I65" s="58">
        <f t="shared" si="55"/>
        <v>209</v>
      </c>
      <c r="J65" s="58">
        <f t="shared" si="55"/>
        <v>0</v>
      </c>
      <c r="K65" s="58">
        <f t="shared" si="55"/>
        <v>0</v>
      </c>
      <c r="L65" s="58">
        <f t="shared" si="55"/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0" customHeight="1">
      <c r="A66" s="70"/>
      <c r="B66" s="71"/>
      <c r="C66" s="66"/>
      <c r="D66" s="66">
        <f t="shared" si="3"/>
        <v>0</v>
      </c>
      <c r="E66" s="67"/>
      <c r="F66" s="58">
        <f t="shared" ref="F66:L66" si="56">SUMIFS($C66,$B66,F$7)+F65</f>
        <v>29</v>
      </c>
      <c r="G66" s="58">
        <f t="shared" si="56"/>
        <v>3</v>
      </c>
      <c r="H66" s="58">
        <f t="shared" si="56"/>
        <v>0</v>
      </c>
      <c r="I66" s="58">
        <f t="shared" si="56"/>
        <v>209</v>
      </c>
      <c r="J66" s="58">
        <f t="shared" si="56"/>
        <v>0</v>
      </c>
      <c r="K66" s="58">
        <f t="shared" si="56"/>
        <v>0</v>
      </c>
      <c r="L66" s="58">
        <f t="shared" si="56"/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0" customHeight="1">
      <c r="A67" s="72">
        <v>45918.0</v>
      </c>
      <c r="B67" s="64" t="s">
        <v>9</v>
      </c>
      <c r="C67" s="65">
        <v>14.0</v>
      </c>
      <c r="D67" s="66">
        <f t="shared" si="3"/>
        <v>7700</v>
      </c>
      <c r="E67" s="67"/>
      <c r="F67" s="58">
        <f t="shared" ref="F67:L67" si="57">SUMIFS($C67,$B67,F$7)+F66</f>
        <v>43</v>
      </c>
      <c r="G67" s="58">
        <f t="shared" si="57"/>
        <v>3</v>
      </c>
      <c r="H67" s="58">
        <f t="shared" si="57"/>
        <v>0</v>
      </c>
      <c r="I67" s="58">
        <f t="shared" si="57"/>
        <v>209</v>
      </c>
      <c r="J67" s="58">
        <f t="shared" si="57"/>
        <v>0</v>
      </c>
      <c r="K67" s="58">
        <f t="shared" si="57"/>
        <v>0</v>
      </c>
      <c r="L67" s="58">
        <f t="shared" si="57"/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0" customHeight="1">
      <c r="A68" s="72">
        <v>45918.0</v>
      </c>
      <c r="B68" s="64" t="s">
        <v>9</v>
      </c>
      <c r="C68" s="65">
        <v>-4.0</v>
      </c>
      <c r="D68" s="66">
        <f t="shared" si="3"/>
        <v>-2200</v>
      </c>
      <c r="E68" s="56" t="s">
        <v>13</v>
      </c>
      <c r="F68" s="58">
        <f t="shared" ref="F68:L68" si="58">SUMIFS($C68,$B68,F$7)+F67</f>
        <v>39</v>
      </c>
      <c r="G68" s="58">
        <f t="shared" si="58"/>
        <v>3</v>
      </c>
      <c r="H68" s="58">
        <f t="shared" si="58"/>
        <v>0</v>
      </c>
      <c r="I68" s="58">
        <f t="shared" si="58"/>
        <v>209</v>
      </c>
      <c r="J68" s="58">
        <f t="shared" si="58"/>
        <v>0</v>
      </c>
      <c r="K68" s="58">
        <f t="shared" si="58"/>
        <v>0</v>
      </c>
      <c r="L68" s="58">
        <f t="shared" si="58"/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0" customHeight="1">
      <c r="A69" s="72">
        <v>45918.0</v>
      </c>
      <c r="B69" s="64" t="s">
        <v>13</v>
      </c>
      <c r="C69" s="65">
        <v>4.0</v>
      </c>
      <c r="D69" s="66">
        <f t="shared" si="3"/>
        <v>2200</v>
      </c>
      <c r="E69" s="67"/>
      <c r="F69" s="58">
        <f t="shared" ref="F69:L69" si="59">SUMIFS($C69,$B69,F$7)+F68</f>
        <v>39</v>
      </c>
      <c r="G69" s="58">
        <f t="shared" si="59"/>
        <v>7</v>
      </c>
      <c r="H69" s="58">
        <f t="shared" si="59"/>
        <v>0</v>
      </c>
      <c r="I69" s="58">
        <f t="shared" si="59"/>
        <v>209</v>
      </c>
      <c r="J69" s="58">
        <f t="shared" si="59"/>
        <v>0</v>
      </c>
      <c r="K69" s="58">
        <f t="shared" si="59"/>
        <v>0</v>
      </c>
      <c r="L69" s="58">
        <f t="shared" si="59"/>
        <v>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0" customHeight="1">
      <c r="A70" s="70"/>
      <c r="B70" s="71"/>
      <c r="C70" s="66"/>
      <c r="D70" s="66">
        <f t="shared" si="3"/>
        <v>0</v>
      </c>
      <c r="E70" s="67"/>
      <c r="F70" s="58">
        <f t="shared" ref="F70:L70" si="60">SUMIFS($C70,$B70,F$7)+F69</f>
        <v>39</v>
      </c>
      <c r="G70" s="58">
        <f t="shared" si="60"/>
        <v>7</v>
      </c>
      <c r="H70" s="58">
        <f t="shared" si="60"/>
        <v>0</v>
      </c>
      <c r="I70" s="58">
        <f t="shared" si="60"/>
        <v>209</v>
      </c>
      <c r="J70" s="58">
        <f t="shared" si="60"/>
        <v>0</v>
      </c>
      <c r="K70" s="58">
        <f t="shared" si="60"/>
        <v>0</v>
      </c>
      <c r="L70" s="58">
        <f t="shared" si="60"/>
        <v>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0" customHeight="1">
      <c r="A71" s="68">
        <v>45919.0</v>
      </c>
      <c r="B71" s="64" t="s">
        <v>9</v>
      </c>
      <c r="C71" s="65">
        <v>14.0</v>
      </c>
      <c r="D71" s="66">
        <f t="shared" si="3"/>
        <v>7700</v>
      </c>
      <c r="E71" s="67"/>
      <c r="F71" s="58">
        <f t="shared" ref="F71:L71" si="61">SUMIFS($C71,$B71,F$7)+F70</f>
        <v>53</v>
      </c>
      <c r="G71" s="58">
        <f t="shared" si="61"/>
        <v>7</v>
      </c>
      <c r="H71" s="58">
        <f t="shared" si="61"/>
        <v>0</v>
      </c>
      <c r="I71" s="58">
        <f t="shared" si="61"/>
        <v>209</v>
      </c>
      <c r="J71" s="58">
        <f t="shared" si="61"/>
        <v>0</v>
      </c>
      <c r="K71" s="58">
        <f t="shared" si="61"/>
        <v>0</v>
      </c>
      <c r="L71" s="58">
        <f t="shared" si="61"/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0" customHeight="1">
      <c r="A72" s="68">
        <v>45919.0</v>
      </c>
      <c r="B72" s="64" t="s">
        <v>9</v>
      </c>
      <c r="C72" s="65">
        <v>-4.0</v>
      </c>
      <c r="D72" s="66">
        <f t="shared" si="3"/>
        <v>-2200</v>
      </c>
      <c r="E72" s="56" t="s">
        <v>13</v>
      </c>
      <c r="F72" s="58">
        <f t="shared" ref="F72:L72" si="62">SUMIFS($C72,$B72,F$7)+F71</f>
        <v>49</v>
      </c>
      <c r="G72" s="58">
        <f t="shared" si="62"/>
        <v>7</v>
      </c>
      <c r="H72" s="58">
        <f t="shared" si="62"/>
        <v>0</v>
      </c>
      <c r="I72" s="58">
        <f t="shared" si="62"/>
        <v>209</v>
      </c>
      <c r="J72" s="58">
        <f t="shared" si="62"/>
        <v>0</v>
      </c>
      <c r="K72" s="58">
        <f t="shared" si="62"/>
        <v>0</v>
      </c>
      <c r="L72" s="58">
        <f t="shared" si="62"/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0" customHeight="1">
      <c r="A73" s="68">
        <v>45919.0</v>
      </c>
      <c r="B73" s="64" t="s">
        <v>13</v>
      </c>
      <c r="C73" s="65">
        <v>4.0</v>
      </c>
      <c r="D73" s="66">
        <f t="shared" si="3"/>
        <v>2200</v>
      </c>
      <c r="E73" s="67"/>
      <c r="F73" s="58">
        <f t="shared" ref="F73:L73" si="63">SUMIFS($C73,$B73,F$7)+F72</f>
        <v>49</v>
      </c>
      <c r="G73" s="58">
        <f t="shared" si="63"/>
        <v>11</v>
      </c>
      <c r="H73" s="58">
        <f t="shared" si="63"/>
        <v>0</v>
      </c>
      <c r="I73" s="58">
        <f t="shared" si="63"/>
        <v>209</v>
      </c>
      <c r="J73" s="58">
        <f t="shared" si="63"/>
        <v>0</v>
      </c>
      <c r="K73" s="58">
        <f t="shared" si="63"/>
        <v>0</v>
      </c>
      <c r="L73" s="58">
        <f t="shared" si="63"/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0" customHeight="1">
      <c r="A74" s="68">
        <v>45919.0</v>
      </c>
      <c r="B74" s="64" t="s">
        <v>17</v>
      </c>
      <c r="C74" s="65">
        <v>-1.0</v>
      </c>
      <c r="D74" s="66">
        <f t="shared" si="3"/>
        <v>-550</v>
      </c>
      <c r="E74" s="56" t="s">
        <v>38</v>
      </c>
      <c r="F74" s="58">
        <f t="shared" ref="F74:L74" si="64">SUMIFS($C74,$B74,F$7)+F73</f>
        <v>49</v>
      </c>
      <c r="G74" s="58">
        <f t="shared" si="64"/>
        <v>11</v>
      </c>
      <c r="H74" s="58">
        <f t="shared" si="64"/>
        <v>0</v>
      </c>
      <c r="I74" s="58">
        <f t="shared" si="64"/>
        <v>208</v>
      </c>
      <c r="J74" s="58">
        <f t="shared" si="64"/>
        <v>0</v>
      </c>
      <c r="K74" s="58">
        <f t="shared" si="64"/>
        <v>0</v>
      </c>
      <c r="L74" s="58">
        <f t="shared" si="64"/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0" customHeight="1">
      <c r="A75" s="68">
        <v>45919.0</v>
      </c>
      <c r="B75" s="64" t="s">
        <v>13</v>
      </c>
      <c r="C75" s="65">
        <v>-11.0</v>
      </c>
      <c r="D75" s="66">
        <f t="shared" si="3"/>
        <v>-6050</v>
      </c>
      <c r="E75" s="67"/>
      <c r="F75" s="58">
        <f t="shared" ref="F75:L75" si="65">SUMIFS($C75,$B75,F$7)+F74</f>
        <v>49</v>
      </c>
      <c r="G75" s="58">
        <f t="shared" si="65"/>
        <v>0</v>
      </c>
      <c r="H75" s="58">
        <f t="shared" si="65"/>
        <v>0</v>
      </c>
      <c r="I75" s="58">
        <f t="shared" si="65"/>
        <v>208</v>
      </c>
      <c r="J75" s="58">
        <f t="shared" si="65"/>
        <v>0</v>
      </c>
      <c r="K75" s="58">
        <f t="shared" si="65"/>
        <v>0</v>
      </c>
      <c r="L75" s="58">
        <f t="shared" si="65"/>
        <v>0</v>
      </c>
      <c r="M75" s="3"/>
      <c r="N75" s="3"/>
      <c r="O75" s="3"/>
      <c r="P75" s="3"/>
      <c r="Q75" s="3"/>
      <c r="R75" s="3"/>
      <c r="S75" s="3"/>
      <c r="T75" s="42" t="s">
        <v>79</v>
      </c>
      <c r="U75" s="3"/>
      <c r="V75" s="3"/>
      <c r="W75" s="3"/>
      <c r="X75" s="3"/>
    </row>
    <row r="76" ht="15.0" customHeight="1">
      <c r="A76" s="68">
        <v>45919.0</v>
      </c>
      <c r="B76" s="64" t="s">
        <v>17</v>
      </c>
      <c r="C76" s="65">
        <v>11.0</v>
      </c>
      <c r="D76" s="66">
        <f t="shared" si="3"/>
        <v>6050</v>
      </c>
      <c r="E76" s="56" t="s">
        <v>80</v>
      </c>
      <c r="F76" s="58">
        <f t="shared" ref="F76:L76" si="66">SUMIFS($C76,$B76,F$7)+F75</f>
        <v>49</v>
      </c>
      <c r="G76" s="58">
        <f t="shared" si="66"/>
        <v>0</v>
      </c>
      <c r="H76" s="58">
        <f t="shared" si="66"/>
        <v>0</v>
      </c>
      <c r="I76" s="58">
        <f t="shared" si="66"/>
        <v>219</v>
      </c>
      <c r="J76" s="58">
        <f t="shared" si="66"/>
        <v>0</v>
      </c>
      <c r="K76" s="58">
        <f t="shared" si="66"/>
        <v>0</v>
      </c>
      <c r="L76" s="58">
        <f t="shared" si="66"/>
        <v>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0" customHeight="1">
      <c r="A77" s="68">
        <v>45919.0</v>
      </c>
      <c r="B77" s="64" t="s">
        <v>9</v>
      </c>
      <c r="C77" s="65">
        <v>-35.0</v>
      </c>
      <c r="D77" s="66">
        <f t="shared" si="3"/>
        <v>-19250</v>
      </c>
      <c r="E77" s="67"/>
      <c r="F77" s="58">
        <f t="shared" ref="F77:L77" si="67">SUMIFS($C77,$B77,F$7)+F76</f>
        <v>14</v>
      </c>
      <c r="G77" s="58">
        <f t="shared" si="67"/>
        <v>0</v>
      </c>
      <c r="H77" s="58">
        <f t="shared" si="67"/>
        <v>0</v>
      </c>
      <c r="I77" s="58">
        <f t="shared" si="67"/>
        <v>219</v>
      </c>
      <c r="J77" s="58">
        <f t="shared" si="67"/>
        <v>0</v>
      </c>
      <c r="K77" s="58">
        <f t="shared" si="67"/>
        <v>0</v>
      </c>
      <c r="L77" s="58">
        <f t="shared" si="67"/>
        <v>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0" customHeight="1">
      <c r="A78" s="68">
        <v>45919.0</v>
      </c>
      <c r="B78" s="64" t="s">
        <v>17</v>
      </c>
      <c r="C78" s="65">
        <v>35.0</v>
      </c>
      <c r="D78" s="66">
        <f t="shared" si="3"/>
        <v>19250</v>
      </c>
      <c r="E78" s="56" t="s">
        <v>82</v>
      </c>
      <c r="F78" s="58">
        <f t="shared" ref="F78:L78" si="68">SUMIFS($C78,$B78,F$7)+F77</f>
        <v>14</v>
      </c>
      <c r="G78" s="58">
        <f t="shared" si="68"/>
        <v>0</v>
      </c>
      <c r="H78" s="58">
        <f t="shared" si="68"/>
        <v>0</v>
      </c>
      <c r="I78" s="58">
        <f t="shared" si="68"/>
        <v>254</v>
      </c>
      <c r="J78" s="58">
        <f t="shared" si="68"/>
        <v>0</v>
      </c>
      <c r="K78" s="58">
        <f t="shared" si="68"/>
        <v>0</v>
      </c>
      <c r="L78" s="58">
        <f t="shared" si="68"/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0" customHeight="1">
      <c r="A79" s="70"/>
      <c r="B79" s="71"/>
      <c r="C79" s="66"/>
      <c r="D79" s="66">
        <f t="shared" si="3"/>
        <v>0</v>
      </c>
      <c r="E79" s="67"/>
      <c r="F79" s="58">
        <f t="shared" ref="F79:L79" si="69">SUMIFS($C79,$B79,F$7)+F78</f>
        <v>14</v>
      </c>
      <c r="G79" s="58">
        <f t="shared" si="69"/>
        <v>0</v>
      </c>
      <c r="H79" s="58">
        <f t="shared" si="69"/>
        <v>0</v>
      </c>
      <c r="I79" s="58">
        <f t="shared" si="69"/>
        <v>254</v>
      </c>
      <c r="J79" s="58">
        <f t="shared" si="69"/>
        <v>0</v>
      </c>
      <c r="K79" s="58">
        <f t="shared" si="69"/>
        <v>0</v>
      </c>
      <c r="L79" s="58">
        <f t="shared" si="69"/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0" customHeight="1">
      <c r="A80" s="68">
        <v>45920.0</v>
      </c>
      <c r="B80" s="64" t="s">
        <v>9</v>
      </c>
      <c r="C80" s="65">
        <v>16.0</v>
      </c>
      <c r="D80" s="66">
        <f t="shared" si="3"/>
        <v>8800</v>
      </c>
      <c r="E80" s="67"/>
      <c r="F80" s="58">
        <f t="shared" ref="F80:L80" si="70">SUMIFS($C80,$B80,F$7)+F79</f>
        <v>30</v>
      </c>
      <c r="G80" s="58">
        <f t="shared" si="70"/>
        <v>0</v>
      </c>
      <c r="H80" s="58">
        <f t="shared" si="70"/>
        <v>0</v>
      </c>
      <c r="I80" s="58">
        <f t="shared" si="70"/>
        <v>254</v>
      </c>
      <c r="J80" s="58">
        <f t="shared" si="70"/>
        <v>0</v>
      </c>
      <c r="K80" s="58">
        <f t="shared" si="70"/>
        <v>0</v>
      </c>
      <c r="L80" s="58">
        <f t="shared" si="70"/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0" customHeight="1">
      <c r="A81" s="68">
        <v>45920.0</v>
      </c>
      <c r="B81" s="64" t="s">
        <v>9</v>
      </c>
      <c r="C81" s="65">
        <v>-2.0</v>
      </c>
      <c r="D81" s="66">
        <f t="shared" si="3"/>
        <v>-1100</v>
      </c>
      <c r="E81" s="56" t="s">
        <v>13</v>
      </c>
      <c r="F81" s="58">
        <f t="shared" ref="F81:L81" si="71">SUMIFS($C81,$B81,F$7)+F80</f>
        <v>28</v>
      </c>
      <c r="G81" s="58">
        <f t="shared" si="71"/>
        <v>0</v>
      </c>
      <c r="H81" s="58">
        <f t="shared" si="71"/>
        <v>0</v>
      </c>
      <c r="I81" s="58">
        <f t="shared" si="71"/>
        <v>254</v>
      </c>
      <c r="J81" s="58">
        <f t="shared" si="71"/>
        <v>0</v>
      </c>
      <c r="K81" s="58">
        <f t="shared" si="71"/>
        <v>0</v>
      </c>
      <c r="L81" s="58">
        <f t="shared" si="71"/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0" customHeight="1">
      <c r="A82" s="68">
        <v>45920.0</v>
      </c>
      <c r="B82" s="64" t="s">
        <v>13</v>
      </c>
      <c r="C82" s="65">
        <v>2.0</v>
      </c>
      <c r="D82" s="66">
        <f t="shared" si="3"/>
        <v>1100</v>
      </c>
      <c r="E82" s="67"/>
      <c r="F82" s="58">
        <f t="shared" ref="F82:L82" si="72">SUMIFS($C82,$B82,F$7)+F81</f>
        <v>28</v>
      </c>
      <c r="G82" s="58">
        <f t="shared" si="72"/>
        <v>2</v>
      </c>
      <c r="H82" s="58">
        <f t="shared" si="72"/>
        <v>0</v>
      </c>
      <c r="I82" s="58">
        <f t="shared" si="72"/>
        <v>254</v>
      </c>
      <c r="J82" s="58">
        <f t="shared" si="72"/>
        <v>0</v>
      </c>
      <c r="K82" s="58">
        <f t="shared" si="72"/>
        <v>0</v>
      </c>
      <c r="L82" s="58">
        <f t="shared" si="72"/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0" customHeight="1">
      <c r="A83" s="70"/>
      <c r="B83" s="71"/>
      <c r="C83" s="66"/>
      <c r="D83" s="66">
        <f t="shared" si="3"/>
        <v>0</v>
      </c>
      <c r="E83" s="67"/>
      <c r="F83" s="58">
        <f t="shared" ref="F83:L83" si="73">SUMIFS($C83,$B83,F$7)+F82</f>
        <v>28</v>
      </c>
      <c r="G83" s="58">
        <f t="shared" si="73"/>
        <v>2</v>
      </c>
      <c r="H83" s="58">
        <f t="shared" si="73"/>
        <v>0</v>
      </c>
      <c r="I83" s="58">
        <f t="shared" si="73"/>
        <v>254</v>
      </c>
      <c r="J83" s="58">
        <f t="shared" si="73"/>
        <v>0</v>
      </c>
      <c r="K83" s="58">
        <f t="shared" si="73"/>
        <v>0</v>
      </c>
      <c r="L83" s="58">
        <f t="shared" si="73"/>
        <v>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0" customHeight="1">
      <c r="A84" s="68">
        <v>45922.0</v>
      </c>
      <c r="B84" s="64" t="s">
        <v>9</v>
      </c>
      <c r="C84" s="65">
        <v>14.0</v>
      </c>
      <c r="D84" s="66">
        <f t="shared" si="3"/>
        <v>7700</v>
      </c>
      <c r="E84" s="67"/>
      <c r="F84" s="58">
        <f t="shared" ref="F84:L84" si="74">SUMIFS($C84,$B84,F$7)+F83</f>
        <v>42</v>
      </c>
      <c r="G84" s="58">
        <f t="shared" si="74"/>
        <v>2</v>
      </c>
      <c r="H84" s="58">
        <f t="shared" si="74"/>
        <v>0</v>
      </c>
      <c r="I84" s="58">
        <f t="shared" si="74"/>
        <v>254</v>
      </c>
      <c r="J84" s="58">
        <f t="shared" si="74"/>
        <v>0</v>
      </c>
      <c r="K84" s="58">
        <f t="shared" si="74"/>
        <v>0</v>
      </c>
      <c r="L84" s="58">
        <f t="shared" si="74"/>
        <v>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0" customHeight="1">
      <c r="A85" s="68">
        <v>45922.0</v>
      </c>
      <c r="B85" s="64" t="s">
        <v>9</v>
      </c>
      <c r="C85" s="65">
        <v>-8.0</v>
      </c>
      <c r="D85" s="66">
        <f t="shared" si="3"/>
        <v>-4400</v>
      </c>
      <c r="E85" s="56" t="s">
        <v>13</v>
      </c>
      <c r="F85" s="58">
        <f t="shared" ref="F85:L85" si="75">SUMIFS($C85,$B85,F$7)+F84</f>
        <v>34</v>
      </c>
      <c r="G85" s="58">
        <f t="shared" si="75"/>
        <v>2</v>
      </c>
      <c r="H85" s="58">
        <f t="shared" si="75"/>
        <v>0</v>
      </c>
      <c r="I85" s="58">
        <f t="shared" si="75"/>
        <v>254</v>
      </c>
      <c r="J85" s="58">
        <f t="shared" si="75"/>
        <v>0</v>
      </c>
      <c r="K85" s="58">
        <f t="shared" si="75"/>
        <v>0</v>
      </c>
      <c r="L85" s="58">
        <f t="shared" si="75"/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0" customHeight="1">
      <c r="A86" s="68">
        <v>45922.0</v>
      </c>
      <c r="B86" s="64" t="s">
        <v>13</v>
      </c>
      <c r="C86" s="65">
        <v>8.0</v>
      </c>
      <c r="D86" s="66">
        <f t="shared" si="3"/>
        <v>4400</v>
      </c>
      <c r="E86" s="67"/>
      <c r="F86" s="58">
        <f t="shared" ref="F86:L86" si="76">SUMIFS($C86,$B86,F$7)+F85</f>
        <v>34</v>
      </c>
      <c r="G86" s="58">
        <f t="shared" si="76"/>
        <v>10</v>
      </c>
      <c r="H86" s="58">
        <f t="shared" si="76"/>
        <v>0</v>
      </c>
      <c r="I86" s="58">
        <f t="shared" si="76"/>
        <v>254</v>
      </c>
      <c r="J86" s="58">
        <f t="shared" si="76"/>
        <v>0</v>
      </c>
      <c r="K86" s="58">
        <f t="shared" si="76"/>
        <v>0</v>
      </c>
      <c r="L86" s="58">
        <f t="shared" si="76"/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0" customHeight="1">
      <c r="A87" s="68">
        <v>45922.0</v>
      </c>
      <c r="B87" s="64" t="s">
        <v>13</v>
      </c>
      <c r="C87" s="65">
        <v>-10.0</v>
      </c>
      <c r="D87" s="66">
        <f t="shared" si="3"/>
        <v>-5500</v>
      </c>
      <c r="E87" s="67"/>
      <c r="F87" s="58">
        <f t="shared" ref="F87:L87" si="77">SUMIFS($C87,$B87,F$7)+F86</f>
        <v>34</v>
      </c>
      <c r="G87" s="58">
        <f t="shared" si="77"/>
        <v>0</v>
      </c>
      <c r="H87" s="58">
        <f t="shared" si="77"/>
        <v>0</v>
      </c>
      <c r="I87" s="58">
        <f t="shared" si="77"/>
        <v>254</v>
      </c>
      <c r="J87" s="58">
        <f t="shared" si="77"/>
        <v>0</v>
      </c>
      <c r="K87" s="58">
        <f t="shared" si="77"/>
        <v>0</v>
      </c>
      <c r="L87" s="58">
        <f t="shared" si="77"/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0" customHeight="1">
      <c r="A88" s="68">
        <v>45922.0</v>
      </c>
      <c r="B88" s="64" t="s">
        <v>17</v>
      </c>
      <c r="C88" s="65">
        <v>10.0</v>
      </c>
      <c r="D88" s="66">
        <f t="shared" si="3"/>
        <v>5500</v>
      </c>
      <c r="E88" s="56" t="s">
        <v>87</v>
      </c>
      <c r="F88" s="58">
        <f t="shared" ref="F88:L88" si="78">SUMIFS($C88,$B88,F$7)+F87</f>
        <v>34</v>
      </c>
      <c r="G88" s="58">
        <f t="shared" si="78"/>
        <v>0</v>
      </c>
      <c r="H88" s="58">
        <f t="shared" si="78"/>
        <v>0</v>
      </c>
      <c r="I88" s="58">
        <f t="shared" si="78"/>
        <v>264</v>
      </c>
      <c r="J88" s="58">
        <f t="shared" si="78"/>
        <v>0</v>
      </c>
      <c r="K88" s="58">
        <f t="shared" si="78"/>
        <v>0</v>
      </c>
      <c r="L88" s="58">
        <f t="shared" si="78"/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0" customHeight="1">
      <c r="A89" s="68">
        <v>45922.0</v>
      </c>
      <c r="B89" s="64" t="s">
        <v>9</v>
      </c>
      <c r="C89" s="65">
        <v>-20.0</v>
      </c>
      <c r="D89" s="66">
        <f t="shared" si="3"/>
        <v>-11000</v>
      </c>
      <c r="E89" s="67"/>
      <c r="F89" s="58">
        <f t="shared" ref="F89:L89" si="79">SUMIFS($C89,$B89,F$7)+F88</f>
        <v>14</v>
      </c>
      <c r="G89" s="58">
        <f t="shared" si="79"/>
        <v>0</v>
      </c>
      <c r="H89" s="58">
        <f t="shared" si="79"/>
        <v>0</v>
      </c>
      <c r="I89" s="58">
        <f t="shared" si="79"/>
        <v>264</v>
      </c>
      <c r="J89" s="58">
        <f t="shared" si="79"/>
        <v>0</v>
      </c>
      <c r="K89" s="58">
        <f t="shared" si="79"/>
        <v>0</v>
      </c>
      <c r="L89" s="58">
        <f t="shared" si="79"/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0" customHeight="1">
      <c r="A90" s="68">
        <v>45922.0</v>
      </c>
      <c r="B90" s="64" t="s">
        <v>17</v>
      </c>
      <c r="C90" s="65">
        <v>20.0</v>
      </c>
      <c r="D90" s="66">
        <f t="shared" si="3"/>
        <v>11000</v>
      </c>
      <c r="E90" s="56" t="s">
        <v>90</v>
      </c>
      <c r="F90" s="58">
        <f t="shared" ref="F90:L90" si="80">SUMIFS($C90,$B90,F$7)+F89</f>
        <v>14</v>
      </c>
      <c r="G90" s="58">
        <f t="shared" si="80"/>
        <v>0</v>
      </c>
      <c r="H90" s="58">
        <f t="shared" si="80"/>
        <v>0</v>
      </c>
      <c r="I90" s="58">
        <f t="shared" si="80"/>
        <v>284</v>
      </c>
      <c r="J90" s="58">
        <f t="shared" si="80"/>
        <v>0</v>
      </c>
      <c r="K90" s="58">
        <f t="shared" si="80"/>
        <v>0</v>
      </c>
      <c r="L90" s="58">
        <f t="shared" si="80"/>
        <v>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0" customHeight="1">
      <c r="A91" s="70"/>
      <c r="B91" s="71"/>
      <c r="C91" s="66"/>
      <c r="D91" s="66">
        <f t="shared" si="3"/>
        <v>0</v>
      </c>
      <c r="E91" s="67"/>
      <c r="F91" s="58">
        <f t="shared" ref="F91:L91" si="81">SUMIFS($C91,$B91,F$7)+F90</f>
        <v>14</v>
      </c>
      <c r="G91" s="58">
        <f t="shared" si="81"/>
        <v>0</v>
      </c>
      <c r="H91" s="58">
        <f t="shared" si="81"/>
        <v>0</v>
      </c>
      <c r="I91" s="58">
        <f t="shared" si="81"/>
        <v>284</v>
      </c>
      <c r="J91" s="58">
        <f t="shared" si="81"/>
        <v>0</v>
      </c>
      <c r="K91" s="58">
        <f t="shared" si="81"/>
        <v>0</v>
      </c>
      <c r="L91" s="58">
        <f t="shared" si="81"/>
        <v>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0" customHeight="1">
      <c r="A92" s="68">
        <v>45923.0</v>
      </c>
      <c r="B92" s="64" t="s">
        <v>9</v>
      </c>
      <c r="C92" s="65">
        <v>17.0</v>
      </c>
      <c r="D92" s="66">
        <f t="shared" si="3"/>
        <v>9350</v>
      </c>
      <c r="E92" s="67"/>
      <c r="F92" s="58">
        <f t="shared" ref="F92:L92" si="82">SUMIFS($C92,$B92,F$7)+F91</f>
        <v>31</v>
      </c>
      <c r="G92" s="58">
        <f t="shared" si="82"/>
        <v>0</v>
      </c>
      <c r="H92" s="58">
        <f t="shared" si="82"/>
        <v>0</v>
      </c>
      <c r="I92" s="58">
        <f t="shared" si="82"/>
        <v>284</v>
      </c>
      <c r="J92" s="58">
        <f t="shared" si="82"/>
        <v>0</v>
      </c>
      <c r="K92" s="58">
        <f t="shared" si="82"/>
        <v>0</v>
      </c>
      <c r="L92" s="58">
        <f t="shared" si="82"/>
        <v>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0" customHeight="1">
      <c r="A93" s="68">
        <v>45923.0</v>
      </c>
      <c r="B93" s="64" t="s">
        <v>9</v>
      </c>
      <c r="C93" s="65">
        <v>-2.0</v>
      </c>
      <c r="D93" s="66">
        <f t="shared" si="3"/>
        <v>-1100</v>
      </c>
      <c r="E93" s="56" t="s">
        <v>13</v>
      </c>
      <c r="F93" s="58">
        <f t="shared" ref="F93:L93" si="83">SUMIFS($C93,$B93,F$7)+F92</f>
        <v>29</v>
      </c>
      <c r="G93" s="58">
        <f t="shared" si="83"/>
        <v>0</v>
      </c>
      <c r="H93" s="58">
        <f t="shared" si="83"/>
        <v>0</v>
      </c>
      <c r="I93" s="58">
        <f t="shared" si="83"/>
        <v>284</v>
      </c>
      <c r="J93" s="58">
        <f t="shared" si="83"/>
        <v>0</v>
      </c>
      <c r="K93" s="58">
        <f t="shared" si="83"/>
        <v>0</v>
      </c>
      <c r="L93" s="58">
        <f t="shared" si="83"/>
        <v>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0" customHeight="1">
      <c r="A94" s="68">
        <v>45923.0</v>
      </c>
      <c r="B94" s="64" t="s">
        <v>13</v>
      </c>
      <c r="C94" s="65">
        <v>2.0</v>
      </c>
      <c r="D94" s="66">
        <f t="shared" si="3"/>
        <v>1100</v>
      </c>
      <c r="E94" s="67"/>
      <c r="F94" s="58">
        <f t="shared" ref="F94:L94" si="84">SUMIFS($C94,$B94,F$7)+F93</f>
        <v>29</v>
      </c>
      <c r="G94" s="58">
        <f t="shared" si="84"/>
        <v>2</v>
      </c>
      <c r="H94" s="58">
        <f t="shared" si="84"/>
        <v>0</v>
      </c>
      <c r="I94" s="58">
        <f t="shared" si="84"/>
        <v>284</v>
      </c>
      <c r="J94" s="58">
        <f t="shared" si="84"/>
        <v>0</v>
      </c>
      <c r="K94" s="58">
        <f t="shared" si="84"/>
        <v>0</v>
      </c>
      <c r="L94" s="58">
        <f t="shared" si="84"/>
        <v>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0" customHeight="1">
      <c r="A95" s="70"/>
      <c r="B95" s="71"/>
      <c r="C95" s="66"/>
      <c r="D95" s="66">
        <f t="shared" si="3"/>
        <v>0</v>
      </c>
      <c r="E95" s="67"/>
      <c r="F95" s="58">
        <f t="shared" ref="F95:L95" si="85">SUMIFS($C95,$B95,F$7)+F94</f>
        <v>29</v>
      </c>
      <c r="G95" s="58">
        <f t="shared" si="85"/>
        <v>2</v>
      </c>
      <c r="H95" s="58">
        <f t="shared" si="85"/>
        <v>0</v>
      </c>
      <c r="I95" s="58">
        <f t="shared" si="85"/>
        <v>284</v>
      </c>
      <c r="J95" s="58">
        <f t="shared" si="85"/>
        <v>0</v>
      </c>
      <c r="K95" s="58">
        <f t="shared" si="85"/>
        <v>0</v>
      </c>
      <c r="L95" s="58">
        <f t="shared" si="85"/>
        <v>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0" customHeight="1">
      <c r="A96" s="68">
        <v>45924.0</v>
      </c>
      <c r="B96" s="64" t="s">
        <v>9</v>
      </c>
      <c r="C96" s="65">
        <v>13.0</v>
      </c>
      <c r="D96" s="66">
        <f t="shared" si="3"/>
        <v>7150</v>
      </c>
      <c r="E96" s="67"/>
      <c r="F96" s="58">
        <f t="shared" ref="F96:L96" si="86">SUMIFS($C96,$B96,F$7)+F95</f>
        <v>42</v>
      </c>
      <c r="G96" s="58">
        <f t="shared" si="86"/>
        <v>2</v>
      </c>
      <c r="H96" s="58">
        <f t="shared" si="86"/>
        <v>0</v>
      </c>
      <c r="I96" s="58">
        <f t="shared" si="86"/>
        <v>284</v>
      </c>
      <c r="J96" s="58">
        <f t="shared" si="86"/>
        <v>0</v>
      </c>
      <c r="K96" s="58">
        <f t="shared" si="86"/>
        <v>0</v>
      </c>
      <c r="L96" s="58">
        <f t="shared" si="86"/>
        <v>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0" customHeight="1">
      <c r="A97" s="68">
        <v>45924.0</v>
      </c>
      <c r="B97" s="64" t="s">
        <v>9</v>
      </c>
      <c r="C97" s="65">
        <v>-6.0</v>
      </c>
      <c r="D97" s="66">
        <f t="shared" si="3"/>
        <v>-3300</v>
      </c>
      <c r="E97" s="56" t="s">
        <v>13</v>
      </c>
      <c r="F97" s="58">
        <f t="shared" ref="F97:L97" si="87">SUMIFS($C97,$B97,F$7)+F96</f>
        <v>36</v>
      </c>
      <c r="G97" s="58">
        <f t="shared" si="87"/>
        <v>2</v>
      </c>
      <c r="H97" s="58">
        <f t="shared" si="87"/>
        <v>0</v>
      </c>
      <c r="I97" s="58">
        <f t="shared" si="87"/>
        <v>284</v>
      </c>
      <c r="J97" s="58">
        <f t="shared" si="87"/>
        <v>0</v>
      </c>
      <c r="K97" s="58">
        <f t="shared" si="87"/>
        <v>0</v>
      </c>
      <c r="L97" s="58">
        <f t="shared" si="87"/>
        <v>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0" customHeight="1">
      <c r="A98" s="68">
        <v>45924.0</v>
      </c>
      <c r="B98" s="64" t="s">
        <v>13</v>
      </c>
      <c r="C98" s="65">
        <v>6.0</v>
      </c>
      <c r="D98" s="66">
        <f t="shared" si="3"/>
        <v>3300</v>
      </c>
      <c r="E98" s="67"/>
      <c r="F98" s="58">
        <f t="shared" ref="F98:L98" si="88">SUMIFS($C98,$B98,F$7)+F97</f>
        <v>36</v>
      </c>
      <c r="G98" s="58">
        <f t="shared" si="88"/>
        <v>8</v>
      </c>
      <c r="H98" s="58">
        <f t="shared" si="88"/>
        <v>0</v>
      </c>
      <c r="I98" s="58">
        <f t="shared" si="88"/>
        <v>284</v>
      </c>
      <c r="J98" s="58">
        <f t="shared" si="88"/>
        <v>0</v>
      </c>
      <c r="K98" s="58">
        <f t="shared" si="88"/>
        <v>0</v>
      </c>
      <c r="L98" s="58">
        <f t="shared" si="88"/>
        <v>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0" customHeight="1">
      <c r="A99" s="68"/>
      <c r="B99" s="71"/>
      <c r="C99" s="66"/>
      <c r="D99" s="66">
        <f t="shared" si="3"/>
        <v>0</v>
      </c>
      <c r="E99" s="67"/>
      <c r="F99" s="58">
        <f t="shared" ref="F99:L99" si="89">SUMIFS($C99,$B99,F$7)+F98</f>
        <v>36</v>
      </c>
      <c r="G99" s="58">
        <f t="shared" si="89"/>
        <v>8</v>
      </c>
      <c r="H99" s="58">
        <f t="shared" si="89"/>
        <v>0</v>
      </c>
      <c r="I99" s="58">
        <f t="shared" si="89"/>
        <v>284</v>
      </c>
      <c r="J99" s="58">
        <f t="shared" si="89"/>
        <v>0</v>
      </c>
      <c r="K99" s="58">
        <f t="shared" si="89"/>
        <v>0</v>
      </c>
      <c r="L99" s="58">
        <f t="shared" si="89"/>
        <v>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0" customHeight="1">
      <c r="A100" s="68">
        <v>45925.0</v>
      </c>
      <c r="B100" s="64" t="s">
        <v>17</v>
      </c>
      <c r="C100" s="65">
        <v>-1.0</v>
      </c>
      <c r="D100" s="66">
        <f t="shared" si="3"/>
        <v>-550</v>
      </c>
      <c r="E100" s="56" t="s">
        <v>38</v>
      </c>
      <c r="F100" s="58">
        <f t="shared" ref="F100:L100" si="90">SUMIFS($C100,$B100,F$7)+F99</f>
        <v>36</v>
      </c>
      <c r="G100" s="58">
        <f t="shared" si="90"/>
        <v>8</v>
      </c>
      <c r="H100" s="58">
        <f t="shared" si="90"/>
        <v>0</v>
      </c>
      <c r="I100" s="58">
        <f t="shared" si="90"/>
        <v>283</v>
      </c>
      <c r="J100" s="58">
        <f t="shared" si="90"/>
        <v>0</v>
      </c>
      <c r="K100" s="58">
        <f t="shared" si="90"/>
        <v>0</v>
      </c>
      <c r="L100" s="58">
        <f t="shared" si="90"/>
        <v>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0" customHeight="1">
      <c r="A101" s="68">
        <v>45925.0</v>
      </c>
      <c r="B101" s="64" t="s">
        <v>9</v>
      </c>
      <c r="C101" s="65">
        <v>13.0</v>
      </c>
      <c r="D101" s="66">
        <f t="shared" si="3"/>
        <v>7150</v>
      </c>
      <c r="E101" s="67"/>
      <c r="F101" s="58">
        <f t="shared" ref="F101:L101" si="91">SUMIFS($C101,$B101,F$7)+F100</f>
        <v>49</v>
      </c>
      <c r="G101" s="58">
        <f t="shared" si="91"/>
        <v>8</v>
      </c>
      <c r="H101" s="58">
        <f t="shared" si="91"/>
        <v>0</v>
      </c>
      <c r="I101" s="58">
        <f t="shared" si="91"/>
        <v>283</v>
      </c>
      <c r="J101" s="58">
        <f t="shared" si="91"/>
        <v>0</v>
      </c>
      <c r="K101" s="58">
        <f t="shared" si="91"/>
        <v>0</v>
      </c>
      <c r="L101" s="58">
        <f t="shared" si="91"/>
        <v>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0" customHeight="1">
      <c r="A102" s="68">
        <v>45925.0</v>
      </c>
      <c r="B102" s="64" t="s">
        <v>9</v>
      </c>
      <c r="C102" s="65">
        <v>-12.0</v>
      </c>
      <c r="D102" s="66">
        <f t="shared" si="3"/>
        <v>-6600</v>
      </c>
      <c r="E102" s="56" t="s">
        <v>97</v>
      </c>
      <c r="F102" s="58">
        <f t="shared" ref="F102:L102" si="92">SUMIFS($C102,$B102,F$7)+F101</f>
        <v>37</v>
      </c>
      <c r="G102" s="58">
        <f t="shared" si="92"/>
        <v>8</v>
      </c>
      <c r="H102" s="58">
        <f t="shared" si="92"/>
        <v>0</v>
      </c>
      <c r="I102" s="58">
        <f t="shared" si="92"/>
        <v>283</v>
      </c>
      <c r="J102" s="58">
        <f t="shared" si="92"/>
        <v>0</v>
      </c>
      <c r="K102" s="58">
        <f t="shared" si="92"/>
        <v>0</v>
      </c>
      <c r="L102" s="58">
        <f t="shared" si="92"/>
        <v>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0" customHeight="1">
      <c r="A103" s="68">
        <v>45925.0</v>
      </c>
      <c r="B103" s="64" t="s">
        <v>13</v>
      </c>
      <c r="C103" s="65">
        <v>8.0</v>
      </c>
      <c r="D103" s="66">
        <f t="shared" si="3"/>
        <v>4400</v>
      </c>
      <c r="E103" s="67"/>
      <c r="F103" s="58">
        <f t="shared" ref="F103:L103" si="93">SUMIFS($C103,$B103,F$7)+F102</f>
        <v>37</v>
      </c>
      <c r="G103" s="58">
        <f t="shared" si="93"/>
        <v>16</v>
      </c>
      <c r="H103" s="58">
        <f t="shared" si="93"/>
        <v>0</v>
      </c>
      <c r="I103" s="58">
        <f t="shared" si="93"/>
        <v>283</v>
      </c>
      <c r="J103" s="58">
        <f t="shared" si="93"/>
        <v>0</v>
      </c>
      <c r="K103" s="58">
        <f t="shared" si="93"/>
        <v>0</v>
      </c>
      <c r="L103" s="58">
        <f t="shared" si="93"/>
        <v>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0" customHeight="1">
      <c r="A104" s="68">
        <v>45925.0</v>
      </c>
      <c r="B104" s="64" t="s">
        <v>13</v>
      </c>
      <c r="C104" s="65">
        <v>-2.0</v>
      </c>
      <c r="D104" s="66">
        <f t="shared" si="3"/>
        <v>-1100</v>
      </c>
      <c r="E104" s="56" t="s">
        <v>16</v>
      </c>
      <c r="F104" s="58">
        <f t="shared" ref="F104:L104" si="94">SUMIFS($C104,$B104,F$7)+F103</f>
        <v>37</v>
      </c>
      <c r="G104" s="58">
        <f t="shared" si="94"/>
        <v>14</v>
      </c>
      <c r="H104" s="58">
        <f t="shared" si="94"/>
        <v>0</v>
      </c>
      <c r="I104" s="58">
        <f t="shared" si="94"/>
        <v>283</v>
      </c>
      <c r="J104" s="58">
        <f t="shared" si="94"/>
        <v>0</v>
      </c>
      <c r="K104" s="58">
        <f t="shared" si="94"/>
        <v>0</v>
      </c>
      <c r="L104" s="58">
        <f t="shared" si="94"/>
        <v>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0" customHeight="1">
      <c r="A105" s="68">
        <v>45925.0</v>
      </c>
      <c r="B105" s="64" t="s">
        <v>16</v>
      </c>
      <c r="C105" s="65">
        <v>6.0</v>
      </c>
      <c r="D105" s="66">
        <f t="shared" si="3"/>
        <v>3300</v>
      </c>
      <c r="E105" s="67"/>
      <c r="F105" s="58">
        <f t="shared" ref="F105:L105" si="95">SUMIFS($C105,$B105,F$7)+F104</f>
        <v>37</v>
      </c>
      <c r="G105" s="58">
        <f t="shared" si="95"/>
        <v>14</v>
      </c>
      <c r="H105" s="58">
        <f t="shared" si="95"/>
        <v>6</v>
      </c>
      <c r="I105" s="58">
        <f t="shared" si="95"/>
        <v>283</v>
      </c>
      <c r="J105" s="58">
        <f t="shared" si="95"/>
        <v>0</v>
      </c>
      <c r="K105" s="58">
        <f t="shared" si="95"/>
        <v>0</v>
      </c>
      <c r="L105" s="58">
        <f t="shared" si="95"/>
        <v>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0" customHeight="1">
      <c r="A106" s="68">
        <v>45925.0</v>
      </c>
      <c r="B106" s="64" t="s">
        <v>16</v>
      </c>
      <c r="C106" s="65">
        <v>-6.0</v>
      </c>
      <c r="D106" s="66">
        <f t="shared" si="3"/>
        <v>-3300</v>
      </c>
      <c r="E106" s="67"/>
      <c r="F106" s="58">
        <f t="shared" ref="F106:L106" si="96">SUMIFS($C106,$B106,F$7)+F105</f>
        <v>37</v>
      </c>
      <c r="G106" s="58">
        <f t="shared" si="96"/>
        <v>14</v>
      </c>
      <c r="H106" s="58">
        <f t="shared" si="96"/>
        <v>0</v>
      </c>
      <c r="I106" s="58">
        <f t="shared" si="96"/>
        <v>283</v>
      </c>
      <c r="J106" s="58">
        <f t="shared" si="96"/>
        <v>0</v>
      </c>
      <c r="K106" s="58">
        <f t="shared" si="96"/>
        <v>0</v>
      </c>
      <c r="L106" s="58">
        <f t="shared" si="96"/>
        <v>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0" customHeight="1">
      <c r="A107" s="68">
        <v>45925.0</v>
      </c>
      <c r="B107" s="64" t="s">
        <v>13</v>
      </c>
      <c r="C107" s="65">
        <v>-11.0</v>
      </c>
      <c r="D107" s="66">
        <f t="shared" si="3"/>
        <v>-6050</v>
      </c>
      <c r="E107" s="67"/>
      <c r="F107" s="58">
        <f t="shared" ref="F107:L107" si="97">SUMIFS($C107,$B107,F$7)+F106</f>
        <v>37</v>
      </c>
      <c r="G107" s="58">
        <f t="shared" si="97"/>
        <v>3</v>
      </c>
      <c r="H107" s="58">
        <f t="shared" si="97"/>
        <v>0</v>
      </c>
      <c r="I107" s="58">
        <f t="shared" si="97"/>
        <v>283</v>
      </c>
      <c r="J107" s="58">
        <f t="shared" si="97"/>
        <v>0</v>
      </c>
      <c r="K107" s="58">
        <f t="shared" si="97"/>
        <v>0</v>
      </c>
      <c r="L107" s="58">
        <f t="shared" si="97"/>
        <v>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0" customHeight="1">
      <c r="A108" s="68">
        <v>45925.0</v>
      </c>
      <c r="B108" s="64" t="s">
        <v>17</v>
      </c>
      <c r="C108" s="65">
        <v>17.0</v>
      </c>
      <c r="D108" s="66">
        <f t="shared" si="3"/>
        <v>9350</v>
      </c>
      <c r="E108" s="56" t="s">
        <v>102</v>
      </c>
      <c r="F108" s="58">
        <f t="shared" ref="F108:L108" si="98">SUMIFS($C108,$B108,F$7)+F107</f>
        <v>37</v>
      </c>
      <c r="G108" s="58">
        <f t="shared" si="98"/>
        <v>3</v>
      </c>
      <c r="H108" s="58">
        <f t="shared" si="98"/>
        <v>0</v>
      </c>
      <c r="I108" s="58">
        <f t="shared" si="98"/>
        <v>300</v>
      </c>
      <c r="J108" s="58">
        <f t="shared" si="98"/>
        <v>0</v>
      </c>
      <c r="K108" s="58">
        <f t="shared" si="98"/>
        <v>0</v>
      </c>
      <c r="L108" s="58">
        <f t="shared" si="98"/>
        <v>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0" customHeight="1">
      <c r="A109" s="70"/>
      <c r="B109" s="71"/>
      <c r="C109" s="66"/>
      <c r="D109" s="66">
        <f t="shared" si="3"/>
        <v>0</v>
      </c>
      <c r="E109" s="67"/>
      <c r="F109" s="58">
        <f t="shared" ref="F109:L109" si="99">SUMIFS($C109,$B109,F$7)+F108</f>
        <v>37</v>
      </c>
      <c r="G109" s="58">
        <f t="shared" si="99"/>
        <v>3</v>
      </c>
      <c r="H109" s="58">
        <f t="shared" si="99"/>
        <v>0</v>
      </c>
      <c r="I109" s="58">
        <f t="shared" si="99"/>
        <v>300</v>
      </c>
      <c r="J109" s="58">
        <f t="shared" si="99"/>
        <v>0</v>
      </c>
      <c r="K109" s="58">
        <f t="shared" si="99"/>
        <v>0</v>
      </c>
      <c r="L109" s="58">
        <f t="shared" si="99"/>
        <v>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0" customHeight="1">
      <c r="A110" s="68">
        <v>45926.0</v>
      </c>
      <c r="B110" s="64" t="s">
        <v>9</v>
      </c>
      <c r="C110" s="65">
        <v>17.0</v>
      </c>
      <c r="D110" s="66">
        <f t="shared" si="3"/>
        <v>9350</v>
      </c>
      <c r="E110" s="67"/>
      <c r="F110" s="58">
        <f t="shared" ref="F110:L110" si="100">SUMIFS($C110,$B110,F$7)+F109</f>
        <v>54</v>
      </c>
      <c r="G110" s="58">
        <f t="shared" si="100"/>
        <v>3</v>
      </c>
      <c r="H110" s="58">
        <f t="shared" si="100"/>
        <v>0</v>
      </c>
      <c r="I110" s="58">
        <f t="shared" si="100"/>
        <v>300</v>
      </c>
      <c r="J110" s="58">
        <f t="shared" si="100"/>
        <v>0</v>
      </c>
      <c r="K110" s="58">
        <f t="shared" si="100"/>
        <v>0</v>
      </c>
      <c r="L110" s="58">
        <f t="shared" si="100"/>
        <v>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0" customHeight="1">
      <c r="A111" s="68">
        <v>45926.0</v>
      </c>
      <c r="B111" s="64" t="s">
        <v>9</v>
      </c>
      <c r="C111" s="65">
        <v>-10.0</v>
      </c>
      <c r="D111" s="66">
        <f t="shared" si="3"/>
        <v>-5500</v>
      </c>
      <c r="E111" s="56" t="s">
        <v>97</v>
      </c>
      <c r="F111" s="58">
        <f t="shared" ref="F111:L111" si="101">SUMIFS($C111,$B111,F$7)+F110</f>
        <v>44</v>
      </c>
      <c r="G111" s="58">
        <f t="shared" si="101"/>
        <v>3</v>
      </c>
      <c r="H111" s="58">
        <f t="shared" si="101"/>
        <v>0</v>
      </c>
      <c r="I111" s="58">
        <f t="shared" si="101"/>
        <v>300</v>
      </c>
      <c r="J111" s="58">
        <f t="shared" si="101"/>
        <v>0</v>
      </c>
      <c r="K111" s="58">
        <f t="shared" si="101"/>
        <v>0</v>
      </c>
      <c r="L111" s="58">
        <f t="shared" si="101"/>
        <v>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0" customHeight="1">
      <c r="A112" s="68">
        <v>45926.0</v>
      </c>
      <c r="B112" s="64" t="s">
        <v>13</v>
      </c>
      <c r="C112" s="65">
        <v>8.0</v>
      </c>
      <c r="D112" s="66">
        <f t="shared" si="3"/>
        <v>4400</v>
      </c>
      <c r="E112" s="67"/>
      <c r="F112" s="58">
        <f t="shared" ref="F112:L112" si="102">SUMIFS($C112,$B112,F$7)+F111</f>
        <v>44</v>
      </c>
      <c r="G112" s="58">
        <f t="shared" si="102"/>
        <v>11</v>
      </c>
      <c r="H112" s="58">
        <f t="shared" si="102"/>
        <v>0</v>
      </c>
      <c r="I112" s="58">
        <f t="shared" si="102"/>
        <v>300</v>
      </c>
      <c r="J112" s="58">
        <f t="shared" si="102"/>
        <v>0</v>
      </c>
      <c r="K112" s="58">
        <f t="shared" si="102"/>
        <v>0</v>
      </c>
      <c r="L112" s="58">
        <f t="shared" si="102"/>
        <v>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0" customHeight="1">
      <c r="A113" s="68">
        <v>45926.0</v>
      </c>
      <c r="B113" s="64" t="s">
        <v>13</v>
      </c>
      <c r="C113" s="65">
        <v>-4.0</v>
      </c>
      <c r="D113" s="66">
        <f t="shared" si="3"/>
        <v>-2200</v>
      </c>
      <c r="E113" s="56" t="s">
        <v>16</v>
      </c>
      <c r="F113" s="58">
        <f t="shared" ref="F113:L113" si="103">SUMIFS($C113,$B113,F$7)+F112</f>
        <v>44</v>
      </c>
      <c r="G113" s="58">
        <f t="shared" si="103"/>
        <v>7</v>
      </c>
      <c r="H113" s="58">
        <f t="shared" si="103"/>
        <v>0</v>
      </c>
      <c r="I113" s="58">
        <f t="shared" si="103"/>
        <v>300</v>
      </c>
      <c r="J113" s="58">
        <f t="shared" si="103"/>
        <v>0</v>
      </c>
      <c r="K113" s="58">
        <f t="shared" si="103"/>
        <v>0</v>
      </c>
      <c r="L113" s="58">
        <f t="shared" si="103"/>
        <v>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0" customHeight="1">
      <c r="A114" s="68">
        <v>45926.0</v>
      </c>
      <c r="B114" s="64" t="s">
        <v>16</v>
      </c>
      <c r="C114" s="65">
        <v>6.0</v>
      </c>
      <c r="D114" s="66">
        <f t="shared" si="3"/>
        <v>3300</v>
      </c>
      <c r="E114" s="56" t="s">
        <v>106</v>
      </c>
      <c r="F114" s="58">
        <f t="shared" ref="F114:L114" si="104">SUMIFS($C114,$B114,F$7)+F113</f>
        <v>44</v>
      </c>
      <c r="G114" s="58">
        <f t="shared" si="104"/>
        <v>7</v>
      </c>
      <c r="H114" s="58">
        <f t="shared" si="104"/>
        <v>6</v>
      </c>
      <c r="I114" s="58">
        <f t="shared" si="104"/>
        <v>300</v>
      </c>
      <c r="J114" s="58">
        <f t="shared" si="104"/>
        <v>0</v>
      </c>
      <c r="K114" s="58">
        <f t="shared" si="104"/>
        <v>0</v>
      </c>
      <c r="L114" s="58">
        <f t="shared" si="104"/>
        <v>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0" customHeight="1">
      <c r="A115" s="70"/>
      <c r="B115" s="71"/>
      <c r="C115" s="66"/>
      <c r="D115" s="66">
        <f t="shared" si="3"/>
        <v>0</v>
      </c>
      <c r="E115" s="67"/>
      <c r="F115" s="58">
        <f t="shared" ref="F115:L115" si="105">SUMIFS($C115,$B115,F$7)+F114</f>
        <v>44</v>
      </c>
      <c r="G115" s="58">
        <f t="shared" si="105"/>
        <v>7</v>
      </c>
      <c r="H115" s="58">
        <f t="shared" si="105"/>
        <v>6</v>
      </c>
      <c r="I115" s="58">
        <f t="shared" si="105"/>
        <v>300</v>
      </c>
      <c r="J115" s="58">
        <f t="shared" si="105"/>
        <v>0</v>
      </c>
      <c r="K115" s="58">
        <f t="shared" si="105"/>
        <v>0</v>
      </c>
      <c r="L115" s="58">
        <f t="shared" si="105"/>
        <v>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0" customHeight="1">
      <c r="A116" s="68">
        <v>45927.0</v>
      </c>
      <c r="B116" s="64" t="s">
        <v>9</v>
      </c>
      <c r="C116" s="65">
        <v>14.0</v>
      </c>
      <c r="D116" s="66">
        <f t="shared" si="3"/>
        <v>7700</v>
      </c>
      <c r="E116" s="67"/>
      <c r="F116" s="58">
        <f t="shared" ref="F116:L116" si="106">SUMIFS($C116,$B116,F$7)+F115</f>
        <v>58</v>
      </c>
      <c r="G116" s="58">
        <f t="shared" si="106"/>
        <v>7</v>
      </c>
      <c r="H116" s="58">
        <f t="shared" si="106"/>
        <v>6</v>
      </c>
      <c r="I116" s="58">
        <f t="shared" si="106"/>
        <v>300</v>
      </c>
      <c r="J116" s="58">
        <f t="shared" si="106"/>
        <v>0</v>
      </c>
      <c r="K116" s="58">
        <f t="shared" si="106"/>
        <v>0</v>
      </c>
      <c r="L116" s="58">
        <f t="shared" si="106"/>
        <v>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0" customHeight="1">
      <c r="A117" s="68">
        <v>45927.0</v>
      </c>
      <c r="B117" s="64" t="s">
        <v>9</v>
      </c>
      <c r="C117" s="65">
        <v>-9.0</v>
      </c>
      <c r="D117" s="66">
        <f t="shared" si="3"/>
        <v>-4950</v>
      </c>
      <c r="E117" s="56" t="s">
        <v>97</v>
      </c>
      <c r="F117" s="58">
        <f t="shared" ref="F117:L117" si="107">SUMIFS($C117,$B117,F$7)+F116</f>
        <v>49</v>
      </c>
      <c r="G117" s="58">
        <f t="shared" si="107"/>
        <v>7</v>
      </c>
      <c r="H117" s="58">
        <f t="shared" si="107"/>
        <v>6</v>
      </c>
      <c r="I117" s="58">
        <f t="shared" si="107"/>
        <v>300</v>
      </c>
      <c r="J117" s="58">
        <f t="shared" si="107"/>
        <v>0</v>
      </c>
      <c r="K117" s="58">
        <f t="shared" si="107"/>
        <v>0</v>
      </c>
      <c r="L117" s="58">
        <f t="shared" si="107"/>
        <v>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0" customHeight="1">
      <c r="A118" s="68">
        <v>45927.0</v>
      </c>
      <c r="B118" s="64" t="s">
        <v>13</v>
      </c>
      <c r="C118" s="65">
        <v>8.0</v>
      </c>
      <c r="D118" s="66">
        <f t="shared" si="3"/>
        <v>4400</v>
      </c>
      <c r="E118" s="67"/>
      <c r="F118" s="58">
        <f t="shared" ref="F118:L118" si="108">SUMIFS($C118,$B118,F$7)+F117</f>
        <v>49</v>
      </c>
      <c r="G118" s="58">
        <f t="shared" si="108"/>
        <v>15</v>
      </c>
      <c r="H118" s="58">
        <f t="shared" si="108"/>
        <v>6</v>
      </c>
      <c r="I118" s="58">
        <f t="shared" si="108"/>
        <v>300</v>
      </c>
      <c r="J118" s="58">
        <f t="shared" si="108"/>
        <v>0</v>
      </c>
      <c r="K118" s="58">
        <f t="shared" si="108"/>
        <v>0</v>
      </c>
      <c r="L118" s="58">
        <f t="shared" si="108"/>
        <v>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0" customHeight="1">
      <c r="A119" s="68">
        <v>45927.0</v>
      </c>
      <c r="B119" s="64" t="s">
        <v>13</v>
      </c>
      <c r="C119" s="65">
        <v>-5.0</v>
      </c>
      <c r="D119" s="66">
        <f t="shared" si="3"/>
        <v>-2750</v>
      </c>
      <c r="E119" s="56" t="s">
        <v>16</v>
      </c>
      <c r="F119" s="58">
        <f t="shared" ref="F119:L119" si="109">SUMIFS($C119,$B119,F$7)+F118</f>
        <v>49</v>
      </c>
      <c r="G119" s="58">
        <f t="shared" si="109"/>
        <v>10</v>
      </c>
      <c r="H119" s="58">
        <f t="shared" si="109"/>
        <v>6</v>
      </c>
      <c r="I119" s="58">
        <f t="shared" si="109"/>
        <v>300</v>
      </c>
      <c r="J119" s="58">
        <f t="shared" si="109"/>
        <v>0</v>
      </c>
      <c r="K119" s="58">
        <f t="shared" si="109"/>
        <v>0</v>
      </c>
      <c r="L119" s="58">
        <f t="shared" si="109"/>
        <v>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0" customHeight="1">
      <c r="A120" s="68">
        <v>45927.0</v>
      </c>
      <c r="B120" s="64" t="s">
        <v>16</v>
      </c>
      <c r="C120" s="65">
        <v>6.0</v>
      </c>
      <c r="D120" s="66">
        <f t="shared" si="3"/>
        <v>3300</v>
      </c>
      <c r="E120" s="56" t="s">
        <v>112</v>
      </c>
      <c r="F120" s="58">
        <f t="shared" ref="F120:L120" si="110">SUMIFS($C120,$B120,F$7)+F119</f>
        <v>49</v>
      </c>
      <c r="G120" s="58">
        <f t="shared" si="110"/>
        <v>10</v>
      </c>
      <c r="H120" s="58">
        <f t="shared" si="110"/>
        <v>12</v>
      </c>
      <c r="I120" s="58">
        <f t="shared" si="110"/>
        <v>300</v>
      </c>
      <c r="J120" s="58">
        <f t="shared" si="110"/>
        <v>0</v>
      </c>
      <c r="K120" s="58">
        <f t="shared" si="110"/>
        <v>0</v>
      </c>
      <c r="L120" s="58">
        <f t="shared" si="110"/>
        <v>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0" customHeight="1">
      <c r="A121" s="70"/>
      <c r="B121" s="71"/>
      <c r="C121" s="66"/>
      <c r="D121" s="66">
        <f t="shared" si="3"/>
        <v>0</v>
      </c>
      <c r="E121" s="67"/>
      <c r="F121" s="58">
        <f t="shared" ref="F121:L121" si="111">SUMIFS($C121,$B121,F$7)+F120</f>
        <v>49</v>
      </c>
      <c r="G121" s="58">
        <f t="shared" si="111"/>
        <v>10</v>
      </c>
      <c r="H121" s="58">
        <f t="shared" si="111"/>
        <v>12</v>
      </c>
      <c r="I121" s="58">
        <f t="shared" si="111"/>
        <v>300</v>
      </c>
      <c r="J121" s="58">
        <f t="shared" si="111"/>
        <v>0</v>
      </c>
      <c r="K121" s="58">
        <f t="shared" si="111"/>
        <v>0</v>
      </c>
      <c r="L121" s="58">
        <f t="shared" si="111"/>
        <v>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0" customHeight="1">
      <c r="A122" s="68">
        <v>45929.0</v>
      </c>
      <c r="B122" s="64" t="s">
        <v>17</v>
      </c>
      <c r="C122" s="65">
        <v>-1.0</v>
      </c>
      <c r="D122" s="66">
        <f t="shared" si="3"/>
        <v>-550</v>
      </c>
      <c r="E122" s="56" t="s">
        <v>38</v>
      </c>
      <c r="F122" s="58">
        <f t="shared" ref="F122:L122" si="112">SUMIFS($C122,$B122,F$7)+F121</f>
        <v>49</v>
      </c>
      <c r="G122" s="58">
        <f t="shared" si="112"/>
        <v>10</v>
      </c>
      <c r="H122" s="58">
        <f t="shared" si="112"/>
        <v>12</v>
      </c>
      <c r="I122" s="58">
        <f t="shared" si="112"/>
        <v>299</v>
      </c>
      <c r="J122" s="58">
        <f t="shared" si="112"/>
        <v>0</v>
      </c>
      <c r="K122" s="58">
        <f t="shared" si="112"/>
        <v>0</v>
      </c>
      <c r="L122" s="58">
        <f t="shared" si="112"/>
        <v>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0" customHeight="1">
      <c r="A123" s="68">
        <v>45929.0</v>
      </c>
      <c r="B123" s="64" t="s">
        <v>9</v>
      </c>
      <c r="C123" s="65">
        <v>-9.0</v>
      </c>
      <c r="D123" s="66">
        <f t="shared" si="3"/>
        <v>-4950</v>
      </c>
      <c r="E123" s="56" t="s">
        <v>97</v>
      </c>
      <c r="F123" s="58">
        <f t="shared" ref="F123:L123" si="113">SUMIFS($C123,$B123,F$7)+F122</f>
        <v>40</v>
      </c>
      <c r="G123" s="58">
        <f t="shared" si="113"/>
        <v>10</v>
      </c>
      <c r="H123" s="58">
        <f t="shared" si="113"/>
        <v>12</v>
      </c>
      <c r="I123" s="58">
        <f t="shared" si="113"/>
        <v>299</v>
      </c>
      <c r="J123" s="58">
        <f t="shared" si="113"/>
        <v>0</v>
      </c>
      <c r="K123" s="58">
        <f t="shared" si="113"/>
        <v>0</v>
      </c>
      <c r="L123" s="58">
        <f t="shared" si="113"/>
        <v>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0" customHeight="1">
      <c r="A124" s="68">
        <v>45929.0</v>
      </c>
      <c r="B124" s="64" t="s">
        <v>13</v>
      </c>
      <c r="C124" s="65">
        <v>6.0</v>
      </c>
      <c r="D124" s="66">
        <f t="shared" si="3"/>
        <v>3300</v>
      </c>
      <c r="E124" s="67"/>
      <c r="F124" s="58">
        <f t="shared" ref="F124:L124" si="114">SUMIFS($C124,$B124,F$7)+F123</f>
        <v>40</v>
      </c>
      <c r="G124" s="58">
        <f t="shared" si="114"/>
        <v>16</v>
      </c>
      <c r="H124" s="58">
        <f t="shared" si="114"/>
        <v>12</v>
      </c>
      <c r="I124" s="58">
        <f t="shared" si="114"/>
        <v>299</v>
      </c>
      <c r="J124" s="58">
        <f t="shared" si="114"/>
        <v>0</v>
      </c>
      <c r="K124" s="58">
        <f t="shared" si="114"/>
        <v>0</v>
      </c>
      <c r="L124" s="58">
        <f t="shared" si="114"/>
        <v>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0" customHeight="1">
      <c r="A125" s="68">
        <v>45929.0</v>
      </c>
      <c r="B125" s="64" t="s">
        <v>13</v>
      </c>
      <c r="C125" s="65">
        <v>-3.0</v>
      </c>
      <c r="D125" s="66">
        <f t="shared" si="3"/>
        <v>-1650</v>
      </c>
      <c r="E125" s="56" t="s">
        <v>16</v>
      </c>
      <c r="F125" s="58">
        <f t="shared" ref="F125:L125" si="115">SUMIFS($C125,$B125,F$7)+F124</f>
        <v>40</v>
      </c>
      <c r="G125" s="58">
        <f t="shared" si="115"/>
        <v>13</v>
      </c>
      <c r="H125" s="58">
        <f t="shared" si="115"/>
        <v>12</v>
      </c>
      <c r="I125" s="58">
        <f t="shared" si="115"/>
        <v>299</v>
      </c>
      <c r="J125" s="58">
        <f t="shared" si="115"/>
        <v>0</v>
      </c>
      <c r="K125" s="58">
        <f t="shared" si="115"/>
        <v>0</v>
      </c>
      <c r="L125" s="58">
        <f t="shared" si="115"/>
        <v>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0" customHeight="1">
      <c r="A126" s="68">
        <v>45929.0</v>
      </c>
      <c r="B126" s="64" t="s">
        <v>16</v>
      </c>
      <c r="C126" s="65">
        <v>6.0</v>
      </c>
      <c r="D126" s="66">
        <f t="shared" si="3"/>
        <v>3300</v>
      </c>
      <c r="E126" s="56" t="s">
        <v>118</v>
      </c>
      <c r="F126" s="58">
        <f t="shared" ref="F126:L126" si="116">SUMIFS($C126,$B126,F$7)+F125</f>
        <v>40</v>
      </c>
      <c r="G126" s="58">
        <f t="shared" si="116"/>
        <v>13</v>
      </c>
      <c r="H126" s="58">
        <f t="shared" si="116"/>
        <v>18</v>
      </c>
      <c r="I126" s="58">
        <f t="shared" si="116"/>
        <v>299</v>
      </c>
      <c r="J126" s="58">
        <f t="shared" si="116"/>
        <v>0</v>
      </c>
      <c r="K126" s="58">
        <f t="shared" si="116"/>
        <v>0</v>
      </c>
      <c r="L126" s="58">
        <f t="shared" si="116"/>
        <v>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0" customHeight="1">
      <c r="A127" s="70"/>
      <c r="B127" s="71"/>
      <c r="C127" s="66"/>
      <c r="D127" s="66">
        <f t="shared" si="3"/>
        <v>0</v>
      </c>
      <c r="E127" s="67"/>
      <c r="F127" s="58">
        <f t="shared" ref="F127:L127" si="117">SUMIFS($C127,$B127,F$7)+F126</f>
        <v>40</v>
      </c>
      <c r="G127" s="58">
        <f t="shared" si="117"/>
        <v>13</v>
      </c>
      <c r="H127" s="58">
        <f t="shared" si="117"/>
        <v>18</v>
      </c>
      <c r="I127" s="58">
        <f t="shared" si="117"/>
        <v>299</v>
      </c>
      <c r="J127" s="58">
        <f t="shared" si="117"/>
        <v>0</v>
      </c>
      <c r="K127" s="58">
        <f t="shared" si="117"/>
        <v>0</v>
      </c>
      <c r="L127" s="58">
        <f t="shared" si="117"/>
        <v>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0" customHeight="1">
      <c r="A128" s="68">
        <v>45930.0</v>
      </c>
      <c r="B128" s="64" t="s">
        <v>9</v>
      </c>
      <c r="C128" s="65">
        <v>-8.0</v>
      </c>
      <c r="D128" s="66">
        <f t="shared" si="3"/>
        <v>-4400</v>
      </c>
      <c r="E128" s="56" t="s">
        <v>13</v>
      </c>
      <c r="F128" s="58">
        <f t="shared" ref="F128:L128" si="118">SUMIFS($C128,$B128,F$7)+F127</f>
        <v>32</v>
      </c>
      <c r="G128" s="58">
        <f t="shared" si="118"/>
        <v>13</v>
      </c>
      <c r="H128" s="58">
        <f t="shared" si="118"/>
        <v>18</v>
      </c>
      <c r="I128" s="58">
        <f t="shared" si="118"/>
        <v>299</v>
      </c>
      <c r="J128" s="58">
        <f t="shared" si="118"/>
        <v>0</v>
      </c>
      <c r="K128" s="58">
        <f t="shared" si="118"/>
        <v>0</v>
      </c>
      <c r="L128" s="58">
        <f t="shared" si="118"/>
        <v>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0" customHeight="1">
      <c r="A129" s="68">
        <v>45930.0</v>
      </c>
      <c r="B129" s="64" t="s">
        <v>13</v>
      </c>
      <c r="C129" s="65">
        <v>8.0</v>
      </c>
      <c r="D129" s="66">
        <f t="shared" si="3"/>
        <v>4400</v>
      </c>
      <c r="E129" s="67"/>
      <c r="F129" s="58">
        <f t="shared" ref="F129:L129" si="119">SUMIFS($C129,$B129,F$7)+F128</f>
        <v>32</v>
      </c>
      <c r="G129" s="58">
        <f t="shared" si="119"/>
        <v>21</v>
      </c>
      <c r="H129" s="58">
        <f t="shared" si="119"/>
        <v>18</v>
      </c>
      <c r="I129" s="58">
        <f t="shared" si="119"/>
        <v>299</v>
      </c>
      <c r="J129" s="58">
        <f t="shared" si="119"/>
        <v>0</v>
      </c>
      <c r="K129" s="58">
        <f t="shared" si="119"/>
        <v>0</v>
      </c>
      <c r="L129" s="58">
        <f t="shared" si="119"/>
        <v>0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0" customHeight="1">
      <c r="A130" s="68">
        <v>45930.0</v>
      </c>
      <c r="B130" s="64" t="s">
        <v>13</v>
      </c>
      <c r="C130" s="65">
        <v>-5.0</v>
      </c>
      <c r="D130" s="66">
        <f t="shared" si="3"/>
        <v>-2750</v>
      </c>
      <c r="E130" s="56" t="s">
        <v>16</v>
      </c>
      <c r="F130" s="58">
        <f t="shared" ref="F130:L130" si="120">SUMIFS($C130,$B130,F$7)+F129</f>
        <v>32</v>
      </c>
      <c r="G130" s="58">
        <f t="shared" si="120"/>
        <v>16</v>
      </c>
      <c r="H130" s="58">
        <f t="shared" si="120"/>
        <v>18</v>
      </c>
      <c r="I130" s="58">
        <f t="shared" si="120"/>
        <v>299</v>
      </c>
      <c r="J130" s="58">
        <f t="shared" si="120"/>
        <v>0</v>
      </c>
      <c r="K130" s="58">
        <f t="shared" si="120"/>
        <v>0</v>
      </c>
      <c r="L130" s="58">
        <f t="shared" si="120"/>
        <v>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0" customHeight="1">
      <c r="A131" s="68">
        <v>45930.0</v>
      </c>
      <c r="B131" s="64" t="s">
        <v>16</v>
      </c>
      <c r="C131" s="65">
        <v>5.0</v>
      </c>
      <c r="D131" s="66">
        <f t="shared" si="3"/>
        <v>2750</v>
      </c>
      <c r="E131" s="67"/>
      <c r="F131" s="58">
        <f t="shared" ref="F131:L131" si="121">SUMIFS($C131,$B131,F$7)+F130</f>
        <v>32</v>
      </c>
      <c r="G131" s="58">
        <f t="shared" si="121"/>
        <v>16</v>
      </c>
      <c r="H131" s="58">
        <f t="shared" si="121"/>
        <v>23</v>
      </c>
      <c r="I131" s="58">
        <f t="shared" si="121"/>
        <v>299</v>
      </c>
      <c r="J131" s="58">
        <f t="shared" si="121"/>
        <v>0</v>
      </c>
      <c r="K131" s="58">
        <f t="shared" si="121"/>
        <v>0</v>
      </c>
      <c r="L131" s="58">
        <f t="shared" si="121"/>
        <v>0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0" customHeight="1">
      <c r="A132" s="70"/>
      <c r="B132" s="71"/>
      <c r="C132" s="66"/>
      <c r="D132" s="66">
        <f t="shared" si="3"/>
        <v>0</v>
      </c>
      <c r="E132" s="67"/>
      <c r="F132" s="58">
        <f t="shared" ref="F132:L132" si="122">SUMIFS($C132,$B132,F$7)+F131</f>
        <v>32</v>
      </c>
      <c r="G132" s="58">
        <f t="shared" si="122"/>
        <v>16</v>
      </c>
      <c r="H132" s="58">
        <f t="shared" si="122"/>
        <v>23</v>
      </c>
      <c r="I132" s="58">
        <f t="shared" si="122"/>
        <v>299</v>
      </c>
      <c r="J132" s="58">
        <f t="shared" si="122"/>
        <v>0</v>
      </c>
      <c r="K132" s="58">
        <f t="shared" si="122"/>
        <v>0</v>
      </c>
      <c r="L132" s="58">
        <f t="shared" si="122"/>
        <v>0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0" customHeight="1">
      <c r="A133" s="68">
        <v>45931.0</v>
      </c>
      <c r="B133" s="64" t="s">
        <v>9</v>
      </c>
      <c r="C133" s="65">
        <v>-8.0</v>
      </c>
      <c r="D133" s="66">
        <f t="shared" si="3"/>
        <v>-4400</v>
      </c>
      <c r="E133" s="56" t="s">
        <v>13</v>
      </c>
      <c r="F133" s="58">
        <f t="shared" ref="F133:L133" si="123">SUMIFS($C133,$B133,F$7)+F132</f>
        <v>24</v>
      </c>
      <c r="G133" s="58">
        <f t="shared" si="123"/>
        <v>16</v>
      </c>
      <c r="H133" s="58">
        <f t="shared" si="123"/>
        <v>23</v>
      </c>
      <c r="I133" s="58">
        <f t="shared" si="123"/>
        <v>299</v>
      </c>
      <c r="J133" s="58">
        <f t="shared" si="123"/>
        <v>0</v>
      </c>
      <c r="K133" s="58">
        <f t="shared" si="123"/>
        <v>0</v>
      </c>
      <c r="L133" s="58">
        <f t="shared" si="123"/>
        <v>0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0" customHeight="1">
      <c r="A134" s="68">
        <v>45931.0</v>
      </c>
      <c r="B134" s="64" t="s">
        <v>13</v>
      </c>
      <c r="C134" s="65">
        <v>8.0</v>
      </c>
      <c r="D134" s="66">
        <f t="shared" si="3"/>
        <v>4400</v>
      </c>
      <c r="E134" s="67"/>
      <c r="F134" s="58">
        <f t="shared" ref="F134:L134" si="124">SUMIFS($C134,$B134,F$7)+F133</f>
        <v>24</v>
      </c>
      <c r="G134" s="58">
        <f t="shared" si="124"/>
        <v>24</v>
      </c>
      <c r="H134" s="58">
        <f t="shared" si="124"/>
        <v>23</v>
      </c>
      <c r="I134" s="58">
        <f t="shared" si="124"/>
        <v>299</v>
      </c>
      <c r="J134" s="58">
        <f t="shared" si="124"/>
        <v>0</v>
      </c>
      <c r="K134" s="58">
        <f t="shared" si="124"/>
        <v>0</v>
      </c>
      <c r="L134" s="58">
        <f t="shared" si="124"/>
        <v>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0" customHeight="1">
      <c r="A135" s="68">
        <v>45931.0</v>
      </c>
      <c r="B135" s="64" t="s">
        <v>13</v>
      </c>
      <c r="C135" s="65">
        <v>-5.0</v>
      </c>
      <c r="D135" s="66">
        <f t="shared" si="3"/>
        <v>-2750</v>
      </c>
      <c r="E135" s="56" t="s">
        <v>16</v>
      </c>
      <c r="F135" s="58">
        <f t="shared" ref="F135:L135" si="125">SUMIFS($C135,$B135,F$7)+F134</f>
        <v>24</v>
      </c>
      <c r="G135" s="58">
        <f t="shared" si="125"/>
        <v>19</v>
      </c>
      <c r="H135" s="58">
        <f t="shared" si="125"/>
        <v>23</v>
      </c>
      <c r="I135" s="58">
        <f t="shared" si="125"/>
        <v>299</v>
      </c>
      <c r="J135" s="58">
        <f t="shared" si="125"/>
        <v>0</v>
      </c>
      <c r="K135" s="58">
        <f t="shared" si="125"/>
        <v>0</v>
      </c>
      <c r="L135" s="58">
        <f t="shared" si="125"/>
        <v>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0" customHeight="1">
      <c r="A136" s="68">
        <v>45931.0</v>
      </c>
      <c r="B136" s="64" t="s">
        <v>16</v>
      </c>
      <c r="C136" s="65">
        <v>5.0</v>
      </c>
      <c r="D136" s="66">
        <f t="shared" si="3"/>
        <v>2750</v>
      </c>
      <c r="E136" s="67"/>
      <c r="F136" s="58">
        <f t="shared" ref="F136:L136" si="126">SUMIFS($C136,$B136,F$7)+F135</f>
        <v>24</v>
      </c>
      <c r="G136" s="58">
        <f t="shared" si="126"/>
        <v>19</v>
      </c>
      <c r="H136" s="58">
        <f t="shared" si="126"/>
        <v>28</v>
      </c>
      <c r="I136" s="58">
        <f t="shared" si="126"/>
        <v>299</v>
      </c>
      <c r="J136" s="58">
        <f t="shared" si="126"/>
        <v>0</v>
      </c>
      <c r="K136" s="58">
        <f t="shared" si="126"/>
        <v>0</v>
      </c>
      <c r="L136" s="58">
        <f t="shared" si="126"/>
        <v>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0" customHeight="1">
      <c r="A137" s="70"/>
      <c r="B137" s="71"/>
      <c r="C137" s="66"/>
      <c r="D137" s="66">
        <f t="shared" si="3"/>
        <v>0</v>
      </c>
      <c r="E137" s="67"/>
      <c r="F137" s="58">
        <f t="shared" ref="F137:L137" si="127">SUMIFS($C137,$B137,F$7)+F136</f>
        <v>24</v>
      </c>
      <c r="G137" s="58">
        <f t="shared" si="127"/>
        <v>19</v>
      </c>
      <c r="H137" s="58">
        <f t="shared" si="127"/>
        <v>28</v>
      </c>
      <c r="I137" s="58">
        <f t="shared" si="127"/>
        <v>299</v>
      </c>
      <c r="J137" s="58">
        <f t="shared" si="127"/>
        <v>0</v>
      </c>
      <c r="K137" s="58">
        <f t="shared" si="127"/>
        <v>0</v>
      </c>
      <c r="L137" s="58">
        <f t="shared" si="127"/>
        <v>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0" customHeight="1">
      <c r="A138" s="68">
        <v>45932.0</v>
      </c>
      <c r="B138" s="64" t="s">
        <v>17</v>
      </c>
      <c r="C138" s="65">
        <v>-1.0</v>
      </c>
      <c r="D138" s="66">
        <f t="shared" si="3"/>
        <v>-550</v>
      </c>
      <c r="E138" s="56" t="s">
        <v>38</v>
      </c>
      <c r="F138" s="58">
        <f t="shared" ref="F138:L138" si="128">SUMIFS($C138,$B138,F$7)+F137</f>
        <v>24</v>
      </c>
      <c r="G138" s="58">
        <f t="shared" si="128"/>
        <v>19</v>
      </c>
      <c r="H138" s="58">
        <f t="shared" si="128"/>
        <v>28</v>
      </c>
      <c r="I138" s="58">
        <f t="shared" si="128"/>
        <v>298</v>
      </c>
      <c r="J138" s="58">
        <f t="shared" si="128"/>
        <v>0</v>
      </c>
      <c r="K138" s="58">
        <f t="shared" si="128"/>
        <v>0</v>
      </c>
      <c r="L138" s="58">
        <f t="shared" si="128"/>
        <v>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0" customHeight="1">
      <c r="A139" s="68">
        <v>45932.0</v>
      </c>
      <c r="B139" s="64" t="s">
        <v>9</v>
      </c>
      <c r="C139" s="65">
        <v>-8.0</v>
      </c>
      <c r="D139" s="66">
        <f t="shared" si="3"/>
        <v>-4400</v>
      </c>
      <c r="E139" s="56" t="s">
        <v>13</v>
      </c>
      <c r="F139" s="58">
        <f t="shared" ref="F139:L139" si="129">SUMIFS($C139,$B139,F$7)+F138</f>
        <v>16</v>
      </c>
      <c r="G139" s="58">
        <f t="shared" si="129"/>
        <v>19</v>
      </c>
      <c r="H139" s="58">
        <f t="shared" si="129"/>
        <v>28</v>
      </c>
      <c r="I139" s="58">
        <f t="shared" si="129"/>
        <v>298</v>
      </c>
      <c r="J139" s="58">
        <f t="shared" si="129"/>
        <v>0</v>
      </c>
      <c r="K139" s="58">
        <f t="shared" si="129"/>
        <v>0</v>
      </c>
      <c r="L139" s="58">
        <f t="shared" si="129"/>
        <v>0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0" customHeight="1">
      <c r="A140" s="68">
        <v>45932.0</v>
      </c>
      <c r="B140" s="64" t="s">
        <v>13</v>
      </c>
      <c r="C140" s="65">
        <v>8.0</v>
      </c>
      <c r="D140" s="66">
        <f t="shared" si="3"/>
        <v>4400</v>
      </c>
      <c r="E140" s="67"/>
      <c r="F140" s="58">
        <f t="shared" ref="F140:L140" si="130">SUMIFS($C140,$B140,F$7)+F139</f>
        <v>16</v>
      </c>
      <c r="G140" s="58">
        <f t="shared" si="130"/>
        <v>27</v>
      </c>
      <c r="H140" s="58">
        <f t="shared" si="130"/>
        <v>28</v>
      </c>
      <c r="I140" s="58">
        <f t="shared" si="130"/>
        <v>298</v>
      </c>
      <c r="J140" s="58">
        <f t="shared" si="130"/>
        <v>0</v>
      </c>
      <c r="K140" s="58">
        <f t="shared" si="130"/>
        <v>0</v>
      </c>
      <c r="L140" s="58">
        <f t="shared" si="130"/>
        <v>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0" customHeight="1">
      <c r="A141" s="68">
        <v>45932.0</v>
      </c>
      <c r="B141" s="64" t="s">
        <v>13</v>
      </c>
      <c r="C141" s="65">
        <v>-6.0</v>
      </c>
      <c r="D141" s="66">
        <f t="shared" si="3"/>
        <v>-3300</v>
      </c>
      <c r="E141" s="56" t="s">
        <v>16</v>
      </c>
      <c r="F141" s="58">
        <f t="shared" ref="F141:L141" si="131">SUMIFS($C141,$B141,F$7)+F140</f>
        <v>16</v>
      </c>
      <c r="G141" s="58">
        <f t="shared" si="131"/>
        <v>21</v>
      </c>
      <c r="H141" s="58">
        <f t="shared" si="131"/>
        <v>28</v>
      </c>
      <c r="I141" s="58">
        <f t="shared" si="131"/>
        <v>298</v>
      </c>
      <c r="J141" s="58">
        <f t="shared" si="131"/>
        <v>0</v>
      </c>
      <c r="K141" s="58">
        <f t="shared" si="131"/>
        <v>0</v>
      </c>
      <c r="L141" s="58">
        <f t="shared" si="131"/>
        <v>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0" customHeight="1">
      <c r="A142" s="68">
        <v>45932.0</v>
      </c>
      <c r="B142" s="64" t="s">
        <v>16</v>
      </c>
      <c r="C142" s="65">
        <v>6.0</v>
      </c>
      <c r="D142" s="66">
        <f t="shared" si="3"/>
        <v>3300</v>
      </c>
      <c r="E142" s="67"/>
      <c r="F142" s="58">
        <f t="shared" ref="F142:L142" si="132">SUMIFS($C142,$B142,F$7)+F141</f>
        <v>16</v>
      </c>
      <c r="G142" s="58">
        <f t="shared" si="132"/>
        <v>21</v>
      </c>
      <c r="H142" s="58">
        <f t="shared" si="132"/>
        <v>34</v>
      </c>
      <c r="I142" s="58">
        <f t="shared" si="132"/>
        <v>298</v>
      </c>
      <c r="J142" s="58">
        <f t="shared" si="132"/>
        <v>0</v>
      </c>
      <c r="K142" s="58">
        <f t="shared" si="132"/>
        <v>0</v>
      </c>
      <c r="L142" s="58">
        <f t="shared" si="132"/>
        <v>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0" customHeight="1">
      <c r="A143" s="70"/>
      <c r="B143" s="71"/>
      <c r="C143" s="66"/>
      <c r="D143" s="66">
        <f t="shared" si="3"/>
        <v>0</v>
      </c>
      <c r="E143" s="67"/>
      <c r="F143" s="58">
        <f t="shared" ref="F143:L143" si="133">SUMIFS($C143,$B143,F$7)+F142</f>
        <v>16</v>
      </c>
      <c r="G143" s="58">
        <f t="shared" si="133"/>
        <v>21</v>
      </c>
      <c r="H143" s="58">
        <f t="shared" si="133"/>
        <v>34</v>
      </c>
      <c r="I143" s="58">
        <f t="shared" si="133"/>
        <v>298</v>
      </c>
      <c r="J143" s="58">
        <f t="shared" si="133"/>
        <v>0</v>
      </c>
      <c r="K143" s="58">
        <f t="shared" si="133"/>
        <v>0</v>
      </c>
      <c r="L143" s="58">
        <f t="shared" si="133"/>
        <v>0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0" customHeight="1">
      <c r="A144" s="68">
        <v>45933.0</v>
      </c>
      <c r="B144" s="64" t="s">
        <v>9</v>
      </c>
      <c r="C144" s="65">
        <v>-2.0</v>
      </c>
      <c r="D144" s="66">
        <f t="shared" si="3"/>
        <v>-1100</v>
      </c>
      <c r="E144" s="56" t="s">
        <v>13</v>
      </c>
      <c r="F144" s="58">
        <f t="shared" ref="F144:L144" si="134">SUMIFS($C144,$B144,F$7)+F143</f>
        <v>14</v>
      </c>
      <c r="G144" s="58">
        <f t="shared" si="134"/>
        <v>21</v>
      </c>
      <c r="H144" s="58">
        <f t="shared" si="134"/>
        <v>34</v>
      </c>
      <c r="I144" s="58">
        <f t="shared" si="134"/>
        <v>298</v>
      </c>
      <c r="J144" s="58">
        <f t="shared" si="134"/>
        <v>0</v>
      </c>
      <c r="K144" s="58">
        <f t="shared" si="134"/>
        <v>0</v>
      </c>
      <c r="L144" s="58">
        <f t="shared" si="134"/>
        <v>0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0" customHeight="1">
      <c r="A145" s="68">
        <v>45933.0</v>
      </c>
      <c r="B145" s="64" t="s">
        <v>13</v>
      </c>
      <c r="C145" s="65">
        <v>2.0</v>
      </c>
      <c r="D145" s="66"/>
      <c r="E145" s="67"/>
      <c r="F145" s="58">
        <f t="shared" ref="F145:L145" si="135">SUMIFS($C145,$B145,F$7)+F144</f>
        <v>14</v>
      </c>
      <c r="G145" s="58">
        <f t="shared" si="135"/>
        <v>23</v>
      </c>
      <c r="H145" s="58">
        <f t="shared" si="135"/>
        <v>34</v>
      </c>
      <c r="I145" s="58">
        <f t="shared" si="135"/>
        <v>298</v>
      </c>
      <c r="J145" s="58">
        <f t="shared" si="135"/>
        <v>0</v>
      </c>
      <c r="K145" s="58">
        <f t="shared" si="135"/>
        <v>0</v>
      </c>
      <c r="L145" s="58">
        <f t="shared" si="135"/>
        <v>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0" customHeight="1">
      <c r="A146" s="68">
        <v>45933.0</v>
      </c>
      <c r="B146" s="64" t="s">
        <v>13</v>
      </c>
      <c r="C146" s="65">
        <v>-23.0</v>
      </c>
      <c r="D146" s="66">
        <f t="shared" ref="D146:D418" si="137">550*C146</f>
        <v>-12650</v>
      </c>
      <c r="E146" s="67"/>
      <c r="F146" s="58">
        <f t="shared" ref="F146:L146" si="136">SUMIFS($C146,$B146,F$7)+F145</f>
        <v>14</v>
      </c>
      <c r="G146" s="58">
        <f t="shared" si="136"/>
        <v>0</v>
      </c>
      <c r="H146" s="58">
        <f t="shared" si="136"/>
        <v>34</v>
      </c>
      <c r="I146" s="58">
        <f t="shared" si="136"/>
        <v>298</v>
      </c>
      <c r="J146" s="58">
        <f t="shared" si="136"/>
        <v>0</v>
      </c>
      <c r="K146" s="58">
        <f t="shared" si="136"/>
        <v>0</v>
      </c>
      <c r="L146" s="58">
        <f t="shared" si="136"/>
        <v>0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0" customHeight="1">
      <c r="A147" s="68">
        <v>45933.0</v>
      </c>
      <c r="B147" s="64" t="s">
        <v>16</v>
      </c>
      <c r="C147" s="65">
        <v>-34.0</v>
      </c>
      <c r="D147" s="66">
        <f t="shared" si="137"/>
        <v>-18700</v>
      </c>
      <c r="E147" s="67"/>
      <c r="F147" s="58">
        <f t="shared" ref="F147:L147" si="138">SUMIFS($C147,$B147,F$7)+F146</f>
        <v>14</v>
      </c>
      <c r="G147" s="58">
        <f t="shared" si="138"/>
        <v>0</v>
      </c>
      <c r="H147" s="58">
        <f t="shared" si="138"/>
        <v>0</v>
      </c>
      <c r="I147" s="58">
        <f t="shared" si="138"/>
        <v>298</v>
      </c>
      <c r="J147" s="58">
        <f t="shared" si="138"/>
        <v>0</v>
      </c>
      <c r="K147" s="58">
        <f t="shared" si="138"/>
        <v>0</v>
      </c>
      <c r="L147" s="58">
        <f t="shared" si="138"/>
        <v>0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0" customHeight="1">
      <c r="A148" s="68">
        <v>45933.0</v>
      </c>
      <c r="B148" s="64" t="s">
        <v>9</v>
      </c>
      <c r="C148" s="65">
        <v>-14.0</v>
      </c>
      <c r="D148" s="66">
        <f t="shared" si="137"/>
        <v>-7700</v>
      </c>
      <c r="E148" s="67"/>
      <c r="F148" s="58">
        <f t="shared" ref="F148:L148" si="139">SUMIFS($C148,$B148,F$7)+F147</f>
        <v>0</v>
      </c>
      <c r="G148" s="58">
        <f t="shared" si="139"/>
        <v>0</v>
      </c>
      <c r="H148" s="58">
        <f t="shared" si="139"/>
        <v>0</v>
      </c>
      <c r="I148" s="58">
        <f t="shared" si="139"/>
        <v>298</v>
      </c>
      <c r="J148" s="58">
        <f t="shared" si="139"/>
        <v>0</v>
      </c>
      <c r="K148" s="58">
        <f t="shared" si="139"/>
        <v>0</v>
      </c>
      <c r="L148" s="58">
        <f t="shared" si="139"/>
        <v>0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0" customHeight="1">
      <c r="A149" s="68">
        <v>45933.0</v>
      </c>
      <c r="B149" s="64" t="s">
        <v>17</v>
      </c>
      <c r="C149" s="65">
        <v>71.0</v>
      </c>
      <c r="D149" s="66">
        <f t="shared" si="137"/>
        <v>39050</v>
      </c>
      <c r="E149" s="56" t="s">
        <v>136</v>
      </c>
      <c r="F149" s="58">
        <f t="shared" ref="F149:L149" si="140">SUMIFS($C149,$B149,F$7)+F148</f>
        <v>0</v>
      </c>
      <c r="G149" s="58">
        <f t="shared" si="140"/>
        <v>0</v>
      </c>
      <c r="H149" s="58">
        <f t="shared" si="140"/>
        <v>0</v>
      </c>
      <c r="I149" s="58">
        <f t="shared" si="140"/>
        <v>369</v>
      </c>
      <c r="J149" s="58">
        <f t="shared" si="140"/>
        <v>0</v>
      </c>
      <c r="K149" s="58">
        <f t="shared" si="140"/>
        <v>0</v>
      </c>
      <c r="L149" s="58">
        <f t="shared" si="140"/>
        <v>0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0" customHeight="1">
      <c r="A150" s="70"/>
      <c r="B150" s="71"/>
      <c r="C150" s="66"/>
      <c r="D150" s="66">
        <f t="shared" si="137"/>
        <v>0</v>
      </c>
      <c r="E150" s="67"/>
      <c r="F150" s="58">
        <f t="shared" ref="F150:L150" si="141">SUMIFS($C150,$B150,F$7)+F149</f>
        <v>0</v>
      </c>
      <c r="G150" s="58">
        <f t="shared" si="141"/>
        <v>0</v>
      </c>
      <c r="H150" s="58">
        <f t="shared" si="141"/>
        <v>0</v>
      </c>
      <c r="I150" s="58">
        <f t="shared" si="141"/>
        <v>369</v>
      </c>
      <c r="J150" s="58">
        <f t="shared" si="141"/>
        <v>0</v>
      </c>
      <c r="K150" s="58">
        <f t="shared" si="141"/>
        <v>0</v>
      </c>
      <c r="L150" s="58">
        <f t="shared" si="141"/>
        <v>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0" customHeight="1">
      <c r="A151" s="68">
        <v>45939.0</v>
      </c>
      <c r="B151" s="64" t="s">
        <v>17</v>
      </c>
      <c r="C151" s="65">
        <v>-176.0</v>
      </c>
      <c r="D151" s="66">
        <f t="shared" si="137"/>
        <v>-96800</v>
      </c>
      <c r="E151" s="56" t="s">
        <v>138</v>
      </c>
      <c r="F151" s="58">
        <f t="shared" ref="F151:L151" si="142">SUMIFS($C151,$B151,F$7)+F150</f>
        <v>0</v>
      </c>
      <c r="G151" s="58">
        <f t="shared" si="142"/>
        <v>0</v>
      </c>
      <c r="H151" s="58">
        <f t="shared" si="142"/>
        <v>0</v>
      </c>
      <c r="I151" s="58">
        <f t="shared" si="142"/>
        <v>193</v>
      </c>
      <c r="J151" s="58">
        <f t="shared" si="142"/>
        <v>0</v>
      </c>
      <c r="K151" s="58">
        <f t="shared" si="142"/>
        <v>0</v>
      </c>
      <c r="L151" s="58">
        <f t="shared" si="142"/>
        <v>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0" customHeight="1">
      <c r="A152" s="70"/>
      <c r="B152" s="71"/>
      <c r="C152" s="66"/>
      <c r="D152" s="66">
        <f t="shared" si="137"/>
        <v>0</v>
      </c>
      <c r="E152" s="67"/>
      <c r="F152" s="58">
        <f t="shared" ref="F152:L152" si="143">SUMIFS($C152,$B152,F$7)+F151</f>
        <v>0</v>
      </c>
      <c r="G152" s="58">
        <f t="shared" si="143"/>
        <v>0</v>
      </c>
      <c r="H152" s="58">
        <f t="shared" si="143"/>
        <v>0</v>
      </c>
      <c r="I152" s="58">
        <f t="shared" si="143"/>
        <v>193</v>
      </c>
      <c r="J152" s="58">
        <f t="shared" si="143"/>
        <v>0</v>
      </c>
      <c r="K152" s="58">
        <f t="shared" si="143"/>
        <v>0</v>
      </c>
      <c r="L152" s="58">
        <f t="shared" si="143"/>
        <v>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0" customHeight="1">
      <c r="A153" s="68">
        <v>45989.0</v>
      </c>
      <c r="B153" s="64" t="s">
        <v>9</v>
      </c>
      <c r="C153" s="65">
        <v>12.0</v>
      </c>
      <c r="D153" s="66">
        <f t="shared" si="137"/>
        <v>6600</v>
      </c>
      <c r="E153" s="67"/>
      <c r="F153" s="58">
        <f t="shared" ref="F153:L153" si="144">SUMIFS($C153,$B153,F$7)+F152</f>
        <v>12</v>
      </c>
      <c r="G153" s="58">
        <f t="shared" si="144"/>
        <v>0</v>
      </c>
      <c r="H153" s="58">
        <f t="shared" si="144"/>
        <v>0</v>
      </c>
      <c r="I153" s="58">
        <f t="shared" si="144"/>
        <v>193</v>
      </c>
      <c r="J153" s="58">
        <f t="shared" si="144"/>
        <v>0</v>
      </c>
      <c r="K153" s="58">
        <f t="shared" si="144"/>
        <v>0</v>
      </c>
      <c r="L153" s="58">
        <f t="shared" si="144"/>
        <v>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0" customHeight="1">
      <c r="A154" s="70"/>
      <c r="B154" s="71"/>
      <c r="C154" s="66"/>
      <c r="D154" s="66">
        <f t="shared" si="137"/>
        <v>0</v>
      </c>
      <c r="E154" s="67"/>
      <c r="F154" s="58">
        <f t="shared" ref="F154:L154" si="145">SUMIFS($C154,$B154,F$7)+F153</f>
        <v>12</v>
      </c>
      <c r="G154" s="58">
        <f t="shared" si="145"/>
        <v>0</v>
      </c>
      <c r="H154" s="58">
        <f t="shared" si="145"/>
        <v>0</v>
      </c>
      <c r="I154" s="58">
        <f t="shared" si="145"/>
        <v>193</v>
      </c>
      <c r="J154" s="58">
        <f t="shared" si="145"/>
        <v>0</v>
      </c>
      <c r="K154" s="58">
        <f t="shared" si="145"/>
        <v>0</v>
      </c>
      <c r="L154" s="58">
        <f t="shared" si="145"/>
        <v>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0" customHeight="1">
      <c r="A155" s="68">
        <v>45990.0</v>
      </c>
      <c r="B155" s="64" t="s">
        <v>9</v>
      </c>
      <c r="C155" s="65">
        <v>10.0</v>
      </c>
      <c r="D155" s="66">
        <f t="shared" si="137"/>
        <v>5500</v>
      </c>
      <c r="E155" s="67"/>
      <c r="F155" s="58">
        <f t="shared" ref="F155:L155" si="146">SUMIFS($C155,$B155,F$7)+F154</f>
        <v>22</v>
      </c>
      <c r="G155" s="58">
        <f t="shared" si="146"/>
        <v>0</v>
      </c>
      <c r="H155" s="58">
        <f t="shared" si="146"/>
        <v>0</v>
      </c>
      <c r="I155" s="58">
        <f t="shared" si="146"/>
        <v>193</v>
      </c>
      <c r="J155" s="58">
        <f t="shared" si="146"/>
        <v>0</v>
      </c>
      <c r="K155" s="58">
        <f t="shared" si="146"/>
        <v>0</v>
      </c>
      <c r="L155" s="58">
        <f t="shared" si="146"/>
        <v>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0" customHeight="1">
      <c r="A156" s="70"/>
      <c r="B156" s="71"/>
      <c r="C156" s="66"/>
      <c r="D156" s="66">
        <f t="shared" si="137"/>
        <v>0</v>
      </c>
      <c r="E156" s="67"/>
      <c r="F156" s="58">
        <f t="shared" ref="F156:L156" si="147">SUMIFS($C156,$B156,F$7)+F155</f>
        <v>22</v>
      </c>
      <c r="G156" s="58">
        <f t="shared" si="147"/>
        <v>0</v>
      </c>
      <c r="H156" s="58">
        <f t="shared" si="147"/>
        <v>0</v>
      </c>
      <c r="I156" s="58">
        <f t="shared" si="147"/>
        <v>193</v>
      </c>
      <c r="J156" s="58">
        <f t="shared" si="147"/>
        <v>0</v>
      </c>
      <c r="K156" s="58">
        <f t="shared" si="147"/>
        <v>0</v>
      </c>
      <c r="L156" s="58">
        <f t="shared" si="147"/>
        <v>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0" customHeight="1">
      <c r="A157" s="68">
        <v>45992.0</v>
      </c>
      <c r="B157" s="64" t="s">
        <v>9</v>
      </c>
      <c r="C157" s="65">
        <v>11.0</v>
      </c>
      <c r="D157" s="66">
        <f t="shared" si="137"/>
        <v>6050</v>
      </c>
      <c r="E157" s="67"/>
      <c r="F157" s="58">
        <f t="shared" ref="F157:L157" si="148">SUMIFS($C157,$B157,F$7)+F156</f>
        <v>33</v>
      </c>
      <c r="G157" s="58">
        <f t="shared" si="148"/>
        <v>0</v>
      </c>
      <c r="H157" s="58">
        <f t="shared" si="148"/>
        <v>0</v>
      </c>
      <c r="I157" s="58">
        <f t="shared" si="148"/>
        <v>193</v>
      </c>
      <c r="J157" s="58">
        <f t="shared" si="148"/>
        <v>0</v>
      </c>
      <c r="K157" s="58">
        <f t="shared" si="148"/>
        <v>0</v>
      </c>
      <c r="L157" s="58">
        <f t="shared" si="148"/>
        <v>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0" customHeight="1">
      <c r="A158" s="70"/>
      <c r="B158" s="71"/>
      <c r="C158" s="66"/>
      <c r="D158" s="66">
        <f t="shared" si="137"/>
        <v>0</v>
      </c>
      <c r="E158" s="67"/>
      <c r="F158" s="58">
        <f t="shared" ref="F158:L158" si="149">SUMIFS($C158,$B158,F$7)+F157</f>
        <v>33</v>
      </c>
      <c r="G158" s="58">
        <f t="shared" si="149"/>
        <v>0</v>
      </c>
      <c r="H158" s="58">
        <f t="shared" si="149"/>
        <v>0</v>
      </c>
      <c r="I158" s="58">
        <f t="shared" si="149"/>
        <v>193</v>
      </c>
      <c r="J158" s="58">
        <f t="shared" si="149"/>
        <v>0</v>
      </c>
      <c r="K158" s="58">
        <f t="shared" si="149"/>
        <v>0</v>
      </c>
      <c r="L158" s="58">
        <f t="shared" si="149"/>
        <v>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0" customHeight="1">
      <c r="A159" s="68">
        <v>45993.0</v>
      </c>
      <c r="B159" s="64" t="s">
        <v>9</v>
      </c>
      <c r="C159" s="65">
        <v>20.0</v>
      </c>
      <c r="D159" s="66">
        <f t="shared" si="137"/>
        <v>11000</v>
      </c>
      <c r="E159" s="67"/>
      <c r="F159" s="58">
        <f t="shared" ref="F159:L159" si="150">SUMIFS($C159,$B159,F$7)+F158</f>
        <v>53</v>
      </c>
      <c r="G159" s="58">
        <f t="shared" si="150"/>
        <v>0</v>
      </c>
      <c r="H159" s="58">
        <f t="shared" si="150"/>
        <v>0</v>
      </c>
      <c r="I159" s="58">
        <f t="shared" si="150"/>
        <v>193</v>
      </c>
      <c r="J159" s="58">
        <f t="shared" si="150"/>
        <v>0</v>
      </c>
      <c r="K159" s="58">
        <f t="shared" si="150"/>
        <v>0</v>
      </c>
      <c r="L159" s="58">
        <f t="shared" si="150"/>
        <v>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0" customHeight="1">
      <c r="A160" s="70"/>
      <c r="B160" s="71"/>
      <c r="C160" s="66"/>
      <c r="D160" s="66">
        <f t="shared" si="137"/>
        <v>0</v>
      </c>
      <c r="E160" s="67"/>
      <c r="F160" s="58">
        <f t="shared" ref="F160:L160" si="151">SUMIFS($C160,$B160,F$7)+F159</f>
        <v>53</v>
      </c>
      <c r="G160" s="58">
        <f t="shared" si="151"/>
        <v>0</v>
      </c>
      <c r="H160" s="58">
        <f t="shared" si="151"/>
        <v>0</v>
      </c>
      <c r="I160" s="58">
        <f t="shared" si="151"/>
        <v>193</v>
      </c>
      <c r="J160" s="58">
        <f t="shared" si="151"/>
        <v>0</v>
      </c>
      <c r="K160" s="58">
        <f t="shared" si="151"/>
        <v>0</v>
      </c>
      <c r="L160" s="58">
        <f t="shared" si="151"/>
        <v>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0" customHeight="1">
      <c r="A161" s="68">
        <v>45994.0</v>
      </c>
      <c r="B161" s="64" t="s">
        <v>9</v>
      </c>
      <c r="C161" s="65">
        <v>13.0</v>
      </c>
      <c r="D161" s="66">
        <f t="shared" si="137"/>
        <v>7150</v>
      </c>
      <c r="E161" s="67"/>
      <c r="F161" s="58">
        <f t="shared" ref="F161:L161" si="152">SUMIFS($C161,$B161,F$7)+F160</f>
        <v>66</v>
      </c>
      <c r="G161" s="58">
        <f t="shared" si="152"/>
        <v>0</v>
      </c>
      <c r="H161" s="58">
        <f t="shared" si="152"/>
        <v>0</v>
      </c>
      <c r="I161" s="58">
        <f t="shared" si="152"/>
        <v>193</v>
      </c>
      <c r="J161" s="58">
        <f t="shared" si="152"/>
        <v>0</v>
      </c>
      <c r="K161" s="58">
        <f t="shared" si="152"/>
        <v>0</v>
      </c>
      <c r="L161" s="58">
        <f t="shared" si="152"/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0" customHeight="1">
      <c r="A162" s="70"/>
      <c r="B162" s="71"/>
      <c r="C162" s="66"/>
      <c r="D162" s="66">
        <f t="shared" si="137"/>
        <v>0</v>
      </c>
      <c r="E162" s="67"/>
      <c r="F162" s="58">
        <f t="shared" ref="F162:L162" si="153">SUMIFS($C162,$B162,F$7)+F161</f>
        <v>66</v>
      </c>
      <c r="G162" s="58">
        <f t="shared" si="153"/>
        <v>0</v>
      </c>
      <c r="H162" s="58">
        <f t="shared" si="153"/>
        <v>0</v>
      </c>
      <c r="I162" s="58">
        <f t="shared" si="153"/>
        <v>193</v>
      </c>
      <c r="J162" s="58">
        <f t="shared" si="153"/>
        <v>0</v>
      </c>
      <c r="K162" s="58">
        <f t="shared" si="153"/>
        <v>0</v>
      </c>
      <c r="L162" s="58">
        <f t="shared" si="153"/>
        <v>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0" customHeight="1">
      <c r="A163" s="68">
        <v>45996.0</v>
      </c>
      <c r="B163" s="64" t="s">
        <v>9</v>
      </c>
      <c r="C163" s="65">
        <v>13.0</v>
      </c>
      <c r="D163" s="66">
        <f t="shared" si="137"/>
        <v>7150</v>
      </c>
      <c r="E163" s="67"/>
      <c r="F163" s="58">
        <f t="shared" ref="F163:L163" si="154">SUMIFS($C163,$B163,F$7)+F162</f>
        <v>79</v>
      </c>
      <c r="G163" s="58">
        <f t="shared" si="154"/>
        <v>0</v>
      </c>
      <c r="H163" s="58">
        <f t="shared" si="154"/>
        <v>0</v>
      </c>
      <c r="I163" s="58">
        <f t="shared" si="154"/>
        <v>193</v>
      </c>
      <c r="J163" s="58">
        <f t="shared" si="154"/>
        <v>0</v>
      </c>
      <c r="K163" s="58">
        <f t="shared" si="154"/>
        <v>0</v>
      </c>
      <c r="L163" s="58">
        <f t="shared" si="154"/>
        <v>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0" customHeight="1">
      <c r="A164" s="70"/>
      <c r="B164" s="71"/>
      <c r="C164" s="66"/>
      <c r="D164" s="66">
        <f t="shared" si="137"/>
        <v>0</v>
      </c>
      <c r="E164" s="67"/>
      <c r="F164" s="58">
        <f t="shared" ref="F164:L164" si="155">SUMIFS($C164,$B164,F$7)+F163</f>
        <v>79</v>
      </c>
      <c r="G164" s="58">
        <f t="shared" si="155"/>
        <v>0</v>
      </c>
      <c r="H164" s="58">
        <f t="shared" si="155"/>
        <v>0</v>
      </c>
      <c r="I164" s="58">
        <f t="shared" si="155"/>
        <v>193</v>
      </c>
      <c r="J164" s="58">
        <f t="shared" si="155"/>
        <v>0</v>
      </c>
      <c r="K164" s="58">
        <f t="shared" si="155"/>
        <v>0</v>
      </c>
      <c r="L164" s="58">
        <f t="shared" si="155"/>
        <v>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0" customHeight="1">
      <c r="A165" s="68">
        <v>45997.0</v>
      </c>
      <c r="B165" s="64" t="s">
        <v>9</v>
      </c>
      <c r="C165" s="65">
        <v>22.0</v>
      </c>
      <c r="D165" s="66">
        <f t="shared" si="137"/>
        <v>12100</v>
      </c>
      <c r="E165" s="67"/>
      <c r="F165" s="58">
        <f t="shared" ref="F165:L165" si="156">SUMIFS($C165,$B165,F$7)+F164</f>
        <v>101</v>
      </c>
      <c r="G165" s="58">
        <f t="shared" si="156"/>
        <v>0</v>
      </c>
      <c r="H165" s="58">
        <f t="shared" si="156"/>
        <v>0</v>
      </c>
      <c r="I165" s="58">
        <f t="shared" si="156"/>
        <v>193</v>
      </c>
      <c r="J165" s="58">
        <f t="shared" si="156"/>
        <v>0</v>
      </c>
      <c r="K165" s="58">
        <f t="shared" si="156"/>
        <v>0</v>
      </c>
      <c r="L165" s="58">
        <f t="shared" si="156"/>
        <v>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0" customHeight="1">
      <c r="A166" s="70"/>
      <c r="B166" s="71"/>
      <c r="C166" s="66"/>
      <c r="D166" s="66">
        <f t="shared" si="137"/>
        <v>0</v>
      </c>
      <c r="E166" s="67"/>
      <c r="F166" s="58">
        <f t="shared" ref="F166:L166" si="157">SUMIFS($C166,$B166,F$7)+F165</f>
        <v>101</v>
      </c>
      <c r="G166" s="58">
        <f t="shared" si="157"/>
        <v>0</v>
      </c>
      <c r="H166" s="58">
        <f t="shared" si="157"/>
        <v>0</v>
      </c>
      <c r="I166" s="58">
        <f t="shared" si="157"/>
        <v>193</v>
      </c>
      <c r="J166" s="58">
        <f t="shared" si="157"/>
        <v>0</v>
      </c>
      <c r="K166" s="58">
        <f t="shared" si="157"/>
        <v>0</v>
      </c>
      <c r="L166" s="58">
        <f t="shared" si="157"/>
        <v>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0" customHeight="1">
      <c r="A167" s="72">
        <v>46000.0</v>
      </c>
      <c r="B167" s="64" t="s">
        <v>9</v>
      </c>
      <c r="C167" s="65">
        <v>26.0</v>
      </c>
      <c r="D167" s="66">
        <f t="shared" si="137"/>
        <v>14300</v>
      </c>
      <c r="E167" s="67"/>
      <c r="F167" s="58">
        <f t="shared" ref="F167:L167" si="158">SUMIFS($C167,$B167,F$7)+F166</f>
        <v>127</v>
      </c>
      <c r="G167" s="58">
        <f t="shared" si="158"/>
        <v>0</v>
      </c>
      <c r="H167" s="58">
        <f t="shared" si="158"/>
        <v>0</v>
      </c>
      <c r="I167" s="58">
        <f t="shared" si="158"/>
        <v>193</v>
      </c>
      <c r="J167" s="58">
        <f t="shared" si="158"/>
        <v>0</v>
      </c>
      <c r="K167" s="58">
        <f t="shared" si="158"/>
        <v>0</v>
      </c>
      <c r="L167" s="58">
        <f t="shared" si="158"/>
        <v>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0" customHeight="1">
      <c r="A168" s="70"/>
      <c r="B168" s="71"/>
      <c r="C168" s="66"/>
      <c r="D168" s="66">
        <f t="shared" si="137"/>
        <v>0</v>
      </c>
      <c r="E168" s="67"/>
      <c r="F168" s="58">
        <f t="shared" ref="F168:L168" si="159">SUMIFS($C168,$B168,F$7)+F167</f>
        <v>127</v>
      </c>
      <c r="G168" s="58">
        <f t="shared" si="159"/>
        <v>0</v>
      </c>
      <c r="H168" s="58">
        <f t="shared" si="159"/>
        <v>0</v>
      </c>
      <c r="I168" s="58">
        <f t="shared" si="159"/>
        <v>193</v>
      </c>
      <c r="J168" s="58">
        <f t="shared" si="159"/>
        <v>0</v>
      </c>
      <c r="K168" s="58">
        <f t="shared" si="159"/>
        <v>0</v>
      </c>
      <c r="L168" s="58">
        <f t="shared" si="159"/>
        <v>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0" customHeight="1">
      <c r="A169" s="68">
        <v>46001.0</v>
      </c>
      <c r="B169" s="64" t="s">
        <v>9</v>
      </c>
      <c r="C169" s="65">
        <f>29-5</f>
        <v>24</v>
      </c>
      <c r="D169" s="66">
        <f t="shared" si="137"/>
        <v>13200</v>
      </c>
      <c r="E169" s="56" t="s">
        <v>143</v>
      </c>
      <c r="F169" s="58">
        <f t="shared" ref="F169:L169" si="160">SUMIFS($C169,$B169,F$7)+F168</f>
        <v>151</v>
      </c>
      <c r="G169" s="58">
        <f t="shared" si="160"/>
        <v>0</v>
      </c>
      <c r="H169" s="58">
        <f t="shared" si="160"/>
        <v>0</v>
      </c>
      <c r="I169" s="58">
        <f t="shared" si="160"/>
        <v>193</v>
      </c>
      <c r="J169" s="58">
        <f t="shared" si="160"/>
        <v>0</v>
      </c>
      <c r="K169" s="58">
        <f t="shared" si="160"/>
        <v>0</v>
      </c>
      <c r="L169" s="58">
        <f t="shared" si="160"/>
        <v>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0" customHeight="1">
      <c r="A170" s="68">
        <v>46001.0</v>
      </c>
      <c r="B170" s="64" t="s">
        <v>21</v>
      </c>
      <c r="C170" s="65">
        <v>5.0</v>
      </c>
      <c r="D170" s="66">
        <f t="shared" si="137"/>
        <v>2750</v>
      </c>
      <c r="E170" s="56" t="s">
        <v>145</v>
      </c>
      <c r="F170" s="58">
        <f t="shared" ref="F170:L170" si="161">SUMIFS($C170,$B170,F$7)+F169</f>
        <v>151</v>
      </c>
      <c r="G170" s="58">
        <f t="shared" si="161"/>
        <v>0</v>
      </c>
      <c r="H170" s="58">
        <f t="shared" si="161"/>
        <v>0</v>
      </c>
      <c r="I170" s="58">
        <f t="shared" si="161"/>
        <v>193</v>
      </c>
      <c r="J170" s="58">
        <f t="shared" si="161"/>
        <v>0</v>
      </c>
      <c r="K170" s="58">
        <f t="shared" si="161"/>
        <v>5</v>
      </c>
      <c r="L170" s="58">
        <f t="shared" si="161"/>
        <v>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0" customHeight="1">
      <c r="A171" s="70"/>
      <c r="B171" s="64" t="s">
        <v>9</v>
      </c>
      <c r="C171" s="65">
        <v>-1.0</v>
      </c>
      <c r="D171" s="66">
        <f t="shared" si="137"/>
        <v>-550</v>
      </c>
      <c r="E171" s="74" t="s">
        <v>148</v>
      </c>
      <c r="F171" s="58">
        <f t="shared" ref="F171:F440" si="163">SUMIFS($C171,$B171,F$7)+F170</f>
        <v>150</v>
      </c>
      <c r="G171" s="58">
        <f t="shared" ref="G171:L171" si="162">SUMIFS($C171,$B171,G$7)+G169</f>
        <v>0</v>
      </c>
      <c r="H171" s="58">
        <f t="shared" si="162"/>
        <v>0</v>
      </c>
      <c r="I171" s="58">
        <f t="shared" si="162"/>
        <v>193</v>
      </c>
      <c r="J171" s="58">
        <f t="shared" si="162"/>
        <v>0</v>
      </c>
      <c r="K171" s="58">
        <f t="shared" si="162"/>
        <v>0</v>
      </c>
      <c r="L171" s="58">
        <f t="shared" si="162"/>
        <v>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0" customHeight="1">
      <c r="A172" s="70"/>
      <c r="B172" s="64"/>
      <c r="C172" s="66"/>
      <c r="D172" s="66">
        <f t="shared" si="137"/>
        <v>0</v>
      </c>
      <c r="E172" s="67"/>
      <c r="F172" s="58">
        <f t="shared" si="163"/>
        <v>150</v>
      </c>
      <c r="G172" s="58">
        <f t="shared" ref="G172:L172" si="164">SUMIFS($C172,$B172,G$7)+G170</f>
        <v>0</v>
      </c>
      <c r="H172" s="58">
        <f t="shared" si="164"/>
        <v>0</v>
      </c>
      <c r="I172" s="58">
        <f t="shared" si="164"/>
        <v>193</v>
      </c>
      <c r="J172" s="58">
        <f t="shared" si="164"/>
        <v>0</v>
      </c>
      <c r="K172" s="58">
        <f t="shared" si="164"/>
        <v>5</v>
      </c>
      <c r="L172" s="58">
        <f t="shared" si="164"/>
        <v>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0" customHeight="1">
      <c r="A173" s="68">
        <v>46002.0</v>
      </c>
      <c r="B173" s="64" t="s">
        <v>9</v>
      </c>
      <c r="C173" s="65">
        <f>24-11</f>
        <v>13</v>
      </c>
      <c r="D173" s="66">
        <f t="shared" si="137"/>
        <v>7150</v>
      </c>
      <c r="E173" s="56" t="s">
        <v>150</v>
      </c>
      <c r="F173" s="58">
        <f t="shared" si="163"/>
        <v>163</v>
      </c>
      <c r="G173" s="58">
        <f t="shared" ref="G173:L173" si="165">SUMIFS($C173,$B173,G$7)+G172</f>
        <v>0</v>
      </c>
      <c r="H173" s="58">
        <f t="shared" si="165"/>
        <v>0</v>
      </c>
      <c r="I173" s="58">
        <f t="shared" si="165"/>
        <v>193</v>
      </c>
      <c r="J173" s="58">
        <f t="shared" si="165"/>
        <v>0</v>
      </c>
      <c r="K173" s="58">
        <f t="shared" si="165"/>
        <v>5</v>
      </c>
      <c r="L173" s="58">
        <f t="shared" si="165"/>
        <v>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0" customHeight="1">
      <c r="A174" s="70"/>
      <c r="B174" s="64" t="s">
        <v>21</v>
      </c>
      <c r="C174" s="65">
        <v>11.0</v>
      </c>
      <c r="D174" s="66">
        <f t="shared" si="137"/>
        <v>6050</v>
      </c>
      <c r="E174" s="56" t="s">
        <v>152</v>
      </c>
      <c r="F174" s="58">
        <f t="shared" si="163"/>
        <v>163</v>
      </c>
      <c r="G174" s="58">
        <f t="shared" ref="G174:L174" si="166">SUMIFS($C174,$B174,G$7)+G173</f>
        <v>0</v>
      </c>
      <c r="H174" s="58">
        <f t="shared" si="166"/>
        <v>0</v>
      </c>
      <c r="I174" s="58">
        <f t="shared" si="166"/>
        <v>193</v>
      </c>
      <c r="J174" s="58">
        <f t="shared" si="166"/>
        <v>0</v>
      </c>
      <c r="K174" s="58">
        <f t="shared" si="166"/>
        <v>16</v>
      </c>
      <c r="L174" s="58">
        <f t="shared" si="166"/>
        <v>0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0" customHeight="1">
      <c r="A175" s="70"/>
      <c r="B175" s="64" t="s">
        <v>17</v>
      </c>
      <c r="C175" s="65">
        <v>-176.0</v>
      </c>
      <c r="D175" s="66">
        <f t="shared" si="137"/>
        <v>-96800</v>
      </c>
      <c r="E175" s="56" t="s">
        <v>153</v>
      </c>
      <c r="F175" s="58">
        <f t="shared" si="163"/>
        <v>163</v>
      </c>
      <c r="G175" s="58">
        <f t="shared" ref="G175:L175" si="167">SUMIFS($C175,$B175,G$7)+G174</f>
        <v>0</v>
      </c>
      <c r="H175" s="58">
        <f t="shared" si="167"/>
        <v>0</v>
      </c>
      <c r="I175" s="58">
        <f t="shared" si="167"/>
        <v>17</v>
      </c>
      <c r="J175" s="58">
        <f t="shared" si="167"/>
        <v>0</v>
      </c>
      <c r="K175" s="58">
        <f t="shared" si="167"/>
        <v>16</v>
      </c>
      <c r="L175" s="58">
        <f t="shared" si="167"/>
        <v>0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0" customHeight="1">
      <c r="A176" s="70"/>
      <c r="B176" s="71"/>
      <c r="C176" s="66"/>
      <c r="D176" s="66">
        <f t="shared" si="137"/>
        <v>0</v>
      </c>
      <c r="E176" s="67"/>
      <c r="F176" s="58">
        <f t="shared" si="163"/>
        <v>163</v>
      </c>
      <c r="G176" s="58">
        <f t="shared" ref="G176:L176" si="168">SUMIFS($C176,$B176,G$7)+G175</f>
        <v>0</v>
      </c>
      <c r="H176" s="58">
        <f t="shared" si="168"/>
        <v>0</v>
      </c>
      <c r="I176" s="58">
        <f t="shared" si="168"/>
        <v>17</v>
      </c>
      <c r="J176" s="58">
        <f t="shared" si="168"/>
        <v>0</v>
      </c>
      <c r="K176" s="58">
        <f t="shared" si="168"/>
        <v>16</v>
      </c>
      <c r="L176" s="58">
        <f t="shared" si="168"/>
        <v>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0" customHeight="1">
      <c r="A177" s="68">
        <v>46003.0</v>
      </c>
      <c r="B177" s="64" t="s">
        <v>9</v>
      </c>
      <c r="C177" s="65">
        <f>24-3</f>
        <v>21</v>
      </c>
      <c r="D177" s="66">
        <f t="shared" si="137"/>
        <v>11550</v>
      </c>
      <c r="E177" s="56" t="s">
        <v>155</v>
      </c>
      <c r="F177" s="58">
        <f t="shared" si="163"/>
        <v>184</v>
      </c>
      <c r="G177" s="58">
        <f t="shared" ref="G177:L177" si="169">SUMIFS($C177,$B177,G$7)+G176</f>
        <v>0</v>
      </c>
      <c r="H177" s="58">
        <f t="shared" si="169"/>
        <v>0</v>
      </c>
      <c r="I177" s="58">
        <f t="shared" si="169"/>
        <v>17</v>
      </c>
      <c r="J177" s="58">
        <f t="shared" si="169"/>
        <v>0</v>
      </c>
      <c r="K177" s="58">
        <f t="shared" si="169"/>
        <v>16</v>
      </c>
      <c r="L177" s="58">
        <f t="shared" si="169"/>
        <v>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0" customHeight="1">
      <c r="A178" s="70"/>
      <c r="B178" s="64" t="s">
        <v>21</v>
      </c>
      <c r="C178" s="65">
        <v>3.0</v>
      </c>
      <c r="D178" s="66">
        <f t="shared" si="137"/>
        <v>1650</v>
      </c>
      <c r="E178" s="56" t="s">
        <v>157</v>
      </c>
      <c r="F178" s="58">
        <f t="shared" si="163"/>
        <v>184</v>
      </c>
      <c r="G178" s="58">
        <f t="shared" ref="G178:L178" si="170">SUMIFS($C178,$B178,G$7)+G177</f>
        <v>0</v>
      </c>
      <c r="H178" s="58">
        <f t="shared" si="170"/>
        <v>0</v>
      </c>
      <c r="I178" s="58">
        <f t="shared" si="170"/>
        <v>17</v>
      </c>
      <c r="J178" s="58">
        <f t="shared" si="170"/>
        <v>0</v>
      </c>
      <c r="K178" s="58">
        <f t="shared" si="170"/>
        <v>19</v>
      </c>
      <c r="L178" s="58">
        <f t="shared" si="170"/>
        <v>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0" customHeight="1">
      <c r="A179" s="70"/>
      <c r="B179" s="71"/>
      <c r="C179" s="66"/>
      <c r="D179" s="66">
        <f t="shared" si="137"/>
        <v>0</v>
      </c>
      <c r="E179" s="67"/>
      <c r="F179" s="58">
        <f t="shared" si="163"/>
        <v>184</v>
      </c>
      <c r="G179" s="58">
        <f t="shared" ref="G179:L179" si="171">SUMIFS($C179,$B179,G$7)+G178</f>
        <v>0</v>
      </c>
      <c r="H179" s="58">
        <f t="shared" si="171"/>
        <v>0</v>
      </c>
      <c r="I179" s="58">
        <f t="shared" si="171"/>
        <v>17</v>
      </c>
      <c r="J179" s="58">
        <f t="shared" si="171"/>
        <v>0</v>
      </c>
      <c r="K179" s="58">
        <f t="shared" si="171"/>
        <v>19</v>
      </c>
      <c r="L179" s="58">
        <f t="shared" si="171"/>
        <v>0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0" customHeight="1">
      <c r="A180" s="68">
        <v>46004.0</v>
      </c>
      <c r="B180" s="64" t="s">
        <v>21</v>
      </c>
      <c r="C180" s="65">
        <v>2.0</v>
      </c>
      <c r="D180" s="66">
        <f t="shared" si="137"/>
        <v>1100</v>
      </c>
      <c r="E180" s="56" t="s">
        <v>158</v>
      </c>
      <c r="F180" s="58">
        <f t="shared" si="163"/>
        <v>184</v>
      </c>
      <c r="G180" s="58">
        <f t="shared" ref="G180:L180" si="172">SUMIFS($C180,$B180,G$7)+G179</f>
        <v>0</v>
      </c>
      <c r="H180" s="58">
        <f t="shared" si="172"/>
        <v>0</v>
      </c>
      <c r="I180" s="58">
        <f t="shared" si="172"/>
        <v>17</v>
      </c>
      <c r="J180" s="58">
        <f t="shared" si="172"/>
        <v>0</v>
      </c>
      <c r="K180" s="58">
        <f t="shared" si="172"/>
        <v>21</v>
      </c>
      <c r="L180" s="58">
        <f t="shared" si="172"/>
        <v>0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0" customHeight="1">
      <c r="A181" s="68">
        <v>46004.0</v>
      </c>
      <c r="B181" s="64" t="s">
        <v>9</v>
      </c>
      <c r="C181" s="65">
        <f>-1-2</f>
        <v>-3</v>
      </c>
      <c r="D181" s="66">
        <f t="shared" si="137"/>
        <v>-1650</v>
      </c>
      <c r="E181" s="74" t="s">
        <v>159</v>
      </c>
      <c r="F181" s="58">
        <f t="shared" si="163"/>
        <v>181</v>
      </c>
      <c r="G181" s="58">
        <f t="shared" ref="G181:L181" si="173">SUMIFS($C181,$B181,G$7)+G180</f>
        <v>0</v>
      </c>
      <c r="H181" s="58">
        <f t="shared" si="173"/>
        <v>0</v>
      </c>
      <c r="I181" s="58">
        <f t="shared" si="173"/>
        <v>17</v>
      </c>
      <c r="J181" s="58">
        <f t="shared" si="173"/>
        <v>0</v>
      </c>
      <c r="K181" s="58">
        <f t="shared" si="173"/>
        <v>21</v>
      </c>
      <c r="L181" s="58">
        <f t="shared" si="173"/>
        <v>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0" customHeight="1">
      <c r="A182" s="68"/>
      <c r="B182" s="71"/>
      <c r="C182" s="66"/>
      <c r="D182" s="66">
        <f t="shared" si="137"/>
        <v>0</v>
      </c>
      <c r="E182" s="67"/>
      <c r="F182" s="58">
        <f t="shared" si="163"/>
        <v>181</v>
      </c>
      <c r="G182" s="58">
        <f t="shared" ref="G182:L182" si="174">SUMIFS($C182,$B182,G$7)+G181</f>
        <v>0</v>
      </c>
      <c r="H182" s="58">
        <f t="shared" si="174"/>
        <v>0</v>
      </c>
      <c r="I182" s="58">
        <f t="shared" si="174"/>
        <v>17</v>
      </c>
      <c r="J182" s="58">
        <f t="shared" si="174"/>
        <v>0</v>
      </c>
      <c r="K182" s="58">
        <f t="shared" si="174"/>
        <v>21</v>
      </c>
      <c r="L182" s="58">
        <f t="shared" si="174"/>
        <v>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0" customHeight="1">
      <c r="A183" s="68">
        <v>46007.0</v>
      </c>
      <c r="B183" s="64" t="s">
        <v>21</v>
      </c>
      <c r="C183" s="65">
        <v>4.0</v>
      </c>
      <c r="D183" s="66">
        <f t="shared" si="137"/>
        <v>2200</v>
      </c>
      <c r="E183" s="56" t="s">
        <v>160</v>
      </c>
      <c r="F183" s="58">
        <f t="shared" si="163"/>
        <v>181</v>
      </c>
      <c r="G183" s="58">
        <f t="shared" ref="G183:L183" si="175">SUMIFS($C183,$B183,G$7)+G182</f>
        <v>0</v>
      </c>
      <c r="H183" s="58">
        <f t="shared" si="175"/>
        <v>0</v>
      </c>
      <c r="I183" s="58">
        <f t="shared" si="175"/>
        <v>17</v>
      </c>
      <c r="J183" s="58">
        <f t="shared" si="175"/>
        <v>0</v>
      </c>
      <c r="K183" s="58">
        <f t="shared" si="175"/>
        <v>25</v>
      </c>
      <c r="L183" s="58">
        <f t="shared" si="175"/>
        <v>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0" customHeight="1">
      <c r="A184" s="68">
        <v>46007.0</v>
      </c>
      <c r="B184" s="64" t="s">
        <v>9</v>
      </c>
      <c r="C184" s="65">
        <v>-4.0</v>
      </c>
      <c r="D184" s="66">
        <f t="shared" si="137"/>
        <v>-2200</v>
      </c>
      <c r="E184" s="56" t="s">
        <v>161</v>
      </c>
      <c r="F184" s="58">
        <f t="shared" si="163"/>
        <v>177</v>
      </c>
      <c r="G184" s="58">
        <f t="shared" ref="G184:L184" si="176">SUMIFS($C184,$B184,G$7)+G183</f>
        <v>0</v>
      </c>
      <c r="H184" s="58">
        <f t="shared" si="176"/>
        <v>0</v>
      </c>
      <c r="I184" s="58">
        <f t="shared" si="176"/>
        <v>17</v>
      </c>
      <c r="J184" s="58">
        <f t="shared" si="176"/>
        <v>0</v>
      </c>
      <c r="K184" s="58">
        <f t="shared" si="176"/>
        <v>25</v>
      </c>
      <c r="L184" s="58">
        <f t="shared" si="176"/>
        <v>0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0" customHeight="1">
      <c r="A185" s="68">
        <v>46008.0</v>
      </c>
      <c r="B185" s="64" t="s">
        <v>21</v>
      </c>
      <c r="C185" s="65">
        <v>3.0</v>
      </c>
      <c r="D185" s="66">
        <f t="shared" si="137"/>
        <v>1650</v>
      </c>
      <c r="E185" s="56" t="s">
        <v>162</v>
      </c>
      <c r="F185" s="58">
        <f t="shared" si="163"/>
        <v>177</v>
      </c>
      <c r="G185" s="58">
        <f t="shared" ref="G185:L185" si="177">SUMIFS($C185,$B185,G$7)+G184</f>
        <v>0</v>
      </c>
      <c r="H185" s="58">
        <f t="shared" si="177"/>
        <v>0</v>
      </c>
      <c r="I185" s="58">
        <f t="shared" si="177"/>
        <v>17</v>
      </c>
      <c r="J185" s="58">
        <f t="shared" si="177"/>
        <v>0</v>
      </c>
      <c r="K185" s="58">
        <f t="shared" si="177"/>
        <v>28</v>
      </c>
      <c r="L185" s="58">
        <f t="shared" si="177"/>
        <v>0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0" customHeight="1">
      <c r="A186" s="68">
        <v>46008.0</v>
      </c>
      <c r="B186" s="64" t="s">
        <v>9</v>
      </c>
      <c r="C186" s="65">
        <v>-3.0</v>
      </c>
      <c r="D186" s="66">
        <f t="shared" si="137"/>
        <v>-1650</v>
      </c>
      <c r="E186" s="56" t="s">
        <v>164</v>
      </c>
      <c r="F186" s="58">
        <f t="shared" si="163"/>
        <v>174</v>
      </c>
      <c r="G186" s="58">
        <f t="shared" ref="G186:L186" si="178">SUMIFS($C186,$B186,G$7)+G185</f>
        <v>0</v>
      </c>
      <c r="H186" s="58">
        <f t="shared" si="178"/>
        <v>0</v>
      </c>
      <c r="I186" s="58">
        <f t="shared" si="178"/>
        <v>17</v>
      </c>
      <c r="J186" s="58">
        <f t="shared" si="178"/>
        <v>0</v>
      </c>
      <c r="K186" s="58">
        <f t="shared" si="178"/>
        <v>28</v>
      </c>
      <c r="L186" s="58">
        <f t="shared" si="178"/>
        <v>0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0" customHeight="1">
      <c r="A187" s="68">
        <v>46014.0</v>
      </c>
      <c r="B187" s="64" t="s">
        <v>21</v>
      </c>
      <c r="C187" s="65">
        <v>3.0</v>
      </c>
      <c r="D187" s="66">
        <f t="shared" si="137"/>
        <v>1650</v>
      </c>
      <c r="E187" s="56" t="s">
        <v>165</v>
      </c>
      <c r="F187" s="58">
        <f t="shared" si="163"/>
        <v>174</v>
      </c>
      <c r="G187" s="58">
        <f t="shared" ref="G187:L187" si="179">SUMIFS($C187,$B187,G$7)+G186</f>
        <v>0</v>
      </c>
      <c r="H187" s="58">
        <f t="shared" si="179"/>
        <v>0</v>
      </c>
      <c r="I187" s="58">
        <f t="shared" si="179"/>
        <v>17</v>
      </c>
      <c r="J187" s="58">
        <f t="shared" si="179"/>
        <v>0</v>
      </c>
      <c r="K187" s="58">
        <f t="shared" si="179"/>
        <v>31</v>
      </c>
      <c r="L187" s="58">
        <f t="shared" si="179"/>
        <v>0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0" customHeight="1">
      <c r="A188" s="68">
        <v>46014.0</v>
      </c>
      <c r="B188" s="64" t="s">
        <v>9</v>
      </c>
      <c r="C188" s="65">
        <v>-3.0</v>
      </c>
      <c r="D188" s="66">
        <f t="shared" si="137"/>
        <v>-1650</v>
      </c>
      <c r="E188" s="56" t="s">
        <v>164</v>
      </c>
      <c r="F188" s="58">
        <f t="shared" si="163"/>
        <v>171</v>
      </c>
      <c r="G188" s="58">
        <f t="shared" ref="G188:L188" si="180">SUMIFS($C188,$B188,G$7)+G187</f>
        <v>0</v>
      </c>
      <c r="H188" s="58">
        <f t="shared" si="180"/>
        <v>0</v>
      </c>
      <c r="I188" s="58">
        <f t="shared" si="180"/>
        <v>17</v>
      </c>
      <c r="J188" s="58">
        <f t="shared" si="180"/>
        <v>0</v>
      </c>
      <c r="K188" s="58">
        <f t="shared" si="180"/>
        <v>31</v>
      </c>
      <c r="L188" s="58">
        <f t="shared" si="180"/>
        <v>0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0" customHeight="1">
      <c r="A189" s="70"/>
      <c r="B189" s="71"/>
      <c r="C189" s="66"/>
      <c r="D189" s="66">
        <f t="shared" si="137"/>
        <v>0</v>
      </c>
      <c r="E189" s="67"/>
      <c r="F189" s="58">
        <f t="shared" si="163"/>
        <v>171</v>
      </c>
      <c r="G189" s="58">
        <f t="shared" ref="G189:L189" si="181">SUMIFS($C189,$B189,G$7)+G188</f>
        <v>0</v>
      </c>
      <c r="H189" s="58">
        <f t="shared" si="181"/>
        <v>0</v>
      </c>
      <c r="I189" s="58">
        <f t="shared" si="181"/>
        <v>17</v>
      </c>
      <c r="J189" s="58">
        <f t="shared" si="181"/>
        <v>0</v>
      </c>
      <c r="K189" s="58">
        <f t="shared" si="181"/>
        <v>31</v>
      </c>
      <c r="L189" s="58">
        <f t="shared" si="181"/>
        <v>0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0" customHeight="1">
      <c r="A190" s="68">
        <v>46027.0</v>
      </c>
      <c r="B190" s="64" t="s">
        <v>21</v>
      </c>
      <c r="C190" s="65">
        <v>5.0</v>
      </c>
      <c r="D190" s="66">
        <f t="shared" si="137"/>
        <v>2750</v>
      </c>
      <c r="E190" s="56" t="s">
        <v>166</v>
      </c>
      <c r="F190" s="58">
        <f t="shared" si="163"/>
        <v>171</v>
      </c>
      <c r="G190" s="58">
        <f t="shared" ref="G190:L190" si="182">SUMIFS($C190,$B190,G$7)+G189</f>
        <v>0</v>
      </c>
      <c r="H190" s="58">
        <f t="shared" si="182"/>
        <v>0</v>
      </c>
      <c r="I190" s="58">
        <f t="shared" si="182"/>
        <v>17</v>
      </c>
      <c r="J190" s="58">
        <f t="shared" si="182"/>
        <v>0</v>
      </c>
      <c r="K190" s="58">
        <f t="shared" si="182"/>
        <v>36</v>
      </c>
      <c r="L190" s="58">
        <f t="shared" si="182"/>
        <v>0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0" customHeight="1">
      <c r="A191" s="70"/>
      <c r="B191" s="64" t="s">
        <v>9</v>
      </c>
      <c r="C191" s="65">
        <v>-5.0</v>
      </c>
      <c r="D191" s="66">
        <f t="shared" si="137"/>
        <v>-2750</v>
      </c>
      <c r="E191" s="56" t="s">
        <v>167</v>
      </c>
      <c r="F191" s="58">
        <f t="shared" si="163"/>
        <v>166</v>
      </c>
      <c r="G191" s="58">
        <f t="shared" ref="G191:L191" si="183">SUMIFS($C191,$B191,G$7)+G190</f>
        <v>0</v>
      </c>
      <c r="H191" s="58">
        <f t="shared" si="183"/>
        <v>0</v>
      </c>
      <c r="I191" s="58">
        <f t="shared" si="183"/>
        <v>17</v>
      </c>
      <c r="J191" s="58">
        <f t="shared" si="183"/>
        <v>0</v>
      </c>
      <c r="K191" s="58">
        <f t="shared" si="183"/>
        <v>36</v>
      </c>
      <c r="L191" s="58">
        <f t="shared" si="183"/>
        <v>0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0" customHeight="1">
      <c r="A192" s="70"/>
      <c r="B192" s="71"/>
      <c r="C192" s="66"/>
      <c r="D192" s="66">
        <f t="shared" si="137"/>
        <v>0</v>
      </c>
      <c r="E192" s="67"/>
      <c r="F192" s="58">
        <f t="shared" si="163"/>
        <v>166</v>
      </c>
      <c r="G192" s="58">
        <f t="shared" ref="G192:L192" si="184">SUMIFS($C192,$B192,G$7)+G191</f>
        <v>0</v>
      </c>
      <c r="H192" s="58">
        <f t="shared" si="184"/>
        <v>0</v>
      </c>
      <c r="I192" s="58">
        <f t="shared" si="184"/>
        <v>17</v>
      </c>
      <c r="J192" s="58">
        <f t="shared" si="184"/>
        <v>0</v>
      </c>
      <c r="K192" s="58">
        <f t="shared" si="184"/>
        <v>36</v>
      </c>
      <c r="L192" s="58">
        <f t="shared" si="184"/>
        <v>0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0" customHeight="1">
      <c r="A193" s="68">
        <v>46028.0</v>
      </c>
      <c r="B193" s="64" t="s">
        <v>21</v>
      </c>
      <c r="C193" s="65">
        <v>3.0</v>
      </c>
      <c r="D193" s="66">
        <f t="shared" si="137"/>
        <v>1650</v>
      </c>
      <c r="E193" s="67"/>
      <c r="F193" s="58">
        <f t="shared" si="163"/>
        <v>166</v>
      </c>
      <c r="G193" s="58">
        <f t="shared" ref="G193:L193" si="185">SUMIFS($C193,$B193,G$7)+G192</f>
        <v>0</v>
      </c>
      <c r="H193" s="58">
        <f t="shared" si="185"/>
        <v>0</v>
      </c>
      <c r="I193" s="58">
        <f t="shared" si="185"/>
        <v>17</v>
      </c>
      <c r="J193" s="58">
        <f t="shared" si="185"/>
        <v>0</v>
      </c>
      <c r="K193" s="58">
        <f t="shared" si="185"/>
        <v>39</v>
      </c>
      <c r="L193" s="58">
        <f t="shared" si="185"/>
        <v>0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0" customHeight="1">
      <c r="A194" s="70"/>
      <c r="B194" s="64" t="s">
        <v>9</v>
      </c>
      <c r="C194" s="65">
        <v>-3.0</v>
      </c>
      <c r="D194" s="66">
        <f t="shared" si="137"/>
        <v>-1650</v>
      </c>
      <c r="E194" s="56" t="s">
        <v>164</v>
      </c>
      <c r="F194" s="58">
        <f t="shared" si="163"/>
        <v>163</v>
      </c>
      <c r="G194" s="58">
        <f t="shared" ref="G194:L194" si="186">SUMIFS($C194,$B194,G$7)+G193</f>
        <v>0</v>
      </c>
      <c r="H194" s="58">
        <f t="shared" si="186"/>
        <v>0</v>
      </c>
      <c r="I194" s="58">
        <f t="shared" si="186"/>
        <v>17</v>
      </c>
      <c r="J194" s="58">
        <f t="shared" si="186"/>
        <v>0</v>
      </c>
      <c r="K194" s="58">
        <f t="shared" si="186"/>
        <v>39</v>
      </c>
      <c r="L194" s="58">
        <f t="shared" si="186"/>
        <v>0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0" customHeight="1">
      <c r="A195" s="70"/>
      <c r="B195" s="64" t="s">
        <v>13</v>
      </c>
      <c r="C195" s="65">
        <v>2.0</v>
      </c>
      <c r="D195" s="66">
        <f t="shared" si="137"/>
        <v>1100</v>
      </c>
      <c r="E195" s="67"/>
      <c r="F195" s="58">
        <f t="shared" si="163"/>
        <v>163</v>
      </c>
      <c r="G195" s="58">
        <f t="shared" ref="G195:L195" si="187">SUMIFS($C195,$B195,G$7)+G194</f>
        <v>2</v>
      </c>
      <c r="H195" s="58">
        <f t="shared" si="187"/>
        <v>0</v>
      </c>
      <c r="I195" s="58">
        <f t="shared" si="187"/>
        <v>17</v>
      </c>
      <c r="J195" s="58">
        <f t="shared" si="187"/>
        <v>0</v>
      </c>
      <c r="K195" s="58">
        <f t="shared" si="187"/>
        <v>39</v>
      </c>
      <c r="L195" s="58">
        <f t="shared" si="187"/>
        <v>0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0" customHeight="1">
      <c r="A196" s="70"/>
      <c r="B196" s="64" t="s">
        <v>9</v>
      </c>
      <c r="C196" s="65">
        <v>-2.0</v>
      </c>
      <c r="D196" s="66">
        <f t="shared" si="137"/>
        <v>-1100</v>
      </c>
      <c r="E196" s="56" t="s">
        <v>169</v>
      </c>
      <c r="F196" s="58">
        <f t="shared" si="163"/>
        <v>161</v>
      </c>
      <c r="G196" s="58">
        <f t="shared" ref="G196:L196" si="188">SUMIFS($C196,$B196,G$7)+G195</f>
        <v>2</v>
      </c>
      <c r="H196" s="58">
        <f t="shared" si="188"/>
        <v>0</v>
      </c>
      <c r="I196" s="58">
        <f t="shared" si="188"/>
        <v>17</v>
      </c>
      <c r="J196" s="58">
        <f t="shared" si="188"/>
        <v>0</v>
      </c>
      <c r="K196" s="58">
        <f t="shared" si="188"/>
        <v>39</v>
      </c>
      <c r="L196" s="58">
        <f t="shared" si="188"/>
        <v>0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0" customHeight="1">
      <c r="A197" s="70"/>
      <c r="B197" s="64" t="s">
        <v>16</v>
      </c>
      <c r="C197" s="65">
        <v>3.0</v>
      </c>
      <c r="D197" s="66">
        <f t="shared" si="137"/>
        <v>1650</v>
      </c>
      <c r="E197" s="67"/>
      <c r="F197" s="58">
        <f t="shared" si="163"/>
        <v>161</v>
      </c>
      <c r="G197" s="58">
        <f t="shared" ref="G197:L197" si="189">SUMIFS($C197,$B197,G$7)+G196</f>
        <v>2</v>
      </c>
      <c r="H197" s="58">
        <f t="shared" si="189"/>
        <v>3</v>
      </c>
      <c r="I197" s="58">
        <f t="shared" si="189"/>
        <v>17</v>
      </c>
      <c r="J197" s="58">
        <f t="shared" si="189"/>
        <v>0</v>
      </c>
      <c r="K197" s="58">
        <f t="shared" si="189"/>
        <v>39</v>
      </c>
      <c r="L197" s="58">
        <f t="shared" si="189"/>
        <v>0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0" customHeight="1">
      <c r="A198" s="70"/>
      <c r="B198" s="64" t="s">
        <v>9</v>
      </c>
      <c r="C198" s="65">
        <v>-3.0</v>
      </c>
      <c r="D198" s="66">
        <f t="shared" si="137"/>
        <v>-1650</v>
      </c>
      <c r="E198" s="56" t="s">
        <v>170</v>
      </c>
      <c r="F198" s="58">
        <f t="shared" si="163"/>
        <v>158</v>
      </c>
      <c r="G198" s="58">
        <f t="shared" ref="G198:L198" si="190">SUMIFS($C198,$B198,G$7)+G197</f>
        <v>2</v>
      </c>
      <c r="H198" s="58">
        <f t="shared" si="190"/>
        <v>3</v>
      </c>
      <c r="I198" s="58">
        <f t="shared" si="190"/>
        <v>17</v>
      </c>
      <c r="J198" s="58">
        <f t="shared" si="190"/>
        <v>0</v>
      </c>
      <c r="K198" s="58">
        <f t="shared" si="190"/>
        <v>39</v>
      </c>
      <c r="L198" s="58">
        <f t="shared" si="190"/>
        <v>0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0" customHeight="1">
      <c r="A199" s="70"/>
      <c r="B199" s="71"/>
      <c r="C199" s="66"/>
      <c r="D199" s="66">
        <f t="shared" si="137"/>
        <v>0</v>
      </c>
      <c r="E199" s="67"/>
      <c r="F199" s="58">
        <f t="shared" si="163"/>
        <v>158</v>
      </c>
      <c r="G199" s="58">
        <f t="shared" ref="G199:L199" si="191">SUMIFS($C199,$B199,G$7)+G198</f>
        <v>2</v>
      </c>
      <c r="H199" s="58">
        <f t="shared" si="191"/>
        <v>3</v>
      </c>
      <c r="I199" s="58">
        <f t="shared" si="191"/>
        <v>17</v>
      </c>
      <c r="J199" s="58">
        <f t="shared" si="191"/>
        <v>0</v>
      </c>
      <c r="K199" s="58">
        <f t="shared" si="191"/>
        <v>39</v>
      </c>
      <c r="L199" s="58">
        <f t="shared" si="191"/>
        <v>0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0" customHeight="1">
      <c r="A200" s="68">
        <v>46029.0</v>
      </c>
      <c r="B200" s="64" t="s">
        <v>21</v>
      </c>
      <c r="C200" s="65">
        <v>-39.0</v>
      </c>
      <c r="D200" s="66">
        <f t="shared" si="137"/>
        <v>-21450</v>
      </c>
      <c r="E200" s="67"/>
      <c r="F200" s="58">
        <f t="shared" si="163"/>
        <v>158</v>
      </c>
      <c r="G200" s="58">
        <f t="shared" ref="G200:L200" si="192">SUMIFS($C200,$B200,G$7)+G199</f>
        <v>2</v>
      </c>
      <c r="H200" s="58">
        <f t="shared" si="192"/>
        <v>3</v>
      </c>
      <c r="I200" s="58">
        <f t="shared" si="192"/>
        <v>17</v>
      </c>
      <c r="J200" s="58">
        <f t="shared" si="192"/>
        <v>0</v>
      </c>
      <c r="K200" s="58">
        <f t="shared" si="192"/>
        <v>0</v>
      </c>
      <c r="L200" s="58">
        <f t="shared" si="192"/>
        <v>0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0" customHeight="1">
      <c r="A201" s="70"/>
      <c r="B201" s="64" t="s">
        <v>9</v>
      </c>
      <c r="C201" s="65">
        <v>39.0</v>
      </c>
      <c r="D201" s="66">
        <f t="shared" si="137"/>
        <v>21450</v>
      </c>
      <c r="E201" s="56" t="s">
        <v>171</v>
      </c>
      <c r="F201" s="58">
        <f t="shared" si="163"/>
        <v>197</v>
      </c>
      <c r="G201" s="58">
        <f t="shared" ref="G201:L201" si="193">SUMIFS($C201,$B201,G$7)+G200</f>
        <v>2</v>
      </c>
      <c r="H201" s="58">
        <f t="shared" si="193"/>
        <v>3</v>
      </c>
      <c r="I201" s="58">
        <f t="shared" si="193"/>
        <v>17</v>
      </c>
      <c r="J201" s="58">
        <f t="shared" si="193"/>
        <v>0</v>
      </c>
      <c r="K201" s="58">
        <f t="shared" si="193"/>
        <v>0</v>
      </c>
      <c r="L201" s="58">
        <f t="shared" si="193"/>
        <v>0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0" customHeight="1">
      <c r="A202" s="70"/>
      <c r="B202" s="64" t="s">
        <v>13</v>
      </c>
      <c r="C202" s="65">
        <v>5.0</v>
      </c>
      <c r="D202" s="66">
        <f t="shared" si="137"/>
        <v>2750</v>
      </c>
      <c r="E202" s="67"/>
      <c r="F202" s="58">
        <f t="shared" si="163"/>
        <v>197</v>
      </c>
      <c r="G202" s="58">
        <f t="shared" ref="G202:L202" si="194">SUMIFS($C202,$B202,G$7)+G201</f>
        <v>7</v>
      </c>
      <c r="H202" s="58">
        <f t="shared" si="194"/>
        <v>3</v>
      </c>
      <c r="I202" s="58">
        <f t="shared" si="194"/>
        <v>17</v>
      </c>
      <c r="J202" s="58">
        <f t="shared" si="194"/>
        <v>0</v>
      </c>
      <c r="K202" s="58">
        <f t="shared" si="194"/>
        <v>0</v>
      </c>
      <c r="L202" s="58">
        <f t="shared" si="194"/>
        <v>0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0" customHeight="1">
      <c r="A203" s="70"/>
      <c r="B203" s="64" t="s">
        <v>9</v>
      </c>
      <c r="C203" s="65">
        <v>-5.0</v>
      </c>
      <c r="D203" s="66">
        <f t="shared" si="137"/>
        <v>-2750</v>
      </c>
      <c r="E203" s="56" t="s">
        <v>172</v>
      </c>
      <c r="F203" s="58">
        <f t="shared" si="163"/>
        <v>192</v>
      </c>
      <c r="G203" s="58">
        <f t="shared" ref="G203:L203" si="195">SUMIFS($C203,$B203,G$7)+G202</f>
        <v>7</v>
      </c>
      <c r="H203" s="58">
        <f t="shared" si="195"/>
        <v>3</v>
      </c>
      <c r="I203" s="58">
        <f t="shared" si="195"/>
        <v>17</v>
      </c>
      <c r="J203" s="58">
        <f t="shared" si="195"/>
        <v>0</v>
      </c>
      <c r="K203" s="58">
        <f t="shared" si="195"/>
        <v>0</v>
      </c>
      <c r="L203" s="58">
        <f t="shared" si="195"/>
        <v>0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0" customHeight="1">
      <c r="A204" s="70"/>
      <c r="B204" s="64" t="s">
        <v>16</v>
      </c>
      <c r="C204" s="65">
        <v>6.0</v>
      </c>
      <c r="D204" s="66">
        <f t="shared" si="137"/>
        <v>3300</v>
      </c>
      <c r="E204" s="67"/>
      <c r="F204" s="58">
        <f t="shared" si="163"/>
        <v>192</v>
      </c>
      <c r="G204" s="58">
        <f t="shared" ref="G204:L204" si="196">SUMIFS($C204,$B204,G$7)+G203</f>
        <v>7</v>
      </c>
      <c r="H204" s="58">
        <f t="shared" si="196"/>
        <v>9</v>
      </c>
      <c r="I204" s="58">
        <f t="shared" si="196"/>
        <v>17</v>
      </c>
      <c r="J204" s="58">
        <f t="shared" si="196"/>
        <v>0</v>
      </c>
      <c r="K204" s="58">
        <f t="shared" si="196"/>
        <v>0</v>
      </c>
      <c r="L204" s="58">
        <f t="shared" si="196"/>
        <v>0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0" customHeight="1">
      <c r="A205" s="70"/>
      <c r="B205" s="64" t="s">
        <v>9</v>
      </c>
      <c r="C205" s="65">
        <v>-6.0</v>
      </c>
      <c r="D205" s="66">
        <f t="shared" si="137"/>
        <v>-3300</v>
      </c>
      <c r="E205" s="56" t="s">
        <v>130</v>
      </c>
      <c r="F205" s="58">
        <f t="shared" si="163"/>
        <v>186</v>
      </c>
      <c r="G205" s="58">
        <f t="shared" ref="G205:L205" si="197">SUMIFS($C205,$B205,G$7)+G204</f>
        <v>7</v>
      </c>
      <c r="H205" s="58">
        <f t="shared" si="197"/>
        <v>9</v>
      </c>
      <c r="I205" s="58">
        <f t="shared" si="197"/>
        <v>17</v>
      </c>
      <c r="J205" s="58">
        <f t="shared" si="197"/>
        <v>0</v>
      </c>
      <c r="K205" s="58">
        <f t="shared" si="197"/>
        <v>0</v>
      </c>
      <c r="L205" s="58">
        <f t="shared" si="197"/>
        <v>0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0" customHeight="1">
      <c r="A206" s="70"/>
      <c r="B206" s="64" t="s">
        <v>9</v>
      </c>
      <c r="C206" s="65">
        <v>-1.0</v>
      </c>
      <c r="D206" s="66">
        <f t="shared" si="137"/>
        <v>-550</v>
      </c>
      <c r="E206" s="74" t="s">
        <v>173</v>
      </c>
      <c r="F206" s="58">
        <f t="shared" si="163"/>
        <v>185</v>
      </c>
      <c r="G206" s="58">
        <f t="shared" ref="G206:L206" si="198">SUMIFS($C206,$B206,G$7)+G205</f>
        <v>7</v>
      </c>
      <c r="H206" s="58">
        <f t="shared" si="198"/>
        <v>9</v>
      </c>
      <c r="I206" s="58">
        <f t="shared" si="198"/>
        <v>17</v>
      </c>
      <c r="J206" s="58">
        <f t="shared" si="198"/>
        <v>0</v>
      </c>
      <c r="K206" s="58">
        <f t="shared" si="198"/>
        <v>0</v>
      </c>
      <c r="L206" s="58">
        <f t="shared" si="198"/>
        <v>0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0" customHeight="1">
      <c r="A207" s="70"/>
      <c r="B207" s="71"/>
      <c r="C207" s="66"/>
      <c r="D207" s="66">
        <f t="shared" si="137"/>
        <v>0</v>
      </c>
      <c r="E207" s="67"/>
      <c r="F207" s="58">
        <f t="shared" si="163"/>
        <v>185</v>
      </c>
      <c r="G207" s="58">
        <f t="shared" ref="G207:L207" si="199">SUMIFS($C207,$B207,G$7)+G206</f>
        <v>7</v>
      </c>
      <c r="H207" s="58">
        <f t="shared" si="199"/>
        <v>9</v>
      </c>
      <c r="I207" s="58">
        <f t="shared" si="199"/>
        <v>17</v>
      </c>
      <c r="J207" s="58">
        <f t="shared" si="199"/>
        <v>0</v>
      </c>
      <c r="K207" s="58">
        <f t="shared" si="199"/>
        <v>0</v>
      </c>
      <c r="L207" s="58">
        <f t="shared" si="199"/>
        <v>0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0" customHeight="1">
      <c r="A208" s="68">
        <v>46030.0</v>
      </c>
      <c r="B208" s="64" t="s">
        <v>13</v>
      </c>
      <c r="C208" s="65">
        <v>9.0</v>
      </c>
      <c r="D208" s="66">
        <f t="shared" si="137"/>
        <v>4950</v>
      </c>
      <c r="E208" s="56" t="s">
        <v>175</v>
      </c>
      <c r="F208" s="58">
        <f t="shared" si="163"/>
        <v>185</v>
      </c>
      <c r="G208" s="58">
        <f t="shared" ref="G208:L208" si="200">SUMIFS($C208,$B208,G$7)+G207</f>
        <v>16</v>
      </c>
      <c r="H208" s="58">
        <f t="shared" si="200"/>
        <v>9</v>
      </c>
      <c r="I208" s="58">
        <f t="shared" si="200"/>
        <v>17</v>
      </c>
      <c r="J208" s="58">
        <f t="shared" si="200"/>
        <v>0</v>
      </c>
      <c r="K208" s="58">
        <f t="shared" si="200"/>
        <v>0</v>
      </c>
      <c r="L208" s="58">
        <f t="shared" si="200"/>
        <v>0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0" customHeight="1">
      <c r="A209" s="70"/>
      <c r="B209" s="64" t="s">
        <v>9</v>
      </c>
      <c r="C209" s="65">
        <v>-9.0</v>
      </c>
      <c r="D209" s="66">
        <f t="shared" si="137"/>
        <v>-4950</v>
      </c>
      <c r="E209" s="56" t="s">
        <v>176</v>
      </c>
      <c r="F209" s="58">
        <f t="shared" si="163"/>
        <v>176</v>
      </c>
      <c r="G209" s="58">
        <f t="shared" ref="G209:L209" si="201">SUMIFS($C209,$B209,G$7)+G208</f>
        <v>16</v>
      </c>
      <c r="H209" s="58">
        <f t="shared" si="201"/>
        <v>9</v>
      </c>
      <c r="I209" s="58">
        <f t="shared" si="201"/>
        <v>17</v>
      </c>
      <c r="J209" s="58">
        <f t="shared" si="201"/>
        <v>0</v>
      </c>
      <c r="K209" s="58">
        <f t="shared" si="201"/>
        <v>0</v>
      </c>
      <c r="L209" s="58">
        <f t="shared" si="201"/>
        <v>0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0" customHeight="1">
      <c r="A210" s="70"/>
      <c r="B210" s="64" t="s">
        <v>16</v>
      </c>
      <c r="C210" s="65">
        <v>6.0</v>
      </c>
      <c r="D210" s="66">
        <f t="shared" si="137"/>
        <v>3300</v>
      </c>
      <c r="E210" s="56" t="s">
        <v>177</v>
      </c>
      <c r="F210" s="58">
        <f t="shared" si="163"/>
        <v>176</v>
      </c>
      <c r="G210" s="58">
        <f t="shared" ref="G210:L210" si="202">SUMIFS($C210,$B210,G$7)+G209</f>
        <v>16</v>
      </c>
      <c r="H210" s="58">
        <f t="shared" si="202"/>
        <v>15</v>
      </c>
      <c r="I210" s="58">
        <f t="shared" si="202"/>
        <v>17</v>
      </c>
      <c r="J210" s="58">
        <f t="shared" si="202"/>
        <v>0</v>
      </c>
      <c r="K210" s="58">
        <f t="shared" si="202"/>
        <v>0</v>
      </c>
      <c r="L210" s="58">
        <f t="shared" si="202"/>
        <v>0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0" customHeight="1">
      <c r="A211" s="70"/>
      <c r="B211" s="64" t="s">
        <v>9</v>
      </c>
      <c r="C211" s="65">
        <v>-6.0</v>
      </c>
      <c r="D211" s="66">
        <f t="shared" si="137"/>
        <v>-3300</v>
      </c>
      <c r="E211" s="56" t="s">
        <v>45</v>
      </c>
      <c r="F211" s="58">
        <f t="shared" si="163"/>
        <v>170</v>
      </c>
      <c r="G211" s="58">
        <f t="shared" ref="G211:L211" si="203">SUMIFS($C211,$B211,G$7)+G210</f>
        <v>16</v>
      </c>
      <c r="H211" s="58">
        <f t="shared" si="203"/>
        <v>15</v>
      </c>
      <c r="I211" s="58">
        <f t="shared" si="203"/>
        <v>17</v>
      </c>
      <c r="J211" s="58">
        <f t="shared" si="203"/>
        <v>0</v>
      </c>
      <c r="K211" s="58">
        <f t="shared" si="203"/>
        <v>0</v>
      </c>
      <c r="L211" s="58">
        <f t="shared" si="203"/>
        <v>0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0" customHeight="1">
      <c r="A212" s="70"/>
      <c r="B212" s="71"/>
      <c r="C212" s="66"/>
      <c r="D212" s="66">
        <f t="shared" si="137"/>
        <v>0</v>
      </c>
      <c r="E212" s="67"/>
      <c r="F212" s="58">
        <f t="shared" si="163"/>
        <v>170</v>
      </c>
      <c r="G212" s="58">
        <f t="shared" ref="G212:L212" si="204">SUMIFS($C212,$B212,G$7)+G211</f>
        <v>16</v>
      </c>
      <c r="H212" s="58">
        <f t="shared" si="204"/>
        <v>15</v>
      </c>
      <c r="I212" s="58">
        <f t="shared" si="204"/>
        <v>17</v>
      </c>
      <c r="J212" s="58">
        <f t="shared" si="204"/>
        <v>0</v>
      </c>
      <c r="K212" s="58">
        <f t="shared" si="204"/>
        <v>0</v>
      </c>
      <c r="L212" s="58">
        <f t="shared" si="204"/>
        <v>0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0" customHeight="1">
      <c r="A213" s="68">
        <v>46031.0</v>
      </c>
      <c r="B213" s="64" t="s">
        <v>13</v>
      </c>
      <c r="C213" s="65">
        <v>11.0</v>
      </c>
      <c r="D213" s="66">
        <f t="shared" si="137"/>
        <v>6050</v>
      </c>
      <c r="E213" s="56" t="s">
        <v>178</v>
      </c>
      <c r="F213" s="58">
        <f t="shared" si="163"/>
        <v>170</v>
      </c>
      <c r="G213" s="58">
        <f t="shared" ref="G213:L213" si="205">SUMIFS($C213,$B213,G$7)+G212</f>
        <v>27</v>
      </c>
      <c r="H213" s="58">
        <f t="shared" si="205"/>
        <v>15</v>
      </c>
      <c r="I213" s="58">
        <f t="shared" si="205"/>
        <v>17</v>
      </c>
      <c r="J213" s="58">
        <f t="shared" si="205"/>
        <v>0</v>
      </c>
      <c r="K213" s="58">
        <f t="shared" si="205"/>
        <v>0</v>
      </c>
      <c r="L213" s="58">
        <f t="shared" si="205"/>
        <v>0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0" customHeight="1">
      <c r="A214" s="70"/>
      <c r="B214" s="64" t="s">
        <v>9</v>
      </c>
      <c r="C214" s="65">
        <v>-11.0</v>
      </c>
      <c r="D214" s="66">
        <f t="shared" si="137"/>
        <v>-6050</v>
      </c>
      <c r="E214" s="56" t="s">
        <v>179</v>
      </c>
      <c r="F214" s="58">
        <f t="shared" si="163"/>
        <v>159</v>
      </c>
      <c r="G214" s="58">
        <f t="shared" ref="G214:L214" si="206">SUMIFS($C214,$B214,G$7)+G213</f>
        <v>27</v>
      </c>
      <c r="H214" s="58">
        <f t="shared" si="206"/>
        <v>15</v>
      </c>
      <c r="I214" s="58">
        <f t="shared" si="206"/>
        <v>17</v>
      </c>
      <c r="J214" s="58">
        <f t="shared" si="206"/>
        <v>0</v>
      </c>
      <c r="K214" s="58">
        <f t="shared" si="206"/>
        <v>0</v>
      </c>
      <c r="L214" s="58">
        <f t="shared" si="206"/>
        <v>0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0" customHeight="1">
      <c r="A215" s="70"/>
      <c r="B215" s="64" t="s">
        <v>16</v>
      </c>
      <c r="C215" s="65">
        <v>6.0</v>
      </c>
      <c r="D215" s="66">
        <f t="shared" si="137"/>
        <v>3300</v>
      </c>
      <c r="E215" s="56" t="s">
        <v>180</v>
      </c>
      <c r="F215" s="58">
        <f t="shared" si="163"/>
        <v>159</v>
      </c>
      <c r="G215" s="58">
        <f t="shared" ref="G215:L215" si="207">SUMIFS($C215,$B215,G$7)+G214</f>
        <v>27</v>
      </c>
      <c r="H215" s="58">
        <f t="shared" si="207"/>
        <v>21</v>
      </c>
      <c r="I215" s="58">
        <f t="shared" si="207"/>
        <v>17</v>
      </c>
      <c r="J215" s="58">
        <f t="shared" si="207"/>
        <v>0</v>
      </c>
      <c r="K215" s="58">
        <f t="shared" si="207"/>
        <v>0</v>
      </c>
      <c r="L215" s="58">
        <f t="shared" si="207"/>
        <v>0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0" customHeight="1">
      <c r="A216" s="70"/>
      <c r="B216" s="64" t="s">
        <v>9</v>
      </c>
      <c r="C216" s="65">
        <v>-6.0</v>
      </c>
      <c r="D216" s="66">
        <f t="shared" si="137"/>
        <v>-3300</v>
      </c>
      <c r="E216" s="56" t="s">
        <v>52</v>
      </c>
      <c r="F216" s="58">
        <f t="shared" si="163"/>
        <v>153</v>
      </c>
      <c r="G216" s="58">
        <f t="shared" ref="G216:L216" si="208">SUMIFS($C216,$B216,G$7)+G215</f>
        <v>27</v>
      </c>
      <c r="H216" s="58">
        <f t="shared" si="208"/>
        <v>21</v>
      </c>
      <c r="I216" s="58">
        <f t="shared" si="208"/>
        <v>17</v>
      </c>
      <c r="J216" s="58">
        <f t="shared" si="208"/>
        <v>0</v>
      </c>
      <c r="K216" s="58">
        <f t="shared" si="208"/>
        <v>0</v>
      </c>
      <c r="L216" s="58">
        <f t="shared" si="208"/>
        <v>0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0" customHeight="1">
      <c r="A217" s="70"/>
      <c r="B217" s="71"/>
      <c r="C217" s="66"/>
      <c r="D217" s="66">
        <f t="shared" si="137"/>
        <v>0</v>
      </c>
      <c r="E217" s="67"/>
      <c r="F217" s="58">
        <f t="shared" si="163"/>
        <v>153</v>
      </c>
      <c r="G217" s="58">
        <f t="shared" ref="G217:L217" si="209">SUMIFS($C217,$B217,G$7)+G216</f>
        <v>27</v>
      </c>
      <c r="H217" s="58">
        <f t="shared" si="209"/>
        <v>21</v>
      </c>
      <c r="I217" s="58">
        <f t="shared" si="209"/>
        <v>17</v>
      </c>
      <c r="J217" s="58">
        <f t="shared" si="209"/>
        <v>0</v>
      </c>
      <c r="K217" s="58">
        <f t="shared" si="209"/>
        <v>0</v>
      </c>
      <c r="L217" s="58">
        <f t="shared" si="209"/>
        <v>0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0" customHeight="1">
      <c r="A218" s="68">
        <v>46032.0</v>
      </c>
      <c r="B218" s="64" t="s">
        <v>13</v>
      </c>
      <c r="C218" s="65">
        <v>12.0</v>
      </c>
      <c r="D218" s="66">
        <f t="shared" si="137"/>
        <v>6600</v>
      </c>
      <c r="E218" s="56" t="s">
        <v>182</v>
      </c>
      <c r="F218" s="58">
        <f t="shared" si="163"/>
        <v>153</v>
      </c>
      <c r="G218" s="58">
        <f t="shared" ref="G218:L218" si="210">SUMIFS($C218,$B218,G$7)+G217</f>
        <v>39</v>
      </c>
      <c r="H218" s="58">
        <f t="shared" si="210"/>
        <v>21</v>
      </c>
      <c r="I218" s="58">
        <f t="shared" si="210"/>
        <v>17</v>
      </c>
      <c r="J218" s="58">
        <f t="shared" si="210"/>
        <v>0</v>
      </c>
      <c r="K218" s="58">
        <f t="shared" si="210"/>
        <v>0</v>
      </c>
      <c r="L218" s="58">
        <f t="shared" si="210"/>
        <v>0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0" customHeight="1">
      <c r="A219" s="70"/>
      <c r="B219" s="64" t="s">
        <v>9</v>
      </c>
      <c r="C219" s="65">
        <v>-12.0</v>
      </c>
      <c r="D219" s="66">
        <f t="shared" si="137"/>
        <v>-6600</v>
      </c>
      <c r="E219" s="56" t="s">
        <v>183</v>
      </c>
      <c r="F219" s="58">
        <f t="shared" si="163"/>
        <v>141</v>
      </c>
      <c r="G219" s="58">
        <f t="shared" ref="G219:L219" si="211">SUMIFS($C219,$B219,G$7)+G218</f>
        <v>39</v>
      </c>
      <c r="H219" s="58">
        <f t="shared" si="211"/>
        <v>21</v>
      </c>
      <c r="I219" s="58">
        <f t="shared" si="211"/>
        <v>17</v>
      </c>
      <c r="J219" s="58">
        <f t="shared" si="211"/>
        <v>0</v>
      </c>
      <c r="K219" s="58">
        <f t="shared" si="211"/>
        <v>0</v>
      </c>
      <c r="L219" s="58">
        <f t="shared" si="211"/>
        <v>0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0" customHeight="1">
      <c r="A220" s="70"/>
      <c r="B220" s="64" t="s">
        <v>16</v>
      </c>
      <c r="C220" s="65">
        <v>6.0</v>
      </c>
      <c r="D220" s="66">
        <f t="shared" si="137"/>
        <v>3300</v>
      </c>
      <c r="E220" s="56" t="s">
        <v>184</v>
      </c>
      <c r="F220" s="58">
        <f t="shared" si="163"/>
        <v>141</v>
      </c>
      <c r="G220" s="58">
        <f t="shared" ref="G220:L220" si="212">SUMIFS($C220,$B220,G$7)+G219</f>
        <v>39</v>
      </c>
      <c r="H220" s="58">
        <f t="shared" si="212"/>
        <v>27</v>
      </c>
      <c r="I220" s="58">
        <f t="shared" si="212"/>
        <v>17</v>
      </c>
      <c r="J220" s="58">
        <f t="shared" si="212"/>
        <v>0</v>
      </c>
      <c r="K220" s="58">
        <f t="shared" si="212"/>
        <v>0</v>
      </c>
      <c r="L220" s="58">
        <f t="shared" si="212"/>
        <v>0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0" customHeight="1">
      <c r="A221" s="70"/>
      <c r="B221" s="64" t="s">
        <v>9</v>
      </c>
      <c r="C221" s="65">
        <v>-6.0</v>
      </c>
      <c r="D221" s="66">
        <f t="shared" si="137"/>
        <v>-3300</v>
      </c>
      <c r="E221" s="56" t="s">
        <v>130</v>
      </c>
      <c r="F221" s="58">
        <f t="shared" si="163"/>
        <v>135</v>
      </c>
      <c r="G221" s="58">
        <f t="shared" ref="G221:L221" si="213">SUMIFS($C221,$B221,G$7)+G220</f>
        <v>39</v>
      </c>
      <c r="H221" s="58">
        <f t="shared" si="213"/>
        <v>27</v>
      </c>
      <c r="I221" s="58">
        <f t="shared" si="213"/>
        <v>17</v>
      </c>
      <c r="J221" s="58">
        <f t="shared" si="213"/>
        <v>0</v>
      </c>
      <c r="K221" s="58">
        <f t="shared" si="213"/>
        <v>0</v>
      </c>
      <c r="L221" s="58">
        <f t="shared" si="213"/>
        <v>0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0" customHeight="1">
      <c r="A222" s="70"/>
      <c r="B222" s="71"/>
      <c r="C222" s="66"/>
      <c r="D222" s="66">
        <f t="shared" si="137"/>
        <v>0</v>
      </c>
      <c r="E222" s="67"/>
      <c r="F222" s="58">
        <f t="shared" si="163"/>
        <v>135</v>
      </c>
      <c r="G222" s="58">
        <f t="shared" ref="G222:L222" si="214">SUMIFS($C222,$B222,G$7)+G221</f>
        <v>39</v>
      </c>
      <c r="H222" s="58">
        <f t="shared" si="214"/>
        <v>27</v>
      </c>
      <c r="I222" s="58">
        <f t="shared" si="214"/>
        <v>17</v>
      </c>
      <c r="J222" s="58">
        <f t="shared" si="214"/>
        <v>0</v>
      </c>
      <c r="K222" s="58">
        <f t="shared" si="214"/>
        <v>0</v>
      </c>
      <c r="L222" s="58">
        <f t="shared" si="214"/>
        <v>0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0" customHeight="1">
      <c r="A223" s="68">
        <v>46034.0</v>
      </c>
      <c r="B223" s="64" t="s">
        <v>13</v>
      </c>
      <c r="C223" s="65">
        <v>8.0</v>
      </c>
      <c r="D223" s="66">
        <f t="shared" si="137"/>
        <v>4400</v>
      </c>
      <c r="E223" s="56" t="s">
        <v>186</v>
      </c>
      <c r="F223" s="58">
        <f t="shared" si="163"/>
        <v>135</v>
      </c>
      <c r="G223" s="58">
        <f t="shared" ref="G223:L223" si="215">SUMIFS($C223,$B223,G$7)+G222</f>
        <v>47</v>
      </c>
      <c r="H223" s="58">
        <f t="shared" si="215"/>
        <v>27</v>
      </c>
      <c r="I223" s="58">
        <f t="shared" si="215"/>
        <v>17</v>
      </c>
      <c r="J223" s="58">
        <f t="shared" si="215"/>
        <v>0</v>
      </c>
      <c r="K223" s="58">
        <f t="shared" si="215"/>
        <v>0</v>
      </c>
      <c r="L223" s="58">
        <f t="shared" si="215"/>
        <v>0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0" customHeight="1">
      <c r="A224" s="70"/>
      <c r="B224" s="64" t="s">
        <v>9</v>
      </c>
      <c r="C224" s="65">
        <v>-8.0</v>
      </c>
      <c r="D224" s="66">
        <f t="shared" si="137"/>
        <v>-4400</v>
      </c>
      <c r="E224" s="67"/>
      <c r="F224" s="58">
        <f t="shared" si="163"/>
        <v>127</v>
      </c>
      <c r="G224" s="58">
        <f t="shared" ref="G224:L224" si="216">SUMIFS($C224,$B224,G$7)+G223</f>
        <v>47</v>
      </c>
      <c r="H224" s="58">
        <f t="shared" si="216"/>
        <v>27</v>
      </c>
      <c r="I224" s="58">
        <f t="shared" si="216"/>
        <v>17</v>
      </c>
      <c r="J224" s="58">
        <f t="shared" si="216"/>
        <v>0</v>
      </c>
      <c r="K224" s="58">
        <f t="shared" si="216"/>
        <v>0</v>
      </c>
      <c r="L224" s="58">
        <f t="shared" si="216"/>
        <v>0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0" customHeight="1">
      <c r="A225" s="70"/>
      <c r="B225" s="64" t="s">
        <v>16</v>
      </c>
      <c r="C225" s="65">
        <v>6.0</v>
      </c>
      <c r="D225" s="66">
        <f t="shared" si="137"/>
        <v>3300</v>
      </c>
      <c r="E225" s="56" t="s">
        <v>188</v>
      </c>
      <c r="F225" s="58">
        <f t="shared" si="163"/>
        <v>127</v>
      </c>
      <c r="G225" s="58">
        <f t="shared" ref="G225:L225" si="217">SUMIFS($C225,$B225,G$7)+G224</f>
        <v>47</v>
      </c>
      <c r="H225" s="58">
        <f t="shared" si="217"/>
        <v>33</v>
      </c>
      <c r="I225" s="58">
        <f t="shared" si="217"/>
        <v>17</v>
      </c>
      <c r="J225" s="58">
        <f t="shared" si="217"/>
        <v>0</v>
      </c>
      <c r="K225" s="58">
        <f t="shared" si="217"/>
        <v>0</v>
      </c>
      <c r="L225" s="58">
        <f t="shared" si="217"/>
        <v>0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0" customHeight="1">
      <c r="A226" s="70"/>
      <c r="B226" s="64" t="s">
        <v>9</v>
      </c>
      <c r="C226" s="65">
        <v>-6.0</v>
      </c>
      <c r="D226" s="66">
        <f t="shared" si="137"/>
        <v>-3300</v>
      </c>
      <c r="E226" s="67"/>
      <c r="F226" s="58">
        <f t="shared" si="163"/>
        <v>121</v>
      </c>
      <c r="G226" s="58">
        <f t="shared" ref="G226:L226" si="218">SUMIFS($C226,$B226,G$7)+G225</f>
        <v>47</v>
      </c>
      <c r="H226" s="58">
        <f t="shared" si="218"/>
        <v>33</v>
      </c>
      <c r="I226" s="58">
        <f t="shared" si="218"/>
        <v>17</v>
      </c>
      <c r="J226" s="58">
        <f t="shared" si="218"/>
        <v>0</v>
      </c>
      <c r="K226" s="58">
        <f t="shared" si="218"/>
        <v>0</v>
      </c>
      <c r="L226" s="58">
        <f t="shared" si="218"/>
        <v>0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0" customHeight="1">
      <c r="A227" s="70"/>
      <c r="B227" s="71"/>
      <c r="C227" s="66"/>
      <c r="D227" s="66">
        <f t="shared" si="137"/>
        <v>0</v>
      </c>
      <c r="E227" s="67"/>
      <c r="F227" s="58">
        <f t="shared" si="163"/>
        <v>121</v>
      </c>
      <c r="G227" s="58">
        <f t="shared" ref="G227:L227" si="219">SUMIFS($C227,$B227,G$7)+G226</f>
        <v>47</v>
      </c>
      <c r="H227" s="58">
        <f t="shared" si="219"/>
        <v>33</v>
      </c>
      <c r="I227" s="58">
        <f t="shared" si="219"/>
        <v>17</v>
      </c>
      <c r="J227" s="58">
        <f t="shared" si="219"/>
        <v>0</v>
      </c>
      <c r="K227" s="58">
        <f t="shared" si="219"/>
        <v>0</v>
      </c>
      <c r="L227" s="58">
        <f t="shared" si="219"/>
        <v>0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0" customHeight="1">
      <c r="A228" s="68">
        <v>46035.0</v>
      </c>
      <c r="B228" s="64" t="s">
        <v>9</v>
      </c>
      <c r="C228" s="65">
        <v>-1.0</v>
      </c>
      <c r="D228" s="66">
        <f t="shared" si="137"/>
        <v>-550</v>
      </c>
      <c r="E228" s="74" t="s">
        <v>190</v>
      </c>
      <c r="F228" s="58">
        <f t="shared" si="163"/>
        <v>120</v>
      </c>
      <c r="G228" s="58">
        <f t="shared" ref="G228:L228" si="220">SUMIFS($C228,$B228,G$7)+G227</f>
        <v>47</v>
      </c>
      <c r="H228" s="58">
        <f t="shared" si="220"/>
        <v>33</v>
      </c>
      <c r="I228" s="58">
        <f t="shared" si="220"/>
        <v>17</v>
      </c>
      <c r="J228" s="58">
        <f t="shared" si="220"/>
        <v>0</v>
      </c>
      <c r="K228" s="58">
        <f t="shared" si="220"/>
        <v>0</v>
      </c>
      <c r="L228" s="58">
        <f t="shared" si="220"/>
        <v>0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0" customHeight="1">
      <c r="A229" s="70"/>
      <c r="B229" s="64" t="s">
        <v>16</v>
      </c>
      <c r="C229" s="65">
        <v>6.0</v>
      </c>
      <c r="D229" s="66">
        <f t="shared" si="137"/>
        <v>3300</v>
      </c>
      <c r="E229" s="67"/>
      <c r="F229" s="58">
        <f t="shared" si="163"/>
        <v>120</v>
      </c>
      <c r="G229" s="58">
        <f t="shared" ref="G229:L229" si="221">SUMIFS($C229,$B229,G$7)+G228</f>
        <v>47</v>
      </c>
      <c r="H229" s="58">
        <f t="shared" si="221"/>
        <v>39</v>
      </c>
      <c r="I229" s="58">
        <f t="shared" si="221"/>
        <v>17</v>
      </c>
      <c r="J229" s="58">
        <f t="shared" si="221"/>
        <v>0</v>
      </c>
      <c r="K229" s="58">
        <f t="shared" si="221"/>
        <v>0</v>
      </c>
      <c r="L229" s="58">
        <f t="shared" si="221"/>
        <v>0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0" customHeight="1">
      <c r="A230" s="70"/>
      <c r="B230" s="64" t="s">
        <v>9</v>
      </c>
      <c r="C230" s="65">
        <v>-6.0</v>
      </c>
      <c r="D230" s="66">
        <f t="shared" si="137"/>
        <v>-3300</v>
      </c>
      <c r="E230" s="67"/>
      <c r="F230" s="58">
        <f t="shared" si="163"/>
        <v>114</v>
      </c>
      <c r="G230" s="58">
        <f t="shared" ref="G230:L230" si="222">SUMIFS($C230,$B230,G$7)+G229</f>
        <v>47</v>
      </c>
      <c r="H230" s="58">
        <f t="shared" si="222"/>
        <v>39</v>
      </c>
      <c r="I230" s="58">
        <f t="shared" si="222"/>
        <v>17</v>
      </c>
      <c r="J230" s="58">
        <f t="shared" si="222"/>
        <v>0</v>
      </c>
      <c r="K230" s="58">
        <f t="shared" si="222"/>
        <v>0</v>
      </c>
      <c r="L230" s="58">
        <f t="shared" si="222"/>
        <v>0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0" customHeight="1">
      <c r="A231" s="70"/>
      <c r="B231" s="64"/>
      <c r="C231" s="65"/>
      <c r="D231" s="66">
        <f t="shared" si="137"/>
        <v>0</v>
      </c>
      <c r="E231" s="67"/>
      <c r="F231" s="58">
        <f t="shared" si="163"/>
        <v>114</v>
      </c>
      <c r="G231" s="58">
        <f t="shared" ref="G231:L231" si="223">SUMIFS($C231,$B231,G$7)+G230</f>
        <v>47</v>
      </c>
      <c r="H231" s="58">
        <f t="shared" si="223"/>
        <v>39</v>
      </c>
      <c r="I231" s="58">
        <f t="shared" si="223"/>
        <v>17</v>
      </c>
      <c r="J231" s="58">
        <f t="shared" si="223"/>
        <v>0</v>
      </c>
      <c r="K231" s="58">
        <f t="shared" si="223"/>
        <v>0</v>
      </c>
      <c r="L231" s="58">
        <f t="shared" si="223"/>
        <v>0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0" customHeight="1">
      <c r="A232" s="68">
        <v>46036.0</v>
      </c>
      <c r="B232" s="64" t="s">
        <v>16</v>
      </c>
      <c r="C232" s="65">
        <v>6.0</v>
      </c>
      <c r="D232" s="66">
        <f t="shared" si="137"/>
        <v>3300</v>
      </c>
      <c r="E232" s="56" t="s">
        <v>192</v>
      </c>
      <c r="F232" s="58">
        <f t="shared" si="163"/>
        <v>114</v>
      </c>
      <c r="G232" s="58">
        <f t="shared" ref="G232:L232" si="224">SUMIFS($C232,$B232,G$7)+G231</f>
        <v>47</v>
      </c>
      <c r="H232" s="58">
        <f t="shared" si="224"/>
        <v>45</v>
      </c>
      <c r="I232" s="58">
        <f t="shared" si="224"/>
        <v>17</v>
      </c>
      <c r="J232" s="58">
        <f t="shared" si="224"/>
        <v>0</v>
      </c>
      <c r="K232" s="58">
        <f t="shared" si="224"/>
        <v>0</v>
      </c>
      <c r="L232" s="58">
        <f t="shared" si="224"/>
        <v>0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0" customHeight="1">
      <c r="A233" s="70"/>
      <c r="B233" s="64" t="s">
        <v>9</v>
      </c>
      <c r="C233" s="65">
        <v>-6.0</v>
      </c>
      <c r="D233" s="66">
        <f t="shared" si="137"/>
        <v>-3300</v>
      </c>
      <c r="E233" s="67"/>
      <c r="F233" s="58">
        <f t="shared" si="163"/>
        <v>108</v>
      </c>
      <c r="G233" s="58">
        <f t="shared" ref="G233:L233" si="225">SUMIFS($C233,$B233,G$7)+G232</f>
        <v>47</v>
      </c>
      <c r="H233" s="58">
        <f t="shared" si="225"/>
        <v>45</v>
      </c>
      <c r="I233" s="58">
        <f t="shared" si="225"/>
        <v>17</v>
      </c>
      <c r="J233" s="58">
        <f t="shared" si="225"/>
        <v>0</v>
      </c>
      <c r="K233" s="58">
        <f t="shared" si="225"/>
        <v>0</v>
      </c>
      <c r="L233" s="58">
        <f t="shared" si="225"/>
        <v>0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0" customHeight="1">
      <c r="A234" s="68"/>
      <c r="B234" s="64"/>
      <c r="C234" s="65"/>
      <c r="D234" s="66">
        <f t="shared" si="137"/>
        <v>0</v>
      </c>
      <c r="E234" s="67"/>
      <c r="F234" s="58">
        <f t="shared" si="163"/>
        <v>108</v>
      </c>
      <c r="G234" s="58">
        <f t="shared" ref="G234:L234" si="226">SUMIFS($C234,$B234,G$7)+G233</f>
        <v>47</v>
      </c>
      <c r="H234" s="58">
        <f t="shared" si="226"/>
        <v>45</v>
      </c>
      <c r="I234" s="58">
        <f t="shared" si="226"/>
        <v>17</v>
      </c>
      <c r="J234" s="58">
        <f t="shared" si="226"/>
        <v>0</v>
      </c>
      <c r="K234" s="58">
        <f t="shared" si="226"/>
        <v>0</v>
      </c>
      <c r="L234" s="58">
        <f t="shared" si="226"/>
        <v>0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0" customHeight="1">
      <c r="A235" s="68">
        <v>46037.0</v>
      </c>
      <c r="B235" s="64" t="s">
        <v>16</v>
      </c>
      <c r="C235" s="65">
        <v>6.0</v>
      </c>
      <c r="D235" s="66">
        <f t="shared" si="137"/>
        <v>3300</v>
      </c>
      <c r="E235" s="56" t="s">
        <v>193</v>
      </c>
      <c r="F235" s="58">
        <f t="shared" si="163"/>
        <v>108</v>
      </c>
      <c r="G235" s="58">
        <f t="shared" ref="G235:L235" si="227">SUMIFS($C235,$B235,G$7)+G234</f>
        <v>47</v>
      </c>
      <c r="H235" s="58">
        <f t="shared" si="227"/>
        <v>51</v>
      </c>
      <c r="I235" s="58">
        <f t="shared" si="227"/>
        <v>17</v>
      </c>
      <c r="J235" s="58">
        <f t="shared" si="227"/>
        <v>0</v>
      </c>
      <c r="K235" s="58">
        <f t="shared" si="227"/>
        <v>0</v>
      </c>
      <c r="L235" s="58">
        <f t="shared" si="227"/>
        <v>0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0" customHeight="1">
      <c r="A236" s="70"/>
      <c r="B236" s="64" t="s">
        <v>9</v>
      </c>
      <c r="C236" s="65">
        <v>-6.0</v>
      </c>
      <c r="D236" s="66">
        <f t="shared" si="137"/>
        <v>-3300</v>
      </c>
      <c r="E236" s="56" t="s">
        <v>194</v>
      </c>
      <c r="F236" s="58">
        <f t="shared" si="163"/>
        <v>102</v>
      </c>
      <c r="G236" s="58">
        <f t="shared" ref="G236:L236" si="228">SUMIFS($C236,$B236,G$7)+G235</f>
        <v>47</v>
      </c>
      <c r="H236" s="58">
        <f t="shared" si="228"/>
        <v>51</v>
      </c>
      <c r="I236" s="58">
        <f t="shared" si="228"/>
        <v>17</v>
      </c>
      <c r="J236" s="58">
        <f t="shared" si="228"/>
        <v>0</v>
      </c>
      <c r="K236" s="58">
        <f t="shared" si="228"/>
        <v>0</v>
      </c>
      <c r="L236" s="58">
        <f t="shared" si="228"/>
        <v>0</v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0" customHeight="1">
      <c r="A237" s="70"/>
      <c r="B237" s="64"/>
      <c r="C237" s="66"/>
      <c r="D237" s="66">
        <f t="shared" si="137"/>
        <v>0</v>
      </c>
      <c r="E237" s="67"/>
      <c r="F237" s="58">
        <f t="shared" si="163"/>
        <v>102</v>
      </c>
      <c r="G237" s="58">
        <f t="shared" ref="G237:L237" si="229">SUMIFS($C237,$B237,G$7)+G236</f>
        <v>47</v>
      </c>
      <c r="H237" s="58">
        <f t="shared" si="229"/>
        <v>51</v>
      </c>
      <c r="I237" s="58">
        <f t="shared" si="229"/>
        <v>17</v>
      </c>
      <c r="J237" s="58">
        <f t="shared" si="229"/>
        <v>0</v>
      </c>
      <c r="K237" s="58">
        <f t="shared" si="229"/>
        <v>0</v>
      </c>
      <c r="L237" s="58">
        <f t="shared" si="229"/>
        <v>0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0" customHeight="1">
      <c r="A238" s="68">
        <v>46038.0</v>
      </c>
      <c r="B238" s="64" t="s">
        <v>16</v>
      </c>
      <c r="C238" s="65">
        <v>6.0</v>
      </c>
      <c r="D238" s="66">
        <f t="shared" si="137"/>
        <v>3300</v>
      </c>
      <c r="E238" s="56" t="s">
        <v>196</v>
      </c>
      <c r="F238" s="58">
        <f t="shared" si="163"/>
        <v>102</v>
      </c>
      <c r="G238" s="58">
        <f t="shared" ref="G238:L238" si="230">SUMIFS($C238,$B238,G$7)+G237</f>
        <v>47</v>
      </c>
      <c r="H238" s="58">
        <f t="shared" si="230"/>
        <v>57</v>
      </c>
      <c r="I238" s="58">
        <f t="shared" si="230"/>
        <v>17</v>
      </c>
      <c r="J238" s="58">
        <f t="shared" si="230"/>
        <v>0</v>
      </c>
      <c r="K238" s="58">
        <f t="shared" si="230"/>
        <v>0</v>
      </c>
      <c r="L238" s="58">
        <f t="shared" si="230"/>
        <v>0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0" customHeight="1">
      <c r="A239" s="70"/>
      <c r="B239" s="64" t="s">
        <v>9</v>
      </c>
      <c r="C239" s="65">
        <v>-6.0</v>
      </c>
      <c r="D239" s="66">
        <f t="shared" si="137"/>
        <v>-3300</v>
      </c>
      <c r="E239" s="56" t="s">
        <v>45</v>
      </c>
      <c r="F239" s="58">
        <f t="shared" si="163"/>
        <v>96</v>
      </c>
      <c r="G239" s="58">
        <f t="shared" ref="G239:L239" si="231">SUMIFS($C239,$B239,G$7)+G238</f>
        <v>47</v>
      </c>
      <c r="H239" s="58">
        <f t="shared" si="231"/>
        <v>57</v>
      </c>
      <c r="I239" s="58">
        <f t="shared" si="231"/>
        <v>17</v>
      </c>
      <c r="J239" s="58">
        <f t="shared" si="231"/>
        <v>0</v>
      </c>
      <c r="K239" s="58">
        <f t="shared" si="231"/>
        <v>0</v>
      </c>
      <c r="L239" s="58">
        <f t="shared" si="231"/>
        <v>0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0" customHeight="1">
      <c r="A240" s="70"/>
      <c r="B240" s="71"/>
      <c r="C240" s="66"/>
      <c r="D240" s="66">
        <f t="shared" si="137"/>
        <v>0</v>
      </c>
      <c r="E240" s="67"/>
      <c r="F240" s="58">
        <f t="shared" si="163"/>
        <v>96</v>
      </c>
      <c r="G240" s="58">
        <f t="shared" ref="G240:L240" si="232">SUMIFS($C240,$B240,G$7)+G239</f>
        <v>47</v>
      </c>
      <c r="H240" s="58">
        <f t="shared" si="232"/>
        <v>57</v>
      </c>
      <c r="I240" s="58">
        <f t="shared" si="232"/>
        <v>17</v>
      </c>
      <c r="J240" s="58">
        <f t="shared" si="232"/>
        <v>0</v>
      </c>
      <c r="K240" s="58">
        <f t="shared" si="232"/>
        <v>0</v>
      </c>
      <c r="L240" s="58">
        <f t="shared" si="232"/>
        <v>0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0" customHeight="1">
      <c r="A241" s="68">
        <v>46039.0</v>
      </c>
      <c r="B241" s="64" t="s">
        <v>16</v>
      </c>
      <c r="C241" s="65">
        <v>6.0</v>
      </c>
      <c r="D241" s="66">
        <f t="shared" si="137"/>
        <v>3300</v>
      </c>
      <c r="E241" s="56" t="s">
        <v>197</v>
      </c>
      <c r="F241" s="58">
        <f t="shared" si="163"/>
        <v>96</v>
      </c>
      <c r="G241" s="58">
        <f t="shared" ref="G241:L241" si="233">SUMIFS($C241,$B241,G$7)+G240</f>
        <v>47</v>
      </c>
      <c r="H241" s="58">
        <f t="shared" si="233"/>
        <v>63</v>
      </c>
      <c r="I241" s="58">
        <f t="shared" si="233"/>
        <v>17</v>
      </c>
      <c r="J241" s="58">
        <f t="shared" si="233"/>
        <v>0</v>
      </c>
      <c r="K241" s="58">
        <f t="shared" si="233"/>
        <v>0</v>
      </c>
      <c r="L241" s="58">
        <f t="shared" si="233"/>
        <v>0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0" customHeight="1">
      <c r="A242" s="70"/>
      <c r="B242" s="64" t="s">
        <v>9</v>
      </c>
      <c r="C242" s="65">
        <v>-6.0</v>
      </c>
      <c r="D242" s="66">
        <f t="shared" si="137"/>
        <v>-3300</v>
      </c>
      <c r="E242" s="56" t="s">
        <v>45</v>
      </c>
      <c r="F242" s="58">
        <f t="shared" si="163"/>
        <v>90</v>
      </c>
      <c r="G242" s="58">
        <f t="shared" ref="G242:L242" si="234">SUMIFS($C242,$B242,G$7)+G241</f>
        <v>47</v>
      </c>
      <c r="H242" s="58">
        <f t="shared" si="234"/>
        <v>63</v>
      </c>
      <c r="I242" s="58">
        <f t="shared" si="234"/>
        <v>17</v>
      </c>
      <c r="J242" s="58">
        <f t="shared" si="234"/>
        <v>0</v>
      </c>
      <c r="K242" s="58">
        <f t="shared" si="234"/>
        <v>0</v>
      </c>
      <c r="L242" s="58">
        <f t="shared" si="234"/>
        <v>0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0" customHeight="1">
      <c r="A243" s="70"/>
      <c r="B243" s="71"/>
      <c r="C243" s="66"/>
      <c r="D243" s="66">
        <f t="shared" si="137"/>
        <v>0</v>
      </c>
      <c r="E243" s="67"/>
      <c r="F243" s="58">
        <f t="shared" si="163"/>
        <v>90</v>
      </c>
      <c r="G243" s="58">
        <f t="shared" ref="G243:L243" si="235">SUMIFS($C243,$B243,G$7)+G242</f>
        <v>47</v>
      </c>
      <c r="H243" s="58">
        <f t="shared" si="235"/>
        <v>63</v>
      </c>
      <c r="I243" s="58">
        <f t="shared" si="235"/>
        <v>17</v>
      </c>
      <c r="J243" s="58">
        <f t="shared" si="235"/>
        <v>0</v>
      </c>
      <c r="K243" s="58">
        <f t="shared" si="235"/>
        <v>0</v>
      </c>
      <c r="L243" s="58">
        <f t="shared" si="235"/>
        <v>0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0" customHeight="1">
      <c r="A244" s="68">
        <v>46041.0</v>
      </c>
      <c r="B244" s="64" t="s">
        <v>16</v>
      </c>
      <c r="C244" s="65">
        <v>6.0</v>
      </c>
      <c r="D244" s="66">
        <f t="shared" si="137"/>
        <v>3300</v>
      </c>
      <c r="E244" s="56" t="s">
        <v>198</v>
      </c>
      <c r="F244" s="58">
        <f t="shared" si="163"/>
        <v>90</v>
      </c>
      <c r="G244" s="58">
        <f t="shared" ref="G244:L244" si="236">SUMIFS($C244,$B244,G$7)+G243</f>
        <v>47</v>
      </c>
      <c r="H244" s="58">
        <f t="shared" si="236"/>
        <v>69</v>
      </c>
      <c r="I244" s="58">
        <f t="shared" si="236"/>
        <v>17</v>
      </c>
      <c r="J244" s="58">
        <f t="shared" si="236"/>
        <v>0</v>
      </c>
      <c r="K244" s="58">
        <f t="shared" si="236"/>
        <v>0</v>
      </c>
      <c r="L244" s="58">
        <f t="shared" si="236"/>
        <v>0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0" customHeight="1">
      <c r="A245" s="70"/>
      <c r="B245" s="64" t="s">
        <v>9</v>
      </c>
      <c r="C245" s="65">
        <v>-6.0</v>
      </c>
      <c r="D245" s="66">
        <f t="shared" si="137"/>
        <v>-3300</v>
      </c>
      <c r="E245" s="56" t="s">
        <v>45</v>
      </c>
      <c r="F245" s="58">
        <f t="shared" si="163"/>
        <v>84</v>
      </c>
      <c r="G245" s="58">
        <f t="shared" ref="G245:L245" si="237">SUMIFS($C245,$B245,G$7)+G244</f>
        <v>47</v>
      </c>
      <c r="H245" s="58">
        <f t="shared" si="237"/>
        <v>69</v>
      </c>
      <c r="I245" s="58">
        <f t="shared" si="237"/>
        <v>17</v>
      </c>
      <c r="J245" s="58">
        <f t="shared" si="237"/>
        <v>0</v>
      </c>
      <c r="K245" s="58">
        <f t="shared" si="237"/>
        <v>0</v>
      </c>
      <c r="L245" s="58">
        <f t="shared" si="237"/>
        <v>0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0" customHeight="1">
      <c r="A246" s="70"/>
      <c r="B246" s="71"/>
      <c r="C246" s="66"/>
      <c r="D246" s="66">
        <f t="shared" si="137"/>
        <v>0</v>
      </c>
      <c r="E246" s="67"/>
      <c r="F246" s="58">
        <f t="shared" si="163"/>
        <v>84</v>
      </c>
      <c r="G246" s="58">
        <f t="shared" ref="G246:L246" si="238">SUMIFS($C246,$B246,G$7)+G245</f>
        <v>47</v>
      </c>
      <c r="H246" s="58">
        <f t="shared" si="238"/>
        <v>69</v>
      </c>
      <c r="I246" s="58">
        <f t="shared" si="238"/>
        <v>17</v>
      </c>
      <c r="J246" s="58">
        <f t="shared" si="238"/>
        <v>0</v>
      </c>
      <c r="K246" s="58">
        <f t="shared" si="238"/>
        <v>0</v>
      </c>
      <c r="L246" s="58">
        <f t="shared" si="238"/>
        <v>0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0" customHeight="1">
      <c r="A247" s="68">
        <v>46042.0</v>
      </c>
      <c r="B247" s="64" t="s">
        <v>16</v>
      </c>
      <c r="C247" s="65">
        <v>6.0</v>
      </c>
      <c r="D247" s="66">
        <f t="shared" si="137"/>
        <v>3300</v>
      </c>
      <c r="E247" s="75">
        <v>1.21125126131132E17</v>
      </c>
      <c r="F247" s="58">
        <f t="shared" si="163"/>
        <v>84</v>
      </c>
      <c r="G247" s="58">
        <f t="shared" ref="G247:L247" si="239">SUMIFS($C247,$B247,G$7)+G246</f>
        <v>47</v>
      </c>
      <c r="H247" s="58">
        <f t="shared" si="239"/>
        <v>75</v>
      </c>
      <c r="I247" s="58">
        <f t="shared" si="239"/>
        <v>17</v>
      </c>
      <c r="J247" s="58">
        <f t="shared" si="239"/>
        <v>0</v>
      </c>
      <c r="K247" s="58">
        <f t="shared" si="239"/>
        <v>0</v>
      </c>
      <c r="L247" s="58">
        <f t="shared" si="239"/>
        <v>0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0" customHeight="1">
      <c r="A248" s="70"/>
      <c r="B248" s="64" t="s">
        <v>9</v>
      </c>
      <c r="C248" s="65">
        <v>-6.0</v>
      </c>
      <c r="D248" s="66">
        <f t="shared" si="137"/>
        <v>-3300</v>
      </c>
      <c r="E248" s="56" t="s">
        <v>45</v>
      </c>
      <c r="F248" s="58">
        <f t="shared" si="163"/>
        <v>78</v>
      </c>
      <c r="G248" s="58">
        <f t="shared" ref="G248:L248" si="240">SUMIFS($C248,$B248,G$7)+G247</f>
        <v>47</v>
      </c>
      <c r="H248" s="58">
        <f t="shared" si="240"/>
        <v>75</v>
      </c>
      <c r="I248" s="58">
        <f t="shared" si="240"/>
        <v>17</v>
      </c>
      <c r="J248" s="58">
        <f t="shared" si="240"/>
        <v>0</v>
      </c>
      <c r="K248" s="58">
        <f t="shared" si="240"/>
        <v>0</v>
      </c>
      <c r="L248" s="58">
        <f t="shared" si="240"/>
        <v>0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0" customHeight="1">
      <c r="A249" s="70"/>
      <c r="B249" s="71"/>
      <c r="C249" s="66"/>
      <c r="D249" s="66">
        <f t="shared" si="137"/>
        <v>0</v>
      </c>
      <c r="E249" s="67"/>
      <c r="F249" s="58">
        <f t="shared" si="163"/>
        <v>78</v>
      </c>
      <c r="G249" s="58">
        <f t="shared" ref="G249:L249" si="241">SUMIFS($C249,$B249,G$7)+G248</f>
        <v>47</v>
      </c>
      <c r="H249" s="58">
        <f t="shared" si="241"/>
        <v>75</v>
      </c>
      <c r="I249" s="58">
        <f t="shared" si="241"/>
        <v>17</v>
      </c>
      <c r="J249" s="58">
        <f t="shared" si="241"/>
        <v>0</v>
      </c>
      <c r="K249" s="58">
        <f t="shared" si="241"/>
        <v>0</v>
      </c>
      <c r="L249" s="58">
        <f t="shared" si="241"/>
        <v>0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0" customHeight="1">
      <c r="A250" s="68">
        <v>46043.0</v>
      </c>
      <c r="B250" s="64" t="s">
        <v>16</v>
      </c>
      <c r="C250" s="65">
        <v>6.0</v>
      </c>
      <c r="D250" s="66">
        <f t="shared" si="137"/>
        <v>3300</v>
      </c>
      <c r="E250" s="56" t="s">
        <v>199</v>
      </c>
      <c r="F250" s="58">
        <f t="shared" si="163"/>
        <v>78</v>
      </c>
      <c r="G250" s="58">
        <f t="shared" ref="G250:L250" si="242">SUMIFS($C250,$B250,G$7)+G249</f>
        <v>47</v>
      </c>
      <c r="H250" s="58">
        <f t="shared" si="242"/>
        <v>81</v>
      </c>
      <c r="I250" s="58">
        <f t="shared" si="242"/>
        <v>17</v>
      </c>
      <c r="J250" s="58">
        <f t="shared" si="242"/>
        <v>0</v>
      </c>
      <c r="K250" s="58">
        <f t="shared" si="242"/>
        <v>0</v>
      </c>
      <c r="L250" s="58">
        <f t="shared" si="242"/>
        <v>0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0" customHeight="1">
      <c r="A251" s="70"/>
      <c r="B251" s="64" t="s">
        <v>9</v>
      </c>
      <c r="C251" s="65">
        <v>-6.0</v>
      </c>
      <c r="D251" s="66">
        <f t="shared" si="137"/>
        <v>-3300</v>
      </c>
      <c r="E251" s="56" t="s">
        <v>45</v>
      </c>
      <c r="F251" s="58">
        <f t="shared" si="163"/>
        <v>72</v>
      </c>
      <c r="G251" s="58">
        <f t="shared" ref="G251:L251" si="243">SUMIFS($C251,$B251,G$7)+G250</f>
        <v>47</v>
      </c>
      <c r="H251" s="58">
        <f t="shared" si="243"/>
        <v>81</v>
      </c>
      <c r="I251" s="58">
        <f t="shared" si="243"/>
        <v>17</v>
      </c>
      <c r="J251" s="58">
        <f t="shared" si="243"/>
        <v>0</v>
      </c>
      <c r="K251" s="58">
        <f t="shared" si="243"/>
        <v>0</v>
      </c>
      <c r="L251" s="58">
        <f t="shared" si="243"/>
        <v>0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0" customHeight="1">
      <c r="A252" s="70"/>
      <c r="B252" s="71"/>
      <c r="C252" s="66"/>
      <c r="D252" s="66">
        <f t="shared" si="137"/>
        <v>0</v>
      </c>
      <c r="E252" s="67"/>
      <c r="F252" s="58">
        <f t="shared" si="163"/>
        <v>72</v>
      </c>
      <c r="G252" s="58">
        <f t="shared" ref="G252:L252" si="244">SUMIFS($C252,$B252,G$7)+G251</f>
        <v>47</v>
      </c>
      <c r="H252" s="58">
        <f t="shared" si="244"/>
        <v>81</v>
      </c>
      <c r="I252" s="58">
        <f t="shared" si="244"/>
        <v>17</v>
      </c>
      <c r="J252" s="58">
        <f t="shared" si="244"/>
        <v>0</v>
      </c>
      <c r="K252" s="58">
        <f t="shared" si="244"/>
        <v>0</v>
      </c>
      <c r="L252" s="58">
        <f t="shared" si="244"/>
        <v>0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0" customHeight="1">
      <c r="A253" s="68">
        <v>46044.0</v>
      </c>
      <c r="B253" s="64" t="s">
        <v>16</v>
      </c>
      <c r="C253" s="65">
        <v>6.0</v>
      </c>
      <c r="D253" s="66">
        <f t="shared" si="137"/>
        <v>3300</v>
      </c>
      <c r="E253" s="56" t="s">
        <v>200</v>
      </c>
      <c r="F253" s="58">
        <f t="shared" si="163"/>
        <v>72</v>
      </c>
      <c r="G253" s="58">
        <f t="shared" ref="G253:L253" si="245">SUMIFS($C253,$B253,G$7)+G252</f>
        <v>47</v>
      </c>
      <c r="H253" s="58">
        <f t="shared" si="245"/>
        <v>87</v>
      </c>
      <c r="I253" s="58">
        <f t="shared" si="245"/>
        <v>17</v>
      </c>
      <c r="J253" s="58">
        <f t="shared" si="245"/>
        <v>0</v>
      </c>
      <c r="K253" s="58">
        <f t="shared" si="245"/>
        <v>0</v>
      </c>
      <c r="L253" s="58">
        <f t="shared" si="245"/>
        <v>0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0" customHeight="1">
      <c r="A254" s="70"/>
      <c r="B254" s="64" t="s">
        <v>9</v>
      </c>
      <c r="C254" s="65">
        <v>-6.0</v>
      </c>
      <c r="D254" s="66">
        <f t="shared" si="137"/>
        <v>-3300</v>
      </c>
      <c r="E254" s="56" t="s">
        <v>45</v>
      </c>
      <c r="F254" s="58">
        <f t="shared" si="163"/>
        <v>66</v>
      </c>
      <c r="G254" s="58">
        <f t="shared" ref="G254:L254" si="246">SUMIFS($C254,$B254,G$7)+G253</f>
        <v>47</v>
      </c>
      <c r="H254" s="58">
        <f t="shared" si="246"/>
        <v>87</v>
      </c>
      <c r="I254" s="58">
        <f t="shared" si="246"/>
        <v>17</v>
      </c>
      <c r="J254" s="58">
        <f t="shared" si="246"/>
        <v>0</v>
      </c>
      <c r="K254" s="58">
        <f t="shared" si="246"/>
        <v>0</v>
      </c>
      <c r="L254" s="58">
        <f t="shared" si="246"/>
        <v>0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0" customHeight="1">
      <c r="A255" s="70"/>
      <c r="B255" s="71"/>
      <c r="C255" s="66"/>
      <c r="D255" s="66">
        <f t="shared" si="137"/>
        <v>0</v>
      </c>
      <c r="E255" s="67"/>
      <c r="F255" s="58">
        <f t="shared" si="163"/>
        <v>66</v>
      </c>
      <c r="G255" s="58">
        <f t="shared" ref="G255:L255" si="247">SUMIFS($C255,$B255,G$7)+G254</f>
        <v>47</v>
      </c>
      <c r="H255" s="58">
        <f t="shared" si="247"/>
        <v>87</v>
      </c>
      <c r="I255" s="58">
        <f t="shared" si="247"/>
        <v>17</v>
      </c>
      <c r="J255" s="58">
        <f t="shared" si="247"/>
        <v>0</v>
      </c>
      <c r="K255" s="58">
        <f t="shared" si="247"/>
        <v>0</v>
      </c>
      <c r="L255" s="58">
        <f t="shared" si="247"/>
        <v>0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0" customHeight="1">
      <c r="A256" s="68">
        <v>46045.0</v>
      </c>
      <c r="B256" s="64" t="s">
        <v>16</v>
      </c>
      <c r="C256" s="65">
        <v>6.0</v>
      </c>
      <c r="D256" s="66">
        <f t="shared" si="137"/>
        <v>3300</v>
      </c>
      <c r="E256" s="56" t="s">
        <v>201</v>
      </c>
      <c r="F256" s="58">
        <f t="shared" si="163"/>
        <v>66</v>
      </c>
      <c r="G256" s="58">
        <f t="shared" ref="G256:L256" si="248">SUMIFS($C256,$B256,G$7)+G255</f>
        <v>47</v>
      </c>
      <c r="H256" s="58">
        <f t="shared" si="248"/>
        <v>93</v>
      </c>
      <c r="I256" s="58">
        <f t="shared" si="248"/>
        <v>17</v>
      </c>
      <c r="J256" s="58">
        <f t="shared" si="248"/>
        <v>0</v>
      </c>
      <c r="K256" s="58">
        <f t="shared" si="248"/>
        <v>0</v>
      </c>
      <c r="L256" s="58">
        <f t="shared" si="248"/>
        <v>0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0" customHeight="1">
      <c r="A257" s="70"/>
      <c r="B257" s="64" t="s">
        <v>9</v>
      </c>
      <c r="C257" s="65">
        <v>-6.0</v>
      </c>
      <c r="D257" s="66">
        <f t="shared" si="137"/>
        <v>-3300</v>
      </c>
      <c r="E257" s="56" t="s">
        <v>45</v>
      </c>
      <c r="F257" s="58">
        <f t="shared" si="163"/>
        <v>60</v>
      </c>
      <c r="G257" s="58">
        <f t="shared" ref="G257:L257" si="249">SUMIFS($C257,$B257,G$7)+G256</f>
        <v>47</v>
      </c>
      <c r="H257" s="58">
        <f t="shared" si="249"/>
        <v>93</v>
      </c>
      <c r="I257" s="58">
        <f t="shared" si="249"/>
        <v>17</v>
      </c>
      <c r="J257" s="58">
        <f t="shared" si="249"/>
        <v>0</v>
      </c>
      <c r="K257" s="58">
        <f t="shared" si="249"/>
        <v>0</v>
      </c>
      <c r="L257" s="58">
        <f t="shared" si="249"/>
        <v>0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0" customHeight="1">
      <c r="A258" s="70"/>
      <c r="B258" s="71"/>
      <c r="C258" s="66"/>
      <c r="D258" s="66">
        <f t="shared" si="137"/>
        <v>0</v>
      </c>
      <c r="E258" s="67"/>
      <c r="F258" s="58">
        <f t="shared" si="163"/>
        <v>60</v>
      </c>
      <c r="G258" s="58">
        <f t="shared" ref="G258:L258" si="250">SUMIFS($C258,$B258,G$7)+G257</f>
        <v>47</v>
      </c>
      <c r="H258" s="58">
        <f t="shared" si="250"/>
        <v>93</v>
      </c>
      <c r="I258" s="58">
        <f t="shared" si="250"/>
        <v>17</v>
      </c>
      <c r="J258" s="58">
        <f t="shared" si="250"/>
        <v>0</v>
      </c>
      <c r="K258" s="58">
        <f t="shared" si="250"/>
        <v>0</v>
      </c>
      <c r="L258" s="58">
        <f t="shared" si="250"/>
        <v>0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0" customHeight="1">
      <c r="A259" s="68">
        <v>46046.0</v>
      </c>
      <c r="B259" s="64" t="s">
        <v>16</v>
      </c>
      <c r="C259" s="65">
        <v>6.0</v>
      </c>
      <c r="D259" s="66">
        <f t="shared" si="137"/>
        <v>3300</v>
      </c>
      <c r="E259" s="56" t="s">
        <v>202</v>
      </c>
      <c r="F259" s="58">
        <f t="shared" si="163"/>
        <v>60</v>
      </c>
      <c r="G259" s="58">
        <f t="shared" ref="G259:L259" si="251">SUMIFS($C259,$B259,G$7)+G258</f>
        <v>47</v>
      </c>
      <c r="H259" s="58">
        <f t="shared" si="251"/>
        <v>99</v>
      </c>
      <c r="I259" s="58">
        <f t="shared" si="251"/>
        <v>17</v>
      </c>
      <c r="J259" s="58">
        <f t="shared" si="251"/>
        <v>0</v>
      </c>
      <c r="K259" s="58">
        <f t="shared" si="251"/>
        <v>0</v>
      </c>
      <c r="L259" s="58">
        <f t="shared" si="251"/>
        <v>0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0" customHeight="1">
      <c r="A260" s="70"/>
      <c r="B260" s="64" t="s">
        <v>9</v>
      </c>
      <c r="C260" s="65">
        <v>-6.0</v>
      </c>
      <c r="D260" s="66">
        <f t="shared" si="137"/>
        <v>-3300</v>
      </c>
      <c r="E260" s="56" t="s">
        <v>45</v>
      </c>
      <c r="F260" s="58">
        <f t="shared" si="163"/>
        <v>54</v>
      </c>
      <c r="G260" s="58">
        <f t="shared" ref="G260:L260" si="252">SUMIFS($C260,$B260,G$7)+G259</f>
        <v>47</v>
      </c>
      <c r="H260" s="58">
        <f t="shared" si="252"/>
        <v>99</v>
      </c>
      <c r="I260" s="58">
        <f t="shared" si="252"/>
        <v>17</v>
      </c>
      <c r="J260" s="58">
        <f t="shared" si="252"/>
        <v>0</v>
      </c>
      <c r="K260" s="58">
        <f t="shared" si="252"/>
        <v>0</v>
      </c>
      <c r="L260" s="58">
        <f t="shared" si="252"/>
        <v>0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0" customHeight="1">
      <c r="A261" s="70"/>
      <c r="B261" s="71"/>
      <c r="C261" s="66"/>
      <c r="D261" s="66">
        <f t="shared" si="137"/>
        <v>0</v>
      </c>
      <c r="E261" s="67"/>
      <c r="F261" s="58">
        <f t="shared" si="163"/>
        <v>54</v>
      </c>
      <c r="G261" s="58">
        <f t="shared" ref="G261:L261" si="253">SUMIFS($C261,$B261,G$7)+G260</f>
        <v>47</v>
      </c>
      <c r="H261" s="58">
        <f t="shared" si="253"/>
        <v>99</v>
      </c>
      <c r="I261" s="58">
        <f t="shared" si="253"/>
        <v>17</v>
      </c>
      <c r="J261" s="58">
        <f t="shared" si="253"/>
        <v>0</v>
      </c>
      <c r="K261" s="58">
        <f t="shared" si="253"/>
        <v>0</v>
      </c>
      <c r="L261" s="58">
        <f t="shared" si="253"/>
        <v>0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0" customHeight="1">
      <c r="A262" s="68">
        <v>46048.0</v>
      </c>
      <c r="B262" s="64" t="s">
        <v>16</v>
      </c>
      <c r="C262" s="65">
        <v>6.0</v>
      </c>
      <c r="D262" s="66">
        <f t="shared" si="137"/>
        <v>3300</v>
      </c>
      <c r="E262" s="56" t="s">
        <v>203</v>
      </c>
      <c r="F262" s="58">
        <f t="shared" si="163"/>
        <v>54</v>
      </c>
      <c r="G262" s="58">
        <f t="shared" ref="G262:L262" si="254">SUMIFS($C262,$B262,G$7)+G261</f>
        <v>47</v>
      </c>
      <c r="H262" s="58">
        <f t="shared" si="254"/>
        <v>105</v>
      </c>
      <c r="I262" s="58">
        <f t="shared" si="254"/>
        <v>17</v>
      </c>
      <c r="J262" s="58">
        <f t="shared" si="254"/>
        <v>0</v>
      </c>
      <c r="K262" s="58">
        <f t="shared" si="254"/>
        <v>0</v>
      </c>
      <c r="L262" s="58">
        <f t="shared" si="254"/>
        <v>0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0" customHeight="1">
      <c r="A263" s="70"/>
      <c r="B263" s="64" t="s">
        <v>9</v>
      </c>
      <c r="C263" s="65">
        <v>-6.0</v>
      </c>
      <c r="D263" s="66">
        <f t="shared" si="137"/>
        <v>-3300</v>
      </c>
      <c r="E263" s="56" t="s">
        <v>45</v>
      </c>
      <c r="F263" s="58">
        <f t="shared" si="163"/>
        <v>48</v>
      </c>
      <c r="G263" s="58">
        <f t="shared" ref="G263:L263" si="255">SUMIFS($C263,$B263,G$7)+G262</f>
        <v>47</v>
      </c>
      <c r="H263" s="58">
        <f t="shared" si="255"/>
        <v>105</v>
      </c>
      <c r="I263" s="58">
        <f t="shared" si="255"/>
        <v>17</v>
      </c>
      <c r="J263" s="58">
        <f t="shared" si="255"/>
        <v>0</v>
      </c>
      <c r="K263" s="58">
        <f t="shared" si="255"/>
        <v>0</v>
      </c>
      <c r="L263" s="58">
        <f t="shared" si="255"/>
        <v>0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0" customHeight="1">
      <c r="A264" s="70"/>
      <c r="B264" s="71"/>
      <c r="C264" s="66"/>
      <c r="D264" s="66">
        <f t="shared" si="137"/>
        <v>0</v>
      </c>
      <c r="E264" s="67"/>
      <c r="F264" s="58">
        <f t="shared" si="163"/>
        <v>48</v>
      </c>
      <c r="G264" s="58">
        <f t="shared" ref="G264:L264" si="256">SUMIFS($C264,$B264,G$7)+G263</f>
        <v>47</v>
      </c>
      <c r="H264" s="58">
        <f t="shared" si="256"/>
        <v>105</v>
      </c>
      <c r="I264" s="58">
        <f t="shared" si="256"/>
        <v>17</v>
      </c>
      <c r="J264" s="58">
        <f t="shared" si="256"/>
        <v>0</v>
      </c>
      <c r="K264" s="58">
        <f t="shared" si="256"/>
        <v>0</v>
      </c>
      <c r="L264" s="58">
        <f t="shared" si="256"/>
        <v>0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0" customHeight="1">
      <c r="A265" s="68">
        <v>46049.0</v>
      </c>
      <c r="B265" s="64" t="s">
        <v>16</v>
      </c>
      <c r="C265" s="65">
        <v>6.0</v>
      </c>
      <c r="D265" s="66">
        <f t="shared" si="137"/>
        <v>3300</v>
      </c>
      <c r="E265" s="56" t="s">
        <v>204</v>
      </c>
      <c r="F265" s="58">
        <f t="shared" si="163"/>
        <v>48</v>
      </c>
      <c r="G265" s="58">
        <f t="shared" ref="G265:L265" si="257">SUMIFS($C265,$B265,G$7)+G264</f>
        <v>47</v>
      </c>
      <c r="H265" s="58">
        <f t="shared" si="257"/>
        <v>111</v>
      </c>
      <c r="I265" s="58">
        <f t="shared" si="257"/>
        <v>17</v>
      </c>
      <c r="J265" s="58">
        <f t="shared" si="257"/>
        <v>0</v>
      </c>
      <c r="K265" s="58">
        <f t="shared" si="257"/>
        <v>0</v>
      </c>
      <c r="L265" s="58">
        <f t="shared" si="257"/>
        <v>0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0" customHeight="1">
      <c r="A266" s="70"/>
      <c r="B266" s="64" t="s">
        <v>9</v>
      </c>
      <c r="C266" s="65">
        <v>-6.0</v>
      </c>
      <c r="D266" s="66">
        <f t="shared" si="137"/>
        <v>-3300</v>
      </c>
      <c r="E266" s="56" t="s">
        <v>45</v>
      </c>
      <c r="F266" s="58">
        <f t="shared" si="163"/>
        <v>42</v>
      </c>
      <c r="G266" s="58">
        <f t="shared" ref="G266:L266" si="258">SUMIFS($C266,$B266,G$7)+G265</f>
        <v>47</v>
      </c>
      <c r="H266" s="58">
        <f t="shared" si="258"/>
        <v>111</v>
      </c>
      <c r="I266" s="58">
        <f t="shared" si="258"/>
        <v>17</v>
      </c>
      <c r="J266" s="58">
        <f t="shared" si="258"/>
        <v>0</v>
      </c>
      <c r="K266" s="58">
        <f t="shared" si="258"/>
        <v>0</v>
      </c>
      <c r="L266" s="58">
        <f t="shared" si="258"/>
        <v>0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0" customHeight="1">
      <c r="A267" s="70"/>
      <c r="B267" s="71"/>
      <c r="C267" s="66"/>
      <c r="D267" s="66">
        <f t="shared" si="137"/>
        <v>0</v>
      </c>
      <c r="E267" s="67"/>
      <c r="F267" s="58">
        <f t="shared" si="163"/>
        <v>42</v>
      </c>
      <c r="G267" s="58">
        <f t="shared" ref="G267:L267" si="259">SUMIFS($C267,$B267,G$7)+G266</f>
        <v>47</v>
      </c>
      <c r="H267" s="58">
        <f t="shared" si="259"/>
        <v>111</v>
      </c>
      <c r="I267" s="58">
        <f t="shared" si="259"/>
        <v>17</v>
      </c>
      <c r="J267" s="58">
        <f t="shared" si="259"/>
        <v>0</v>
      </c>
      <c r="K267" s="58">
        <f t="shared" si="259"/>
        <v>0</v>
      </c>
      <c r="L267" s="58">
        <f t="shared" si="259"/>
        <v>0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0" customHeight="1">
      <c r="A268" s="68">
        <v>46050.0</v>
      </c>
      <c r="B268" s="64" t="s">
        <v>16</v>
      </c>
      <c r="C268" s="65">
        <v>6.0</v>
      </c>
      <c r="D268" s="66">
        <f t="shared" si="137"/>
        <v>3300</v>
      </c>
      <c r="E268" s="75">
        <v>1.75192191162161E14</v>
      </c>
      <c r="F268" s="58">
        <f t="shared" si="163"/>
        <v>42</v>
      </c>
      <c r="G268" s="58">
        <f t="shared" ref="G268:L268" si="260">SUMIFS($C268,$B268,G$7)+G267</f>
        <v>47</v>
      </c>
      <c r="H268" s="58">
        <f t="shared" si="260"/>
        <v>117</v>
      </c>
      <c r="I268" s="58">
        <f t="shared" si="260"/>
        <v>17</v>
      </c>
      <c r="J268" s="58">
        <f t="shared" si="260"/>
        <v>0</v>
      </c>
      <c r="K268" s="58">
        <f t="shared" si="260"/>
        <v>0</v>
      </c>
      <c r="L268" s="58">
        <f t="shared" si="260"/>
        <v>0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0" customHeight="1">
      <c r="A269" s="70"/>
      <c r="B269" s="64" t="s">
        <v>9</v>
      </c>
      <c r="C269" s="65">
        <v>-6.0</v>
      </c>
      <c r="D269" s="66">
        <f t="shared" si="137"/>
        <v>-3300</v>
      </c>
      <c r="E269" s="56" t="s">
        <v>45</v>
      </c>
      <c r="F269" s="58">
        <f t="shared" si="163"/>
        <v>36</v>
      </c>
      <c r="G269" s="58">
        <f t="shared" ref="G269:L269" si="261">SUMIFS($C269,$B269,G$7)+G268</f>
        <v>47</v>
      </c>
      <c r="H269" s="58">
        <f t="shared" si="261"/>
        <v>117</v>
      </c>
      <c r="I269" s="58">
        <f t="shared" si="261"/>
        <v>17</v>
      </c>
      <c r="J269" s="58">
        <f t="shared" si="261"/>
        <v>0</v>
      </c>
      <c r="K269" s="58">
        <f t="shared" si="261"/>
        <v>0</v>
      </c>
      <c r="L269" s="58">
        <f t="shared" si="261"/>
        <v>0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0" customHeight="1">
      <c r="A270" s="70"/>
      <c r="B270" s="71"/>
      <c r="C270" s="66"/>
      <c r="D270" s="66">
        <f t="shared" si="137"/>
        <v>0</v>
      </c>
      <c r="E270" s="67"/>
      <c r="F270" s="58">
        <f t="shared" si="163"/>
        <v>36</v>
      </c>
      <c r="G270" s="58">
        <f t="shared" ref="G270:L270" si="262">SUMIFS($C270,$B270,G$7)+G269</f>
        <v>47</v>
      </c>
      <c r="H270" s="58">
        <f t="shared" si="262"/>
        <v>117</v>
      </c>
      <c r="I270" s="58">
        <f t="shared" si="262"/>
        <v>17</v>
      </c>
      <c r="J270" s="58">
        <f t="shared" si="262"/>
        <v>0</v>
      </c>
      <c r="K270" s="58">
        <f t="shared" si="262"/>
        <v>0</v>
      </c>
      <c r="L270" s="58">
        <f t="shared" si="262"/>
        <v>0</v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0" customHeight="1">
      <c r="A271" s="68">
        <v>46051.0</v>
      </c>
      <c r="B271" s="64" t="s">
        <v>16</v>
      </c>
      <c r="C271" s="65">
        <v>6.0</v>
      </c>
      <c r="D271" s="66">
        <f t="shared" si="137"/>
        <v>3300</v>
      </c>
      <c r="E271" s="56" t="s">
        <v>205</v>
      </c>
      <c r="F271" s="58">
        <f t="shared" si="163"/>
        <v>36</v>
      </c>
      <c r="G271" s="58">
        <f t="shared" ref="G271:L271" si="263">SUMIFS($C271,$B271,G$7)+G270</f>
        <v>47</v>
      </c>
      <c r="H271" s="58">
        <f t="shared" si="263"/>
        <v>123</v>
      </c>
      <c r="I271" s="58">
        <f t="shared" si="263"/>
        <v>17</v>
      </c>
      <c r="J271" s="58">
        <f t="shared" si="263"/>
        <v>0</v>
      </c>
      <c r="K271" s="58">
        <f t="shared" si="263"/>
        <v>0</v>
      </c>
      <c r="L271" s="58">
        <f t="shared" si="263"/>
        <v>0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0" customHeight="1">
      <c r="A272" s="70"/>
      <c r="B272" s="64" t="s">
        <v>9</v>
      </c>
      <c r="C272" s="65">
        <v>-6.0</v>
      </c>
      <c r="D272" s="66">
        <f t="shared" si="137"/>
        <v>-3300</v>
      </c>
      <c r="E272" s="56" t="s">
        <v>45</v>
      </c>
      <c r="F272" s="58">
        <f t="shared" si="163"/>
        <v>30</v>
      </c>
      <c r="G272" s="58">
        <f t="shared" ref="G272:L272" si="264">SUMIFS($C272,$B272,G$7)+G271</f>
        <v>47</v>
      </c>
      <c r="H272" s="58">
        <f t="shared" si="264"/>
        <v>123</v>
      </c>
      <c r="I272" s="58">
        <f t="shared" si="264"/>
        <v>17</v>
      </c>
      <c r="J272" s="58">
        <f t="shared" si="264"/>
        <v>0</v>
      </c>
      <c r="K272" s="58">
        <f t="shared" si="264"/>
        <v>0</v>
      </c>
      <c r="L272" s="58">
        <f t="shared" si="264"/>
        <v>0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0" customHeight="1">
      <c r="A273" s="70"/>
      <c r="B273" s="71"/>
      <c r="C273" s="66"/>
      <c r="D273" s="66">
        <f t="shared" si="137"/>
        <v>0</v>
      </c>
      <c r="E273" s="67"/>
      <c r="F273" s="58">
        <f t="shared" si="163"/>
        <v>30</v>
      </c>
      <c r="G273" s="58">
        <f t="shared" ref="G273:L273" si="265">SUMIFS($C273,$B273,G$7)+G272</f>
        <v>47</v>
      </c>
      <c r="H273" s="58">
        <f t="shared" si="265"/>
        <v>123</v>
      </c>
      <c r="I273" s="58">
        <f t="shared" si="265"/>
        <v>17</v>
      </c>
      <c r="J273" s="58">
        <f t="shared" si="265"/>
        <v>0</v>
      </c>
      <c r="K273" s="58">
        <f t="shared" si="265"/>
        <v>0</v>
      </c>
      <c r="L273" s="58">
        <f t="shared" si="265"/>
        <v>0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0" customHeight="1">
      <c r="A274" s="68">
        <v>46052.0</v>
      </c>
      <c r="B274" s="64" t="s">
        <v>16</v>
      </c>
      <c r="C274" s="65">
        <v>5.0</v>
      </c>
      <c r="D274" s="66">
        <f t="shared" si="137"/>
        <v>2750</v>
      </c>
      <c r="E274" s="78" t="s">
        <v>206</v>
      </c>
      <c r="F274" s="58">
        <f t="shared" si="163"/>
        <v>30</v>
      </c>
      <c r="G274" s="58">
        <f t="shared" ref="G274:L274" si="266">SUMIFS($C274,$B274,G$7)+G273</f>
        <v>47</v>
      </c>
      <c r="H274" s="58">
        <f t="shared" si="266"/>
        <v>128</v>
      </c>
      <c r="I274" s="58">
        <f t="shared" si="266"/>
        <v>17</v>
      </c>
      <c r="J274" s="58">
        <f t="shared" si="266"/>
        <v>0</v>
      </c>
      <c r="K274" s="58">
        <f t="shared" si="266"/>
        <v>0</v>
      </c>
      <c r="L274" s="58">
        <f t="shared" si="266"/>
        <v>0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0" customHeight="1">
      <c r="A275" s="70"/>
      <c r="B275" s="64" t="s">
        <v>9</v>
      </c>
      <c r="C275" s="65">
        <v>-5.0</v>
      </c>
      <c r="D275" s="66">
        <f t="shared" si="137"/>
        <v>-2750</v>
      </c>
      <c r="E275" s="56" t="s">
        <v>207</v>
      </c>
      <c r="F275" s="58">
        <f t="shared" si="163"/>
        <v>25</v>
      </c>
      <c r="G275" s="58">
        <f t="shared" ref="G275:L275" si="267">SUMIFS($C275,$B275,G$7)+G274</f>
        <v>47</v>
      </c>
      <c r="H275" s="58">
        <f t="shared" si="267"/>
        <v>128</v>
      </c>
      <c r="I275" s="58">
        <f t="shared" si="267"/>
        <v>17</v>
      </c>
      <c r="J275" s="58">
        <f t="shared" si="267"/>
        <v>0</v>
      </c>
      <c r="K275" s="58">
        <f t="shared" si="267"/>
        <v>0</v>
      </c>
      <c r="L275" s="58">
        <f t="shared" si="267"/>
        <v>0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0" customHeight="1">
      <c r="A276" s="70"/>
      <c r="B276" s="71"/>
      <c r="C276" s="66"/>
      <c r="D276" s="66">
        <f t="shared" si="137"/>
        <v>0</v>
      </c>
      <c r="E276" s="67"/>
      <c r="F276" s="58">
        <f t="shared" si="163"/>
        <v>25</v>
      </c>
      <c r="G276" s="58">
        <f t="shared" ref="G276:L276" si="268">SUMIFS($C276,$B276,G$7)+G275</f>
        <v>47</v>
      </c>
      <c r="H276" s="58">
        <f t="shared" si="268"/>
        <v>128</v>
      </c>
      <c r="I276" s="58">
        <f t="shared" si="268"/>
        <v>17</v>
      </c>
      <c r="J276" s="58">
        <f t="shared" si="268"/>
        <v>0</v>
      </c>
      <c r="K276" s="58">
        <f t="shared" si="268"/>
        <v>0</v>
      </c>
      <c r="L276" s="58">
        <f t="shared" si="268"/>
        <v>0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0" customHeight="1">
      <c r="A277" s="68">
        <v>46053.0</v>
      </c>
      <c r="B277" s="64" t="s">
        <v>13</v>
      </c>
      <c r="C277" s="65">
        <v>-47.0</v>
      </c>
      <c r="D277" s="66">
        <f t="shared" si="137"/>
        <v>-25850</v>
      </c>
      <c r="E277" s="67"/>
      <c r="F277" s="58">
        <f t="shared" si="163"/>
        <v>25</v>
      </c>
      <c r="G277" s="58">
        <f t="shared" ref="G277:L277" si="269">SUMIFS($C277,$B277,G$7)+G276</f>
        <v>0</v>
      </c>
      <c r="H277" s="58">
        <f t="shared" si="269"/>
        <v>128</v>
      </c>
      <c r="I277" s="58">
        <f t="shared" si="269"/>
        <v>17</v>
      </c>
      <c r="J277" s="58">
        <f t="shared" si="269"/>
        <v>0</v>
      </c>
      <c r="K277" s="58">
        <f t="shared" si="269"/>
        <v>0</v>
      </c>
      <c r="L277" s="58">
        <f t="shared" si="269"/>
        <v>0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0" customHeight="1">
      <c r="A278" s="70"/>
      <c r="B278" s="64" t="s">
        <v>17</v>
      </c>
      <c r="C278" s="65">
        <v>47.0</v>
      </c>
      <c r="D278" s="66">
        <f t="shared" si="137"/>
        <v>25850</v>
      </c>
      <c r="E278" s="56" t="s">
        <v>208</v>
      </c>
      <c r="F278" s="58">
        <f t="shared" si="163"/>
        <v>25</v>
      </c>
      <c r="G278" s="58">
        <f t="shared" ref="G278:L278" si="270">SUMIFS($C278,$B278,G$7)+G277</f>
        <v>0</v>
      </c>
      <c r="H278" s="58">
        <f t="shared" si="270"/>
        <v>128</v>
      </c>
      <c r="I278" s="58">
        <f t="shared" si="270"/>
        <v>64</v>
      </c>
      <c r="J278" s="58">
        <f t="shared" si="270"/>
        <v>0</v>
      </c>
      <c r="K278" s="58">
        <f t="shared" si="270"/>
        <v>0</v>
      </c>
      <c r="L278" s="58">
        <f t="shared" si="270"/>
        <v>0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0" customHeight="1">
      <c r="A279" s="70"/>
      <c r="B279" s="64" t="s">
        <v>16</v>
      </c>
      <c r="C279" s="65">
        <v>-128.0</v>
      </c>
      <c r="D279" s="66">
        <f t="shared" si="137"/>
        <v>-70400</v>
      </c>
      <c r="E279" s="67"/>
      <c r="F279" s="58">
        <f t="shared" si="163"/>
        <v>25</v>
      </c>
      <c r="G279" s="58">
        <f t="shared" ref="G279:L279" si="271">SUMIFS($C279,$B279,G$7)+G278</f>
        <v>0</v>
      </c>
      <c r="H279" s="58">
        <f t="shared" si="271"/>
        <v>0</v>
      </c>
      <c r="I279" s="58">
        <f t="shared" si="271"/>
        <v>64</v>
      </c>
      <c r="J279" s="58">
        <f t="shared" si="271"/>
        <v>0</v>
      </c>
      <c r="K279" s="58">
        <f t="shared" si="271"/>
        <v>0</v>
      </c>
      <c r="L279" s="58">
        <f t="shared" si="271"/>
        <v>0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0" customHeight="1">
      <c r="A280" s="70"/>
      <c r="B280" s="64" t="s">
        <v>17</v>
      </c>
      <c r="C280" s="65">
        <v>128.0</v>
      </c>
      <c r="D280" s="66">
        <f t="shared" si="137"/>
        <v>70400</v>
      </c>
      <c r="E280" s="56" t="s">
        <v>209</v>
      </c>
      <c r="F280" s="58">
        <f t="shared" si="163"/>
        <v>25</v>
      </c>
      <c r="G280" s="58">
        <f t="shared" ref="G280:L280" si="272">SUMIFS($C280,$B280,G$7)+G279</f>
        <v>0</v>
      </c>
      <c r="H280" s="58">
        <f t="shared" si="272"/>
        <v>0</v>
      </c>
      <c r="I280" s="58">
        <f t="shared" si="272"/>
        <v>192</v>
      </c>
      <c r="J280" s="58">
        <f t="shared" si="272"/>
        <v>0</v>
      </c>
      <c r="K280" s="58">
        <f t="shared" si="272"/>
        <v>0</v>
      </c>
      <c r="L280" s="58">
        <f t="shared" si="272"/>
        <v>0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0" customHeight="1">
      <c r="A281" s="70"/>
      <c r="B281" s="64" t="s">
        <v>9</v>
      </c>
      <c r="C281" s="65">
        <v>-25.0</v>
      </c>
      <c r="D281" s="66">
        <f t="shared" si="137"/>
        <v>-13750</v>
      </c>
      <c r="E281" s="67"/>
      <c r="F281" s="58">
        <f t="shared" si="163"/>
        <v>0</v>
      </c>
      <c r="G281" s="58">
        <f t="shared" ref="G281:L281" si="273">SUMIFS($C281,$B281,G$7)+G280</f>
        <v>0</v>
      </c>
      <c r="H281" s="58">
        <f t="shared" si="273"/>
        <v>0</v>
      </c>
      <c r="I281" s="58">
        <f t="shared" si="273"/>
        <v>192</v>
      </c>
      <c r="J281" s="58">
        <f t="shared" si="273"/>
        <v>0</v>
      </c>
      <c r="K281" s="58">
        <f t="shared" si="273"/>
        <v>0</v>
      </c>
      <c r="L281" s="58">
        <f t="shared" si="273"/>
        <v>0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0" customHeight="1">
      <c r="A282" s="70"/>
      <c r="B282" s="64" t="s">
        <v>17</v>
      </c>
      <c r="C282" s="65">
        <v>25.0</v>
      </c>
      <c r="D282" s="66">
        <f t="shared" si="137"/>
        <v>13750</v>
      </c>
      <c r="E282" s="56" t="s">
        <v>210</v>
      </c>
      <c r="F282" s="58">
        <f t="shared" si="163"/>
        <v>0</v>
      </c>
      <c r="G282" s="58">
        <f t="shared" ref="G282:L282" si="274">SUMIFS($C282,$B282,G$7)+G281</f>
        <v>0</v>
      </c>
      <c r="H282" s="58">
        <f t="shared" si="274"/>
        <v>0</v>
      </c>
      <c r="I282" s="58">
        <f t="shared" si="274"/>
        <v>217</v>
      </c>
      <c r="J282" s="58">
        <f t="shared" si="274"/>
        <v>0</v>
      </c>
      <c r="K282" s="58">
        <f t="shared" si="274"/>
        <v>0</v>
      </c>
      <c r="L282" s="58">
        <f t="shared" si="274"/>
        <v>0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0" customHeight="1">
      <c r="A283" s="70"/>
      <c r="B283" s="71"/>
      <c r="C283" s="66"/>
      <c r="D283" s="66">
        <f t="shared" si="137"/>
        <v>0</v>
      </c>
      <c r="E283" s="67"/>
      <c r="F283" s="58">
        <f t="shared" si="163"/>
        <v>0</v>
      </c>
      <c r="G283" s="58">
        <f t="shared" ref="G283:L283" si="275">SUMIFS($C283,$B283,G$7)+G282</f>
        <v>0</v>
      </c>
      <c r="H283" s="58">
        <f t="shared" si="275"/>
        <v>0</v>
      </c>
      <c r="I283" s="58">
        <f t="shared" si="275"/>
        <v>217</v>
      </c>
      <c r="J283" s="58">
        <f t="shared" si="275"/>
        <v>0</v>
      </c>
      <c r="K283" s="58">
        <f t="shared" si="275"/>
        <v>0</v>
      </c>
      <c r="L283" s="58">
        <f t="shared" si="275"/>
        <v>0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0" customHeight="1">
      <c r="A284" s="68">
        <v>46059.0</v>
      </c>
      <c r="B284" s="64" t="s">
        <v>9</v>
      </c>
      <c r="C284" s="65">
        <v>3.0</v>
      </c>
      <c r="D284" s="66">
        <f t="shared" si="137"/>
        <v>1650</v>
      </c>
      <c r="E284" s="67"/>
      <c r="F284" s="58">
        <f t="shared" si="163"/>
        <v>3</v>
      </c>
      <c r="G284" s="58">
        <f t="shared" ref="G284:L284" si="276">SUMIFS($C284,$B284,G$7)+G283</f>
        <v>0</v>
      </c>
      <c r="H284" s="58">
        <f t="shared" si="276"/>
        <v>0</v>
      </c>
      <c r="I284" s="58">
        <f t="shared" si="276"/>
        <v>217</v>
      </c>
      <c r="J284" s="58">
        <f t="shared" si="276"/>
        <v>0</v>
      </c>
      <c r="K284" s="58">
        <f t="shared" si="276"/>
        <v>0</v>
      </c>
      <c r="L284" s="58">
        <f t="shared" si="276"/>
        <v>0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0" customHeight="1">
      <c r="A285" s="70"/>
      <c r="B285" s="71"/>
      <c r="C285" s="66"/>
      <c r="D285" s="66">
        <f t="shared" si="137"/>
        <v>0</v>
      </c>
      <c r="E285" s="67"/>
      <c r="F285" s="58">
        <f t="shared" si="163"/>
        <v>3</v>
      </c>
      <c r="G285" s="58">
        <f t="shared" ref="G285:L285" si="277">SUMIFS($C285,$B285,G$7)+G284</f>
        <v>0</v>
      </c>
      <c r="H285" s="58">
        <f t="shared" si="277"/>
        <v>0</v>
      </c>
      <c r="I285" s="58">
        <f t="shared" si="277"/>
        <v>217</v>
      </c>
      <c r="J285" s="58">
        <f t="shared" si="277"/>
        <v>0</v>
      </c>
      <c r="K285" s="58">
        <f t="shared" si="277"/>
        <v>0</v>
      </c>
      <c r="L285" s="58">
        <f t="shared" si="277"/>
        <v>0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0" customHeight="1">
      <c r="A286" s="68">
        <v>46060.0</v>
      </c>
      <c r="B286" s="64" t="s">
        <v>9</v>
      </c>
      <c r="C286" s="65">
        <v>12.0</v>
      </c>
      <c r="D286" s="66">
        <f t="shared" si="137"/>
        <v>6600</v>
      </c>
      <c r="E286" s="67"/>
      <c r="F286" s="58">
        <f t="shared" si="163"/>
        <v>15</v>
      </c>
      <c r="G286" s="58">
        <f t="shared" ref="G286:L286" si="278">SUMIFS($C286,$B286,G$7)+G285</f>
        <v>0</v>
      </c>
      <c r="H286" s="58">
        <f t="shared" si="278"/>
        <v>0</v>
      </c>
      <c r="I286" s="58">
        <f t="shared" si="278"/>
        <v>217</v>
      </c>
      <c r="J286" s="58">
        <f t="shared" si="278"/>
        <v>0</v>
      </c>
      <c r="K286" s="58">
        <f t="shared" si="278"/>
        <v>0</v>
      </c>
      <c r="L286" s="58">
        <f t="shared" si="278"/>
        <v>0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0" customHeight="1">
      <c r="A287" s="70"/>
      <c r="B287" s="71"/>
      <c r="C287" s="66"/>
      <c r="D287" s="66">
        <f t="shared" si="137"/>
        <v>0</v>
      </c>
      <c r="E287" s="67"/>
      <c r="F287" s="58">
        <f t="shared" si="163"/>
        <v>15</v>
      </c>
      <c r="G287" s="58">
        <f t="shared" ref="G287:L287" si="279">SUMIFS($C287,$B287,G$7)+G286</f>
        <v>0</v>
      </c>
      <c r="H287" s="58">
        <f t="shared" si="279"/>
        <v>0</v>
      </c>
      <c r="I287" s="58">
        <f t="shared" si="279"/>
        <v>217</v>
      </c>
      <c r="J287" s="58">
        <f t="shared" si="279"/>
        <v>0</v>
      </c>
      <c r="K287" s="58">
        <f t="shared" si="279"/>
        <v>0</v>
      </c>
      <c r="L287" s="58">
        <f t="shared" si="279"/>
        <v>0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0" customHeight="1">
      <c r="A288" s="68">
        <v>46062.0</v>
      </c>
      <c r="B288" s="64" t="s">
        <v>9</v>
      </c>
      <c r="C288" s="65">
        <v>16.0</v>
      </c>
      <c r="D288" s="66">
        <f t="shared" si="137"/>
        <v>8800</v>
      </c>
      <c r="E288" s="67"/>
      <c r="F288" s="58">
        <f t="shared" si="163"/>
        <v>31</v>
      </c>
      <c r="G288" s="58">
        <f t="shared" ref="G288:L288" si="280">SUMIFS($C288,$B288,G$7)+G287</f>
        <v>0</v>
      </c>
      <c r="H288" s="58">
        <f t="shared" si="280"/>
        <v>0</v>
      </c>
      <c r="I288" s="58">
        <f t="shared" si="280"/>
        <v>217</v>
      </c>
      <c r="J288" s="58">
        <f t="shared" si="280"/>
        <v>0</v>
      </c>
      <c r="K288" s="58">
        <f t="shared" si="280"/>
        <v>0</v>
      </c>
      <c r="L288" s="58">
        <f t="shared" si="280"/>
        <v>0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0" customHeight="1">
      <c r="A289" s="70"/>
      <c r="B289" s="71"/>
      <c r="C289" s="66"/>
      <c r="D289" s="66">
        <f t="shared" si="137"/>
        <v>0</v>
      </c>
      <c r="E289" s="67"/>
      <c r="F289" s="58">
        <f t="shared" si="163"/>
        <v>31</v>
      </c>
      <c r="G289" s="58">
        <f t="shared" ref="G289:L289" si="281">SUMIFS($C289,$B289,G$7)+G288</f>
        <v>0</v>
      </c>
      <c r="H289" s="58">
        <f t="shared" si="281"/>
        <v>0</v>
      </c>
      <c r="I289" s="58">
        <f t="shared" si="281"/>
        <v>217</v>
      </c>
      <c r="J289" s="58">
        <f t="shared" si="281"/>
        <v>0</v>
      </c>
      <c r="K289" s="58">
        <f t="shared" si="281"/>
        <v>0</v>
      </c>
      <c r="L289" s="58">
        <f t="shared" si="281"/>
        <v>0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0" customHeight="1">
      <c r="A290" s="68">
        <v>46063.0</v>
      </c>
      <c r="B290" s="64" t="s">
        <v>9</v>
      </c>
      <c r="C290" s="65">
        <v>16.0</v>
      </c>
      <c r="D290" s="66">
        <f t="shared" si="137"/>
        <v>8800</v>
      </c>
      <c r="E290" s="67"/>
      <c r="F290" s="58">
        <f t="shared" si="163"/>
        <v>47</v>
      </c>
      <c r="G290" s="58">
        <f t="shared" ref="G290:L290" si="282">SUMIFS($C290,$B290,G$7)+G289</f>
        <v>0</v>
      </c>
      <c r="H290" s="58">
        <f t="shared" si="282"/>
        <v>0</v>
      </c>
      <c r="I290" s="58">
        <f t="shared" si="282"/>
        <v>217</v>
      </c>
      <c r="J290" s="58">
        <f t="shared" si="282"/>
        <v>0</v>
      </c>
      <c r="K290" s="58">
        <f t="shared" si="282"/>
        <v>0</v>
      </c>
      <c r="L290" s="58">
        <f t="shared" si="282"/>
        <v>0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0" customHeight="1">
      <c r="A291" s="70"/>
      <c r="B291" s="71"/>
      <c r="C291" s="66"/>
      <c r="D291" s="66">
        <f t="shared" si="137"/>
        <v>0</v>
      </c>
      <c r="E291" s="67"/>
      <c r="F291" s="58">
        <f t="shared" si="163"/>
        <v>47</v>
      </c>
      <c r="G291" s="58">
        <f t="shared" ref="G291:L291" si="283">SUMIFS($C291,$B291,G$7)+G290</f>
        <v>0</v>
      </c>
      <c r="H291" s="58">
        <f t="shared" si="283"/>
        <v>0</v>
      </c>
      <c r="I291" s="58">
        <f t="shared" si="283"/>
        <v>217</v>
      </c>
      <c r="J291" s="58">
        <f t="shared" si="283"/>
        <v>0</v>
      </c>
      <c r="K291" s="58">
        <f t="shared" si="283"/>
        <v>0</v>
      </c>
      <c r="L291" s="58">
        <f t="shared" si="283"/>
        <v>0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0" customHeight="1">
      <c r="A292" s="68">
        <v>46064.0</v>
      </c>
      <c r="B292" s="64" t="s">
        <v>9</v>
      </c>
      <c r="C292" s="65">
        <v>13.0</v>
      </c>
      <c r="D292" s="66">
        <f t="shared" si="137"/>
        <v>7150</v>
      </c>
      <c r="E292" s="67"/>
      <c r="F292" s="58">
        <f t="shared" si="163"/>
        <v>60</v>
      </c>
      <c r="G292" s="58">
        <f t="shared" ref="G292:L292" si="284">SUMIFS($C292,$B292,G$7)+G291</f>
        <v>0</v>
      </c>
      <c r="H292" s="58">
        <f t="shared" si="284"/>
        <v>0</v>
      </c>
      <c r="I292" s="58">
        <f t="shared" si="284"/>
        <v>217</v>
      </c>
      <c r="J292" s="58">
        <f t="shared" si="284"/>
        <v>0</v>
      </c>
      <c r="K292" s="58">
        <f t="shared" si="284"/>
        <v>0</v>
      </c>
      <c r="L292" s="58">
        <f t="shared" si="284"/>
        <v>0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0" customHeight="1">
      <c r="A293" s="70"/>
      <c r="B293" s="71"/>
      <c r="C293" s="66"/>
      <c r="D293" s="66">
        <f t="shared" si="137"/>
        <v>0</v>
      </c>
      <c r="E293" s="67"/>
      <c r="F293" s="58">
        <f t="shared" si="163"/>
        <v>60</v>
      </c>
      <c r="G293" s="58">
        <f t="shared" ref="G293:L293" si="285">SUMIFS($C293,$B293,G$7)+G292</f>
        <v>0</v>
      </c>
      <c r="H293" s="58">
        <f t="shared" si="285"/>
        <v>0</v>
      </c>
      <c r="I293" s="58">
        <f t="shared" si="285"/>
        <v>217</v>
      </c>
      <c r="J293" s="58">
        <f t="shared" si="285"/>
        <v>0</v>
      </c>
      <c r="K293" s="58">
        <f t="shared" si="285"/>
        <v>0</v>
      </c>
      <c r="L293" s="58">
        <f t="shared" si="285"/>
        <v>0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0" customHeight="1">
      <c r="A294" s="68">
        <v>46065.0</v>
      </c>
      <c r="B294" s="64" t="s">
        <v>9</v>
      </c>
      <c r="C294" s="65">
        <v>15.0</v>
      </c>
      <c r="D294" s="66">
        <f t="shared" si="137"/>
        <v>8250</v>
      </c>
      <c r="E294" s="67"/>
      <c r="F294" s="58">
        <f t="shared" si="163"/>
        <v>75</v>
      </c>
      <c r="G294" s="58">
        <f t="shared" ref="G294:L294" si="286">SUMIFS($C294,$B294,G$7)+G293</f>
        <v>0</v>
      </c>
      <c r="H294" s="58">
        <f t="shared" si="286"/>
        <v>0</v>
      </c>
      <c r="I294" s="58">
        <f t="shared" si="286"/>
        <v>217</v>
      </c>
      <c r="J294" s="58">
        <f t="shared" si="286"/>
        <v>0</v>
      </c>
      <c r="K294" s="58">
        <f t="shared" si="286"/>
        <v>0</v>
      </c>
      <c r="L294" s="58">
        <f t="shared" si="286"/>
        <v>0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0" customHeight="1">
      <c r="A295" s="70"/>
      <c r="B295" s="71"/>
      <c r="C295" s="66"/>
      <c r="D295" s="66">
        <f t="shared" si="137"/>
        <v>0</v>
      </c>
      <c r="E295" s="67"/>
      <c r="F295" s="58">
        <f t="shared" si="163"/>
        <v>75</v>
      </c>
      <c r="G295" s="58">
        <f t="shared" ref="G295:L295" si="287">SUMIFS($C295,$B295,G$7)+G294</f>
        <v>0</v>
      </c>
      <c r="H295" s="58">
        <f t="shared" si="287"/>
        <v>0</v>
      </c>
      <c r="I295" s="58">
        <f t="shared" si="287"/>
        <v>217</v>
      </c>
      <c r="J295" s="58">
        <f t="shared" si="287"/>
        <v>0</v>
      </c>
      <c r="K295" s="58">
        <f t="shared" si="287"/>
        <v>0</v>
      </c>
      <c r="L295" s="58">
        <f t="shared" si="287"/>
        <v>0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0" customHeight="1">
      <c r="A296" s="68">
        <v>46066.0</v>
      </c>
      <c r="B296" s="64" t="s">
        <v>9</v>
      </c>
      <c r="C296" s="65">
        <v>16.0</v>
      </c>
      <c r="D296" s="66">
        <f t="shared" si="137"/>
        <v>8800</v>
      </c>
      <c r="E296" s="67"/>
      <c r="F296" s="58">
        <f t="shared" si="163"/>
        <v>91</v>
      </c>
      <c r="G296" s="58">
        <f t="shared" ref="G296:L296" si="288">SUMIFS($C296,$B296,G$7)+G295</f>
        <v>0</v>
      </c>
      <c r="H296" s="58">
        <f t="shared" si="288"/>
        <v>0</v>
      </c>
      <c r="I296" s="58">
        <f t="shared" si="288"/>
        <v>217</v>
      </c>
      <c r="J296" s="58">
        <f t="shared" si="288"/>
        <v>0</v>
      </c>
      <c r="K296" s="58">
        <f t="shared" si="288"/>
        <v>0</v>
      </c>
      <c r="L296" s="58">
        <f t="shared" si="288"/>
        <v>0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0" customHeight="1">
      <c r="A297" s="70"/>
      <c r="B297" s="71"/>
      <c r="C297" s="66"/>
      <c r="D297" s="66">
        <f t="shared" si="137"/>
        <v>0</v>
      </c>
      <c r="E297" s="67"/>
      <c r="F297" s="58">
        <f t="shared" si="163"/>
        <v>91</v>
      </c>
      <c r="G297" s="58">
        <f t="shared" ref="G297:L297" si="289">SUMIFS($C297,$B297,G$7)+G296</f>
        <v>0</v>
      </c>
      <c r="H297" s="58">
        <f t="shared" si="289"/>
        <v>0</v>
      </c>
      <c r="I297" s="58">
        <f t="shared" si="289"/>
        <v>217</v>
      </c>
      <c r="J297" s="58">
        <f t="shared" si="289"/>
        <v>0</v>
      </c>
      <c r="K297" s="58">
        <f t="shared" si="289"/>
        <v>0</v>
      </c>
      <c r="L297" s="58">
        <f t="shared" si="289"/>
        <v>0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0" customHeight="1">
      <c r="A298" s="68">
        <v>46067.0</v>
      </c>
      <c r="B298" s="64" t="s">
        <v>9</v>
      </c>
      <c r="C298" s="65">
        <v>16.0</v>
      </c>
      <c r="D298" s="66">
        <f t="shared" si="137"/>
        <v>8800</v>
      </c>
      <c r="E298" s="67"/>
      <c r="F298" s="58">
        <f t="shared" si="163"/>
        <v>107</v>
      </c>
      <c r="G298" s="58">
        <f t="shared" ref="G298:L298" si="290">SUMIFS($C298,$B298,G$7)+G297</f>
        <v>0</v>
      </c>
      <c r="H298" s="58">
        <f t="shared" si="290"/>
        <v>0</v>
      </c>
      <c r="I298" s="58">
        <f t="shared" si="290"/>
        <v>217</v>
      </c>
      <c r="J298" s="58">
        <f t="shared" si="290"/>
        <v>0</v>
      </c>
      <c r="K298" s="58">
        <f t="shared" si="290"/>
        <v>0</v>
      </c>
      <c r="L298" s="58">
        <f t="shared" si="290"/>
        <v>0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0" customHeight="1">
      <c r="A299" s="70"/>
      <c r="B299" s="64" t="s">
        <v>16</v>
      </c>
      <c r="C299" s="65">
        <v>3.0</v>
      </c>
      <c r="D299" s="66">
        <f t="shared" si="137"/>
        <v>1650</v>
      </c>
      <c r="E299" s="56" t="s">
        <v>211</v>
      </c>
      <c r="F299" s="58">
        <f t="shared" si="163"/>
        <v>107</v>
      </c>
      <c r="G299" s="58">
        <f t="shared" ref="G299:L299" si="291">SUMIFS($C299,$B299,G$7)+G298</f>
        <v>0</v>
      </c>
      <c r="H299" s="58">
        <f t="shared" si="291"/>
        <v>3</v>
      </c>
      <c r="I299" s="58">
        <f t="shared" si="291"/>
        <v>217</v>
      </c>
      <c r="J299" s="58">
        <f t="shared" si="291"/>
        <v>0</v>
      </c>
      <c r="K299" s="58">
        <f t="shared" si="291"/>
        <v>0</v>
      </c>
      <c r="L299" s="58">
        <f t="shared" si="291"/>
        <v>0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0" customHeight="1">
      <c r="A300" s="70"/>
      <c r="B300" s="64" t="s">
        <v>9</v>
      </c>
      <c r="C300" s="65">
        <v>-3.0</v>
      </c>
      <c r="D300" s="66">
        <f t="shared" si="137"/>
        <v>-1650</v>
      </c>
      <c r="E300" s="67"/>
      <c r="F300" s="58">
        <f t="shared" si="163"/>
        <v>104</v>
      </c>
      <c r="G300" s="58">
        <f t="shared" ref="G300:L300" si="292">SUMIFS($C300,$B300,G$7)+G299</f>
        <v>0</v>
      </c>
      <c r="H300" s="58">
        <f t="shared" si="292"/>
        <v>3</v>
      </c>
      <c r="I300" s="58">
        <f t="shared" si="292"/>
        <v>217</v>
      </c>
      <c r="J300" s="58">
        <f t="shared" si="292"/>
        <v>0</v>
      </c>
      <c r="K300" s="58">
        <f t="shared" si="292"/>
        <v>0</v>
      </c>
      <c r="L300" s="58">
        <f t="shared" si="292"/>
        <v>0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0" customHeight="1">
      <c r="A301" s="70"/>
      <c r="B301" s="71"/>
      <c r="C301" s="66"/>
      <c r="D301" s="66">
        <f t="shared" si="137"/>
        <v>0</v>
      </c>
      <c r="E301" s="67"/>
      <c r="F301" s="58">
        <f t="shared" si="163"/>
        <v>104</v>
      </c>
      <c r="G301" s="58">
        <f t="shared" ref="G301:L301" si="293">SUMIFS($C301,$B301,G$7)+G300</f>
        <v>0</v>
      </c>
      <c r="H301" s="58">
        <f t="shared" si="293"/>
        <v>3</v>
      </c>
      <c r="I301" s="58">
        <f t="shared" si="293"/>
        <v>217</v>
      </c>
      <c r="J301" s="58">
        <f t="shared" si="293"/>
        <v>0</v>
      </c>
      <c r="K301" s="58">
        <f t="shared" si="293"/>
        <v>0</v>
      </c>
      <c r="L301" s="58">
        <f t="shared" si="293"/>
        <v>0</v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0" customHeight="1">
      <c r="A302" s="68">
        <v>46070.0</v>
      </c>
      <c r="B302" s="64" t="s">
        <v>9</v>
      </c>
      <c r="C302" s="65">
        <v>16.0</v>
      </c>
      <c r="D302" s="66">
        <f t="shared" si="137"/>
        <v>8800</v>
      </c>
      <c r="E302" s="67"/>
      <c r="F302" s="58">
        <f t="shared" si="163"/>
        <v>120</v>
      </c>
      <c r="G302" s="58">
        <f t="shared" ref="G302:L302" si="294">SUMIFS($C302,$B302,G$7)+G301</f>
        <v>0</v>
      </c>
      <c r="H302" s="58">
        <f t="shared" si="294"/>
        <v>3</v>
      </c>
      <c r="I302" s="58">
        <f t="shared" si="294"/>
        <v>217</v>
      </c>
      <c r="J302" s="58">
        <f t="shared" si="294"/>
        <v>0</v>
      </c>
      <c r="K302" s="58">
        <f t="shared" si="294"/>
        <v>0</v>
      </c>
      <c r="L302" s="58">
        <f t="shared" si="294"/>
        <v>0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0" customHeight="1">
      <c r="A303" s="70"/>
      <c r="B303" s="64" t="s">
        <v>16</v>
      </c>
      <c r="C303" s="65">
        <v>4.0</v>
      </c>
      <c r="D303" s="66">
        <f t="shared" si="137"/>
        <v>2200</v>
      </c>
      <c r="E303" s="56" t="s">
        <v>212</v>
      </c>
      <c r="F303" s="58">
        <f t="shared" si="163"/>
        <v>120</v>
      </c>
      <c r="G303" s="58">
        <f t="shared" ref="G303:L303" si="295">SUMIFS($C303,$B303,G$7)+G302</f>
        <v>0</v>
      </c>
      <c r="H303" s="58">
        <f t="shared" si="295"/>
        <v>7</v>
      </c>
      <c r="I303" s="58">
        <f t="shared" si="295"/>
        <v>217</v>
      </c>
      <c r="J303" s="58">
        <f t="shared" si="295"/>
        <v>0</v>
      </c>
      <c r="K303" s="58">
        <f t="shared" si="295"/>
        <v>0</v>
      </c>
      <c r="L303" s="58">
        <f t="shared" si="295"/>
        <v>0</v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0" customHeight="1">
      <c r="A304" s="70"/>
      <c r="B304" s="64" t="s">
        <v>9</v>
      </c>
      <c r="C304" s="65">
        <v>-4.0</v>
      </c>
      <c r="D304" s="66">
        <f t="shared" si="137"/>
        <v>-2200</v>
      </c>
      <c r="E304" s="67"/>
      <c r="F304" s="58">
        <f t="shared" si="163"/>
        <v>116</v>
      </c>
      <c r="G304" s="58">
        <f t="shared" ref="G304:L304" si="296">SUMIFS($C304,$B304,G$7)+G303</f>
        <v>0</v>
      </c>
      <c r="H304" s="58">
        <f t="shared" si="296"/>
        <v>7</v>
      </c>
      <c r="I304" s="58">
        <f t="shared" si="296"/>
        <v>217</v>
      </c>
      <c r="J304" s="58">
        <f t="shared" si="296"/>
        <v>0</v>
      </c>
      <c r="K304" s="58">
        <f t="shared" si="296"/>
        <v>0</v>
      </c>
      <c r="L304" s="58">
        <f t="shared" si="296"/>
        <v>0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0" customHeight="1">
      <c r="A305" s="70"/>
      <c r="B305" s="71"/>
      <c r="C305" s="66"/>
      <c r="D305" s="66">
        <f t="shared" si="137"/>
        <v>0</v>
      </c>
      <c r="E305" s="67"/>
      <c r="F305" s="58">
        <f t="shared" si="163"/>
        <v>116</v>
      </c>
      <c r="G305" s="58">
        <f t="shared" ref="G305:L305" si="297">SUMIFS($C305,$B305,G$7)+G304</f>
        <v>0</v>
      </c>
      <c r="H305" s="58">
        <f t="shared" si="297"/>
        <v>7</v>
      </c>
      <c r="I305" s="58">
        <f t="shared" si="297"/>
        <v>217</v>
      </c>
      <c r="J305" s="58">
        <f t="shared" si="297"/>
        <v>0</v>
      </c>
      <c r="K305" s="58">
        <f t="shared" si="297"/>
        <v>0</v>
      </c>
      <c r="L305" s="58">
        <f t="shared" si="297"/>
        <v>0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0" customHeight="1">
      <c r="A306" s="68">
        <v>46071.0</v>
      </c>
      <c r="B306" s="64" t="s">
        <v>9</v>
      </c>
      <c r="C306" s="65">
        <v>17.0</v>
      </c>
      <c r="D306" s="66">
        <f t="shared" si="137"/>
        <v>9350</v>
      </c>
      <c r="E306" s="67"/>
      <c r="F306" s="58">
        <f t="shared" si="163"/>
        <v>133</v>
      </c>
      <c r="G306" s="58">
        <f t="shared" ref="G306:L306" si="298">SUMIFS($C306,$B306,G$7)+G305</f>
        <v>0</v>
      </c>
      <c r="H306" s="58">
        <f t="shared" si="298"/>
        <v>7</v>
      </c>
      <c r="I306" s="58">
        <f t="shared" si="298"/>
        <v>217</v>
      </c>
      <c r="J306" s="58">
        <f t="shared" si="298"/>
        <v>0</v>
      </c>
      <c r="K306" s="58">
        <f t="shared" si="298"/>
        <v>0</v>
      </c>
      <c r="L306" s="58">
        <f t="shared" si="298"/>
        <v>0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0" customHeight="1">
      <c r="A307" s="70"/>
      <c r="B307" s="64" t="s">
        <v>16</v>
      </c>
      <c r="C307" s="65">
        <v>6.0</v>
      </c>
      <c r="D307" s="66">
        <f t="shared" si="137"/>
        <v>3300</v>
      </c>
      <c r="E307" s="56" t="s">
        <v>213</v>
      </c>
      <c r="F307" s="58">
        <f t="shared" si="163"/>
        <v>133</v>
      </c>
      <c r="G307" s="58">
        <f t="shared" ref="G307:L307" si="299">SUMIFS($C307,$B307,G$7)+G306</f>
        <v>0</v>
      </c>
      <c r="H307" s="58">
        <f t="shared" si="299"/>
        <v>13</v>
      </c>
      <c r="I307" s="58">
        <f t="shared" si="299"/>
        <v>217</v>
      </c>
      <c r="J307" s="58">
        <f t="shared" si="299"/>
        <v>0</v>
      </c>
      <c r="K307" s="58">
        <f t="shared" si="299"/>
        <v>0</v>
      </c>
      <c r="L307" s="58">
        <f t="shared" si="299"/>
        <v>0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0" customHeight="1">
      <c r="A308" s="70"/>
      <c r="B308" s="64" t="s">
        <v>9</v>
      </c>
      <c r="C308" s="65">
        <v>-6.0</v>
      </c>
      <c r="D308" s="66">
        <f t="shared" si="137"/>
        <v>-3300</v>
      </c>
      <c r="E308" s="56" t="s">
        <v>130</v>
      </c>
      <c r="F308" s="58">
        <f t="shared" si="163"/>
        <v>127</v>
      </c>
      <c r="G308" s="58">
        <f t="shared" ref="G308:L308" si="300">SUMIFS($C308,$B308,G$7)+G307</f>
        <v>0</v>
      </c>
      <c r="H308" s="58">
        <f t="shared" si="300"/>
        <v>13</v>
      </c>
      <c r="I308" s="58">
        <f t="shared" si="300"/>
        <v>217</v>
      </c>
      <c r="J308" s="58">
        <f t="shared" si="300"/>
        <v>0</v>
      </c>
      <c r="K308" s="58">
        <f t="shared" si="300"/>
        <v>0</v>
      </c>
      <c r="L308" s="58">
        <f t="shared" si="300"/>
        <v>0</v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0" customHeight="1">
      <c r="A309" s="70"/>
      <c r="B309" s="71"/>
      <c r="C309" s="66"/>
      <c r="D309" s="66">
        <f t="shared" si="137"/>
        <v>0</v>
      </c>
      <c r="E309" s="67"/>
      <c r="F309" s="58">
        <f t="shared" si="163"/>
        <v>127</v>
      </c>
      <c r="G309" s="58">
        <f t="shared" ref="G309:L309" si="301">SUMIFS($C309,$B309,G$7)+G308</f>
        <v>0</v>
      </c>
      <c r="H309" s="58">
        <f t="shared" si="301"/>
        <v>13</v>
      </c>
      <c r="I309" s="58">
        <f t="shared" si="301"/>
        <v>217</v>
      </c>
      <c r="J309" s="58">
        <f t="shared" si="301"/>
        <v>0</v>
      </c>
      <c r="K309" s="58">
        <f t="shared" si="301"/>
        <v>0</v>
      </c>
      <c r="L309" s="58">
        <f t="shared" si="301"/>
        <v>0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0" customHeight="1">
      <c r="A310" s="68">
        <v>46072.0</v>
      </c>
      <c r="B310" s="64" t="s">
        <v>9</v>
      </c>
      <c r="C310" s="65">
        <v>16.0</v>
      </c>
      <c r="D310" s="66">
        <f t="shared" si="137"/>
        <v>8800</v>
      </c>
      <c r="E310" s="67"/>
      <c r="F310" s="58">
        <f t="shared" si="163"/>
        <v>143</v>
      </c>
      <c r="G310" s="58">
        <f t="shared" ref="G310:L310" si="302">SUMIFS($C310,$B310,G$7)+G309</f>
        <v>0</v>
      </c>
      <c r="H310" s="58">
        <f t="shared" si="302"/>
        <v>13</v>
      </c>
      <c r="I310" s="58">
        <f t="shared" si="302"/>
        <v>217</v>
      </c>
      <c r="J310" s="58">
        <f t="shared" si="302"/>
        <v>0</v>
      </c>
      <c r="K310" s="58">
        <f t="shared" si="302"/>
        <v>0</v>
      </c>
      <c r="L310" s="58">
        <f t="shared" si="302"/>
        <v>0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0" customHeight="1">
      <c r="A311" s="70"/>
      <c r="B311" s="64" t="s">
        <v>16</v>
      </c>
      <c r="C311" s="65">
        <v>6.0</v>
      </c>
      <c r="D311" s="66">
        <f t="shared" si="137"/>
        <v>3300</v>
      </c>
      <c r="E311" s="56" t="s">
        <v>214</v>
      </c>
      <c r="F311" s="58">
        <f t="shared" si="163"/>
        <v>143</v>
      </c>
      <c r="G311" s="58">
        <f t="shared" ref="G311:L311" si="303">SUMIFS($C311,$B311,G$7)+G310</f>
        <v>0</v>
      </c>
      <c r="H311" s="58">
        <f t="shared" si="303"/>
        <v>19</v>
      </c>
      <c r="I311" s="58">
        <f t="shared" si="303"/>
        <v>217</v>
      </c>
      <c r="J311" s="58">
        <f t="shared" si="303"/>
        <v>0</v>
      </c>
      <c r="K311" s="58">
        <f t="shared" si="303"/>
        <v>0</v>
      </c>
      <c r="L311" s="58">
        <f t="shared" si="303"/>
        <v>0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0" customHeight="1">
      <c r="A312" s="70"/>
      <c r="B312" s="64" t="s">
        <v>9</v>
      </c>
      <c r="C312" s="65">
        <v>-6.0</v>
      </c>
      <c r="D312" s="66">
        <f t="shared" si="137"/>
        <v>-3300</v>
      </c>
      <c r="E312" s="56" t="s">
        <v>130</v>
      </c>
      <c r="F312" s="58">
        <f t="shared" si="163"/>
        <v>137</v>
      </c>
      <c r="G312" s="58">
        <f t="shared" ref="G312:L312" si="304">SUMIFS($C312,$B312,G$7)+G311</f>
        <v>0</v>
      </c>
      <c r="H312" s="58">
        <f t="shared" si="304"/>
        <v>19</v>
      </c>
      <c r="I312" s="58">
        <f t="shared" si="304"/>
        <v>217</v>
      </c>
      <c r="J312" s="58">
        <f t="shared" si="304"/>
        <v>0</v>
      </c>
      <c r="K312" s="58">
        <f t="shared" si="304"/>
        <v>0</v>
      </c>
      <c r="L312" s="58">
        <f t="shared" si="304"/>
        <v>0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0" customHeight="1">
      <c r="A313" s="70"/>
      <c r="B313" s="71"/>
      <c r="C313" s="66"/>
      <c r="D313" s="66">
        <f t="shared" si="137"/>
        <v>0</v>
      </c>
      <c r="E313" s="67"/>
      <c r="F313" s="58">
        <f t="shared" si="163"/>
        <v>137</v>
      </c>
      <c r="G313" s="58">
        <f t="shared" ref="G313:L313" si="305">SUMIFS($C313,$B313,G$7)+G312</f>
        <v>0</v>
      </c>
      <c r="H313" s="58">
        <f t="shared" si="305"/>
        <v>19</v>
      </c>
      <c r="I313" s="58">
        <f t="shared" si="305"/>
        <v>217</v>
      </c>
      <c r="J313" s="58">
        <f t="shared" si="305"/>
        <v>0</v>
      </c>
      <c r="K313" s="58">
        <f t="shared" si="305"/>
        <v>0</v>
      </c>
      <c r="L313" s="58">
        <f t="shared" si="305"/>
        <v>0</v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0" customHeight="1">
      <c r="A314" s="68">
        <v>46073.0</v>
      </c>
      <c r="B314" s="64" t="s">
        <v>9</v>
      </c>
      <c r="C314" s="65">
        <v>16.0</v>
      </c>
      <c r="D314" s="66">
        <f t="shared" si="137"/>
        <v>8800</v>
      </c>
      <c r="E314" s="67"/>
      <c r="F314" s="58">
        <f t="shared" si="163"/>
        <v>153</v>
      </c>
      <c r="G314" s="58">
        <f t="shared" ref="G314:L314" si="306">SUMIFS($C314,$B314,G$7)+G313</f>
        <v>0</v>
      </c>
      <c r="H314" s="58">
        <f t="shared" si="306"/>
        <v>19</v>
      </c>
      <c r="I314" s="58">
        <f t="shared" si="306"/>
        <v>217</v>
      </c>
      <c r="J314" s="58">
        <f t="shared" si="306"/>
        <v>0</v>
      </c>
      <c r="K314" s="58">
        <f t="shared" si="306"/>
        <v>0</v>
      </c>
      <c r="L314" s="58">
        <f t="shared" si="306"/>
        <v>0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0" customHeight="1">
      <c r="A315" s="70"/>
      <c r="B315" s="64" t="s">
        <v>16</v>
      </c>
      <c r="C315" s="65">
        <v>6.0</v>
      </c>
      <c r="D315" s="66">
        <f t="shared" si="137"/>
        <v>3300</v>
      </c>
      <c r="E315" s="56" t="s">
        <v>215</v>
      </c>
      <c r="F315" s="58">
        <f t="shared" si="163"/>
        <v>153</v>
      </c>
      <c r="G315" s="58">
        <f t="shared" ref="G315:L315" si="307">SUMIFS($C315,$B315,G$7)+G314</f>
        <v>0</v>
      </c>
      <c r="H315" s="58">
        <f t="shared" si="307"/>
        <v>25</v>
      </c>
      <c r="I315" s="58">
        <f t="shared" si="307"/>
        <v>217</v>
      </c>
      <c r="J315" s="58">
        <f t="shared" si="307"/>
        <v>0</v>
      </c>
      <c r="K315" s="58">
        <f t="shared" si="307"/>
        <v>0</v>
      </c>
      <c r="L315" s="58">
        <f t="shared" si="307"/>
        <v>0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0" customHeight="1">
      <c r="A316" s="70"/>
      <c r="B316" s="64" t="s">
        <v>9</v>
      </c>
      <c r="C316" s="65">
        <v>-6.0</v>
      </c>
      <c r="D316" s="66">
        <f t="shared" si="137"/>
        <v>-3300</v>
      </c>
      <c r="E316" s="56" t="s">
        <v>130</v>
      </c>
      <c r="F316" s="58">
        <f t="shared" si="163"/>
        <v>147</v>
      </c>
      <c r="G316" s="58">
        <f t="shared" ref="G316:L316" si="308">SUMIFS($C316,$B316,G$7)+G315</f>
        <v>0</v>
      </c>
      <c r="H316" s="58">
        <f t="shared" si="308"/>
        <v>25</v>
      </c>
      <c r="I316" s="58">
        <f t="shared" si="308"/>
        <v>217</v>
      </c>
      <c r="J316" s="58">
        <f t="shared" si="308"/>
        <v>0</v>
      </c>
      <c r="K316" s="58">
        <f t="shared" si="308"/>
        <v>0</v>
      </c>
      <c r="L316" s="58">
        <f t="shared" si="308"/>
        <v>0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0" customHeight="1">
      <c r="A317" s="70"/>
      <c r="B317" s="71"/>
      <c r="C317" s="66"/>
      <c r="D317" s="66">
        <f t="shared" si="137"/>
        <v>0</v>
      </c>
      <c r="E317" s="67"/>
      <c r="F317" s="58">
        <f t="shared" si="163"/>
        <v>147</v>
      </c>
      <c r="G317" s="58">
        <f t="shared" ref="G317:L317" si="309">SUMIFS($C317,$B317,G$7)+G316</f>
        <v>0</v>
      </c>
      <c r="H317" s="58">
        <f t="shared" si="309"/>
        <v>25</v>
      </c>
      <c r="I317" s="58">
        <f t="shared" si="309"/>
        <v>217</v>
      </c>
      <c r="J317" s="58">
        <f t="shared" si="309"/>
        <v>0</v>
      </c>
      <c r="K317" s="58">
        <f t="shared" si="309"/>
        <v>0</v>
      </c>
      <c r="L317" s="58">
        <f t="shared" si="309"/>
        <v>0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0" customHeight="1">
      <c r="A318" s="68">
        <v>46074.0</v>
      </c>
      <c r="B318" s="64" t="s">
        <v>9</v>
      </c>
      <c r="C318" s="65">
        <v>16.0</v>
      </c>
      <c r="D318" s="66">
        <f t="shared" si="137"/>
        <v>8800</v>
      </c>
      <c r="E318" s="67"/>
      <c r="F318" s="58">
        <f t="shared" si="163"/>
        <v>163</v>
      </c>
      <c r="G318" s="58">
        <f t="shared" ref="G318:L318" si="310">SUMIFS($C318,$B318,G$7)+G317</f>
        <v>0</v>
      </c>
      <c r="H318" s="58">
        <f t="shared" si="310"/>
        <v>25</v>
      </c>
      <c r="I318" s="58">
        <f t="shared" si="310"/>
        <v>217</v>
      </c>
      <c r="J318" s="58">
        <f t="shared" si="310"/>
        <v>0</v>
      </c>
      <c r="K318" s="58">
        <f t="shared" si="310"/>
        <v>0</v>
      </c>
      <c r="L318" s="58">
        <f t="shared" si="310"/>
        <v>0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0" customHeight="1">
      <c r="A319" s="70"/>
      <c r="B319" s="64" t="s">
        <v>16</v>
      </c>
      <c r="C319" s="65">
        <v>6.0</v>
      </c>
      <c r="D319" s="66">
        <f t="shared" si="137"/>
        <v>3300</v>
      </c>
      <c r="E319" s="56" t="s">
        <v>216</v>
      </c>
      <c r="F319" s="58">
        <f t="shared" si="163"/>
        <v>163</v>
      </c>
      <c r="G319" s="58">
        <f t="shared" ref="G319:L319" si="311">SUMIFS($C319,$B319,G$7)+G318</f>
        <v>0</v>
      </c>
      <c r="H319" s="58">
        <f t="shared" si="311"/>
        <v>31</v>
      </c>
      <c r="I319" s="58">
        <f t="shared" si="311"/>
        <v>217</v>
      </c>
      <c r="J319" s="58">
        <f t="shared" si="311"/>
        <v>0</v>
      </c>
      <c r="K319" s="58">
        <f t="shared" si="311"/>
        <v>0</v>
      </c>
      <c r="L319" s="58">
        <f t="shared" si="311"/>
        <v>0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0" customHeight="1">
      <c r="A320" s="70"/>
      <c r="B320" s="64" t="s">
        <v>9</v>
      </c>
      <c r="C320" s="65">
        <v>-6.0</v>
      </c>
      <c r="D320" s="66">
        <f t="shared" si="137"/>
        <v>-3300</v>
      </c>
      <c r="E320" s="56" t="s">
        <v>130</v>
      </c>
      <c r="F320" s="58">
        <f t="shared" si="163"/>
        <v>157</v>
      </c>
      <c r="G320" s="58">
        <f t="shared" ref="G320:L320" si="312">SUMIFS($C320,$B320,G$7)+G319</f>
        <v>0</v>
      </c>
      <c r="H320" s="58">
        <f t="shared" si="312"/>
        <v>31</v>
      </c>
      <c r="I320" s="58">
        <f t="shared" si="312"/>
        <v>217</v>
      </c>
      <c r="J320" s="58">
        <f t="shared" si="312"/>
        <v>0</v>
      </c>
      <c r="K320" s="58">
        <f t="shared" si="312"/>
        <v>0</v>
      </c>
      <c r="L320" s="58">
        <f t="shared" si="312"/>
        <v>0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0" customHeight="1">
      <c r="A321" s="70"/>
      <c r="B321" s="71"/>
      <c r="C321" s="66"/>
      <c r="D321" s="66">
        <f t="shared" si="137"/>
        <v>0</v>
      </c>
      <c r="E321" s="67"/>
      <c r="F321" s="58">
        <f t="shared" si="163"/>
        <v>157</v>
      </c>
      <c r="G321" s="58">
        <f t="shared" ref="G321:L321" si="313">SUMIFS($C321,$B321,G$7)+G320</f>
        <v>0</v>
      </c>
      <c r="H321" s="58">
        <f t="shared" si="313"/>
        <v>31</v>
      </c>
      <c r="I321" s="58">
        <f t="shared" si="313"/>
        <v>217</v>
      </c>
      <c r="J321" s="58">
        <f t="shared" si="313"/>
        <v>0</v>
      </c>
      <c r="K321" s="58">
        <f t="shared" si="313"/>
        <v>0</v>
      </c>
      <c r="L321" s="58">
        <f t="shared" si="313"/>
        <v>0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0" customHeight="1">
      <c r="A322" s="68">
        <v>46076.0</v>
      </c>
      <c r="B322" s="64" t="s">
        <v>16</v>
      </c>
      <c r="C322" s="65">
        <v>6.0</v>
      </c>
      <c r="D322" s="66">
        <f t="shared" si="137"/>
        <v>3300</v>
      </c>
      <c r="E322" s="67"/>
      <c r="F322" s="58">
        <f t="shared" si="163"/>
        <v>157</v>
      </c>
      <c r="G322" s="58">
        <f t="shared" ref="G322:L322" si="314">SUMIFS($C322,$B322,G$7)+G321</f>
        <v>0</v>
      </c>
      <c r="H322" s="58">
        <f t="shared" si="314"/>
        <v>37</v>
      </c>
      <c r="I322" s="58">
        <f t="shared" si="314"/>
        <v>217</v>
      </c>
      <c r="J322" s="58">
        <f t="shared" si="314"/>
        <v>0</v>
      </c>
      <c r="K322" s="58">
        <f t="shared" si="314"/>
        <v>0</v>
      </c>
      <c r="L322" s="58">
        <f t="shared" si="314"/>
        <v>0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0" customHeight="1">
      <c r="A323" s="70"/>
      <c r="B323" s="64" t="s">
        <v>9</v>
      </c>
      <c r="C323" s="65">
        <v>-6.0</v>
      </c>
      <c r="D323" s="66">
        <f t="shared" si="137"/>
        <v>-3300</v>
      </c>
      <c r="E323" s="56" t="s">
        <v>130</v>
      </c>
      <c r="F323" s="58">
        <f t="shared" si="163"/>
        <v>151</v>
      </c>
      <c r="G323" s="58">
        <f t="shared" ref="G323:L323" si="315">SUMIFS($C323,$B323,G$7)+G322</f>
        <v>0</v>
      </c>
      <c r="H323" s="58">
        <f t="shared" si="315"/>
        <v>37</v>
      </c>
      <c r="I323" s="58">
        <f t="shared" si="315"/>
        <v>217</v>
      </c>
      <c r="J323" s="58">
        <f t="shared" si="315"/>
        <v>0</v>
      </c>
      <c r="K323" s="58">
        <f t="shared" si="315"/>
        <v>0</v>
      </c>
      <c r="L323" s="58">
        <f t="shared" si="315"/>
        <v>0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0" customHeight="1">
      <c r="A324" s="70"/>
      <c r="B324" s="71"/>
      <c r="C324" s="66"/>
      <c r="D324" s="66">
        <f t="shared" si="137"/>
        <v>0</v>
      </c>
      <c r="E324" s="67"/>
      <c r="F324" s="58">
        <f t="shared" si="163"/>
        <v>151</v>
      </c>
      <c r="G324" s="58">
        <f t="shared" ref="G324:L324" si="316">SUMIFS($C324,$B324,G$7)+G323</f>
        <v>0</v>
      </c>
      <c r="H324" s="58">
        <f t="shared" si="316"/>
        <v>37</v>
      </c>
      <c r="I324" s="58">
        <f t="shared" si="316"/>
        <v>217</v>
      </c>
      <c r="J324" s="58">
        <f t="shared" si="316"/>
        <v>0</v>
      </c>
      <c r="K324" s="58">
        <f t="shared" si="316"/>
        <v>0</v>
      </c>
      <c r="L324" s="58">
        <f t="shared" si="316"/>
        <v>0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0" customHeight="1">
      <c r="A325" s="68">
        <v>46077.0</v>
      </c>
      <c r="B325" s="64" t="s">
        <v>16</v>
      </c>
      <c r="C325" s="65">
        <v>6.0</v>
      </c>
      <c r="D325" s="66">
        <f t="shared" si="137"/>
        <v>3300</v>
      </c>
      <c r="E325" s="56" t="s">
        <v>217</v>
      </c>
      <c r="F325" s="58">
        <f t="shared" si="163"/>
        <v>151</v>
      </c>
      <c r="G325" s="58">
        <f t="shared" ref="G325:L325" si="317">SUMIFS($C325,$B325,G$7)+G324</f>
        <v>0</v>
      </c>
      <c r="H325" s="58">
        <f t="shared" si="317"/>
        <v>43</v>
      </c>
      <c r="I325" s="58">
        <f t="shared" si="317"/>
        <v>217</v>
      </c>
      <c r="J325" s="58">
        <f t="shared" si="317"/>
        <v>0</v>
      </c>
      <c r="K325" s="58">
        <f t="shared" si="317"/>
        <v>0</v>
      </c>
      <c r="L325" s="58">
        <f t="shared" si="317"/>
        <v>0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0" customHeight="1">
      <c r="A326" s="70"/>
      <c r="B326" s="64" t="s">
        <v>9</v>
      </c>
      <c r="C326" s="65">
        <v>-6.0</v>
      </c>
      <c r="D326" s="66">
        <f t="shared" si="137"/>
        <v>-3300</v>
      </c>
      <c r="E326" s="56" t="s">
        <v>130</v>
      </c>
      <c r="F326" s="58">
        <f t="shared" si="163"/>
        <v>145</v>
      </c>
      <c r="G326" s="58">
        <f t="shared" ref="G326:L326" si="318">SUMIFS($C326,$B326,G$7)+G325</f>
        <v>0</v>
      </c>
      <c r="H326" s="58">
        <f t="shared" si="318"/>
        <v>43</v>
      </c>
      <c r="I326" s="58">
        <f t="shared" si="318"/>
        <v>217</v>
      </c>
      <c r="J326" s="58">
        <f t="shared" si="318"/>
        <v>0</v>
      </c>
      <c r="K326" s="58">
        <f t="shared" si="318"/>
        <v>0</v>
      </c>
      <c r="L326" s="58">
        <f t="shared" si="318"/>
        <v>0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0" customHeight="1">
      <c r="A327" s="70"/>
      <c r="B327" s="71"/>
      <c r="C327" s="66"/>
      <c r="D327" s="66">
        <f t="shared" si="137"/>
        <v>0</v>
      </c>
      <c r="E327" s="67"/>
      <c r="F327" s="58">
        <f t="shared" si="163"/>
        <v>145</v>
      </c>
      <c r="G327" s="58">
        <f t="shared" ref="G327:L327" si="319">SUMIFS($C327,$B327,G$7)+G326</f>
        <v>0</v>
      </c>
      <c r="H327" s="58">
        <f t="shared" si="319"/>
        <v>43</v>
      </c>
      <c r="I327" s="58">
        <f t="shared" si="319"/>
        <v>217</v>
      </c>
      <c r="J327" s="58">
        <f t="shared" si="319"/>
        <v>0</v>
      </c>
      <c r="K327" s="58">
        <f t="shared" si="319"/>
        <v>0</v>
      </c>
      <c r="L327" s="58">
        <f t="shared" si="319"/>
        <v>0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0" customHeight="1">
      <c r="A328" s="68">
        <v>46078.0</v>
      </c>
      <c r="B328" s="64" t="s">
        <v>16</v>
      </c>
      <c r="C328" s="65">
        <v>6.0</v>
      </c>
      <c r="D328" s="66">
        <f t="shared" si="137"/>
        <v>3300</v>
      </c>
      <c r="E328" s="56" t="s">
        <v>218</v>
      </c>
      <c r="F328" s="58">
        <f t="shared" si="163"/>
        <v>145</v>
      </c>
      <c r="G328" s="58">
        <f t="shared" ref="G328:L328" si="320">SUMIFS($C328,$B328,G$7)+G327</f>
        <v>0</v>
      </c>
      <c r="H328" s="58">
        <f t="shared" si="320"/>
        <v>49</v>
      </c>
      <c r="I328" s="58">
        <f t="shared" si="320"/>
        <v>217</v>
      </c>
      <c r="J328" s="58">
        <f t="shared" si="320"/>
        <v>0</v>
      </c>
      <c r="K328" s="58">
        <f t="shared" si="320"/>
        <v>0</v>
      </c>
      <c r="L328" s="58">
        <f t="shared" si="320"/>
        <v>0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0" customHeight="1">
      <c r="A329" s="70"/>
      <c r="B329" s="64" t="s">
        <v>9</v>
      </c>
      <c r="C329" s="65">
        <v>-6.0</v>
      </c>
      <c r="D329" s="66">
        <f t="shared" si="137"/>
        <v>-3300</v>
      </c>
      <c r="E329" s="56" t="s">
        <v>130</v>
      </c>
      <c r="F329" s="58">
        <f t="shared" si="163"/>
        <v>139</v>
      </c>
      <c r="G329" s="58">
        <f t="shared" ref="G329:L329" si="321">SUMIFS($C329,$B329,G$7)+G328</f>
        <v>0</v>
      </c>
      <c r="H329" s="58">
        <f t="shared" si="321"/>
        <v>49</v>
      </c>
      <c r="I329" s="58">
        <f t="shared" si="321"/>
        <v>217</v>
      </c>
      <c r="J329" s="58">
        <f t="shared" si="321"/>
        <v>0</v>
      </c>
      <c r="K329" s="58">
        <f t="shared" si="321"/>
        <v>0</v>
      </c>
      <c r="L329" s="58">
        <f t="shared" si="321"/>
        <v>0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0" customHeight="1">
      <c r="A330" s="70"/>
      <c r="B330" s="71"/>
      <c r="C330" s="66"/>
      <c r="D330" s="66">
        <f t="shared" si="137"/>
        <v>0</v>
      </c>
      <c r="E330" s="67"/>
      <c r="F330" s="58">
        <f t="shared" si="163"/>
        <v>139</v>
      </c>
      <c r="G330" s="58">
        <f t="shared" ref="G330:L330" si="322">SUMIFS($C330,$B330,G$7)+G329</f>
        <v>0</v>
      </c>
      <c r="H330" s="58">
        <f t="shared" si="322"/>
        <v>49</v>
      </c>
      <c r="I330" s="58">
        <f t="shared" si="322"/>
        <v>217</v>
      </c>
      <c r="J330" s="58">
        <f t="shared" si="322"/>
        <v>0</v>
      </c>
      <c r="K330" s="58">
        <f t="shared" si="322"/>
        <v>0</v>
      </c>
      <c r="L330" s="58">
        <f t="shared" si="322"/>
        <v>0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0" customHeight="1">
      <c r="A331" s="68">
        <v>46079.0</v>
      </c>
      <c r="B331" s="64" t="s">
        <v>17</v>
      </c>
      <c r="C331" s="65">
        <v>-1.0</v>
      </c>
      <c r="D331" s="66">
        <f t="shared" si="137"/>
        <v>-550</v>
      </c>
      <c r="E331" s="74" t="s">
        <v>219</v>
      </c>
      <c r="F331" s="58">
        <f t="shared" si="163"/>
        <v>139</v>
      </c>
      <c r="G331" s="58">
        <f t="shared" ref="G331:L331" si="323">SUMIFS($C331,$B331,G$7)+G330</f>
        <v>0</v>
      </c>
      <c r="H331" s="58">
        <f t="shared" si="323"/>
        <v>49</v>
      </c>
      <c r="I331" s="58">
        <f t="shared" si="323"/>
        <v>216</v>
      </c>
      <c r="J331" s="58">
        <f t="shared" si="323"/>
        <v>0</v>
      </c>
      <c r="K331" s="58">
        <f t="shared" si="323"/>
        <v>0</v>
      </c>
      <c r="L331" s="58">
        <f t="shared" si="323"/>
        <v>0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0" customHeight="1">
      <c r="A332" s="70"/>
      <c r="B332" s="71"/>
      <c r="C332" s="66"/>
      <c r="D332" s="66">
        <f t="shared" si="137"/>
        <v>0</v>
      </c>
      <c r="E332" s="67"/>
      <c r="F332" s="58">
        <f t="shared" si="163"/>
        <v>139</v>
      </c>
      <c r="G332" s="58">
        <f t="shared" ref="G332:L332" si="324">SUMIFS($C332,$B332,G$7)+G331</f>
        <v>0</v>
      </c>
      <c r="H332" s="58">
        <f t="shared" si="324"/>
        <v>49</v>
      </c>
      <c r="I332" s="58">
        <f t="shared" si="324"/>
        <v>216</v>
      </c>
      <c r="J332" s="58">
        <f t="shared" si="324"/>
        <v>0</v>
      </c>
      <c r="K332" s="58">
        <f t="shared" si="324"/>
        <v>0</v>
      </c>
      <c r="L332" s="58">
        <f t="shared" si="324"/>
        <v>0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0" customHeight="1">
      <c r="A333" s="68">
        <v>46079.0</v>
      </c>
      <c r="B333" s="64" t="s">
        <v>16</v>
      </c>
      <c r="C333" s="65">
        <v>6.0</v>
      </c>
      <c r="D333" s="66">
        <f t="shared" si="137"/>
        <v>3300</v>
      </c>
      <c r="E333" s="56" t="s">
        <v>220</v>
      </c>
      <c r="F333" s="58">
        <f t="shared" si="163"/>
        <v>139</v>
      </c>
      <c r="G333" s="58">
        <f t="shared" ref="G333:L333" si="325">SUMIFS($C333,$B333,G$7)+G332</f>
        <v>0</v>
      </c>
      <c r="H333" s="58">
        <f t="shared" si="325"/>
        <v>55</v>
      </c>
      <c r="I333" s="58">
        <f t="shared" si="325"/>
        <v>216</v>
      </c>
      <c r="J333" s="58">
        <f t="shared" si="325"/>
        <v>0</v>
      </c>
      <c r="K333" s="58">
        <f t="shared" si="325"/>
        <v>0</v>
      </c>
      <c r="L333" s="58">
        <f t="shared" si="325"/>
        <v>0</v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0" customHeight="1">
      <c r="A334" s="70"/>
      <c r="B334" s="64" t="s">
        <v>9</v>
      </c>
      <c r="C334" s="65">
        <v>-6.0</v>
      </c>
      <c r="D334" s="66">
        <f t="shared" si="137"/>
        <v>-3300</v>
      </c>
      <c r="E334" s="56" t="s">
        <v>130</v>
      </c>
      <c r="F334" s="58">
        <f t="shared" si="163"/>
        <v>133</v>
      </c>
      <c r="G334" s="58">
        <f t="shared" ref="G334:L334" si="326">SUMIFS($C334,$B334,G$7)+G333</f>
        <v>0</v>
      </c>
      <c r="H334" s="58">
        <f t="shared" si="326"/>
        <v>55</v>
      </c>
      <c r="I334" s="58">
        <f t="shared" si="326"/>
        <v>216</v>
      </c>
      <c r="J334" s="58">
        <f t="shared" si="326"/>
        <v>0</v>
      </c>
      <c r="K334" s="58">
        <f t="shared" si="326"/>
        <v>0</v>
      </c>
      <c r="L334" s="58">
        <f t="shared" si="326"/>
        <v>0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0" customHeight="1">
      <c r="A335" s="70"/>
      <c r="B335" s="71"/>
      <c r="C335" s="66"/>
      <c r="D335" s="66">
        <f t="shared" si="137"/>
        <v>0</v>
      </c>
      <c r="E335" s="67"/>
      <c r="F335" s="58">
        <f t="shared" si="163"/>
        <v>133</v>
      </c>
      <c r="G335" s="58">
        <f t="shared" ref="G335:L335" si="327">SUMIFS($C335,$B335,G$7)+G334</f>
        <v>0</v>
      </c>
      <c r="H335" s="58">
        <f t="shared" si="327"/>
        <v>55</v>
      </c>
      <c r="I335" s="58">
        <f t="shared" si="327"/>
        <v>216</v>
      </c>
      <c r="J335" s="58">
        <f t="shared" si="327"/>
        <v>0</v>
      </c>
      <c r="K335" s="58">
        <f t="shared" si="327"/>
        <v>0</v>
      </c>
      <c r="L335" s="58">
        <f t="shared" si="327"/>
        <v>0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0" customHeight="1">
      <c r="A336" s="68">
        <v>46080.0</v>
      </c>
      <c r="B336" s="64" t="s">
        <v>16</v>
      </c>
      <c r="C336" s="65">
        <v>6.0</v>
      </c>
      <c r="D336" s="66">
        <f t="shared" si="137"/>
        <v>3300</v>
      </c>
      <c r="E336" s="67"/>
      <c r="F336" s="58">
        <f t="shared" si="163"/>
        <v>133</v>
      </c>
      <c r="G336" s="58">
        <f t="shared" ref="G336:L336" si="328">SUMIFS($C336,$B336,G$7)+G335</f>
        <v>0</v>
      </c>
      <c r="H336" s="58">
        <f t="shared" si="328"/>
        <v>61</v>
      </c>
      <c r="I336" s="58">
        <f t="shared" si="328"/>
        <v>216</v>
      </c>
      <c r="J336" s="58">
        <f t="shared" si="328"/>
        <v>0</v>
      </c>
      <c r="K336" s="58">
        <f t="shared" si="328"/>
        <v>0</v>
      </c>
      <c r="L336" s="58">
        <f t="shared" si="328"/>
        <v>0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0" customHeight="1">
      <c r="A337" s="70"/>
      <c r="B337" s="64" t="s">
        <v>9</v>
      </c>
      <c r="C337" s="65">
        <v>-6.0</v>
      </c>
      <c r="D337" s="66">
        <f t="shared" si="137"/>
        <v>-3300</v>
      </c>
      <c r="E337" s="56" t="s">
        <v>130</v>
      </c>
      <c r="F337" s="58">
        <f t="shared" si="163"/>
        <v>127</v>
      </c>
      <c r="G337" s="58">
        <f t="shared" ref="G337:L337" si="329">SUMIFS($C337,$B337,G$7)+G336</f>
        <v>0</v>
      </c>
      <c r="H337" s="58">
        <f t="shared" si="329"/>
        <v>61</v>
      </c>
      <c r="I337" s="58">
        <f t="shared" si="329"/>
        <v>216</v>
      </c>
      <c r="J337" s="58">
        <f t="shared" si="329"/>
        <v>0</v>
      </c>
      <c r="K337" s="58">
        <f t="shared" si="329"/>
        <v>0</v>
      </c>
      <c r="L337" s="58">
        <f t="shared" si="329"/>
        <v>0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0" customHeight="1">
      <c r="A338" s="70"/>
      <c r="B338" s="71"/>
      <c r="C338" s="66"/>
      <c r="D338" s="66">
        <f t="shared" si="137"/>
        <v>0</v>
      </c>
      <c r="E338" s="67"/>
      <c r="F338" s="58">
        <f t="shared" si="163"/>
        <v>127</v>
      </c>
      <c r="G338" s="58">
        <f t="shared" ref="G338:L338" si="330">SUMIFS($C338,$B338,G$7)+G337</f>
        <v>0</v>
      </c>
      <c r="H338" s="58">
        <f t="shared" si="330"/>
        <v>61</v>
      </c>
      <c r="I338" s="58">
        <f t="shared" si="330"/>
        <v>216</v>
      </c>
      <c r="J338" s="58">
        <f t="shared" si="330"/>
        <v>0</v>
      </c>
      <c r="K338" s="58">
        <f t="shared" si="330"/>
        <v>0</v>
      </c>
      <c r="L338" s="58">
        <f t="shared" si="330"/>
        <v>0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0" customHeight="1">
      <c r="A339" s="68">
        <v>46081.0</v>
      </c>
      <c r="B339" s="64" t="s">
        <v>16</v>
      </c>
      <c r="C339" s="65">
        <v>6.0</v>
      </c>
      <c r="D339" s="66">
        <f t="shared" si="137"/>
        <v>3300</v>
      </c>
      <c r="E339" s="67"/>
      <c r="F339" s="58">
        <f t="shared" si="163"/>
        <v>127</v>
      </c>
      <c r="G339" s="58">
        <f t="shared" ref="G339:L339" si="331">SUMIFS($C339,$B339,G$7)+G338</f>
        <v>0</v>
      </c>
      <c r="H339" s="58">
        <f t="shared" si="331"/>
        <v>67</v>
      </c>
      <c r="I339" s="58">
        <f t="shared" si="331"/>
        <v>216</v>
      </c>
      <c r="J339" s="58">
        <f t="shared" si="331"/>
        <v>0</v>
      </c>
      <c r="K339" s="58">
        <f t="shared" si="331"/>
        <v>0</v>
      </c>
      <c r="L339" s="58">
        <f t="shared" si="331"/>
        <v>0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0" customHeight="1">
      <c r="A340" s="70"/>
      <c r="B340" s="64" t="s">
        <v>9</v>
      </c>
      <c r="C340" s="65">
        <v>-6.0</v>
      </c>
      <c r="D340" s="66">
        <f t="shared" si="137"/>
        <v>-3300</v>
      </c>
      <c r="E340" s="56" t="s">
        <v>130</v>
      </c>
      <c r="F340" s="58">
        <f t="shared" si="163"/>
        <v>121</v>
      </c>
      <c r="G340" s="58">
        <f t="shared" ref="G340:L340" si="332">SUMIFS($C340,$B340,G$7)+G339</f>
        <v>0</v>
      </c>
      <c r="H340" s="58">
        <f t="shared" si="332"/>
        <v>67</v>
      </c>
      <c r="I340" s="58">
        <f t="shared" si="332"/>
        <v>216</v>
      </c>
      <c r="J340" s="58">
        <f t="shared" si="332"/>
        <v>0</v>
      </c>
      <c r="K340" s="58">
        <f t="shared" si="332"/>
        <v>0</v>
      </c>
      <c r="L340" s="58">
        <f t="shared" si="332"/>
        <v>0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0" customHeight="1">
      <c r="A341" s="70"/>
      <c r="B341" s="71"/>
      <c r="C341" s="66"/>
      <c r="D341" s="66">
        <f t="shared" si="137"/>
        <v>0</v>
      </c>
      <c r="E341" s="67"/>
      <c r="F341" s="58">
        <f t="shared" si="163"/>
        <v>121</v>
      </c>
      <c r="G341" s="58">
        <f t="shared" ref="G341:L341" si="333">SUMIFS($C341,$B341,G$7)+G340</f>
        <v>0</v>
      </c>
      <c r="H341" s="58">
        <f t="shared" si="333"/>
        <v>67</v>
      </c>
      <c r="I341" s="58">
        <f t="shared" si="333"/>
        <v>216</v>
      </c>
      <c r="J341" s="58">
        <f t="shared" si="333"/>
        <v>0</v>
      </c>
      <c r="K341" s="58">
        <f t="shared" si="333"/>
        <v>0</v>
      </c>
      <c r="L341" s="58">
        <f t="shared" si="333"/>
        <v>0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0" customHeight="1">
      <c r="A342" s="68">
        <v>46083.0</v>
      </c>
      <c r="B342" s="64" t="s">
        <v>16</v>
      </c>
      <c r="C342" s="65">
        <v>6.0</v>
      </c>
      <c r="D342" s="66">
        <f t="shared" si="137"/>
        <v>3300</v>
      </c>
      <c r="E342" s="67"/>
      <c r="F342" s="58">
        <f t="shared" si="163"/>
        <v>121</v>
      </c>
      <c r="G342" s="58">
        <f t="shared" ref="G342:L342" si="334">SUMIFS($C342,$B342,G$7)+G341</f>
        <v>0</v>
      </c>
      <c r="H342" s="58">
        <f t="shared" si="334"/>
        <v>73</v>
      </c>
      <c r="I342" s="58">
        <f t="shared" si="334"/>
        <v>216</v>
      </c>
      <c r="J342" s="58">
        <f t="shared" si="334"/>
        <v>0</v>
      </c>
      <c r="K342" s="58">
        <f t="shared" si="334"/>
        <v>0</v>
      </c>
      <c r="L342" s="58">
        <f t="shared" si="334"/>
        <v>0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0" customHeight="1">
      <c r="A343" s="70"/>
      <c r="B343" s="64" t="s">
        <v>9</v>
      </c>
      <c r="C343" s="65">
        <v>-6.0</v>
      </c>
      <c r="D343" s="66">
        <f t="shared" si="137"/>
        <v>-3300</v>
      </c>
      <c r="E343" s="56" t="s">
        <v>130</v>
      </c>
      <c r="F343" s="58">
        <f t="shared" si="163"/>
        <v>115</v>
      </c>
      <c r="G343" s="58">
        <f t="shared" ref="G343:L343" si="335">SUMIFS($C343,$B343,G$7)+G342</f>
        <v>0</v>
      </c>
      <c r="H343" s="58">
        <f t="shared" si="335"/>
        <v>73</v>
      </c>
      <c r="I343" s="58">
        <f t="shared" si="335"/>
        <v>216</v>
      </c>
      <c r="J343" s="58">
        <f t="shared" si="335"/>
        <v>0</v>
      </c>
      <c r="K343" s="58">
        <f t="shared" si="335"/>
        <v>0</v>
      </c>
      <c r="L343" s="58">
        <f t="shared" si="335"/>
        <v>0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0" customHeight="1">
      <c r="A344" s="70"/>
      <c r="B344" s="71"/>
      <c r="C344" s="66"/>
      <c r="D344" s="66">
        <f t="shared" si="137"/>
        <v>0</v>
      </c>
      <c r="E344" s="67"/>
      <c r="F344" s="58">
        <f t="shared" si="163"/>
        <v>115</v>
      </c>
      <c r="G344" s="58">
        <f t="shared" ref="G344:L344" si="336">SUMIFS($C344,$B344,G$7)+G343</f>
        <v>0</v>
      </c>
      <c r="H344" s="58">
        <f t="shared" si="336"/>
        <v>73</v>
      </c>
      <c r="I344" s="58">
        <f t="shared" si="336"/>
        <v>216</v>
      </c>
      <c r="J344" s="58">
        <f t="shared" si="336"/>
        <v>0</v>
      </c>
      <c r="K344" s="58">
        <f t="shared" si="336"/>
        <v>0</v>
      </c>
      <c r="L344" s="58">
        <f t="shared" si="336"/>
        <v>0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0" customHeight="1">
      <c r="A345" s="68">
        <v>46084.0</v>
      </c>
      <c r="B345" s="64" t="s">
        <v>16</v>
      </c>
      <c r="C345" s="65">
        <v>6.0</v>
      </c>
      <c r="D345" s="66">
        <f t="shared" si="137"/>
        <v>3300</v>
      </c>
      <c r="E345" s="67"/>
      <c r="F345" s="58">
        <f t="shared" si="163"/>
        <v>115</v>
      </c>
      <c r="G345" s="58">
        <f t="shared" ref="G345:L345" si="337">SUMIFS($C345,$B345,G$7)+G344</f>
        <v>0</v>
      </c>
      <c r="H345" s="58">
        <f t="shared" si="337"/>
        <v>79</v>
      </c>
      <c r="I345" s="58">
        <f t="shared" si="337"/>
        <v>216</v>
      </c>
      <c r="J345" s="58">
        <f t="shared" si="337"/>
        <v>0</v>
      </c>
      <c r="K345" s="58">
        <f t="shared" si="337"/>
        <v>0</v>
      </c>
      <c r="L345" s="58">
        <f t="shared" si="337"/>
        <v>0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0" customHeight="1">
      <c r="A346" s="70"/>
      <c r="B346" s="64" t="s">
        <v>9</v>
      </c>
      <c r="C346" s="65">
        <v>-6.0</v>
      </c>
      <c r="D346" s="66">
        <f t="shared" si="137"/>
        <v>-3300</v>
      </c>
      <c r="E346" s="56" t="s">
        <v>130</v>
      </c>
      <c r="F346" s="58">
        <f t="shared" si="163"/>
        <v>109</v>
      </c>
      <c r="G346" s="58">
        <f t="shared" ref="G346:L346" si="338">SUMIFS($C346,$B346,G$7)+G345</f>
        <v>0</v>
      </c>
      <c r="H346" s="58">
        <f t="shared" si="338"/>
        <v>79</v>
      </c>
      <c r="I346" s="58">
        <f t="shared" si="338"/>
        <v>216</v>
      </c>
      <c r="J346" s="58">
        <f t="shared" si="338"/>
        <v>0</v>
      </c>
      <c r="K346" s="58">
        <f t="shared" si="338"/>
        <v>0</v>
      </c>
      <c r="L346" s="58">
        <f t="shared" si="338"/>
        <v>0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0" customHeight="1">
      <c r="A347" s="70"/>
      <c r="B347" s="71"/>
      <c r="C347" s="66"/>
      <c r="D347" s="66">
        <f t="shared" si="137"/>
        <v>0</v>
      </c>
      <c r="E347" s="67"/>
      <c r="F347" s="58">
        <f t="shared" si="163"/>
        <v>109</v>
      </c>
      <c r="G347" s="58">
        <f t="shared" ref="G347:L347" si="339">SUMIFS($C347,$B347,G$7)+G346</f>
        <v>0</v>
      </c>
      <c r="H347" s="58">
        <f t="shared" si="339"/>
        <v>79</v>
      </c>
      <c r="I347" s="58">
        <f t="shared" si="339"/>
        <v>216</v>
      </c>
      <c r="J347" s="58">
        <f t="shared" si="339"/>
        <v>0</v>
      </c>
      <c r="K347" s="58">
        <f t="shared" si="339"/>
        <v>0</v>
      </c>
      <c r="L347" s="58">
        <f t="shared" si="339"/>
        <v>0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0" customHeight="1">
      <c r="A348" s="68">
        <v>46085.0</v>
      </c>
      <c r="B348" s="64" t="s">
        <v>16</v>
      </c>
      <c r="C348" s="65">
        <v>6.0</v>
      </c>
      <c r="D348" s="66">
        <f t="shared" si="137"/>
        <v>3300</v>
      </c>
      <c r="E348" s="67"/>
      <c r="F348" s="58">
        <f t="shared" si="163"/>
        <v>109</v>
      </c>
      <c r="G348" s="58">
        <f t="shared" ref="G348:L348" si="340">SUMIFS($C348,$B348,G$7)+G347</f>
        <v>0</v>
      </c>
      <c r="H348" s="58">
        <f t="shared" si="340"/>
        <v>85</v>
      </c>
      <c r="I348" s="58">
        <f t="shared" si="340"/>
        <v>216</v>
      </c>
      <c r="J348" s="58">
        <f t="shared" si="340"/>
        <v>0</v>
      </c>
      <c r="K348" s="58">
        <f t="shared" si="340"/>
        <v>0</v>
      </c>
      <c r="L348" s="58">
        <f t="shared" si="340"/>
        <v>0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0" customHeight="1">
      <c r="A349" s="70"/>
      <c r="B349" s="64" t="s">
        <v>9</v>
      </c>
      <c r="C349" s="65">
        <v>-6.0</v>
      </c>
      <c r="D349" s="66">
        <f t="shared" si="137"/>
        <v>-3300</v>
      </c>
      <c r="E349" s="56" t="s">
        <v>130</v>
      </c>
      <c r="F349" s="58">
        <f t="shared" si="163"/>
        <v>103</v>
      </c>
      <c r="G349" s="58">
        <f t="shared" ref="G349:L349" si="341">SUMIFS($C349,$B349,G$7)+G348</f>
        <v>0</v>
      </c>
      <c r="H349" s="58">
        <f t="shared" si="341"/>
        <v>85</v>
      </c>
      <c r="I349" s="58">
        <f t="shared" si="341"/>
        <v>216</v>
      </c>
      <c r="J349" s="58">
        <f t="shared" si="341"/>
        <v>0</v>
      </c>
      <c r="K349" s="58">
        <f t="shared" si="341"/>
        <v>0</v>
      </c>
      <c r="L349" s="58">
        <f t="shared" si="341"/>
        <v>0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0" customHeight="1">
      <c r="A350" s="70"/>
      <c r="B350" s="71"/>
      <c r="C350" s="66"/>
      <c r="D350" s="66">
        <f t="shared" si="137"/>
        <v>0</v>
      </c>
      <c r="E350" s="67"/>
      <c r="F350" s="58">
        <f t="shared" si="163"/>
        <v>103</v>
      </c>
      <c r="G350" s="58">
        <f t="shared" ref="G350:L350" si="342">SUMIFS($C350,$B350,G$7)+G349</f>
        <v>0</v>
      </c>
      <c r="H350" s="58">
        <f t="shared" si="342"/>
        <v>85</v>
      </c>
      <c r="I350" s="58">
        <f t="shared" si="342"/>
        <v>216</v>
      </c>
      <c r="J350" s="58">
        <f t="shared" si="342"/>
        <v>0</v>
      </c>
      <c r="K350" s="58">
        <f t="shared" si="342"/>
        <v>0</v>
      </c>
      <c r="L350" s="58">
        <f t="shared" si="342"/>
        <v>0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0" customHeight="1">
      <c r="A351" s="68">
        <v>46086.0</v>
      </c>
      <c r="B351" s="64" t="s">
        <v>16</v>
      </c>
      <c r="C351" s="65">
        <v>6.0</v>
      </c>
      <c r="D351" s="66">
        <f t="shared" si="137"/>
        <v>3300</v>
      </c>
      <c r="E351" s="67"/>
      <c r="F351" s="58">
        <f t="shared" si="163"/>
        <v>103</v>
      </c>
      <c r="G351" s="58">
        <f t="shared" ref="G351:L351" si="343">SUMIFS($C351,$B351,G$7)+G350</f>
        <v>0</v>
      </c>
      <c r="H351" s="58">
        <f t="shared" si="343"/>
        <v>91</v>
      </c>
      <c r="I351" s="58">
        <f t="shared" si="343"/>
        <v>216</v>
      </c>
      <c r="J351" s="58">
        <f t="shared" si="343"/>
        <v>0</v>
      </c>
      <c r="K351" s="58">
        <f t="shared" si="343"/>
        <v>0</v>
      </c>
      <c r="L351" s="58">
        <f t="shared" si="343"/>
        <v>0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0" customHeight="1">
      <c r="A352" s="70"/>
      <c r="B352" s="64" t="s">
        <v>9</v>
      </c>
      <c r="C352" s="65">
        <v>-6.0</v>
      </c>
      <c r="D352" s="66">
        <f t="shared" si="137"/>
        <v>-3300</v>
      </c>
      <c r="E352" s="56" t="s">
        <v>130</v>
      </c>
      <c r="F352" s="58">
        <f t="shared" si="163"/>
        <v>97</v>
      </c>
      <c r="G352" s="58">
        <f t="shared" ref="G352:L352" si="344">SUMIFS($C352,$B352,G$7)+G351</f>
        <v>0</v>
      </c>
      <c r="H352" s="58">
        <f t="shared" si="344"/>
        <v>91</v>
      </c>
      <c r="I352" s="58">
        <f t="shared" si="344"/>
        <v>216</v>
      </c>
      <c r="J352" s="58">
        <f t="shared" si="344"/>
        <v>0</v>
      </c>
      <c r="K352" s="58">
        <f t="shared" si="344"/>
        <v>0</v>
      </c>
      <c r="L352" s="58">
        <f t="shared" si="344"/>
        <v>0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0" customHeight="1">
      <c r="A353" s="70"/>
      <c r="B353" s="71"/>
      <c r="C353" s="66"/>
      <c r="D353" s="66">
        <f t="shared" si="137"/>
        <v>0</v>
      </c>
      <c r="E353" s="67"/>
      <c r="F353" s="58">
        <f t="shared" si="163"/>
        <v>97</v>
      </c>
      <c r="G353" s="58">
        <f t="shared" ref="G353:L353" si="345">SUMIFS($C353,$B353,G$7)+G352</f>
        <v>0</v>
      </c>
      <c r="H353" s="58">
        <f t="shared" si="345"/>
        <v>91</v>
      </c>
      <c r="I353" s="58">
        <f t="shared" si="345"/>
        <v>216</v>
      </c>
      <c r="J353" s="58">
        <f t="shared" si="345"/>
        <v>0</v>
      </c>
      <c r="K353" s="58">
        <f t="shared" si="345"/>
        <v>0</v>
      </c>
      <c r="L353" s="58">
        <f t="shared" si="345"/>
        <v>0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0" customHeight="1">
      <c r="A354" s="68">
        <v>46087.0</v>
      </c>
      <c r="B354" s="64" t="s">
        <v>16</v>
      </c>
      <c r="C354" s="65">
        <v>6.0</v>
      </c>
      <c r="D354" s="66">
        <f t="shared" si="137"/>
        <v>3300</v>
      </c>
      <c r="E354" s="67"/>
      <c r="F354" s="58">
        <f t="shared" si="163"/>
        <v>97</v>
      </c>
      <c r="G354" s="58">
        <f t="shared" ref="G354:L354" si="346">SUMIFS($C354,$B354,G$7)+G353</f>
        <v>0</v>
      </c>
      <c r="H354" s="58">
        <f t="shared" si="346"/>
        <v>97</v>
      </c>
      <c r="I354" s="58">
        <f t="shared" si="346"/>
        <v>216</v>
      </c>
      <c r="J354" s="58">
        <f t="shared" si="346"/>
        <v>0</v>
      </c>
      <c r="K354" s="58">
        <f t="shared" si="346"/>
        <v>0</v>
      </c>
      <c r="L354" s="58">
        <f t="shared" si="346"/>
        <v>0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0" customHeight="1">
      <c r="A355" s="70"/>
      <c r="B355" s="64" t="s">
        <v>9</v>
      </c>
      <c r="C355" s="65">
        <v>-6.0</v>
      </c>
      <c r="D355" s="66">
        <f t="shared" si="137"/>
        <v>-3300</v>
      </c>
      <c r="E355" s="56" t="s">
        <v>130</v>
      </c>
      <c r="F355" s="58">
        <f t="shared" si="163"/>
        <v>91</v>
      </c>
      <c r="G355" s="58">
        <f t="shared" ref="G355:L355" si="347">SUMIFS($C355,$B355,G$7)+G354</f>
        <v>0</v>
      </c>
      <c r="H355" s="58">
        <f t="shared" si="347"/>
        <v>97</v>
      </c>
      <c r="I355" s="58">
        <f t="shared" si="347"/>
        <v>216</v>
      </c>
      <c r="J355" s="58">
        <f t="shared" si="347"/>
        <v>0</v>
      </c>
      <c r="K355" s="58">
        <f t="shared" si="347"/>
        <v>0</v>
      </c>
      <c r="L355" s="58">
        <f t="shared" si="347"/>
        <v>0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0" customHeight="1">
      <c r="A356" s="70"/>
      <c r="B356" s="71"/>
      <c r="C356" s="66"/>
      <c r="D356" s="66">
        <f t="shared" si="137"/>
        <v>0</v>
      </c>
      <c r="E356" s="67"/>
      <c r="F356" s="58">
        <f t="shared" si="163"/>
        <v>91</v>
      </c>
      <c r="G356" s="58">
        <f t="shared" ref="G356:L356" si="348">SUMIFS($C356,$B356,G$7)+G355</f>
        <v>0</v>
      </c>
      <c r="H356" s="58">
        <f t="shared" si="348"/>
        <v>97</v>
      </c>
      <c r="I356" s="58">
        <f t="shared" si="348"/>
        <v>216</v>
      </c>
      <c r="J356" s="58">
        <f t="shared" si="348"/>
        <v>0</v>
      </c>
      <c r="K356" s="58">
        <f t="shared" si="348"/>
        <v>0</v>
      </c>
      <c r="L356" s="58">
        <f t="shared" si="348"/>
        <v>0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0" customHeight="1">
      <c r="A357" s="68">
        <v>46088.0</v>
      </c>
      <c r="B357" s="64" t="s">
        <v>16</v>
      </c>
      <c r="C357" s="65">
        <v>6.0</v>
      </c>
      <c r="D357" s="66">
        <f t="shared" si="137"/>
        <v>3300</v>
      </c>
      <c r="E357" s="67"/>
      <c r="F357" s="58">
        <f t="shared" si="163"/>
        <v>91</v>
      </c>
      <c r="G357" s="58">
        <f t="shared" ref="G357:L357" si="349">SUMIFS($C357,$B357,G$7)+G356</f>
        <v>0</v>
      </c>
      <c r="H357" s="58">
        <f t="shared" si="349"/>
        <v>103</v>
      </c>
      <c r="I357" s="58">
        <f t="shared" si="349"/>
        <v>216</v>
      </c>
      <c r="J357" s="58">
        <f t="shared" si="349"/>
        <v>0</v>
      </c>
      <c r="K357" s="58">
        <f t="shared" si="349"/>
        <v>0</v>
      </c>
      <c r="L357" s="58">
        <f t="shared" si="349"/>
        <v>0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0" customHeight="1">
      <c r="A358" s="70"/>
      <c r="B358" s="64" t="s">
        <v>9</v>
      </c>
      <c r="C358" s="65">
        <v>-6.0</v>
      </c>
      <c r="D358" s="66">
        <f t="shared" si="137"/>
        <v>-3300</v>
      </c>
      <c r="E358" s="56" t="s">
        <v>130</v>
      </c>
      <c r="F358" s="58">
        <f t="shared" si="163"/>
        <v>85</v>
      </c>
      <c r="G358" s="58">
        <f t="shared" ref="G358:L358" si="350">SUMIFS($C358,$B358,G$7)+G357</f>
        <v>0</v>
      </c>
      <c r="H358" s="58">
        <f t="shared" si="350"/>
        <v>103</v>
      </c>
      <c r="I358" s="58">
        <f t="shared" si="350"/>
        <v>216</v>
      </c>
      <c r="J358" s="58">
        <f t="shared" si="350"/>
        <v>0</v>
      </c>
      <c r="K358" s="58">
        <f t="shared" si="350"/>
        <v>0</v>
      </c>
      <c r="L358" s="58">
        <f t="shared" si="350"/>
        <v>0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0" customHeight="1">
      <c r="A359" s="70"/>
      <c r="B359" s="71"/>
      <c r="C359" s="66"/>
      <c r="D359" s="66">
        <f t="shared" si="137"/>
        <v>0</v>
      </c>
      <c r="E359" s="67"/>
      <c r="F359" s="58">
        <f t="shared" si="163"/>
        <v>85</v>
      </c>
      <c r="G359" s="58">
        <f t="shared" ref="G359:L359" si="351">SUMIFS($C359,$B359,G$7)+G358</f>
        <v>0</v>
      </c>
      <c r="H359" s="58">
        <f t="shared" si="351"/>
        <v>103</v>
      </c>
      <c r="I359" s="58">
        <f t="shared" si="351"/>
        <v>216</v>
      </c>
      <c r="J359" s="58">
        <f t="shared" si="351"/>
        <v>0</v>
      </c>
      <c r="K359" s="58">
        <f t="shared" si="351"/>
        <v>0</v>
      </c>
      <c r="L359" s="58">
        <f t="shared" si="351"/>
        <v>0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0" customHeight="1">
      <c r="A360" s="68">
        <v>46090.0</v>
      </c>
      <c r="B360" s="64" t="s">
        <v>9</v>
      </c>
      <c r="C360" s="65">
        <v>-85.0</v>
      </c>
      <c r="D360" s="66">
        <f t="shared" si="137"/>
        <v>-46750</v>
      </c>
      <c r="E360" s="67"/>
      <c r="F360" s="58">
        <f t="shared" si="163"/>
        <v>0</v>
      </c>
      <c r="G360" s="58">
        <f t="shared" ref="G360:L360" si="352">SUMIFS($C360,$B360,G$7)+G359</f>
        <v>0</v>
      </c>
      <c r="H360" s="58">
        <f t="shared" si="352"/>
        <v>103</v>
      </c>
      <c r="I360" s="58">
        <f t="shared" si="352"/>
        <v>216</v>
      </c>
      <c r="J360" s="58">
        <f t="shared" si="352"/>
        <v>0</v>
      </c>
      <c r="K360" s="58">
        <f t="shared" si="352"/>
        <v>0</v>
      </c>
      <c r="L360" s="58">
        <f t="shared" si="352"/>
        <v>0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0" customHeight="1">
      <c r="A361" s="70"/>
      <c r="B361" s="64" t="s">
        <v>17</v>
      </c>
      <c r="C361" s="65">
        <v>85.0</v>
      </c>
      <c r="D361" s="66">
        <f t="shared" si="137"/>
        <v>46750</v>
      </c>
      <c r="E361" s="56" t="s">
        <v>221</v>
      </c>
      <c r="F361" s="58">
        <f t="shared" si="163"/>
        <v>0</v>
      </c>
      <c r="G361" s="58">
        <f t="shared" ref="G361:L361" si="353">SUMIFS($C361,$B361,G$7)+G360</f>
        <v>0</v>
      </c>
      <c r="H361" s="58">
        <f t="shared" si="353"/>
        <v>103</v>
      </c>
      <c r="I361" s="58">
        <f t="shared" si="353"/>
        <v>301</v>
      </c>
      <c r="J361" s="58">
        <f t="shared" si="353"/>
        <v>0</v>
      </c>
      <c r="K361" s="58">
        <f t="shared" si="353"/>
        <v>0</v>
      </c>
      <c r="L361" s="58">
        <f t="shared" si="353"/>
        <v>0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0" customHeight="1">
      <c r="A362" s="70"/>
      <c r="B362" s="64" t="s">
        <v>16</v>
      </c>
      <c r="C362" s="65">
        <v>-103.0</v>
      </c>
      <c r="D362" s="66">
        <f t="shared" si="137"/>
        <v>-56650</v>
      </c>
      <c r="E362" s="67"/>
      <c r="F362" s="58">
        <f t="shared" si="163"/>
        <v>0</v>
      </c>
      <c r="G362" s="58">
        <f t="shared" ref="G362:L362" si="354">SUMIFS($C362,$B362,G$7)+G361</f>
        <v>0</v>
      </c>
      <c r="H362" s="58">
        <f t="shared" si="354"/>
        <v>0</v>
      </c>
      <c r="I362" s="58">
        <f t="shared" si="354"/>
        <v>301</v>
      </c>
      <c r="J362" s="58">
        <f t="shared" si="354"/>
        <v>0</v>
      </c>
      <c r="K362" s="58">
        <f t="shared" si="354"/>
        <v>0</v>
      </c>
      <c r="L362" s="58">
        <f t="shared" si="354"/>
        <v>0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0" customHeight="1">
      <c r="A363" s="70"/>
      <c r="B363" s="64" t="s">
        <v>17</v>
      </c>
      <c r="C363" s="65">
        <v>103.0</v>
      </c>
      <c r="D363" s="66">
        <f t="shared" si="137"/>
        <v>56650</v>
      </c>
      <c r="E363" s="56" t="s">
        <v>222</v>
      </c>
      <c r="F363" s="58">
        <f t="shared" si="163"/>
        <v>0</v>
      </c>
      <c r="G363" s="58">
        <f t="shared" ref="G363:L363" si="355">SUMIFS($C363,$B363,G$7)+G362</f>
        <v>0</v>
      </c>
      <c r="H363" s="58">
        <f t="shared" si="355"/>
        <v>0</v>
      </c>
      <c r="I363" s="58">
        <f t="shared" si="355"/>
        <v>404</v>
      </c>
      <c r="J363" s="58">
        <f t="shared" si="355"/>
        <v>0</v>
      </c>
      <c r="K363" s="58">
        <f t="shared" si="355"/>
        <v>0</v>
      </c>
      <c r="L363" s="58">
        <f t="shared" si="355"/>
        <v>0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0" customHeight="1">
      <c r="A364" s="70"/>
      <c r="B364" s="71"/>
      <c r="C364" s="66"/>
      <c r="D364" s="66">
        <f t="shared" si="137"/>
        <v>0</v>
      </c>
      <c r="E364" s="67"/>
      <c r="F364" s="58">
        <f t="shared" si="163"/>
        <v>0</v>
      </c>
      <c r="G364" s="58">
        <f t="shared" ref="G364:L364" si="356">SUMIFS($C364,$B364,G$7)+G363</f>
        <v>0</v>
      </c>
      <c r="H364" s="58">
        <f t="shared" si="356"/>
        <v>0</v>
      </c>
      <c r="I364" s="58">
        <f t="shared" si="356"/>
        <v>404</v>
      </c>
      <c r="J364" s="58">
        <f t="shared" si="356"/>
        <v>0</v>
      </c>
      <c r="K364" s="58">
        <f t="shared" si="356"/>
        <v>0</v>
      </c>
      <c r="L364" s="58">
        <f t="shared" si="356"/>
        <v>0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0" customHeight="1">
      <c r="A365" s="68">
        <v>46101.0</v>
      </c>
      <c r="B365" s="64" t="s">
        <v>17</v>
      </c>
      <c r="C365" s="65">
        <v>-176.0</v>
      </c>
      <c r="D365" s="66">
        <f t="shared" si="137"/>
        <v>-96800</v>
      </c>
      <c r="E365" s="56" t="s">
        <v>223</v>
      </c>
      <c r="F365" s="58">
        <f t="shared" si="163"/>
        <v>0</v>
      </c>
      <c r="G365" s="58">
        <f t="shared" ref="G365:L365" si="357">SUMIFS($C365,$B365,G$7)+G364</f>
        <v>0</v>
      </c>
      <c r="H365" s="58">
        <f t="shared" si="357"/>
        <v>0</v>
      </c>
      <c r="I365" s="58">
        <f t="shared" si="357"/>
        <v>228</v>
      </c>
      <c r="J365" s="58">
        <f t="shared" si="357"/>
        <v>0</v>
      </c>
      <c r="K365" s="58">
        <f t="shared" si="357"/>
        <v>0</v>
      </c>
      <c r="L365" s="58">
        <f t="shared" si="357"/>
        <v>0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0" customHeight="1">
      <c r="A366" s="70"/>
      <c r="B366" s="71"/>
      <c r="C366" s="66"/>
      <c r="D366" s="66">
        <f t="shared" si="137"/>
        <v>0</v>
      </c>
      <c r="E366" s="67"/>
      <c r="F366" s="58">
        <f t="shared" si="163"/>
        <v>0</v>
      </c>
      <c r="G366" s="58">
        <f t="shared" ref="G366:L366" si="358">SUMIFS($C366,$B366,G$7)+G365</f>
        <v>0</v>
      </c>
      <c r="H366" s="58">
        <f t="shared" si="358"/>
        <v>0</v>
      </c>
      <c r="I366" s="58">
        <f t="shared" si="358"/>
        <v>228</v>
      </c>
      <c r="J366" s="58">
        <f t="shared" si="358"/>
        <v>0</v>
      </c>
      <c r="K366" s="58">
        <f t="shared" si="358"/>
        <v>0</v>
      </c>
      <c r="L366" s="58">
        <f t="shared" si="358"/>
        <v>0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0" customHeight="1">
      <c r="A367" s="68">
        <v>46153.0</v>
      </c>
      <c r="B367" s="64" t="s">
        <v>9</v>
      </c>
      <c r="C367" s="65">
        <v>5.0</v>
      </c>
      <c r="D367" s="66">
        <f t="shared" si="137"/>
        <v>2750</v>
      </c>
      <c r="E367" s="67"/>
      <c r="F367" s="58">
        <f t="shared" si="163"/>
        <v>5</v>
      </c>
      <c r="G367" s="58">
        <f t="shared" ref="G367:L367" si="359">SUMIFS($C367,$B367,G$7)+G366</f>
        <v>0</v>
      </c>
      <c r="H367" s="58">
        <f t="shared" si="359"/>
        <v>0</v>
      </c>
      <c r="I367" s="58">
        <f t="shared" si="359"/>
        <v>228</v>
      </c>
      <c r="J367" s="58">
        <f t="shared" si="359"/>
        <v>0</v>
      </c>
      <c r="K367" s="58">
        <f t="shared" si="359"/>
        <v>0</v>
      </c>
      <c r="L367" s="58">
        <f t="shared" si="359"/>
        <v>0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0" customHeight="1">
      <c r="A368" s="70"/>
      <c r="B368" s="71"/>
      <c r="C368" s="66"/>
      <c r="D368" s="66">
        <f t="shared" si="137"/>
        <v>0</v>
      </c>
      <c r="E368" s="67"/>
      <c r="F368" s="58">
        <f t="shared" si="163"/>
        <v>5</v>
      </c>
      <c r="G368" s="58">
        <f t="shared" ref="G368:L368" si="360">SUMIFS($C368,$B368,G$7)+G367</f>
        <v>0</v>
      </c>
      <c r="H368" s="58">
        <f t="shared" si="360"/>
        <v>0</v>
      </c>
      <c r="I368" s="58">
        <f t="shared" si="360"/>
        <v>228</v>
      </c>
      <c r="J368" s="58">
        <f t="shared" si="360"/>
        <v>0</v>
      </c>
      <c r="K368" s="58">
        <f t="shared" si="360"/>
        <v>0</v>
      </c>
      <c r="L368" s="58">
        <f t="shared" si="360"/>
        <v>0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0" customHeight="1">
      <c r="A369" s="68">
        <v>46154.0</v>
      </c>
      <c r="B369" s="64" t="s">
        <v>9</v>
      </c>
      <c r="C369" s="65">
        <v>12.0</v>
      </c>
      <c r="D369" s="66">
        <f t="shared" si="137"/>
        <v>6600</v>
      </c>
      <c r="E369" s="67"/>
      <c r="F369" s="58">
        <f t="shared" si="163"/>
        <v>17</v>
      </c>
      <c r="G369" s="58">
        <f t="shared" ref="G369:L369" si="361">SUMIFS($C369,$B369,G$7)+G368</f>
        <v>0</v>
      </c>
      <c r="H369" s="58">
        <f t="shared" si="361"/>
        <v>0</v>
      </c>
      <c r="I369" s="58">
        <f t="shared" si="361"/>
        <v>228</v>
      </c>
      <c r="J369" s="58">
        <f t="shared" si="361"/>
        <v>0</v>
      </c>
      <c r="K369" s="58">
        <f t="shared" si="361"/>
        <v>0</v>
      </c>
      <c r="L369" s="58">
        <f t="shared" si="361"/>
        <v>0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0" customHeight="1">
      <c r="A370" s="70"/>
      <c r="B370" s="71"/>
      <c r="C370" s="66"/>
      <c r="D370" s="66">
        <f t="shared" si="137"/>
        <v>0</v>
      </c>
      <c r="E370" s="67"/>
      <c r="F370" s="58">
        <f t="shared" si="163"/>
        <v>17</v>
      </c>
      <c r="G370" s="58">
        <f t="shared" ref="G370:L370" si="362">SUMIFS($C370,$B370,G$7)+G369</f>
        <v>0</v>
      </c>
      <c r="H370" s="58">
        <f t="shared" si="362"/>
        <v>0</v>
      </c>
      <c r="I370" s="58">
        <f t="shared" si="362"/>
        <v>228</v>
      </c>
      <c r="J370" s="58">
        <f t="shared" si="362"/>
        <v>0</v>
      </c>
      <c r="K370" s="58">
        <f t="shared" si="362"/>
        <v>0</v>
      </c>
      <c r="L370" s="58">
        <f t="shared" si="362"/>
        <v>0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0" customHeight="1">
      <c r="A371" s="68">
        <v>46155.0</v>
      </c>
      <c r="B371" s="64" t="s">
        <v>9</v>
      </c>
      <c r="C371" s="65">
        <v>12.0</v>
      </c>
      <c r="D371" s="66">
        <f t="shared" si="137"/>
        <v>6600</v>
      </c>
      <c r="E371" s="67"/>
      <c r="F371" s="58">
        <f t="shared" si="163"/>
        <v>29</v>
      </c>
      <c r="G371" s="58">
        <f t="shared" ref="G371:L371" si="363">SUMIFS($C371,$B371,G$7)+G370</f>
        <v>0</v>
      </c>
      <c r="H371" s="58">
        <f t="shared" si="363"/>
        <v>0</v>
      </c>
      <c r="I371" s="58">
        <f t="shared" si="363"/>
        <v>228</v>
      </c>
      <c r="J371" s="58">
        <f t="shared" si="363"/>
        <v>0</v>
      </c>
      <c r="K371" s="58">
        <f t="shared" si="363"/>
        <v>0</v>
      </c>
      <c r="L371" s="58">
        <f t="shared" si="363"/>
        <v>0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0" customHeight="1">
      <c r="A372" s="70"/>
      <c r="B372" s="64" t="s">
        <v>17</v>
      </c>
      <c r="C372" s="65">
        <v>-176.0</v>
      </c>
      <c r="D372" s="66">
        <f t="shared" si="137"/>
        <v>-96800</v>
      </c>
      <c r="E372" s="56" t="s">
        <v>224</v>
      </c>
      <c r="F372" s="58">
        <f t="shared" si="163"/>
        <v>29</v>
      </c>
      <c r="G372" s="58">
        <f t="shared" ref="G372:L372" si="364">SUMIFS($C372,$B372,G$7)+G371</f>
        <v>0</v>
      </c>
      <c r="H372" s="58">
        <f t="shared" si="364"/>
        <v>0</v>
      </c>
      <c r="I372" s="58">
        <f t="shared" si="364"/>
        <v>52</v>
      </c>
      <c r="J372" s="58">
        <f t="shared" si="364"/>
        <v>0</v>
      </c>
      <c r="K372" s="58">
        <f t="shared" si="364"/>
        <v>0</v>
      </c>
      <c r="L372" s="58">
        <f t="shared" si="364"/>
        <v>0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0" customHeight="1">
      <c r="A373" s="70"/>
      <c r="B373" s="71"/>
      <c r="C373" s="66"/>
      <c r="D373" s="66">
        <f t="shared" si="137"/>
        <v>0</v>
      </c>
      <c r="E373" s="67"/>
      <c r="F373" s="58">
        <f t="shared" si="163"/>
        <v>29</v>
      </c>
      <c r="G373" s="58">
        <f t="shared" ref="G373:L373" si="365">SUMIFS($C373,$B373,G$7)+G372</f>
        <v>0</v>
      </c>
      <c r="H373" s="58">
        <f t="shared" si="365"/>
        <v>0</v>
      </c>
      <c r="I373" s="58">
        <f t="shared" si="365"/>
        <v>52</v>
      </c>
      <c r="J373" s="58">
        <f t="shared" si="365"/>
        <v>0</v>
      </c>
      <c r="K373" s="58">
        <f t="shared" si="365"/>
        <v>0</v>
      </c>
      <c r="L373" s="58">
        <f t="shared" si="365"/>
        <v>0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0" customHeight="1">
      <c r="A374" s="68">
        <v>46156.0</v>
      </c>
      <c r="B374" s="64" t="s">
        <v>9</v>
      </c>
      <c r="C374" s="65">
        <v>9.0</v>
      </c>
      <c r="D374" s="66">
        <f t="shared" si="137"/>
        <v>4950</v>
      </c>
      <c r="E374" s="67"/>
      <c r="F374" s="58">
        <f t="shared" si="163"/>
        <v>38</v>
      </c>
      <c r="G374" s="58">
        <f t="shared" ref="G374:L374" si="366">SUMIFS($C374,$B374,G$7)+G373</f>
        <v>0</v>
      </c>
      <c r="H374" s="58">
        <f t="shared" si="366"/>
        <v>0</v>
      </c>
      <c r="I374" s="58">
        <f t="shared" si="366"/>
        <v>52</v>
      </c>
      <c r="J374" s="58">
        <f t="shared" si="366"/>
        <v>0</v>
      </c>
      <c r="K374" s="58">
        <f t="shared" si="366"/>
        <v>0</v>
      </c>
      <c r="L374" s="58">
        <f t="shared" si="366"/>
        <v>0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0" customHeight="1">
      <c r="A375" s="70"/>
      <c r="B375" s="71"/>
      <c r="C375" s="66"/>
      <c r="D375" s="66">
        <f t="shared" si="137"/>
        <v>0</v>
      </c>
      <c r="E375" s="67"/>
      <c r="F375" s="58">
        <f t="shared" si="163"/>
        <v>38</v>
      </c>
      <c r="G375" s="58">
        <f t="shared" ref="G375:L375" si="367">SUMIFS($C375,$B375,G$7)+G374</f>
        <v>0</v>
      </c>
      <c r="H375" s="58">
        <f t="shared" si="367"/>
        <v>0</v>
      </c>
      <c r="I375" s="58">
        <f t="shared" si="367"/>
        <v>52</v>
      </c>
      <c r="J375" s="58">
        <f t="shared" si="367"/>
        <v>0</v>
      </c>
      <c r="K375" s="58">
        <f t="shared" si="367"/>
        <v>0</v>
      </c>
      <c r="L375" s="58">
        <f t="shared" si="367"/>
        <v>0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0" customHeight="1">
      <c r="A376" s="68">
        <v>46157.0</v>
      </c>
      <c r="B376" s="64" t="s">
        <v>9</v>
      </c>
      <c r="C376" s="65">
        <v>14.0</v>
      </c>
      <c r="D376" s="66">
        <f t="shared" si="137"/>
        <v>7700</v>
      </c>
      <c r="E376" s="67"/>
      <c r="F376" s="58">
        <f t="shared" si="163"/>
        <v>52</v>
      </c>
      <c r="G376" s="58">
        <f t="shared" ref="G376:L376" si="368">SUMIFS($C376,$B376,G$7)+G375</f>
        <v>0</v>
      </c>
      <c r="H376" s="58">
        <f t="shared" si="368"/>
        <v>0</v>
      </c>
      <c r="I376" s="58">
        <f t="shared" si="368"/>
        <v>52</v>
      </c>
      <c r="J376" s="58">
        <f t="shared" si="368"/>
        <v>0</v>
      </c>
      <c r="K376" s="58">
        <f t="shared" si="368"/>
        <v>0</v>
      </c>
      <c r="L376" s="58">
        <f t="shared" si="368"/>
        <v>0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0" customHeight="1">
      <c r="A377" s="70"/>
      <c r="B377" s="64" t="s">
        <v>16</v>
      </c>
      <c r="C377" s="65">
        <v>3.0</v>
      </c>
      <c r="D377" s="66">
        <f t="shared" si="137"/>
        <v>1650</v>
      </c>
      <c r="E377" s="56" t="s">
        <v>225</v>
      </c>
      <c r="F377" s="58">
        <f t="shared" si="163"/>
        <v>52</v>
      </c>
      <c r="G377" s="58">
        <f t="shared" ref="G377:L377" si="369">SUMIFS($C377,$B377,G$7)+G376</f>
        <v>0</v>
      </c>
      <c r="H377" s="58">
        <f t="shared" si="369"/>
        <v>3</v>
      </c>
      <c r="I377" s="58">
        <f t="shared" si="369"/>
        <v>52</v>
      </c>
      <c r="J377" s="58">
        <f t="shared" si="369"/>
        <v>0</v>
      </c>
      <c r="K377" s="58">
        <f t="shared" si="369"/>
        <v>0</v>
      </c>
      <c r="L377" s="58">
        <f t="shared" si="369"/>
        <v>0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0" customHeight="1">
      <c r="A378" s="70"/>
      <c r="B378" s="64" t="s">
        <v>9</v>
      </c>
      <c r="C378" s="65">
        <v>-3.0</v>
      </c>
      <c r="D378" s="66">
        <f t="shared" si="137"/>
        <v>-1650</v>
      </c>
      <c r="E378" s="56" t="s">
        <v>130</v>
      </c>
      <c r="F378" s="58">
        <f t="shared" si="163"/>
        <v>49</v>
      </c>
      <c r="G378" s="58">
        <f t="shared" ref="G378:L378" si="370">SUMIFS($C378,$B378,G$7)+G377</f>
        <v>0</v>
      </c>
      <c r="H378" s="58">
        <f t="shared" si="370"/>
        <v>3</v>
      </c>
      <c r="I378" s="58">
        <f t="shared" si="370"/>
        <v>52</v>
      </c>
      <c r="J378" s="58">
        <f t="shared" si="370"/>
        <v>0</v>
      </c>
      <c r="K378" s="58">
        <f t="shared" si="370"/>
        <v>0</v>
      </c>
      <c r="L378" s="58">
        <f t="shared" si="370"/>
        <v>0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0" customHeight="1">
      <c r="A379" s="70"/>
      <c r="B379" s="64" t="s">
        <v>13</v>
      </c>
      <c r="C379" s="65">
        <v>2.0</v>
      </c>
      <c r="D379" s="66">
        <f t="shared" si="137"/>
        <v>1100</v>
      </c>
      <c r="E379" s="79" t="s">
        <v>226</v>
      </c>
      <c r="F379" s="58">
        <f t="shared" si="163"/>
        <v>49</v>
      </c>
      <c r="G379" s="58">
        <f t="shared" ref="G379:L379" si="371">SUMIFS($C379,$B379,G$7)+G378</f>
        <v>2</v>
      </c>
      <c r="H379" s="58">
        <f t="shared" si="371"/>
        <v>3</v>
      </c>
      <c r="I379" s="58">
        <f t="shared" si="371"/>
        <v>52</v>
      </c>
      <c r="J379" s="58">
        <f t="shared" si="371"/>
        <v>0</v>
      </c>
      <c r="K379" s="58">
        <f t="shared" si="371"/>
        <v>0</v>
      </c>
      <c r="L379" s="58">
        <f t="shared" si="371"/>
        <v>0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0" customHeight="1">
      <c r="A380" s="70"/>
      <c r="B380" s="64" t="s">
        <v>9</v>
      </c>
      <c r="C380" s="65">
        <v>-2.0</v>
      </c>
      <c r="D380" s="66">
        <f t="shared" si="137"/>
        <v>-1100</v>
      </c>
      <c r="E380" s="56" t="s">
        <v>169</v>
      </c>
      <c r="F380" s="58">
        <f t="shared" si="163"/>
        <v>47</v>
      </c>
      <c r="G380" s="58">
        <f t="shared" ref="G380:L380" si="372">SUMIFS($C380,$B380,G$7)+G379</f>
        <v>2</v>
      </c>
      <c r="H380" s="58">
        <f t="shared" si="372"/>
        <v>3</v>
      </c>
      <c r="I380" s="58">
        <f t="shared" si="372"/>
        <v>52</v>
      </c>
      <c r="J380" s="58">
        <f t="shared" si="372"/>
        <v>0</v>
      </c>
      <c r="K380" s="58">
        <f t="shared" si="372"/>
        <v>0</v>
      </c>
      <c r="L380" s="58">
        <f t="shared" si="372"/>
        <v>0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0" customHeight="1">
      <c r="A381" s="70"/>
      <c r="B381" s="64" t="s">
        <v>17</v>
      </c>
      <c r="C381" s="65">
        <v>-1.0</v>
      </c>
      <c r="D381" s="66">
        <f t="shared" si="137"/>
        <v>-550</v>
      </c>
      <c r="E381" s="74" t="s">
        <v>38</v>
      </c>
      <c r="F381" s="58">
        <f t="shared" si="163"/>
        <v>47</v>
      </c>
      <c r="G381" s="58">
        <f t="shared" ref="G381:L381" si="373">SUMIFS($C381,$B381,G$7)+G380</f>
        <v>2</v>
      </c>
      <c r="H381" s="58">
        <f t="shared" si="373"/>
        <v>3</v>
      </c>
      <c r="I381" s="58">
        <f t="shared" si="373"/>
        <v>51</v>
      </c>
      <c r="J381" s="58">
        <f t="shared" si="373"/>
        <v>0</v>
      </c>
      <c r="K381" s="58">
        <f t="shared" si="373"/>
        <v>0</v>
      </c>
      <c r="L381" s="58">
        <f t="shared" si="373"/>
        <v>0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0" customHeight="1">
      <c r="A382" s="70"/>
      <c r="B382" s="71"/>
      <c r="C382" s="66"/>
      <c r="D382" s="66">
        <f t="shared" si="137"/>
        <v>0</v>
      </c>
      <c r="E382" s="67"/>
      <c r="F382" s="58">
        <f t="shared" si="163"/>
        <v>47</v>
      </c>
      <c r="G382" s="58">
        <f t="shared" ref="G382:L382" si="374">SUMIFS($C382,$B382,G$7)+G381</f>
        <v>2</v>
      </c>
      <c r="H382" s="58">
        <f t="shared" si="374"/>
        <v>3</v>
      </c>
      <c r="I382" s="58">
        <f t="shared" si="374"/>
        <v>51</v>
      </c>
      <c r="J382" s="58">
        <f t="shared" si="374"/>
        <v>0</v>
      </c>
      <c r="K382" s="58">
        <f t="shared" si="374"/>
        <v>0</v>
      </c>
      <c r="L382" s="58">
        <f t="shared" si="374"/>
        <v>0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0" customHeight="1">
      <c r="A383" s="68">
        <v>46160.0</v>
      </c>
      <c r="B383" s="64" t="s">
        <v>9</v>
      </c>
      <c r="C383" s="65">
        <v>14.0</v>
      </c>
      <c r="D383" s="66">
        <f t="shared" si="137"/>
        <v>7700</v>
      </c>
      <c r="E383" s="67"/>
      <c r="F383" s="58">
        <f t="shared" si="163"/>
        <v>61</v>
      </c>
      <c r="G383" s="58">
        <f t="shared" ref="G383:L383" si="375">SUMIFS($C383,$B383,G$7)+G382</f>
        <v>2</v>
      </c>
      <c r="H383" s="58">
        <f t="shared" si="375"/>
        <v>3</v>
      </c>
      <c r="I383" s="58">
        <f t="shared" si="375"/>
        <v>51</v>
      </c>
      <c r="J383" s="58">
        <f t="shared" si="375"/>
        <v>0</v>
      </c>
      <c r="K383" s="58">
        <f t="shared" si="375"/>
        <v>0</v>
      </c>
      <c r="L383" s="58">
        <f t="shared" si="375"/>
        <v>0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0" customHeight="1">
      <c r="A384" s="70"/>
      <c r="B384" s="64" t="s">
        <v>16</v>
      </c>
      <c r="C384" s="65">
        <v>6.0</v>
      </c>
      <c r="D384" s="66">
        <f t="shared" si="137"/>
        <v>3300</v>
      </c>
      <c r="E384" s="56" t="s">
        <v>227</v>
      </c>
      <c r="F384" s="58">
        <f t="shared" si="163"/>
        <v>61</v>
      </c>
      <c r="G384" s="58">
        <f t="shared" ref="G384:L384" si="376">SUMIFS($C384,$B384,G$7)+G383</f>
        <v>2</v>
      </c>
      <c r="H384" s="58">
        <f t="shared" si="376"/>
        <v>9</v>
      </c>
      <c r="I384" s="58">
        <f t="shared" si="376"/>
        <v>51</v>
      </c>
      <c r="J384" s="58">
        <f t="shared" si="376"/>
        <v>0</v>
      </c>
      <c r="K384" s="58">
        <f t="shared" si="376"/>
        <v>0</v>
      </c>
      <c r="L384" s="58">
        <f t="shared" si="376"/>
        <v>0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0" customHeight="1">
      <c r="A385" s="70"/>
      <c r="B385" s="64" t="s">
        <v>9</v>
      </c>
      <c r="C385" s="65">
        <v>-6.0</v>
      </c>
      <c r="D385" s="66">
        <f t="shared" si="137"/>
        <v>-3300</v>
      </c>
      <c r="E385" s="56" t="s">
        <v>130</v>
      </c>
      <c r="F385" s="58">
        <f t="shared" si="163"/>
        <v>55</v>
      </c>
      <c r="G385" s="58">
        <f t="shared" ref="G385:L385" si="377">SUMIFS($C385,$B385,G$7)+G384</f>
        <v>2</v>
      </c>
      <c r="H385" s="58">
        <f t="shared" si="377"/>
        <v>9</v>
      </c>
      <c r="I385" s="58">
        <f t="shared" si="377"/>
        <v>51</v>
      </c>
      <c r="J385" s="58">
        <f t="shared" si="377"/>
        <v>0</v>
      </c>
      <c r="K385" s="58">
        <f t="shared" si="377"/>
        <v>0</v>
      </c>
      <c r="L385" s="58">
        <f t="shared" si="377"/>
        <v>0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0" customHeight="1">
      <c r="A386" s="70"/>
      <c r="B386" s="71"/>
      <c r="C386" s="66"/>
      <c r="D386" s="66">
        <f t="shared" si="137"/>
        <v>0</v>
      </c>
      <c r="E386" s="67"/>
      <c r="F386" s="58">
        <f t="shared" si="163"/>
        <v>55</v>
      </c>
      <c r="G386" s="58">
        <f t="shared" ref="G386:L386" si="378">SUMIFS($C386,$B386,G$7)+G385</f>
        <v>2</v>
      </c>
      <c r="H386" s="58">
        <f t="shared" si="378"/>
        <v>9</v>
      </c>
      <c r="I386" s="58">
        <f t="shared" si="378"/>
        <v>51</v>
      </c>
      <c r="J386" s="58">
        <f t="shared" si="378"/>
        <v>0</v>
      </c>
      <c r="K386" s="58">
        <f t="shared" si="378"/>
        <v>0</v>
      </c>
      <c r="L386" s="58">
        <f t="shared" si="378"/>
        <v>0</v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0" customHeight="1">
      <c r="A387" s="68">
        <v>46161.0</v>
      </c>
      <c r="B387" s="64" t="s">
        <v>9</v>
      </c>
      <c r="C387" s="65">
        <v>14.0</v>
      </c>
      <c r="D387" s="66">
        <f t="shared" si="137"/>
        <v>7700</v>
      </c>
      <c r="E387" s="67"/>
      <c r="F387" s="58">
        <f t="shared" si="163"/>
        <v>69</v>
      </c>
      <c r="G387" s="58">
        <f t="shared" ref="G387:L387" si="379">SUMIFS($C387,$B387,G$7)+G386</f>
        <v>2</v>
      </c>
      <c r="H387" s="58">
        <f t="shared" si="379"/>
        <v>9</v>
      </c>
      <c r="I387" s="58">
        <f t="shared" si="379"/>
        <v>51</v>
      </c>
      <c r="J387" s="58">
        <f t="shared" si="379"/>
        <v>0</v>
      </c>
      <c r="K387" s="58">
        <f t="shared" si="379"/>
        <v>0</v>
      </c>
      <c r="L387" s="58">
        <f t="shared" si="379"/>
        <v>0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0" customHeight="1">
      <c r="A388" s="70"/>
      <c r="B388" s="64" t="s">
        <v>16</v>
      </c>
      <c r="C388" s="65">
        <v>6.0</v>
      </c>
      <c r="D388" s="66">
        <f t="shared" si="137"/>
        <v>3300</v>
      </c>
      <c r="E388" s="56" t="s">
        <v>228</v>
      </c>
      <c r="F388" s="58">
        <f t="shared" si="163"/>
        <v>69</v>
      </c>
      <c r="G388" s="58">
        <f t="shared" ref="G388:L388" si="380">SUMIFS($C388,$B388,G$7)+G387</f>
        <v>2</v>
      </c>
      <c r="H388" s="58">
        <f t="shared" si="380"/>
        <v>15</v>
      </c>
      <c r="I388" s="58">
        <f t="shared" si="380"/>
        <v>51</v>
      </c>
      <c r="J388" s="58">
        <f t="shared" si="380"/>
        <v>0</v>
      </c>
      <c r="K388" s="58">
        <f t="shared" si="380"/>
        <v>0</v>
      </c>
      <c r="L388" s="58">
        <f t="shared" si="380"/>
        <v>0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0" customHeight="1">
      <c r="A389" s="70"/>
      <c r="B389" s="64" t="s">
        <v>9</v>
      </c>
      <c r="C389" s="65">
        <v>-6.0</v>
      </c>
      <c r="D389" s="66">
        <f t="shared" si="137"/>
        <v>-3300</v>
      </c>
      <c r="E389" s="56" t="s">
        <v>130</v>
      </c>
      <c r="F389" s="58">
        <f t="shared" si="163"/>
        <v>63</v>
      </c>
      <c r="G389" s="58">
        <f t="shared" ref="G389:L389" si="381">SUMIFS($C389,$B389,G$7)+G388</f>
        <v>2</v>
      </c>
      <c r="H389" s="58">
        <f t="shared" si="381"/>
        <v>15</v>
      </c>
      <c r="I389" s="58">
        <f t="shared" si="381"/>
        <v>51</v>
      </c>
      <c r="J389" s="58">
        <f t="shared" si="381"/>
        <v>0</v>
      </c>
      <c r="K389" s="58">
        <f t="shared" si="381"/>
        <v>0</v>
      </c>
      <c r="L389" s="58">
        <f t="shared" si="381"/>
        <v>0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0" customHeight="1">
      <c r="A390" s="70"/>
      <c r="B390" s="64" t="s">
        <v>13</v>
      </c>
      <c r="C390" s="65">
        <v>5.0</v>
      </c>
      <c r="D390" s="66">
        <f t="shared" si="137"/>
        <v>2750</v>
      </c>
      <c r="E390" s="56" t="s">
        <v>229</v>
      </c>
      <c r="F390" s="58">
        <f t="shared" si="163"/>
        <v>63</v>
      </c>
      <c r="G390" s="58">
        <f t="shared" ref="G390:L390" si="382">SUMIFS($C390,$B390,G$7)+G389</f>
        <v>7</v>
      </c>
      <c r="H390" s="58">
        <f t="shared" si="382"/>
        <v>15</v>
      </c>
      <c r="I390" s="58">
        <f t="shared" si="382"/>
        <v>51</v>
      </c>
      <c r="J390" s="58">
        <f t="shared" si="382"/>
        <v>0</v>
      </c>
      <c r="K390" s="58">
        <f t="shared" si="382"/>
        <v>0</v>
      </c>
      <c r="L390" s="58">
        <f t="shared" si="382"/>
        <v>0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0" customHeight="1">
      <c r="A391" s="70"/>
      <c r="B391" s="64" t="s">
        <v>9</v>
      </c>
      <c r="C391" s="65">
        <v>-5.0</v>
      </c>
      <c r="D391" s="66">
        <f t="shared" si="137"/>
        <v>-2750</v>
      </c>
      <c r="E391" s="56" t="s">
        <v>172</v>
      </c>
      <c r="F391" s="58">
        <f t="shared" si="163"/>
        <v>58</v>
      </c>
      <c r="G391" s="58">
        <f t="shared" ref="G391:L391" si="383">SUMIFS($C391,$B391,G$7)+G390</f>
        <v>7</v>
      </c>
      <c r="H391" s="58">
        <f t="shared" si="383"/>
        <v>15</v>
      </c>
      <c r="I391" s="58">
        <f t="shared" si="383"/>
        <v>51</v>
      </c>
      <c r="J391" s="58">
        <f t="shared" si="383"/>
        <v>0</v>
      </c>
      <c r="K391" s="58">
        <f t="shared" si="383"/>
        <v>0</v>
      </c>
      <c r="L391" s="58">
        <f t="shared" si="383"/>
        <v>0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0" customHeight="1">
      <c r="A392" s="70"/>
      <c r="B392" s="71"/>
      <c r="C392" s="66"/>
      <c r="D392" s="66">
        <f t="shared" si="137"/>
        <v>0</v>
      </c>
      <c r="E392" s="67"/>
      <c r="F392" s="58">
        <f t="shared" si="163"/>
        <v>58</v>
      </c>
      <c r="G392" s="58">
        <f t="shared" ref="G392:L392" si="384">SUMIFS($C392,$B392,G$7)+G391</f>
        <v>7</v>
      </c>
      <c r="H392" s="58">
        <f t="shared" si="384"/>
        <v>15</v>
      </c>
      <c r="I392" s="58">
        <f t="shared" si="384"/>
        <v>51</v>
      </c>
      <c r="J392" s="58">
        <f t="shared" si="384"/>
        <v>0</v>
      </c>
      <c r="K392" s="58">
        <f t="shared" si="384"/>
        <v>0</v>
      </c>
      <c r="L392" s="58">
        <f t="shared" si="384"/>
        <v>0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0" customHeight="1">
      <c r="A393" s="68">
        <v>46162.0</v>
      </c>
      <c r="B393" s="64" t="s">
        <v>9</v>
      </c>
      <c r="C393" s="65">
        <v>14.0</v>
      </c>
      <c r="D393" s="66">
        <f t="shared" si="137"/>
        <v>7700</v>
      </c>
      <c r="E393" s="67"/>
      <c r="F393" s="58">
        <f t="shared" si="163"/>
        <v>72</v>
      </c>
      <c r="G393" s="58">
        <f t="shared" ref="G393:L393" si="385">SUMIFS($C393,$B393,G$7)+G392</f>
        <v>7</v>
      </c>
      <c r="H393" s="58">
        <f t="shared" si="385"/>
        <v>15</v>
      </c>
      <c r="I393" s="58">
        <f t="shared" si="385"/>
        <v>51</v>
      </c>
      <c r="J393" s="58">
        <f t="shared" si="385"/>
        <v>0</v>
      </c>
      <c r="K393" s="58">
        <f t="shared" si="385"/>
        <v>0</v>
      </c>
      <c r="L393" s="58">
        <f t="shared" si="385"/>
        <v>0</v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0" customHeight="1">
      <c r="A394" s="70"/>
      <c r="B394" s="64" t="s">
        <v>16</v>
      </c>
      <c r="C394" s="65">
        <v>6.0</v>
      </c>
      <c r="D394" s="66">
        <f t="shared" si="137"/>
        <v>3300</v>
      </c>
      <c r="E394" s="56" t="s">
        <v>230</v>
      </c>
      <c r="F394" s="58">
        <f t="shared" si="163"/>
        <v>72</v>
      </c>
      <c r="G394" s="58">
        <f t="shared" ref="G394:L394" si="386">SUMIFS($C394,$B394,G$7)+G393</f>
        <v>7</v>
      </c>
      <c r="H394" s="58">
        <f t="shared" si="386"/>
        <v>21</v>
      </c>
      <c r="I394" s="58">
        <f t="shared" si="386"/>
        <v>51</v>
      </c>
      <c r="J394" s="58">
        <f t="shared" si="386"/>
        <v>0</v>
      </c>
      <c r="K394" s="58">
        <f t="shared" si="386"/>
        <v>0</v>
      </c>
      <c r="L394" s="58">
        <f t="shared" si="386"/>
        <v>0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0" customHeight="1">
      <c r="A395" s="70"/>
      <c r="B395" s="64" t="s">
        <v>9</v>
      </c>
      <c r="C395" s="65">
        <v>-6.0</v>
      </c>
      <c r="D395" s="66">
        <f t="shared" si="137"/>
        <v>-3300</v>
      </c>
      <c r="E395" s="56" t="s">
        <v>130</v>
      </c>
      <c r="F395" s="58">
        <f t="shared" si="163"/>
        <v>66</v>
      </c>
      <c r="G395" s="58">
        <f t="shared" ref="G395:L395" si="387">SUMIFS($C395,$B395,G$7)+G394</f>
        <v>7</v>
      </c>
      <c r="H395" s="58">
        <f t="shared" si="387"/>
        <v>21</v>
      </c>
      <c r="I395" s="58">
        <f t="shared" si="387"/>
        <v>51</v>
      </c>
      <c r="J395" s="58">
        <f t="shared" si="387"/>
        <v>0</v>
      </c>
      <c r="K395" s="58">
        <f t="shared" si="387"/>
        <v>0</v>
      </c>
      <c r="L395" s="58">
        <f t="shared" si="387"/>
        <v>0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0" customHeight="1">
      <c r="A396" s="70"/>
      <c r="B396" s="64" t="s">
        <v>16</v>
      </c>
      <c r="C396" s="65">
        <v>-28.0</v>
      </c>
      <c r="D396" s="66">
        <f t="shared" si="137"/>
        <v>-15400</v>
      </c>
      <c r="E396" s="56" t="s">
        <v>134</v>
      </c>
      <c r="F396" s="58">
        <f t="shared" si="163"/>
        <v>66</v>
      </c>
      <c r="G396" s="58">
        <f t="shared" ref="G396:L396" si="388">SUMIFS($C396,$B396,G$7)+G395</f>
        <v>7</v>
      </c>
      <c r="H396" s="58">
        <f t="shared" si="388"/>
        <v>-7</v>
      </c>
      <c r="I396" s="58">
        <f t="shared" si="388"/>
        <v>51</v>
      </c>
      <c r="J396" s="58">
        <f t="shared" si="388"/>
        <v>0</v>
      </c>
      <c r="K396" s="58">
        <f t="shared" si="388"/>
        <v>0</v>
      </c>
      <c r="L396" s="58">
        <f t="shared" si="388"/>
        <v>0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0" customHeight="1">
      <c r="A397" s="70"/>
      <c r="B397" s="64" t="s">
        <v>17</v>
      </c>
      <c r="C397" s="65">
        <v>28.0</v>
      </c>
      <c r="D397" s="66">
        <f t="shared" si="137"/>
        <v>15400</v>
      </c>
      <c r="E397" s="67"/>
      <c r="F397" s="58">
        <f t="shared" si="163"/>
        <v>66</v>
      </c>
      <c r="G397" s="58">
        <f t="shared" ref="G397:L397" si="389">SUMIFS($C397,$B397,G$7)+G396</f>
        <v>7</v>
      </c>
      <c r="H397" s="58">
        <f t="shared" si="389"/>
        <v>-7</v>
      </c>
      <c r="I397" s="58">
        <f t="shared" si="389"/>
        <v>79</v>
      </c>
      <c r="J397" s="58">
        <f t="shared" si="389"/>
        <v>0</v>
      </c>
      <c r="K397" s="58">
        <f t="shared" si="389"/>
        <v>0</v>
      </c>
      <c r="L397" s="58">
        <f t="shared" si="389"/>
        <v>0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0" customHeight="1">
      <c r="A398" s="70"/>
      <c r="B398" s="64" t="s">
        <v>13</v>
      </c>
      <c r="C398" s="65">
        <v>-7.0</v>
      </c>
      <c r="D398" s="66">
        <f t="shared" si="137"/>
        <v>-3850</v>
      </c>
      <c r="E398" s="56" t="s">
        <v>134</v>
      </c>
      <c r="F398" s="58">
        <f t="shared" si="163"/>
        <v>66</v>
      </c>
      <c r="G398" s="58">
        <f t="shared" ref="G398:L398" si="390">SUMIFS($C398,$B398,G$7)+G397</f>
        <v>0</v>
      </c>
      <c r="H398" s="58">
        <f t="shared" si="390"/>
        <v>-7</v>
      </c>
      <c r="I398" s="58">
        <f t="shared" si="390"/>
        <v>79</v>
      </c>
      <c r="J398" s="58">
        <f t="shared" si="390"/>
        <v>0</v>
      </c>
      <c r="K398" s="58">
        <f t="shared" si="390"/>
        <v>0</v>
      </c>
      <c r="L398" s="58">
        <f t="shared" si="390"/>
        <v>0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0" customHeight="1">
      <c r="A399" s="70"/>
      <c r="B399" s="64" t="s">
        <v>17</v>
      </c>
      <c r="C399" s="65">
        <v>7.0</v>
      </c>
      <c r="D399" s="66">
        <f t="shared" si="137"/>
        <v>3850</v>
      </c>
      <c r="E399" s="67"/>
      <c r="F399" s="58">
        <f t="shared" si="163"/>
        <v>66</v>
      </c>
      <c r="G399" s="58">
        <f t="shared" ref="G399:L399" si="391">SUMIFS($C399,$B399,G$7)+G398</f>
        <v>0</v>
      </c>
      <c r="H399" s="58">
        <f t="shared" si="391"/>
        <v>-7</v>
      </c>
      <c r="I399" s="58">
        <f t="shared" si="391"/>
        <v>86</v>
      </c>
      <c r="J399" s="58">
        <f t="shared" si="391"/>
        <v>0</v>
      </c>
      <c r="K399" s="58">
        <f t="shared" si="391"/>
        <v>0</v>
      </c>
      <c r="L399" s="58">
        <f t="shared" si="391"/>
        <v>0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0" customHeight="1">
      <c r="A400" s="70"/>
      <c r="B400" s="71"/>
      <c r="C400" s="66"/>
      <c r="D400" s="66">
        <f t="shared" si="137"/>
        <v>0</v>
      </c>
      <c r="E400" s="67"/>
      <c r="F400" s="58">
        <f t="shared" si="163"/>
        <v>66</v>
      </c>
      <c r="G400" s="58">
        <f t="shared" ref="G400:L400" si="392">SUMIFS($C400,$B400,G$7)+G399</f>
        <v>0</v>
      </c>
      <c r="H400" s="58">
        <f t="shared" si="392"/>
        <v>-7</v>
      </c>
      <c r="I400" s="58">
        <f t="shared" si="392"/>
        <v>86</v>
      </c>
      <c r="J400" s="58">
        <f t="shared" si="392"/>
        <v>0</v>
      </c>
      <c r="K400" s="58">
        <f t="shared" si="392"/>
        <v>0</v>
      </c>
      <c r="L400" s="58">
        <f t="shared" si="392"/>
        <v>0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0" customHeight="1">
      <c r="A401" s="68">
        <v>46163.0</v>
      </c>
      <c r="B401" s="64" t="s">
        <v>9</v>
      </c>
      <c r="C401" s="65">
        <v>14.0</v>
      </c>
      <c r="D401" s="66">
        <f t="shared" si="137"/>
        <v>7700</v>
      </c>
      <c r="E401" s="67"/>
      <c r="F401" s="58">
        <f t="shared" si="163"/>
        <v>80</v>
      </c>
      <c r="G401" s="58">
        <f t="shared" ref="G401:L401" si="393">SUMIFS($C401,$B401,G$7)+G400</f>
        <v>0</v>
      </c>
      <c r="H401" s="58">
        <f t="shared" si="393"/>
        <v>-7</v>
      </c>
      <c r="I401" s="58">
        <f t="shared" si="393"/>
        <v>86</v>
      </c>
      <c r="J401" s="58">
        <f t="shared" si="393"/>
        <v>0</v>
      </c>
      <c r="K401" s="58">
        <f t="shared" si="393"/>
        <v>0</v>
      </c>
      <c r="L401" s="58">
        <f t="shared" si="393"/>
        <v>0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0" customHeight="1">
      <c r="A402" s="70"/>
      <c r="B402" s="64" t="s">
        <v>16</v>
      </c>
      <c r="C402" s="65">
        <v>6.0</v>
      </c>
      <c r="D402" s="66">
        <f t="shared" si="137"/>
        <v>3300</v>
      </c>
      <c r="E402" s="56" t="s">
        <v>231</v>
      </c>
      <c r="F402" s="58">
        <f t="shared" si="163"/>
        <v>80</v>
      </c>
      <c r="G402" s="58">
        <f t="shared" ref="G402:L402" si="394">SUMIFS($C402,$B402,G$7)+G401</f>
        <v>0</v>
      </c>
      <c r="H402" s="58">
        <f t="shared" si="394"/>
        <v>-1</v>
      </c>
      <c r="I402" s="58">
        <f t="shared" si="394"/>
        <v>86</v>
      </c>
      <c r="J402" s="58">
        <f t="shared" si="394"/>
        <v>0</v>
      </c>
      <c r="K402" s="58">
        <f t="shared" si="394"/>
        <v>0</v>
      </c>
      <c r="L402" s="58">
        <f t="shared" si="394"/>
        <v>0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0" customHeight="1">
      <c r="A403" s="70"/>
      <c r="B403" s="64" t="s">
        <v>9</v>
      </c>
      <c r="C403" s="65">
        <v>-6.0</v>
      </c>
      <c r="D403" s="66">
        <f t="shared" si="137"/>
        <v>-3300</v>
      </c>
      <c r="E403" s="56" t="s">
        <v>130</v>
      </c>
      <c r="F403" s="58">
        <f t="shared" si="163"/>
        <v>74</v>
      </c>
      <c r="G403" s="58">
        <f t="shared" ref="G403:L403" si="395">SUMIFS($C403,$B403,G$7)+G402</f>
        <v>0</v>
      </c>
      <c r="H403" s="58">
        <f t="shared" si="395"/>
        <v>-1</v>
      </c>
      <c r="I403" s="58">
        <f t="shared" si="395"/>
        <v>86</v>
      </c>
      <c r="J403" s="58">
        <f t="shared" si="395"/>
        <v>0</v>
      </c>
      <c r="K403" s="58">
        <f t="shared" si="395"/>
        <v>0</v>
      </c>
      <c r="L403" s="58">
        <f t="shared" si="395"/>
        <v>0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0" customHeight="1">
      <c r="A404" s="70"/>
      <c r="B404" s="64" t="s">
        <v>9</v>
      </c>
      <c r="C404" s="65">
        <v>-81.0</v>
      </c>
      <c r="D404" s="66">
        <f t="shared" si="137"/>
        <v>-44550</v>
      </c>
      <c r="E404" s="56" t="s">
        <v>134</v>
      </c>
      <c r="F404" s="58">
        <f t="shared" si="163"/>
        <v>-7</v>
      </c>
      <c r="G404" s="58">
        <f t="shared" ref="G404:L404" si="396">SUMIFS($C404,$B404,G$7)+G403</f>
        <v>0</v>
      </c>
      <c r="H404" s="58">
        <f t="shared" si="396"/>
        <v>-1</v>
      </c>
      <c r="I404" s="58">
        <f t="shared" si="396"/>
        <v>86</v>
      </c>
      <c r="J404" s="58">
        <f t="shared" si="396"/>
        <v>0</v>
      </c>
      <c r="K404" s="58">
        <f t="shared" si="396"/>
        <v>0</v>
      </c>
      <c r="L404" s="58">
        <f t="shared" si="396"/>
        <v>0</v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0" customHeight="1">
      <c r="A405" s="70"/>
      <c r="B405" s="64" t="s">
        <v>17</v>
      </c>
      <c r="C405" s="65">
        <v>81.0</v>
      </c>
      <c r="D405" s="66">
        <f t="shared" si="137"/>
        <v>44550</v>
      </c>
      <c r="E405" s="67"/>
      <c r="F405" s="58">
        <f t="shared" si="163"/>
        <v>-7</v>
      </c>
      <c r="G405" s="58">
        <f t="shared" ref="G405:L405" si="397">SUMIFS($C405,$B405,G$7)+G404</f>
        <v>0</v>
      </c>
      <c r="H405" s="58">
        <f t="shared" si="397"/>
        <v>-1</v>
      </c>
      <c r="I405" s="58">
        <f t="shared" si="397"/>
        <v>167</v>
      </c>
      <c r="J405" s="58">
        <f t="shared" si="397"/>
        <v>0</v>
      </c>
      <c r="K405" s="58">
        <f t="shared" si="397"/>
        <v>0</v>
      </c>
      <c r="L405" s="58">
        <f t="shared" si="397"/>
        <v>0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0" customHeight="1">
      <c r="A406" s="70"/>
      <c r="B406" s="71"/>
      <c r="C406" s="66"/>
      <c r="D406" s="66">
        <f t="shared" si="137"/>
        <v>0</v>
      </c>
      <c r="E406" s="67"/>
      <c r="F406" s="58">
        <f t="shared" si="163"/>
        <v>-7</v>
      </c>
      <c r="G406" s="58">
        <f t="shared" ref="G406:L406" si="398">SUMIFS($C406,$B406,G$7)+G405</f>
        <v>0</v>
      </c>
      <c r="H406" s="58">
        <f t="shared" si="398"/>
        <v>-1</v>
      </c>
      <c r="I406" s="58">
        <f t="shared" si="398"/>
        <v>167</v>
      </c>
      <c r="J406" s="58">
        <f t="shared" si="398"/>
        <v>0</v>
      </c>
      <c r="K406" s="58">
        <f t="shared" si="398"/>
        <v>0</v>
      </c>
      <c r="L406" s="58">
        <f t="shared" si="398"/>
        <v>0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0" customHeight="1">
      <c r="A407" s="68">
        <v>46164.0</v>
      </c>
      <c r="B407" s="64" t="s">
        <v>9</v>
      </c>
      <c r="C407" s="65">
        <v>14.0</v>
      </c>
      <c r="D407" s="66">
        <f t="shared" si="137"/>
        <v>7700</v>
      </c>
      <c r="E407" s="67"/>
      <c r="F407" s="58">
        <f t="shared" si="163"/>
        <v>7</v>
      </c>
      <c r="G407" s="58">
        <f t="shared" ref="G407:L407" si="399">SUMIFS($C407,$B407,G$7)+G406</f>
        <v>0</v>
      </c>
      <c r="H407" s="58">
        <f t="shared" si="399"/>
        <v>-1</v>
      </c>
      <c r="I407" s="58">
        <f t="shared" si="399"/>
        <v>167</v>
      </c>
      <c r="J407" s="58">
        <f t="shared" si="399"/>
        <v>0</v>
      </c>
      <c r="K407" s="58">
        <f t="shared" si="399"/>
        <v>0</v>
      </c>
      <c r="L407" s="58">
        <f t="shared" si="399"/>
        <v>0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0" customHeight="1">
      <c r="A408" s="70"/>
      <c r="B408" s="64" t="s">
        <v>16</v>
      </c>
      <c r="C408" s="65">
        <v>1.0</v>
      </c>
      <c r="D408" s="66">
        <f t="shared" si="137"/>
        <v>550</v>
      </c>
      <c r="E408" s="79">
        <v>85.0</v>
      </c>
      <c r="F408" s="58">
        <f t="shared" si="163"/>
        <v>7</v>
      </c>
      <c r="G408" s="58">
        <f t="shared" ref="G408:L408" si="400">SUMIFS($C408,$B408,G$7)+G407</f>
        <v>0</v>
      </c>
      <c r="H408" s="58">
        <f t="shared" si="400"/>
        <v>0</v>
      </c>
      <c r="I408" s="58">
        <f t="shared" si="400"/>
        <v>167</v>
      </c>
      <c r="J408" s="58">
        <f t="shared" si="400"/>
        <v>0</v>
      </c>
      <c r="K408" s="58">
        <f t="shared" si="400"/>
        <v>0</v>
      </c>
      <c r="L408" s="58">
        <f t="shared" si="400"/>
        <v>0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0" customHeight="1">
      <c r="A409" s="70"/>
      <c r="B409" s="64" t="s">
        <v>9</v>
      </c>
      <c r="C409" s="65">
        <v>-1.0</v>
      </c>
      <c r="D409" s="66">
        <f t="shared" si="137"/>
        <v>-550</v>
      </c>
      <c r="E409" s="56" t="s">
        <v>232</v>
      </c>
      <c r="F409" s="58">
        <f t="shared" si="163"/>
        <v>6</v>
      </c>
      <c r="G409" s="58">
        <f t="shared" ref="G409:L409" si="401">SUMIFS($C409,$B409,G$7)+G408</f>
        <v>0</v>
      </c>
      <c r="H409" s="58">
        <f t="shared" si="401"/>
        <v>0</v>
      </c>
      <c r="I409" s="58">
        <f t="shared" si="401"/>
        <v>167</v>
      </c>
      <c r="J409" s="58">
        <f t="shared" si="401"/>
        <v>0</v>
      </c>
      <c r="K409" s="58">
        <f t="shared" si="401"/>
        <v>0</v>
      </c>
      <c r="L409" s="58">
        <f t="shared" si="401"/>
        <v>0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0" customHeight="1">
      <c r="A410" s="70"/>
      <c r="B410" s="71"/>
      <c r="C410" s="66"/>
      <c r="D410" s="66">
        <f t="shared" si="137"/>
        <v>0</v>
      </c>
      <c r="E410" s="67"/>
      <c r="F410" s="58">
        <f t="shared" si="163"/>
        <v>6</v>
      </c>
      <c r="G410" s="58">
        <f t="shared" ref="G410:L410" si="402">SUMIFS($C410,$B410,G$7)+G409</f>
        <v>0</v>
      </c>
      <c r="H410" s="58">
        <f t="shared" si="402"/>
        <v>0</v>
      </c>
      <c r="I410" s="58">
        <f t="shared" si="402"/>
        <v>167</v>
      </c>
      <c r="J410" s="58">
        <f t="shared" si="402"/>
        <v>0</v>
      </c>
      <c r="K410" s="58">
        <f t="shared" si="402"/>
        <v>0</v>
      </c>
      <c r="L410" s="58">
        <f t="shared" si="402"/>
        <v>0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0" customHeight="1">
      <c r="A411" s="68">
        <v>46165.0</v>
      </c>
      <c r="B411" s="64" t="s">
        <v>9</v>
      </c>
      <c r="C411" s="65">
        <v>14.0</v>
      </c>
      <c r="D411" s="66">
        <f t="shared" si="137"/>
        <v>7700</v>
      </c>
      <c r="E411" s="67"/>
      <c r="F411" s="58">
        <f t="shared" si="163"/>
        <v>20</v>
      </c>
      <c r="G411" s="58">
        <f t="shared" ref="G411:L411" si="403">SUMIFS($C411,$B411,G$7)+G410</f>
        <v>0</v>
      </c>
      <c r="H411" s="58">
        <f t="shared" si="403"/>
        <v>0</v>
      </c>
      <c r="I411" s="58">
        <f t="shared" si="403"/>
        <v>167</v>
      </c>
      <c r="J411" s="58">
        <f t="shared" si="403"/>
        <v>0</v>
      </c>
      <c r="K411" s="58">
        <f t="shared" si="403"/>
        <v>0</v>
      </c>
      <c r="L411" s="58">
        <f t="shared" si="403"/>
        <v>0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0" customHeight="1">
      <c r="A412" s="70"/>
      <c r="B412" s="64" t="s">
        <v>16</v>
      </c>
      <c r="C412" s="65">
        <v>6.0</v>
      </c>
      <c r="D412" s="66">
        <f t="shared" si="137"/>
        <v>3300</v>
      </c>
      <c r="E412" s="67"/>
      <c r="F412" s="58">
        <f t="shared" si="163"/>
        <v>20</v>
      </c>
      <c r="G412" s="58">
        <f t="shared" ref="G412:L412" si="404">SUMIFS($C412,$B412,G$7)+G411</f>
        <v>0</v>
      </c>
      <c r="H412" s="58">
        <f t="shared" si="404"/>
        <v>6</v>
      </c>
      <c r="I412" s="58">
        <f t="shared" si="404"/>
        <v>167</v>
      </c>
      <c r="J412" s="58">
        <f t="shared" si="404"/>
        <v>0</v>
      </c>
      <c r="K412" s="58">
        <f t="shared" si="404"/>
        <v>0</v>
      </c>
      <c r="L412" s="58">
        <f t="shared" si="404"/>
        <v>0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0" customHeight="1">
      <c r="A413" s="70"/>
      <c r="B413" s="64" t="s">
        <v>9</v>
      </c>
      <c r="C413" s="65">
        <v>-6.0</v>
      </c>
      <c r="D413" s="66">
        <f t="shared" si="137"/>
        <v>-3300</v>
      </c>
      <c r="E413" s="67"/>
      <c r="F413" s="58">
        <f t="shared" si="163"/>
        <v>14</v>
      </c>
      <c r="G413" s="58">
        <f t="shared" ref="G413:L413" si="405">SUMIFS($C413,$B413,G$7)+G412</f>
        <v>0</v>
      </c>
      <c r="H413" s="58">
        <f t="shared" si="405"/>
        <v>6</v>
      </c>
      <c r="I413" s="58">
        <f t="shared" si="405"/>
        <v>167</v>
      </c>
      <c r="J413" s="58">
        <f t="shared" si="405"/>
        <v>0</v>
      </c>
      <c r="K413" s="58">
        <f t="shared" si="405"/>
        <v>0</v>
      </c>
      <c r="L413" s="58">
        <f t="shared" si="405"/>
        <v>0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0" customHeight="1">
      <c r="A414" s="70"/>
      <c r="B414" s="64" t="s">
        <v>9</v>
      </c>
      <c r="C414" s="65">
        <v>-14.0</v>
      </c>
      <c r="D414" s="66">
        <f t="shared" si="137"/>
        <v>-7700</v>
      </c>
      <c r="E414" s="56" t="s">
        <v>134</v>
      </c>
      <c r="F414" s="58">
        <f t="shared" si="163"/>
        <v>0</v>
      </c>
      <c r="G414" s="58">
        <f t="shared" ref="G414:L414" si="406">SUMIFS($C414,$B414,G$7)+G413</f>
        <v>0</v>
      </c>
      <c r="H414" s="58">
        <f t="shared" si="406"/>
        <v>6</v>
      </c>
      <c r="I414" s="58">
        <f t="shared" si="406"/>
        <v>167</v>
      </c>
      <c r="J414" s="58">
        <f t="shared" si="406"/>
        <v>0</v>
      </c>
      <c r="K414" s="58">
        <f t="shared" si="406"/>
        <v>0</v>
      </c>
      <c r="L414" s="58">
        <f t="shared" si="406"/>
        <v>0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0" customHeight="1">
      <c r="A415" s="70"/>
      <c r="B415" s="64" t="s">
        <v>17</v>
      </c>
      <c r="C415" s="65">
        <v>14.0</v>
      </c>
      <c r="D415" s="66">
        <f t="shared" si="137"/>
        <v>7700</v>
      </c>
      <c r="E415" s="67"/>
      <c r="F415" s="58">
        <f t="shared" si="163"/>
        <v>0</v>
      </c>
      <c r="G415" s="58">
        <f t="shared" ref="G415:L415" si="407">SUMIFS($C415,$B415,G$7)+G414</f>
        <v>0</v>
      </c>
      <c r="H415" s="58">
        <f t="shared" si="407"/>
        <v>6</v>
      </c>
      <c r="I415" s="58">
        <f t="shared" si="407"/>
        <v>181</v>
      </c>
      <c r="J415" s="58">
        <f t="shared" si="407"/>
        <v>0</v>
      </c>
      <c r="K415" s="58">
        <f t="shared" si="407"/>
        <v>0</v>
      </c>
      <c r="L415" s="58">
        <f t="shared" si="407"/>
        <v>0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0" customHeight="1">
      <c r="A416" s="70"/>
      <c r="B416" s="64" t="s">
        <v>16</v>
      </c>
      <c r="C416" s="65">
        <v>-6.0</v>
      </c>
      <c r="D416" s="66">
        <f t="shared" si="137"/>
        <v>-3300</v>
      </c>
      <c r="E416" s="56" t="s">
        <v>134</v>
      </c>
      <c r="F416" s="58">
        <f t="shared" si="163"/>
        <v>0</v>
      </c>
      <c r="G416" s="58">
        <f t="shared" ref="G416:L416" si="408">SUMIFS($C416,$B416,G$7)+G415</f>
        <v>0</v>
      </c>
      <c r="H416" s="58">
        <f t="shared" si="408"/>
        <v>0</v>
      </c>
      <c r="I416" s="58">
        <f t="shared" si="408"/>
        <v>181</v>
      </c>
      <c r="J416" s="58">
        <f t="shared" si="408"/>
        <v>0</v>
      </c>
      <c r="K416" s="58">
        <f t="shared" si="408"/>
        <v>0</v>
      </c>
      <c r="L416" s="58">
        <f t="shared" si="408"/>
        <v>0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0" customHeight="1">
      <c r="A417" s="70"/>
      <c r="B417" s="64" t="s">
        <v>17</v>
      </c>
      <c r="C417" s="65">
        <v>6.0</v>
      </c>
      <c r="D417" s="66">
        <f t="shared" si="137"/>
        <v>3300</v>
      </c>
      <c r="E417" s="67"/>
      <c r="F417" s="58">
        <f t="shared" si="163"/>
        <v>0</v>
      </c>
      <c r="G417" s="58">
        <f t="shared" ref="G417:L417" si="409">SUMIFS($C417,$B417,G$7)+G416</f>
        <v>0</v>
      </c>
      <c r="H417" s="58">
        <f t="shared" si="409"/>
        <v>0</v>
      </c>
      <c r="I417" s="58">
        <f t="shared" si="409"/>
        <v>187</v>
      </c>
      <c r="J417" s="58">
        <f t="shared" si="409"/>
        <v>0</v>
      </c>
      <c r="K417" s="58">
        <f t="shared" si="409"/>
        <v>0</v>
      </c>
      <c r="L417" s="58">
        <f t="shared" si="409"/>
        <v>0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0" customHeight="1">
      <c r="A418" s="70"/>
      <c r="B418" s="71"/>
      <c r="C418" s="66"/>
      <c r="D418" s="66">
        <f t="shared" si="137"/>
        <v>0</v>
      </c>
      <c r="E418" s="67"/>
      <c r="F418" s="58">
        <f t="shared" si="163"/>
        <v>0</v>
      </c>
      <c r="G418" s="58">
        <f t="shared" ref="G418:L418" si="410">SUMIFS($C418,$B418,G$7)+G417</f>
        <v>0</v>
      </c>
      <c r="H418" s="58">
        <f t="shared" si="410"/>
        <v>0</v>
      </c>
      <c r="I418" s="58">
        <f t="shared" si="410"/>
        <v>187</v>
      </c>
      <c r="J418" s="58">
        <f t="shared" si="410"/>
        <v>0</v>
      </c>
      <c r="K418" s="58">
        <f t="shared" si="410"/>
        <v>0</v>
      </c>
      <c r="L418" s="58">
        <f t="shared" si="410"/>
        <v>0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0" customHeight="1">
      <c r="A419" s="68">
        <v>46258.0</v>
      </c>
      <c r="B419" s="64" t="s">
        <v>9</v>
      </c>
      <c r="C419" s="65">
        <v>15.0</v>
      </c>
      <c r="D419" s="66">
        <f t="shared" ref="D419:D1014" si="412">570*C419</f>
        <v>8550</v>
      </c>
      <c r="E419" s="67"/>
      <c r="F419" s="58">
        <f t="shared" si="163"/>
        <v>15</v>
      </c>
      <c r="G419" s="58">
        <f t="shared" ref="G419:L419" si="411">SUMIFS($C419,$B419,G$7)+G418</f>
        <v>0</v>
      </c>
      <c r="H419" s="58">
        <f t="shared" si="411"/>
        <v>0</v>
      </c>
      <c r="I419" s="58">
        <f t="shared" si="411"/>
        <v>187</v>
      </c>
      <c r="J419" s="58">
        <f t="shared" si="411"/>
        <v>0</v>
      </c>
      <c r="K419" s="58">
        <f t="shared" si="411"/>
        <v>0</v>
      </c>
      <c r="L419" s="58">
        <f t="shared" si="411"/>
        <v>0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0" customHeight="1">
      <c r="A420" s="70"/>
      <c r="B420" s="71"/>
      <c r="C420" s="66"/>
      <c r="D420" s="66">
        <f t="shared" si="412"/>
        <v>0</v>
      </c>
      <c r="E420" s="67"/>
      <c r="F420" s="58">
        <f t="shared" si="163"/>
        <v>15</v>
      </c>
      <c r="G420" s="58">
        <f t="shared" ref="G420:L420" si="413">SUMIFS($C420,$B420,G$7)+G419</f>
        <v>0</v>
      </c>
      <c r="H420" s="58">
        <f t="shared" si="413"/>
        <v>0</v>
      </c>
      <c r="I420" s="58">
        <f t="shared" si="413"/>
        <v>187</v>
      </c>
      <c r="J420" s="58">
        <f t="shared" si="413"/>
        <v>0</v>
      </c>
      <c r="K420" s="58">
        <f t="shared" si="413"/>
        <v>0</v>
      </c>
      <c r="L420" s="58">
        <f t="shared" si="413"/>
        <v>0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0" customHeight="1">
      <c r="A421" s="68">
        <v>46259.0</v>
      </c>
      <c r="B421" s="64" t="s">
        <v>9</v>
      </c>
      <c r="C421" s="65">
        <v>18.0</v>
      </c>
      <c r="D421" s="66">
        <f t="shared" si="412"/>
        <v>10260</v>
      </c>
      <c r="E421" s="67"/>
      <c r="F421" s="58">
        <f t="shared" si="163"/>
        <v>33</v>
      </c>
      <c r="G421" s="58">
        <f t="shared" ref="G421:L421" si="414">SUMIFS($C421,$B421,G$7)+G420</f>
        <v>0</v>
      </c>
      <c r="H421" s="58">
        <f t="shared" si="414"/>
        <v>0</v>
      </c>
      <c r="I421" s="58">
        <f t="shared" si="414"/>
        <v>187</v>
      </c>
      <c r="J421" s="58">
        <f t="shared" si="414"/>
        <v>0</v>
      </c>
      <c r="K421" s="58">
        <f t="shared" si="414"/>
        <v>0</v>
      </c>
      <c r="L421" s="58">
        <f t="shared" si="414"/>
        <v>0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0" customHeight="1">
      <c r="A422" s="70"/>
      <c r="B422" s="71"/>
      <c r="C422" s="66"/>
      <c r="D422" s="66">
        <f t="shared" si="412"/>
        <v>0</v>
      </c>
      <c r="E422" s="67"/>
      <c r="F422" s="58">
        <f t="shared" si="163"/>
        <v>33</v>
      </c>
      <c r="G422" s="58">
        <f t="shared" ref="G422:L422" si="415">SUMIFS($C422,$B422,G$7)+G421</f>
        <v>0</v>
      </c>
      <c r="H422" s="58">
        <f t="shared" si="415"/>
        <v>0</v>
      </c>
      <c r="I422" s="58">
        <f t="shared" si="415"/>
        <v>187</v>
      </c>
      <c r="J422" s="58">
        <f t="shared" si="415"/>
        <v>0</v>
      </c>
      <c r="K422" s="58">
        <f t="shared" si="415"/>
        <v>0</v>
      </c>
      <c r="L422" s="58">
        <f t="shared" si="415"/>
        <v>0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0" customHeight="1">
      <c r="A423" s="68">
        <v>46260.0</v>
      </c>
      <c r="B423" s="64" t="s">
        <v>9</v>
      </c>
      <c r="C423" s="65">
        <v>18.0</v>
      </c>
      <c r="D423" s="66">
        <f t="shared" si="412"/>
        <v>10260</v>
      </c>
      <c r="E423" s="67"/>
      <c r="F423" s="58">
        <f t="shared" si="163"/>
        <v>51</v>
      </c>
      <c r="G423" s="58">
        <f t="shared" ref="G423:L423" si="416">SUMIFS($C423,$B423,G$7)+G422</f>
        <v>0</v>
      </c>
      <c r="H423" s="58">
        <f t="shared" si="416"/>
        <v>0</v>
      </c>
      <c r="I423" s="58">
        <f t="shared" si="416"/>
        <v>187</v>
      </c>
      <c r="J423" s="58">
        <f t="shared" si="416"/>
        <v>0</v>
      </c>
      <c r="K423" s="58">
        <f t="shared" si="416"/>
        <v>0</v>
      </c>
      <c r="L423" s="58">
        <f t="shared" si="416"/>
        <v>0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0" customHeight="1">
      <c r="A424" s="70"/>
      <c r="B424" s="71"/>
      <c r="C424" s="66"/>
      <c r="D424" s="66">
        <f t="shared" si="412"/>
        <v>0</v>
      </c>
      <c r="E424" s="67"/>
      <c r="F424" s="58">
        <f t="shared" si="163"/>
        <v>51</v>
      </c>
      <c r="G424" s="58">
        <f t="shared" ref="G424:L424" si="417">SUMIFS($C424,$B424,G$7)+G423</f>
        <v>0</v>
      </c>
      <c r="H424" s="58">
        <f t="shared" si="417"/>
        <v>0</v>
      </c>
      <c r="I424" s="58">
        <f t="shared" si="417"/>
        <v>187</v>
      </c>
      <c r="J424" s="58">
        <f t="shared" si="417"/>
        <v>0</v>
      </c>
      <c r="K424" s="58">
        <f t="shared" si="417"/>
        <v>0</v>
      </c>
      <c r="L424" s="58">
        <f t="shared" si="417"/>
        <v>0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0" customHeight="1">
      <c r="A425" s="68">
        <v>46261.0</v>
      </c>
      <c r="B425" s="64" t="s">
        <v>9</v>
      </c>
      <c r="C425" s="65">
        <v>19.0</v>
      </c>
      <c r="D425" s="66">
        <f t="shared" si="412"/>
        <v>10830</v>
      </c>
      <c r="E425" s="67"/>
      <c r="F425" s="58">
        <f t="shared" si="163"/>
        <v>70</v>
      </c>
      <c r="G425" s="58">
        <f t="shared" ref="G425:L425" si="418">SUMIFS($C425,$B425,G$7)+G424</f>
        <v>0</v>
      </c>
      <c r="H425" s="58">
        <f t="shared" si="418"/>
        <v>0</v>
      </c>
      <c r="I425" s="58">
        <f t="shared" si="418"/>
        <v>187</v>
      </c>
      <c r="J425" s="58">
        <f t="shared" si="418"/>
        <v>0</v>
      </c>
      <c r="K425" s="58">
        <f t="shared" si="418"/>
        <v>0</v>
      </c>
      <c r="L425" s="58">
        <f t="shared" si="418"/>
        <v>0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0" customHeight="1">
      <c r="A426" s="70"/>
      <c r="B426" s="64" t="s">
        <v>13</v>
      </c>
      <c r="C426" s="65">
        <v>2.0</v>
      </c>
      <c r="D426" s="66">
        <f t="shared" si="412"/>
        <v>1140</v>
      </c>
      <c r="E426" s="67"/>
      <c r="F426" s="58">
        <f t="shared" si="163"/>
        <v>70</v>
      </c>
      <c r="G426" s="58">
        <f t="shared" ref="G426:L426" si="419">SUMIFS($C426,$B426,G$7)+G425</f>
        <v>2</v>
      </c>
      <c r="H426" s="58">
        <f t="shared" si="419"/>
        <v>0</v>
      </c>
      <c r="I426" s="58">
        <f t="shared" si="419"/>
        <v>187</v>
      </c>
      <c r="J426" s="58">
        <f t="shared" si="419"/>
        <v>0</v>
      </c>
      <c r="K426" s="58">
        <f t="shared" si="419"/>
        <v>0</v>
      </c>
      <c r="L426" s="58">
        <f t="shared" si="419"/>
        <v>0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0" customHeight="1">
      <c r="A427" s="70"/>
      <c r="B427" s="64" t="s">
        <v>9</v>
      </c>
      <c r="C427" s="65">
        <v>-2.0</v>
      </c>
      <c r="D427" s="66">
        <f t="shared" si="412"/>
        <v>-1140</v>
      </c>
      <c r="E427" s="67"/>
      <c r="F427" s="58">
        <f t="shared" si="163"/>
        <v>68</v>
      </c>
      <c r="G427" s="58">
        <f t="shared" ref="G427:L427" si="420">SUMIFS($C427,$B427,G$7)+G426</f>
        <v>2</v>
      </c>
      <c r="H427" s="58">
        <f t="shared" si="420"/>
        <v>0</v>
      </c>
      <c r="I427" s="58">
        <f t="shared" si="420"/>
        <v>187</v>
      </c>
      <c r="J427" s="58">
        <f t="shared" si="420"/>
        <v>0</v>
      </c>
      <c r="K427" s="58">
        <f t="shared" si="420"/>
        <v>0</v>
      </c>
      <c r="L427" s="58">
        <f t="shared" si="420"/>
        <v>0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0" customHeight="1">
      <c r="A428" s="70"/>
      <c r="B428" s="64" t="s">
        <v>16</v>
      </c>
      <c r="C428" s="65">
        <v>5.0</v>
      </c>
      <c r="D428" s="66">
        <f t="shared" si="412"/>
        <v>2850</v>
      </c>
      <c r="E428" s="67"/>
      <c r="F428" s="58">
        <f t="shared" si="163"/>
        <v>68</v>
      </c>
      <c r="G428" s="58">
        <f t="shared" ref="G428:L428" si="421">SUMIFS($C428,$B428,G$7)+G427</f>
        <v>2</v>
      </c>
      <c r="H428" s="58">
        <f t="shared" si="421"/>
        <v>5</v>
      </c>
      <c r="I428" s="58">
        <f t="shared" si="421"/>
        <v>187</v>
      </c>
      <c r="J428" s="58">
        <f t="shared" si="421"/>
        <v>0</v>
      </c>
      <c r="K428" s="58">
        <f t="shared" si="421"/>
        <v>0</v>
      </c>
      <c r="L428" s="58">
        <f t="shared" si="421"/>
        <v>0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0" customHeight="1">
      <c r="A429" s="70"/>
      <c r="B429" s="64" t="s">
        <v>9</v>
      </c>
      <c r="C429" s="65">
        <v>-5.0</v>
      </c>
      <c r="D429" s="66">
        <f t="shared" si="412"/>
        <v>-2850</v>
      </c>
      <c r="E429" s="67"/>
      <c r="F429" s="58">
        <f t="shared" si="163"/>
        <v>63</v>
      </c>
      <c r="G429" s="58">
        <f t="shared" ref="G429:L429" si="422">SUMIFS($C429,$B429,G$7)+G428</f>
        <v>2</v>
      </c>
      <c r="H429" s="58">
        <f t="shared" si="422"/>
        <v>5</v>
      </c>
      <c r="I429" s="58">
        <f t="shared" si="422"/>
        <v>187</v>
      </c>
      <c r="J429" s="58">
        <f t="shared" si="422"/>
        <v>0</v>
      </c>
      <c r="K429" s="58">
        <f t="shared" si="422"/>
        <v>0</v>
      </c>
      <c r="L429" s="58">
        <f t="shared" si="422"/>
        <v>0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0" customHeight="1">
      <c r="A430" s="70"/>
      <c r="B430" s="71"/>
      <c r="C430" s="66"/>
      <c r="D430" s="66">
        <f t="shared" si="412"/>
        <v>0</v>
      </c>
      <c r="E430" s="67"/>
      <c r="F430" s="58">
        <f t="shared" si="163"/>
        <v>63</v>
      </c>
      <c r="G430" s="58">
        <f t="shared" ref="G430:L430" si="423">SUMIFS($C430,$B430,G$7)+G429</f>
        <v>2</v>
      </c>
      <c r="H430" s="58">
        <f t="shared" si="423"/>
        <v>5</v>
      </c>
      <c r="I430" s="58">
        <f t="shared" si="423"/>
        <v>187</v>
      </c>
      <c r="J430" s="58">
        <f t="shared" si="423"/>
        <v>0</v>
      </c>
      <c r="K430" s="58">
        <f t="shared" si="423"/>
        <v>0</v>
      </c>
      <c r="L430" s="58">
        <f t="shared" si="423"/>
        <v>0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0" customHeight="1">
      <c r="A431" s="68">
        <v>46262.0</v>
      </c>
      <c r="B431" s="64" t="s">
        <v>9</v>
      </c>
      <c r="C431" s="65">
        <v>19.0</v>
      </c>
      <c r="D431" s="66">
        <f t="shared" si="412"/>
        <v>10830</v>
      </c>
      <c r="E431" s="67"/>
      <c r="F431" s="58">
        <f t="shared" si="163"/>
        <v>82</v>
      </c>
      <c r="G431" s="58">
        <f t="shared" ref="G431:L431" si="424">SUMIFS($C431,$B431,G$7)+G430</f>
        <v>2</v>
      </c>
      <c r="H431" s="58">
        <f t="shared" si="424"/>
        <v>5</v>
      </c>
      <c r="I431" s="58">
        <f t="shared" si="424"/>
        <v>187</v>
      </c>
      <c r="J431" s="58">
        <f t="shared" si="424"/>
        <v>0</v>
      </c>
      <c r="K431" s="58">
        <f t="shared" si="424"/>
        <v>0</v>
      </c>
      <c r="L431" s="58">
        <f t="shared" si="424"/>
        <v>0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0" customHeight="1">
      <c r="A432" s="70"/>
      <c r="B432" s="64" t="s">
        <v>13</v>
      </c>
      <c r="C432" s="65">
        <v>1.0</v>
      </c>
      <c r="D432" s="66">
        <f t="shared" si="412"/>
        <v>570</v>
      </c>
      <c r="E432" s="67"/>
      <c r="F432" s="58">
        <f t="shared" si="163"/>
        <v>82</v>
      </c>
      <c r="G432" s="58">
        <f t="shared" ref="G432:L432" si="425">SUMIFS($C432,$B432,G$7)+G431</f>
        <v>3</v>
      </c>
      <c r="H432" s="58">
        <f t="shared" si="425"/>
        <v>5</v>
      </c>
      <c r="I432" s="58">
        <f t="shared" si="425"/>
        <v>187</v>
      </c>
      <c r="J432" s="58">
        <f t="shared" si="425"/>
        <v>0</v>
      </c>
      <c r="K432" s="58">
        <f t="shared" si="425"/>
        <v>0</v>
      </c>
      <c r="L432" s="58">
        <f t="shared" si="425"/>
        <v>0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0" customHeight="1">
      <c r="A433" s="70"/>
      <c r="B433" s="64" t="s">
        <v>9</v>
      </c>
      <c r="C433" s="65">
        <v>-1.0</v>
      </c>
      <c r="D433" s="66">
        <f t="shared" si="412"/>
        <v>-570</v>
      </c>
      <c r="E433" s="67"/>
      <c r="F433" s="58">
        <f t="shared" si="163"/>
        <v>81</v>
      </c>
      <c r="G433" s="58">
        <f t="shared" ref="G433:L433" si="426">SUMIFS($C433,$B433,G$7)+G432</f>
        <v>3</v>
      </c>
      <c r="H433" s="58">
        <f t="shared" si="426"/>
        <v>5</v>
      </c>
      <c r="I433" s="58">
        <f t="shared" si="426"/>
        <v>187</v>
      </c>
      <c r="J433" s="58">
        <f t="shared" si="426"/>
        <v>0</v>
      </c>
      <c r="K433" s="58">
        <f t="shared" si="426"/>
        <v>0</v>
      </c>
      <c r="L433" s="58">
        <f t="shared" si="426"/>
        <v>0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0" customHeight="1">
      <c r="A434" s="70"/>
      <c r="B434" s="64" t="s">
        <v>16</v>
      </c>
      <c r="C434" s="65">
        <v>5.0</v>
      </c>
      <c r="D434" s="66">
        <f t="shared" si="412"/>
        <v>2850</v>
      </c>
      <c r="E434" s="67"/>
      <c r="F434" s="58">
        <f t="shared" si="163"/>
        <v>81</v>
      </c>
      <c r="G434" s="58">
        <f t="shared" ref="G434:L434" si="427">SUMIFS($C434,$B434,G$7)+G433</f>
        <v>3</v>
      </c>
      <c r="H434" s="58">
        <f t="shared" si="427"/>
        <v>10</v>
      </c>
      <c r="I434" s="58">
        <f t="shared" si="427"/>
        <v>187</v>
      </c>
      <c r="J434" s="58">
        <f t="shared" si="427"/>
        <v>0</v>
      </c>
      <c r="K434" s="58">
        <f t="shared" si="427"/>
        <v>0</v>
      </c>
      <c r="L434" s="58">
        <f t="shared" si="427"/>
        <v>0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0" customHeight="1">
      <c r="A435" s="70"/>
      <c r="B435" s="64" t="s">
        <v>9</v>
      </c>
      <c r="C435" s="65">
        <v>-5.0</v>
      </c>
      <c r="D435" s="66">
        <f t="shared" si="412"/>
        <v>-2850</v>
      </c>
      <c r="E435" s="67"/>
      <c r="F435" s="58">
        <f t="shared" si="163"/>
        <v>76</v>
      </c>
      <c r="G435" s="58">
        <f t="shared" ref="G435:L435" si="428">SUMIFS($C435,$B435,G$7)+G434</f>
        <v>3</v>
      </c>
      <c r="H435" s="58">
        <f t="shared" si="428"/>
        <v>10</v>
      </c>
      <c r="I435" s="58">
        <f t="shared" si="428"/>
        <v>187</v>
      </c>
      <c r="J435" s="58">
        <f t="shared" si="428"/>
        <v>0</v>
      </c>
      <c r="K435" s="58">
        <f t="shared" si="428"/>
        <v>0</v>
      </c>
      <c r="L435" s="58">
        <f t="shared" si="428"/>
        <v>0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0" customHeight="1">
      <c r="A436" s="70"/>
      <c r="B436" s="71"/>
      <c r="C436" s="66"/>
      <c r="D436" s="66">
        <f t="shared" si="412"/>
        <v>0</v>
      </c>
      <c r="E436" s="67"/>
      <c r="F436" s="58">
        <f t="shared" si="163"/>
        <v>76</v>
      </c>
      <c r="G436" s="58">
        <f t="shared" ref="G436:L436" si="429">SUMIFS($C436,$B436,G$7)+G435</f>
        <v>3</v>
      </c>
      <c r="H436" s="58">
        <f t="shared" si="429"/>
        <v>10</v>
      </c>
      <c r="I436" s="58">
        <f t="shared" si="429"/>
        <v>187</v>
      </c>
      <c r="J436" s="58">
        <f t="shared" si="429"/>
        <v>0</v>
      </c>
      <c r="K436" s="58">
        <f t="shared" si="429"/>
        <v>0</v>
      </c>
      <c r="L436" s="58">
        <f t="shared" si="429"/>
        <v>0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0" customHeight="1">
      <c r="A437" s="68">
        <v>46263.0</v>
      </c>
      <c r="B437" s="64" t="s">
        <v>9</v>
      </c>
      <c r="C437" s="65">
        <v>10.0</v>
      </c>
      <c r="D437" s="66">
        <f t="shared" si="412"/>
        <v>5700</v>
      </c>
      <c r="E437" s="67"/>
      <c r="F437" s="58">
        <f t="shared" si="163"/>
        <v>86</v>
      </c>
      <c r="G437" s="58">
        <f t="shared" ref="G437:L437" si="430">SUMIFS($C437,$B437,G$7)+G436</f>
        <v>3</v>
      </c>
      <c r="H437" s="58">
        <f t="shared" si="430"/>
        <v>10</v>
      </c>
      <c r="I437" s="58">
        <f t="shared" si="430"/>
        <v>187</v>
      </c>
      <c r="J437" s="58">
        <f t="shared" si="430"/>
        <v>0</v>
      </c>
      <c r="K437" s="58">
        <f t="shared" si="430"/>
        <v>0</v>
      </c>
      <c r="L437" s="58">
        <f t="shared" si="430"/>
        <v>0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0" customHeight="1">
      <c r="A438" s="70"/>
      <c r="B438" s="64" t="s">
        <v>9</v>
      </c>
      <c r="C438" s="65">
        <v>-1.0</v>
      </c>
      <c r="D438" s="66">
        <f t="shared" si="412"/>
        <v>-570</v>
      </c>
      <c r="E438" s="56" t="s">
        <v>38</v>
      </c>
      <c r="F438" s="58">
        <f t="shared" si="163"/>
        <v>85</v>
      </c>
      <c r="G438" s="58">
        <f t="shared" ref="G438:L438" si="431">SUMIFS($C438,$B438,G$7)+G437</f>
        <v>3</v>
      </c>
      <c r="H438" s="58">
        <f t="shared" si="431"/>
        <v>10</v>
      </c>
      <c r="I438" s="58">
        <f t="shared" si="431"/>
        <v>187</v>
      </c>
      <c r="J438" s="58">
        <f t="shared" si="431"/>
        <v>0</v>
      </c>
      <c r="K438" s="58">
        <f t="shared" si="431"/>
        <v>0</v>
      </c>
      <c r="L438" s="58">
        <f t="shared" si="431"/>
        <v>0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0" customHeight="1">
      <c r="A439" s="70"/>
      <c r="B439" s="71"/>
      <c r="C439" s="66"/>
      <c r="D439" s="66">
        <f t="shared" si="412"/>
        <v>0</v>
      </c>
      <c r="E439" s="67"/>
      <c r="F439" s="58">
        <f t="shared" si="163"/>
        <v>85</v>
      </c>
      <c r="G439" s="58">
        <f t="shared" ref="G439:L439" si="432">SUMIFS($C439,$B439,G$7)+G438</f>
        <v>3</v>
      </c>
      <c r="H439" s="58">
        <f t="shared" si="432"/>
        <v>10</v>
      </c>
      <c r="I439" s="58">
        <f t="shared" si="432"/>
        <v>187</v>
      </c>
      <c r="J439" s="58">
        <f t="shared" si="432"/>
        <v>0</v>
      </c>
      <c r="K439" s="58">
        <f t="shared" si="432"/>
        <v>0</v>
      </c>
      <c r="L439" s="58">
        <f t="shared" si="432"/>
        <v>0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0" customHeight="1">
      <c r="A440" s="68">
        <v>46266.0</v>
      </c>
      <c r="B440" s="64" t="s">
        <v>9</v>
      </c>
      <c r="C440" s="65">
        <v>17.0</v>
      </c>
      <c r="D440" s="66">
        <f t="shared" si="412"/>
        <v>9690</v>
      </c>
      <c r="E440" s="67"/>
      <c r="F440" s="58">
        <f t="shared" si="163"/>
        <v>102</v>
      </c>
      <c r="G440" s="58">
        <f t="shared" ref="G440:L440" si="433">SUMIFS($C440,$B440,G$7)+G439</f>
        <v>3</v>
      </c>
      <c r="H440" s="58">
        <f t="shared" si="433"/>
        <v>10</v>
      </c>
      <c r="I440" s="58">
        <f t="shared" si="433"/>
        <v>187</v>
      </c>
      <c r="J440" s="58">
        <f t="shared" si="433"/>
        <v>0</v>
      </c>
      <c r="K440" s="58">
        <f t="shared" si="433"/>
        <v>0</v>
      </c>
      <c r="L440" s="58">
        <f t="shared" si="433"/>
        <v>0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0" customHeight="1">
      <c r="A441" s="70"/>
      <c r="B441" s="64" t="s">
        <v>16</v>
      </c>
      <c r="C441" s="65">
        <v>6.0</v>
      </c>
      <c r="D441" s="66">
        <f t="shared" si="412"/>
        <v>3420</v>
      </c>
      <c r="E441" s="67"/>
      <c r="F441" s="58">
        <f t="shared" ref="F441:L441" si="434">SUMIFS($C441,$B441,F$7)+F438</f>
        <v>85</v>
      </c>
      <c r="G441" s="58">
        <f t="shared" si="434"/>
        <v>3</v>
      </c>
      <c r="H441" s="58">
        <f t="shared" si="434"/>
        <v>16</v>
      </c>
      <c r="I441" s="58">
        <f t="shared" si="434"/>
        <v>187</v>
      </c>
      <c r="J441" s="58">
        <f t="shared" si="434"/>
        <v>0</v>
      </c>
      <c r="K441" s="58">
        <f t="shared" si="434"/>
        <v>0</v>
      </c>
      <c r="L441" s="58">
        <f t="shared" si="434"/>
        <v>0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0" customHeight="1">
      <c r="A442" s="70"/>
      <c r="B442" s="64" t="s">
        <v>9</v>
      </c>
      <c r="C442" s="65">
        <v>-6.0</v>
      </c>
      <c r="D442" s="66">
        <f t="shared" si="412"/>
        <v>-3420</v>
      </c>
      <c r="E442" s="67"/>
      <c r="F442" s="58">
        <f t="shared" ref="F442:L442" si="435">SUMIFS($C442,$B442,F$7)+F439</f>
        <v>79</v>
      </c>
      <c r="G442" s="58">
        <f t="shared" si="435"/>
        <v>3</v>
      </c>
      <c r="H442" s="58">
        <f t="shared" si="435"/>
        <v>10</v>
      </c>
      <c r="I442" s="58">
        <f t="shared" si="435"/>
        <v>187</v>
      </c>
      <c r="J442" s="58">
        <f t="shared" si="435"/>
        <v>0</v>
      </c>
      <c r="K442" s="58">
        <f t="shared" si="435"/>
        <v>0</v>
      </c>
      <c r="L442" s="58">
        <f t="shared" si="435"/>
        <v>0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0" customHeight="1">
      <c r="A443" s="70"/>
      <c r="B443" s="71"/>
      <c r="C443" s="66"/>
      <c r="D443" s="66">
        <f t="shared" si="412"/>
        <v>0</v>
      </c>
      <c r="E443" s="67"/>
      <c r="F443" s="58">
        <f t="shared" ref="F443:L443" si="436">SUMIFS($C443,$B443,F$7)+F440</f>
        <v>102</v>
      </c>
      <c r="G443" s="58">
        <f t="shared" si="436"/>
        <v>3</v>
      </c>
      <c r="H443" s="58">
        <f t="shared" si="436"/>
        <v>10</v>
      </c>
      <c r="I443" s="58">
        <f t="shared" si="436"/>
        <v>187</v>
      </c>
      <c r="J443" s="58">
        <f t="shared" si="436"/>
        <v>0</v>
      </c>
      <c r="K443" s="58">
        <f t="shared" si="436"/>
        <v>0</v>
      </c>
      <c r="L443" s="58">
        <f t="shared" si="436"/>
        <v>0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0" customHeight="1">
      <c r="A444" s="68">
        <v>46267.0</v>
      </c>
      <c r="B444" s="64" t="s">
        <v>9</v>
      </c>
      <c r="C444" s="65">
        <v>19.0</v>
      </c>
      <c r="D444" s="66">
        <f t="shared" si="412"/>
        <v>10830</v>
      </c>
      <c r="E444" s="67"/>
      <c r="F444" s="58">
        <f t="shared" ref="F444:L444" si="437">SUMIFS($C444,$B444,F$7)+F443</f>
        <v>121</v>
      </c>
      <c r="G444" s="58">
        <f t="shared" si="437"/>
        <v>3</v>
      </c>
      <c r="H444" s="58">
        <f t="shared" si="437"/>
        <v>10</v>
      </c>
      <c r="I444" s="58">
        <f t="shared" si="437"/>
        <v>187</v>
      </c>
      <c r="J444" s="58">
        <f t="shared" si="437"/>
        <v>0</v>
      </c>
      <c r="K444" s="58">
        <f t="shared" si="437"/>
        <v>0</v>
      </c>
      <c r="L444" s="58">
        <f t="shared" si="437"/>
        <v>0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0" customHeight="1">
      <c r="A445" s="70"/>
      <c r="B445" s="64" t="s">
        <v>16</v>
      </c>
      <c r="C445" s="65">
        <v>3.0</v>
      </c>
      <c r="D445" s="66">
        <f t="shared" si="412"/>
        <v>1710</v>
      </c>
      <c r="E445" s="67"/>
      <c r="F445" s="58">
        <f t="shared" ref="F445:L445" si="438">SUMIFS($C445,$B445,F$7)+F440</f>
        <v>102</v>
      </c>
      <c r="G445" s="58">
        <f t="shared" si="438"/>
        <v>3</v>
      </c>
      <c r="H445" s="58">
        <f t="shared" si="438"/>
        <v>13</v>
      </c>
      <c r="I445" s="58">
        <f t="shared" si="438"/>
        <v>187</v>
      </c>
      <c r="J445" s="58">
        <f t="shared" si="438"/>
        <v>0</v>
      </c>
      <c r="K445" s="58">
        <f t="shared" si="438"/>
        <v>0</v>
      </c>
      <c r="L445" s="58">
        <f t="shared" si="438"/>
        <v>0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0" customHeight="1">
      <c r="A446" s="70"/>
      <c r="B446" s="64" t="s">
        <v>9</v>
      </c>
      <c r="C446" s="65">
        <v>-3.0</v>
      </c>
      <c r="D446" s="66">
        <f t="shared" si="412"/>
        <v>-1710</v>
      </c>
      <c r="E446" s="67"/>
      <c r="F446" s="58">
        <f t="shared" ref="F446:L446" si="439">SUMIFS($C446,$B446,F$7)+F443</f>
        <v>99</v>
      </c>
      <c r="G446" s="58">
        <f t="shared" si="439"/>
        <v>3</v>
      </c>
      <c r="H446" s="58">
        <f t="shared" si="439"/>
        <v>10</v>
      </c>
      <c r="I446" s="58">
        <f t="shared" si="439"/>
        <v>187</v>
      </c>
      <c r="J446" s="58">
        <f t="shared" si="439"/>
        <v>0</v>
      </c>
      <c r="K446" s="58">
        <f t="shared" si="439"/>
        <v>0</v>
      </c>
      <c r="L446" s="58">
        <f t="shared" si="439"/>
        <v>0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0" customHeight="1">
      <c r="A447" s="70"/>
      <c r="B447" s="71"/>
      <c r="C447" s="66"/>
      <c r="D447" s="66">
        <f t="shared" si="412"/>
        <v>0</v>
      </c>
      <c r="E447" s="67"/>
      <c r="F447" s="58">
        <f t="shared" ref="F447:L447" si="440">SUMIFS($C447,$B447,F$7)+F444</f>
        <v>121</v>
      </c>
      <c r="G447" s="58">
        <f t="shared" si="440"/>
        <v>3</v>
      </c>
      <c r="H447" s="58">
        <f t="shared" si="440"/>
        <v>10</v>
      </c>
      <c r="I447" s="58">
        <f t="shared" si="440"/>
        <v>187</v>
      </c>
      <c r="J447" s="58">
        <f t="shared" si="440"/>
        <v>0</v>
      </c>
      <c r="K447" s="58">
        <f t="shared" si="440"/>
        <v>0</v>
      </c>
      <c r="L447" s="58">
        <f t="shared" si="440"/>
        <v>0</v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0" customHeight="1">
      <c r="A448" s="68">
        <v>46268.0</v>
      </c>
      <c r="B448" s="64" t="s">
        <v>9</v>
      </c>
      <c r="C448" s="65">
        <v>15.0</v>
      </c>
      <c r="D448" s="66">
        <f t="shared" si="412"/>
        <v>8550</v>
      </c>
      <c r="E448" s="67"/>
      <c r="F448" s="58">
        <f t="shared" ref="F448:L448" si="441">SUMIFS($C448,$B448,F$7)+F447</f>
        <v>136</v>
      </c>
      <c r="G448" s="58">
        <f t="shared" si="441"/>
        <v>3</v>
      </c>
      <c r="H448" s="58">
        <f t="shared" si="441"/>
        <v>10</v>
      </c>
      <c r="I448" s="58">
        <f t="shared" si="441"/>
        <v>187</v>
      </c>
      <c r="J448" s="58">
        <f t="shared" si="441"/>
        <v>0</v>
      </c>
      <c r="K448" s="58">
        <f t="shared" si="441"/>
        <v>0</v>
      </c>
      <c r="L448" s="58">
        <f t="shared" si="441"/>
        <v>0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0" customHeight="1">
      <c r="A449" s="70"/>
      <c r="B449" s="64" t="s">
        <v>16</v>
      </c>
      <c r="C449" s="65">
        <v>2.0</v>
      </c>
      <c r="D449" s="66">
        <f t="shared" si="412"/>
        <v>1140</v>
      </c>
      <c r="E449" s="67"/>
      <c r="F449" s="58">
        <f t="shared" ref="F449:L449" si="442">SUMIFS($C449,$B449,F$7)+F447</f>
        <v>121</v>
      </c>
      <c r="G449" s="58">
        <f t="shared" si="442"/>
        <v>3</v>
      </c>
      <c r="H449" s="58">
        <f t="shared" si="442"/>
        <v>12</v>
      </c>
      <c r="I449" s="58">
        <f t="shared" si="442"/>
        <v>187</v>
      </c>
      <c r="J449" s="58">
        <f t="shared" si="442"/>
        <v>0</v>
      </c>
      <c r="K449" s="58">
        <f t="shared" si="442"/>
        <v>0</v>
      </c>
      <c r="L449" s="58">
        <f t="shared" si="442"/>
        <v>0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0" customHeight="1">
      <c r="A450" s="70"/>
      <c r="B450" s="64" t="s">
        <v>9</v>
      </c>
      <c r="C450" s="65">
        <v>-2.0</v>
      </c>
      <c r="D450" s="66">
        <f t="shared" si="412"/>
        <v>-1140</v>
      </c>
      <c r="E450" s="67"/>
      <c r="F450" s="58">
        <f t="shared" ref="F450:L450" si="443">SUMIFS($C450,$B450,F$7)+F447</f>
        <v>119</v>
      </c>
      <c r="G450" s="58">
        <f t="shared" si="443"/>
        <v>3</v>
      </c>
      <c r="H450" s="58">
        <f t="shared" si="443"/>
        <v>10</v>
      </c>
      <c r="I450" s="58">
        <f t="shared" si="443"/>
        <v>187</v>
      </c>
      <c r="J450" s="58">
        <f t="shared" si="443"/>
        <v>0</v>
      </c>
      <c r="K450" s="58">
        <f t="shared" si="443"/>
        <v>0</v>
      </c>
      <c r="L450" s="58">
        <f t="shared" si="443"/>
        <v>0</v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0" customHeight="1">
      <c r="A451" s="70"/>
      <c r="B451" s="71"/>
      <c r="C451" s="66"/>
      <c r="D451" s="66">
        <f t="shared" si="412"/>
        <v>0</v>
      </c>
      <c r="E451" s="67"/>
      <c r="F451" s="58">
        <f t="shared" ref="F451:L451" si="444">SUMIFS($C451,$B451,F$7)+F448</f>
        <v>136</v>
      </c>
      <c r="G451" s="58">
        <f t="shared" si="444"/>
        <v>3</v>
      </c>
      <c r="H451" s="58">
        <f t="shared" si="444"/>
        <v>10</v>
      </c>
      <c r="I451" s="58">
        <f t="shared" si="444"/>
        <v>187</v>
      </c>
      <c r="J451" s="58">
        <f t="shared" si="444"/>
        <v>0</v>
      </c>
      <c r="K451" s="58">
        <f t="shared" si="444"/>
        <v>0</v>
      </c>
      <c r="L451" s="58">
        <f t="shared" si="444"/>
        <v>0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0" customHeight="1">
      <c r="A452" s="68">
        <v>46269.0</v>
      </c>
      <c r="B452" s="64" t="s">
        <v>9</v>
      </c>
      <c r="C452" s="65">
        <v>17.0</v>
      </c>
      <c r="D452" s="66">
        <f t="shared" si="412"/>
        <v>9690</v>
      </c>
      <c r="E452" s="67"/>
      <c r="F452" s="58">
        <f t="shared" ref="F452:L452" si="445">SUMIFS($C452,$B452,F$7)+F451</f>
        <v>153</v>
      </c>
      <c r="G452" s="58">
        <f t="shared" si="445"/>
        <v>3</v>
      </c>
      <c r="H452" s="58">
        <f t="shared" si="445"/>
        <v>10</v>
      </c>
      <c r="I452" s="58">
        <f t="shared" si="445"/>
        <v>187</v>
      </c>
      <c r="J452" s="58">
        <f t="shared" si="445"/>
        <v>0</v>
      </c>
      <c r="K452" s="58">
        <f t="shared" si="445"/>
        <v>0</v>
      </c>
      <c r="L452" s="58">
        <f t="shared" si="445"/>
        <v>0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0" customHeight="1">
      <c r="A453" s="70"/>
      <c r="B453" s="64" t="s">
        <v>16</v>
      </c>
      <c r="C453" s="65">
        <v>2.0</v>
      </c>
      <c r="D453" s="66">
        <f t="shared" si="412"/>
        <v>1140</v>
      </c>
      <c r="E453" s="67"/>
      <c r="F453" s="58">
        <f t="shared" ref="F453:L453" si="446">SUMIFS($C453,$B453,F$7)+F452</f>
        <v>153</v>
      </c>
      <c r="G453" s="58">
        <f t="shared" si="446"/>
        <v>3</v>
      </c>
      <c r="H453" s="58">
        <f t="shared" si="446"/>
        <v>12</v>
      </c>
      <c r="I453" s="58">
        <f t="shared" si="446"/>
        <v>187</v>
      </c>
      <c r="J453" s="58">
        <f t="shared" si="446"/>
        <v>0</v>
      </c>
      <c r="K453" s="58">
        <f t="shared" si="446"/>
        <v>0</v>
      </c>
      <c r="L453" s="58">
        <f t="shared" si="446"/>
        <v>0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0" customHeight="1">
      <c r="A454" s="70"/>
      <c r="B454" s="64" t="s">
        <v>9</v>
      </c>
      <c r="C454" s="65">
        <v>-2.0</v>
      </c>
      <c r="D454" s="66">
        <f t="shared" si="412"/>
        <v>-1140</v>
      </c>
      <c r="E454" s="67"/>
      <c r="F454" s="58">
        <f t="shared" ref="F454:L454" si="447">SUMIFS($C454,$B454,F$7)+F453</f>
        <v>151</v>
      </c>
      <c r="G454" s="58">
        <f t="shared" si="447"/>
        <v>3</v>
      </c>
      <c r="H454" s="58">
        <f t="shared" si="447"/>
        <v>12</v>
      </c>
      <c r="I454" s="58">
        <f t="shared" si="447"/>
        <v>187</v>
      </c>
      <c r="J454" s="58">
        <f t="shared" si="447"/>
        <v>0</v>
      </c>
      <c r="K454" s="58">
        <f t="shared" si="447"/>
        <v>0</v>
      </c>
      <c r="L454" s="58">
        <f t="shared" si="447"/>
        <v>0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0" customHeight="1">
      <c r="A455" s="70"/>
      <c r="B455" s="71"/>
      <c r="C455" s="66"/>
      <c r="D455" s="66">
        <f t="shared" si="412"/>
        <v>0</v>
      </c>
      <c r="E455" s="67"/>
      <c r="F455" s="58">
        <f t="shared" ref="F455:L455" si="448">SUMIFS($C455,$B455,F$7)+F454</f>
        <v>151</v>
      </c>
      <c r="G455" s="58">
        <f t="shared" si="448"/>
        <v>3</v>
      </c>
      <c r="H455" s="58">
        <f t="shared" si="448"/>
        <v>12</v>
      </c>
      <c r="I455" s="58">
        <f t="shared" si="448"/>
        <v>187</v>
      </c>
      <c r="J455" s="58">
        <f t="shared" si="448"/>
        <v>0</v>
      </c>
      <c r="K455" s="58">
        <f t="shared" si="448"/>
        <v>0</v>
      </c>
      <c r="L455" s="58">
        <f t="shared" si="448"/>
        <v>0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0" customHeight="1">
      <c r="A456" s="68">
        <v>46270.0</v>
      </c>
      <c r="B456" s="64" t="s">
        <v>9</v>
      </c>
      <c r="C456" s="65">
        <v>19.0</v>
      </c>
      <c r="D456" s="66">
        <f t="shared" si="412"/>
        <v>10830</v>
      </c>
      <c r="E456" s="67"/>
      <c r="F456" s="58">
        <f t="shared" ref="F456:L456" si="449">SUMIFS($C456,$B456,F$7)+F455</f>
        <v>170</v>
      </c>
      <c r="G456" s="58">
        <f t="shared" si="449"/>
        <v>3</v>
      </c>
      <c r="H456" s="58">
        <f t="shared" si="449"/>
        <v>12</v>
      </c>
      <c r="I456" s="58">
        <f t="shared" si="449"/>
        <v>187</v>
      </c>
      <c r="J456" s="58">
        <f t="shared" si="449"/>
        <v>0</v>
      </c>
      <c r="K456" s="58">
        <f t="shared" si="449"/>
        <v>0</v>
      </c>
      <c r="L456" s="58">
        <f t="shared" si="449"/>
        <v>0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0" customHeight="1">
      <c r="A457" s="70"/>
      <c r="B457" s="64" t="s">
        <v>16</v>
      </c>
      <c r="C457" s="65">
        <v>2.0</v>
      </c>
      <c r="D457" s="66">
        <f t="shared" si="412"/>
        <v>1140</v>
      </c>
      <c r="E457" s="67"/>
      <c r="F457" s="58">
        <f t="shared" ref="F457:L457" si="450">SUMIFS($C457,$B457,F$7)+F456</f>
        <v>170</v>
      </c>
      <c r="G457" s="58">
        <f t="shared" si="450"/>
        <v>3</v>
      </c>
      <c r="H457" s="58">
        <f t="shared" si="450"/>
        <v>14</v>
      </c>
      <c r="I457" s="58">
        <f t="shared" si="450"/>
        <v>187</v>
      </c>
      <c r="J457" s="58">
        <f t="shared" si="450"/>
        <v>0</v>
      </c>
      <c r="K457" s="58">
        <f t="shared" si="450"/>
        <v>0</v>
      </c>
      <c r="L457" s="58">
        <f t="shared" si="450"/>
        <v>0</v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0" customHeight="1">
      <c r="A458" s="70"/>
      <c r="B458" s="64" t="s">
        <v>9</v>
      </c>
      <c r="C458" s="65">
        <v>-2.0</v>
      </c>
      <c r="D458" s="66">
        <f t="shared" si="412"/>
        <v>-1140</v>
      </c>
      <c r="E458" s="67"/>
      <c r="F458" s="58">
        <f t="shared" ref="F458:L458" si="451">SUMIFS($C458,$B458,F$7)+F457</f>
        <v>168</v>
      </c>
      <c r="G458" s="58">
        <f t="shared" si="451"/>
        <v>3</v>
      </c>
      <c r="H458" s="58">
        <f t="shared" si="451"/>
        <v>14</v>
      </c>
      <c r="I458" s="58">
        <f t="shared" si="451"/>
        <v>187</v>
      </c>
      <c r="J458" s="58">
        <f t="shared" si="451"/>
        <v>0</v>
      </c>
      <c r="K458" s="58">
        <f t="shared" si="451"/>
        <v>0</v>
      </c>
      <c r="L458" s="58">
        <f t="shared" si="451"/>
        <v>0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0" customHeight="1">
      <c r="A459" s="70"/>
      <c r="B459" s="71"/>
      <c r="C459" s="66"/>
      <c r="D459" s="66">
        <f t="shared" si="412"/>
        <v>0</v>
      </c>
      <c r="E459" s="67"/>
      <c r="F459" s="58">
        <f t="shared" ref="F459:L459" si="452">SUMIFS($C459,$B459,F$7)+F458</f>
        <v>168</v>
      </c>
      <c r="G459" s="58">
        <f t="shared" si="452"/>
        <v>3</v>
      </c>
      <c r="H459" s="58">
        <f t="shared" si="452"/>
        <v>14</v>
      </c>
      <c r="I459" s="58">
        <f t="shared" si="452"/>
        <v>187</v>
      </c>
      <c r="J459" s="58">
        <f t="shared" si="452"/>
        <v>0</v>
      </c>
      <c r="K459" s="58">
        <f t="shared" si="452"/>
        <v>0</v>
      </c>
      <c r="L459" s="58">
        <f t="shared" si="452"/>
        <v>0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0" customHeight="1">
      <c r="A460" s="70"/>
      <c r="B460" s="71"/>
      <c r="C460" s="66"/>
      <c r="D460" s="66">
        <f t="shared" si="412"/>
        <v>0</v>
      </c>
      <c r="E460" s="67"/>
      <c r="F460" s="58">
        <f t="shared" ref="F460:L460" si="453">SUMIFS($C460,$B460,F$7)+F459</f>
        <v>168</v>
      </c>
      <c r="G460" s="58">
        <f t="shared" si="453"/>
        <v>3</v>
      </c>
      <c r="H460" s="58">
        <f t="shared" si="453"/>
        <v>14</v>
      </c>
      <c r="I460" s="58">
        <f t="shared" si="453"/>
        <v>187</v>
      </c>
      <c r="J460" s="58">
        <f t="shared" si="453"/>
        <v>0</v>
      </c>
      <c r="K460" s="58">
        <f t="shared" si="453"/>
        <v>0</v>
      </c>
      <c r="L460" s="58">
        <f t="shared" si="453"/>
        <v>0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0" customHeight="1">
      <c r="A461" s="70"/>
      <c r="B461" s="71"/>
      <c r="C461" s="66"/>
      <c r="D461" s="66">
        <f t="shared" si="412"/>
        <v>0</v>
      </c>
      <c r="E461" s="67"/>
      <c r="F461" s="58">
        <f t="shared" ref="F461:L461" si="454">SUMIFS($C461,$B461,F$7)+F460</f>
        <v>168</v>
      </c>
      <c r="G461" s="58">
        <f t="shared" si="454"/>
        <v>3</v>
      </c>
      <c r="H461" s="58">
        <f t="shared" si="454"/>
        <v>14</v>
      </c>
      <c r="I461" s="58">
        <f t="shared" si="454"/>
        <v>187</v>
      </c>
      <c r="J461" s="58">
        <f t="shared" si="454"/>
        <v>0</v>
      </c>
      <c r="K461" s="58">
        <f t="shared" si="454"/>
        <v>0</v>
      </c>
      <c r="L461" s="58">
        <f t="shared" si="454"/>
        <v>0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0" customHeight="1">
      <c r="A462" s="70"/>
      <c r="B462" s="71"/>
      <c r="C462" s="66"/>
      <c r="D462" s="66">
        <f t="shared" si="412"/>
        <v>0</v>
      </c>
      <c r="E462" s="67"/>
      <c r="F462" s="58">
        <f t="shared" ref="F462:L462" si="455">SUMIFS($C462,$B462,F$7)+F461</f>
        <v>168</v>
      </c>
      <c r="G462" s="58">
        <f t="shared" si="455"/>
        <v>3</v>
      </c>
      <c r="H462" s="58">
        <f t="shared" si="455"/>
        <v>14</v>
      </c>
      <c r="I462" s="58">
        <f t="shared" si="455"/>
        <v>187</v>
      </c>
      <c r="J462" s="58">
        <f t="shared" si="455"/>
        <v>0</v>
      </c>
      <c r="K462" s="58">
        <f t="shared" si="455"/>
        <v>0</v>
      </c>
      <c r="L462" s="58">
        <f t="shared" si="455"/>
        <v>0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0" customHeight="1">
      <c r="A463" s="70"/>
      <c r="B463" s="71"/>
      <c r="C463" s="66"/>
      <c r="D463" s="66">
        <f t="shared" si="412"/>
        <v>0</v>
      </c>
      <c r="E463" s="67"/>
      <c r="F463" s="58">
        <f t="shared" ref="F463:L463" si="456">SUMIFS($C463,$B463,F$7)+F462</f>
        <v>168</v>
      </c>
      <c r="G463" s="58">
        <f t="shared" si="456"/>
        <v>3</v>
      </c>
      <c r="H463" s="58">
        <f t="shared" si="456"/>
        <v>14</v>
      </c>
      <c r="I463" s="58">
        <f t="shared" si="456"/>
        <v>187</v>
      </c>
      <c r="J463" s="58">
        <f t="shared" si="456"/>
        <v>0</v>
      </c>
      <c r="K463" s="58">
        <f t="shared" si="456"/>
        <v>0</v>
      </c>
      <c r="L463" s="58">
        <f t="shared" si="456"/>
        <v>0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0" customHeight="1">
      <c r="A464" s="70"/>
      <c r="B464" s="71"/>
      <c r="C464" s="66"/>
      <c r="D464" s="66">
        <f t="shared" si="412"/>
        <v>0</v>
      </c>
      <c r="E464" s="67"/>
      <c r="F464" s="58">
        <f t="shared" ref="F464:L464" si="457">SUMIFS($C464,$B464,F$7)+F463</f>
        <v>168</v>
      </c>
      <c r="G464" s="58">
        <f t="shared" si="457"/>
        <v>3</v>
      </c>
      <c r="H464" s="58">
        <f t="shared" si="457"/>
        <v>14</v>
      </c>
      <c r="I464" s="58">
        <f t="shared" si="457"/>
        <v>187</v>
      </c>
      <c r="J464" s="58">
        <f t="shared" si="457"/>
        <v>0</v>
      </c>
      <c r="K464" s="58">
        <f t="shared" si="457"/>
        <v>0</v>
      </c>
      <c r="L464" s="58">
        <f t="shared" si="457"/>
        <v>0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0" customHeight="1">
      <c r="A465" s="70"/>
      <c r="B465" s="71"/>
      <c r="C465" s="66"/>
      <c r="D465" s="66">
        <f t="shared" si="412"/>
        <v>0</v>
      </c>
      <c r="E465" s="67"/>
      <c r="F465" s="58">
        <f t="shared" ref="F465:L465" si="458">SUMIFS($C465,$B465,F$7)+F464</f>
        <v>168</v>
      </c>
      <c r="G465" s="58">
        <f t="shared" si="458"/>
        <v>3</v>
      </c>
      <c r="H465" s="58">
        <f t="shared" si="458"/>
        <v>14</v>
      </c>
      <c r="I465" s="58">
        <f t="shared" si="458"/>
        <v>187</v>
      </c>
      <c r="J465" s="58">
        <f t="shared" si="458"/>
        <v>0</v>
      </c>
      <c r="K465" s="58">
        <f t="shared" si="458"/>
        <v>0</v>
      </c>
      <c r="L465" s="58">
        <f t="shared" si="458"/>
        <v>0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0" customHeight="1">
      <c r="A466" s="70"/>
      <c r="B466" s="71"/>
      <c r="C466" s="66"/>
      <c r="D466" s="66">
        <f t="shared" si="412"/>
        <v>0</v>
      </c>
      <c r="E466" s="67"/>
      <c r="F466" s="58">
        <f t="shared" ref="F466:L466" si="459">SUMIFS($C466,$B466,F$7)+F465</f>
        <v>168</v>
      </c>
      <c r="G466" s="58">
        <f t="shared" si="459"/>
        <v>3</v>
      </c>
      <c r="H466" s="58">
        <f t="shared" si="459"/>
        <v>14</v>
      </c>
      <c r="I466" s="58">
        <f t="shared" si="459"/>
        <v>187</v>
      </c>
      <c r="J466" s="58">
        <f t="shared" si="459"/>
        <v>0</v>
      </c>
      <c r="K466" s="58">
        <f t="shared" si="459"/>
        <v>0</v>
      </c>
      <c r="L466" s="58">
        <f t="shared" si="459"/>
        <v>0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0" customHeight="1">
      <c r="A467" s="70"/>
      <c r="B467" s="71"/>
      <c r="C467" s="66"/>
      <c r="D467" s="66">
        <f t="shared" si="412"/>
        <v>0</v>
      </c>
      <c r="E467" s="67"/>
      <c r="F467" s="58">
        <f t="shared" ref="F467:L467" si="460">SUMIFS($C467,$B467,F$7)+F466</f>
        <v>168</v>
      </c>
      <c r="G467" s="58">
        <f t="shared" si="460"/>
        <v>3</v>
      </c>
      <c r="H467" s="58">
        <f t="shared" si="460"/>
        <v>14</v>
      </c>
      <c r="I467" s="58">
        <f t="shared" si="460"/>
        <v>187</v>
      </c>
      <c r="J467" s="58">
        <f t="shared" si="460"/>
        <v>0</v>
      </c>
      <c r="K467" s="58">
        <f t="shared" si="460"/>
        <v>0</v>
      </c>
      <c r="L467" s="58">
        <f t="shared" si="460"/>
        <v>0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0" customHeight="1">
      <c r="A468" s="70"/>
      <c r="B468" s="71"/>
      <c r="C468" s="66"/>
      <c r="D468" s="66">
        <f t="shared" si="412"/>
        <v>0</v>
      </c>
      <c r="E468" s="67"/>
      <c r="F468" s="58">
        <f t="shared" ref="F468:L468" si="461">SUMIFS($C468,$B468,F$7)+F467</f>
        <v>168</v>
      </c>
      <c r="G468" s="58">
        <f t="shared" si="461"/>
        <v>3</v>
      </c>
      <c r="H468" s="58">
        <f t="shared" si="461"/>
        <v>14</v>
      </c>
      <c r="I468" s="58">
        <f t="shared" si="461"/>
        <v>187</v>
      </c>
      <c r="J468" s="58">
        <f t="shared" si="461"/>
        <v>0</v>
      </c>
      <c r="K468" s="58">
        <f t="shared" si="461"/>
        <v>0</v>
      </c>
      <c r="L468" s="58">
        <f t="shared" si="461"/>
        <v>0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0" customHeight="1">
      <c r="A469" s="70"/>
      <c r="B469" s="71"/>
      <c r="C469" s="66"/>
      <c r="D469" s="66">
        <f t="shared" si="412"/>
        <v>0</v>
      </c>
      <c r="E469" s="67"/>
      <c r="F469" s="58">
        <f t="shared" ref="F469:L469" si="462">SUMIFS($C469,$B469,F$7)+F468</f>
        <v>168</v>
      </c>
      <c r="G469" s="58">
        <f t="shared" si="462"/>
        <v>3</v>
      </c>
      <c r="H469" s="58">
        <f t="shared" si="462"/>
        <v>14</v>
      </c>
      <c r="I469" s="58">
        <f t="shared" si="462"/>
        <v>187</v>
      </c>
      <c r="J469" s="58">
        <f t="shared" si="462"/>
        <v>0</v>
      </c>
      <c r="K469" s="58">
        <f t="shared" si="462"/>
        <v>0</v>
      </c>
      <c r="L469" s="58">
        <f t="shared" si="462"/>
        <v>0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0" customHeight="1">
      <c r="A470" s="70"/>
      <c r="B470" s="71"/>
      <c r="C470" s="66"/>
      <c r="D470" s="66">
        <f t="shared" si="412"/>
        <v>0</v>
      </c>
      <c r="E470" s="67"/>
      <c r="F470" s="58">
        <f t="shared" ref="F470:L470" si="463">SUMIFS($C470,$B470,F$7)+F469</f>
        <v>168</v>
      </c>
      <c r="G470" s="58">
        <f t="shared" si="463"/>
        <v>3</v>
      </c>
      <c r="H470" s="58">
        <f t="shared" si="463"/>
        <v>14</v>
      </c>
      <c r="I470" s="58">
        <f t="shared" si="463"/>
        <v>187</v>
      </c>
      <c r="J470" s="58">
        <f t="shared" si="463"/>
        <v>0</v>
      </c>
      <c r="K470" s="58">
        <f t="shared" si="463"/>
        <v>0</v>
      </c>
      <c r="L470" s="58">
        <f t="shared" si="463"/>
        <v>0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0" customHeight="1">
      <c r="A471" s="70"/>
      <c r="B471" s="71"/>
      <c r="C471" s="66"/>
      <c r="D471" s="66">
        <f t="shared" si="412"/>
        <v>0</v>
      </c>
      <c r="E471" s="67"/>
      <c r="F471" s="58">
        <f t="shared" ref="F471:L471" si="464">SUMIFS($C471,$B471,F$7)+F470</f>
        <v>168</v>
      </c>
      <c r="G471" s="58">
        <f t="shared" si="464"/>
        <v>3</v>
      </c>
      <c r="H471" s="58">
        <f t="shared" si="464"/>
        <v>14</v>
      </c>
      <c r="I471" s="58">
        <f t="shared" si="464"/>
        <v>187</v>
      </c>
      <c r="J471" s="58">
        <f t="shared" si="464"/>
        <v>0</v>
      </c>
      <c r="K471" s="58">
        <f t="shared" si="464"/>
        <v>0</v>
      </c>
      <c r="L471" s="58">
        <f t="shared" si="464"/>
        <v>0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0" customHeight="1">
      <c r="A472" s="70"/>
      <c r="B472" s="71"/>
      <c r="C472" s="66"/>
      <c r="D472" s="66">
        <f t="shared" si="412"/>
        <v>0</v>
      </c>
      <c r="E472" s="67"/>
      <c r="F472" s="58">
        <f t="shared" ref="F472:L472" si="465">SUMIFS($C472,$B472,F$7)+F471</f>
        <v>168</v>
      </c>
      <c r="G472" s="58">
        <f t="shared" si="465"/>
        <v>3</v>
      </c>
      <c r="H472" s="58">
        <f t="shared" si="465"/>
        <v>14</v>
      </c>
      <c r="I472" s="58">
        <f t="shared" si="465"/>
        <v>187</v>
      </c>
      <c r="J472" s="58">
        <f t="shared" si="465"/>
        <v>0</v>
      </c>
      <c r="K472" s="58">
        <f t="shared" si="465"/>
        <v>0</v>
      </c>
      <c r="L472" s="58">
        <f t="shared" si="465"/>
        <v>0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0" customHeight="1">
      <c r="A473" s="70"/>
      <c r="B473" s="71"/>
      <c r="C473" s="66"/>
      <c r="D473" s="66">
        <f t="shared" si="412"/>
        <v>0</v>
      </c>
      <c r="E473" s="67"/>
      <c r="F473" s="58">
        <f t="shared" ref="F473:L473" si="466">SUMIFS($C473,$B473,F$7)+F472</f>
        <v>168</v>
      </c>
      <c r="G473" s="58">
        <f t="shared" si="466"/>
        <v>3</v>
      </c>
      <c r="H473" s="58">
        <f t="shared" si="466"/>
        <v>14</v>
      </c>
      <c r="I473" s="58">
        <f t="shared" si="466"/>
        <v>187</v>
      </c>
      <c r="J473" s="58">
        <f t="shared" si="466"/>
        <v>0</v>
      </c>
      <c r="K473" s="58">
        <f t="shared" si="466"/>
        <v>0</v>
      </c>
      <c r="L473" s="58">
        <f t="shared" si="466"/>
        <v>0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0" customHeight="1">
      <c r="A474" s="70"/>
      <c r="B474" s="71"/>
      <c r="C474" s="66"/>
      <c r="D474" s="66">
        <f t="shared" si="412"/>
        <v>0</v>
      </c>
      <c r="E474" s="67"/>
      <c r="F474" s="58">
        <f t="shared" ref="F474:L474" si="467">SUMIFS($C474,$B474,F$7)+F473</f>
        <v>168</v>
      </c>
      <c r="G474" s="58">
        <f t="shared" si="467"/>
        <v>3</v>
      </c>
      <c r="H474" s="58">
        <f t="shared" si="467"/>
        <v>14</v>
      </c>
      <c r="I474" s="58">
        <f t="shared" si="467"/>
        <v>187</v>
      </c>
      <c r="J474" s="58">
        <f t="shared" si="467"/>
        <v>0</v>
      </c>
      <c r="K474" s="58">
        <f t="shared" si="467"/>
        <v>0</v>
      </c>
      <c r="L474" s="58">
        <f t="shared" si="467"/>
        <v>0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0" customHeight="1">
      <c r="A475" s="70"/>
      <c r="B475" s="71"/>
      <c r="C475" s="66"/>
      <c r="D475" s="66">
        <f t="shared" si="412"/>
        <v>0</v>
      </c>
      <c r="E475" s="67"/>
      <c r="F475" s="58">
        <f t="shared" ref="F475:L475" si="468">SUMIFS($C475,$B475,F$7)+F474</f>
        <v>168</v>
      </c>
      <c r="G475" s="58">
        <f t="shared" si="468"/>
        <v>3</v>
      </c>
      <c r="H475" s="58">
        <f t="shared" si="468"/>
        <v>14</v>
      </c>
      <c r="I475" s="58">
        <f t="shared" si="468"/>
        <v>187</v>
      </c>
      <c r="J475" s="58">
        <f t="shared" si="468"/>
        <v>0</v>
      </c>
      <c r="K475" s="58">
        <f t="shared" si="468"/>
        <v>0</v>
      </c>
      <c r="L475" s="58">
        <f t="shared" si="468"/>
        <v>0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0" customHeight="1">
      <c r="A476" s="70"/>
      <c r="B476" s="71"/>
      <c r="C476" s="66"/>
      <c r="D476" s="66">
        <f t="shared" si="412"/>
        <v>0</v>
      </c>
      <c r="E476" s="67"/>
      <c r="F476" s="58">
        <f t="shared" ref="F476:L476" si="469">SUMIFS($C476,$B476,F$7)+F475</f>
        <v>168</v>
      </c>
      <c r="G476" s="58">
        <f t="shared" si="469"/>
        <v>3</v>
      </c>
      <c r="H476" s="58">
        <f t="shared" si="469"/>
        <v>14</v>
      </c>
      <c r="I476" s="58">
        <f t="shared" si="469"/>
        <v>187</v>
      </c>
      <c r="J476" s="58">
        <f t="shared" si="469"/>
        <v>0</v>
      </c>
      <c r="K476" s="58">
        <f t="shared" si="469"/>
        <v>0</v>
      </c>
      <c r="L476" s="58">
        <f t="shared" si="469"/>
        <v>0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0" customHeight="1">
      <c r="A477" s="70"/>
      <c r="B477" s="71"/>
      <c r="C477" s="66"/>
      <c r="D477" s="66">
        <f t="shared" si="412"/>
        <v>0</v>
      </c>
      <c r="E477" s="67"/>
      <c r="F477" s="58">
        <f t="shared" ref="F477:L477" si="470">SUMIFS($C477,$B477,F$7)+F476</f>
        <v>168</v>
      </c>
      <c r="G477" s="58">
        <f t="shared" si="470"/>
        <v>3</v>
      </c>
      <c r="H477" s="58">
        <f t="shared" si="470"/>
        <v>14</v>
      </c>
      <c r="I477" s="58">
        <f t="shared" si="470"/>
        <v>187</v>
      </c>
      <c r="J477" s="58">
        <f t="shared" si="470"/>
        <v>0</v>
      </c>
      <c r="K477" s="58">
        <f t="shared" si="470"/>
        <v>0</v>
      </c>
      <c r="L477" s="58">
        <f t="shared" si="470"/>
        <v>0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0" customHeight="1">
      <c r="A478" s="70"/>
      <c r="B478" s="71"/>
      <c r="C478" s="66"/>
      <c r="D478" s="66">
        <f t="shared" si="412"/>
        <v>0</v>
      </c>
      <c r="E478" s="67"/>
      <c r="F478" s="58">
        <f t="shared" ref="F478:L478" si="471">SUMIFS($C478,$B478,F$7)+F477</f>
        <v>168</v>
      </c>
      <c r="G478" s="58">
        <f t="shared" si="471"/>
        <v>3</v>
      </c>
      <c r="H478" s="58">
        <f t="shared" si="471"/>
        <v>14</v>
      </c>
      <c r="I478" s="58">
        <f t="shared" si="471"/>
        <v>187</v>
      </c>
      <c r="J478" s="58">
        <f t="shared" si="471"/>
        <v>0</v>
      </c>
      <c r="K478" s="58">
        <f t="shared" si="471"/>
        <v>0</v>
      </c>
      <c r="L478" s="58">
        <f t="shared" si="471"/>
        <v>0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0" customHeight="1">
      <c r="A479" s="70"/>
      <c r="B479" s="71"/>
      <c r="C479" s="66"/>
      <c r="D479" s="66">
        <f t="shared" si="412"/>
        <v>0</v>
      </c>
      <c r="E479" s="67"/>
      <c r="F479" s="58">
        <f t="shared" ref="F479:L479" si="472">SUMIFS($C479,$B479,F$7)+F478</f>
        <v>168</v>
      </c>
      <c r="G479" s="58">
        <f t="shared" si="472"/>
        <v>3</v>
      </c>
      <c r="H479" s="58">
        <f t="shared" si="472"/>
        <v>14</v>
      </c>
      <c r="I479" s="58">
        <f t="shared" si="472"/>
        <v>187</v>
      </c>
      <c r="J479" s="58">
        <f t="shared" si="472"/>
        <v>0</v>
      </c>
      <c r="K479" s="58">
        <f t="shared" si="472"/>
        <v>0</v>
      </c>
      <c r="L479" s="58">
        <f t="shared" si="472"/>
        <v>0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0" customHeight="1">
      <c r="A480" s="70"/>
      <c r="B480" s="71"/>
      <c r="C480" s="66"/>
      <c r="D480" s="66">
        <f t="shared" si="412"/>
        <v>0</v>
      </c>
      <c r="E480" s="67"/>
      <c r="F480" s="58">
        <f t="shared" ref="F480:L480" si="473">SUMIFS($C480,$B480,F$7)+F479</f>
        <v>168</v>
      </c>
      <c r="G480" s="58">
        <f t="shared" si="473"/>
        <v>3</v>
      </c>
      <c r="H480" s="58">
        <f t="shared" si="473"/>
        <v>14</v>
      </c>
      <c r="I480" s="58">
        <f t="shared" si="473"/>
        <v>187</v>
      </c>
      <c r="J480" s="58">
        <f t="shared" si="473"/>
        <v>0</v>
      </c>
      <c r="K480" s="58">
        <f t="shared" si="473"/>
        <v>0</v>
      </c>
      <c r="L480" s="58">
        <f t="shared" si="473"/>
        <v>0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0" customHeight="1">
      <c r="A481" s="70"/>
      <c r="B481" s="71"/>
      <c r="C481" s="66"/>
      <c r="D481" s="66">
        <f t="shared" si="412"/>
        <v>0</v>
      </c>
      <c r="E481" s="67"/>
      <c r="F481" s="58">
        <f t="shared" ref="F481:L481" si="474">SUMIFS($C481,$B481,F$7)+F480</f>
        <v>168</v>
      </c>
      <c r="G481" s="58">
        <f t="shared" si="474"/>
        <v>3</v>
      </c>
      <c r="H481" s="58">
        <f t="shared" si="474"/>
        <v>14</v>
      </c>
      <c r="I481" s="58">
        <f t="shared" si="474"/>
        <v>187</v>
      </c>
      <c r="J481" s="58">
        <f t="shared" si="474"/>
        <v>0</v>
      </c>
      <c r="K481" s="58">
        <f t="shared" si="474"/>
        <v>0</v>
      </c>
      <c r="L481" s="58">
        <f t="shared" si="474"/>
        <v>0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0" customHeight="1">
      <c r="A482" s="70"/>
      <c r="B482" s="71"/>
      <c r="C482" s="66"/>
      <c r="D482" s="66">
        <f t="shared" si="412"/>
        <v>0</v>
      </c>
      <c r="E482" s="67"/>
      <c r="F482" s="58">
        <f t="shared" ref="F482:L482" si="475">SUMIFS($C482,$B482,F$7)+F481</f>
        <v>168</v>
      </c>
      <c r="G482" s="58">
        <f t="shared" si="475"/>
        <v>3</v>
      </c>
      <c r="H482" s="58">
        <f t="shared" si="475"/>
        <v>14</v>
      </c>
      <c r="I482" s="58">
        <f t="shared" si="475"/>
        <v>187</v>
      </c>
      <c r="J482" s="58">
        <f t="shared" si="475"/>
        <v>0</v>
      </c>
      <c r="K482" s="58">
        <f t="shared" si="475"/>
        <v>0</v>
      </c>
      <c r="L482" s="58">
        <f t="shared" si="475"/>
        <v>0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0" customHeight="1">
      <c r="A483" s="70"/>
      <c r="B483" s="71"/>
      <c r="C483" s="66"/>
      <c r="D483" s="66">
        <f t="shared" si="412"/>
        <v>0</v>
      </c>
      <c r="E483" s="67"/>
      <c r="F483" s="58">
        <f t="shared" ref="F483:L483" si="476">SUMIFS($C483,$B483,F$7)+F482</f>
        <v>168</v>
      </c>
      <c r="G483" s="58">
        <f t="shared" si="476"/>
        <v>3</v>
      </c>
      <c r="H483" s="58">
        <f t="shared" si="476"/>
        <v>14</v>
      </c>
      <c r="I483" s="58">
        <f t="shared" si="476"/>
        <v>187</v>
      </c>
      <c r="J483" s="58">
        <f t="shared" si="476"/>
        <v>0</v>
      </c>
      <c r="K483" s="58">
        <f t="shared" si="476"/>
        <v>0</v>
      </c>
      <c r="L483" s="58">
        <f t="shared" si="476"/>
        <v>0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0" customHeight="1">
      <c r="A484" s="70"/>
      <c r="B484" s="71"/>
      <c r="C484" s="66"/>
      <c r="D484" s="66">
        <f t="shared" si="412"/>
        <v>0</v>
      </c>
      <c r="E484" s="67"/>
      <c r="F484" s="58">
        <f t="shared" ref="F484:L484" si="477">SUMIFS($C484,$B484,F$7)+F483</f>
        <v>168</v>
      </c>
      <c r="G484" s="58">
        <f t="shared" si="477"/>
        <v>3</v>
      </c>
      <c r="H484" s="58">
        <f t="shared" si="477"/>
        <v>14</v>
      </c>
      <c r="I484" s="58">
        <f t="shared" si="477"/>
        <v>187</v>
      </c>
      <c r="J484" s="58">
        <f t="shared" si="477"/>
        <v>0</v>
      </c>
      <c r="K484" s="58">
        <f t="shared" si="477"/>
        <v>0</v>
      </c>
      <c r="L484" s="58">
        <f t="shared" si="477"/>
        <v>0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0" customHeight="1">
      <c r="A485" s="70"/>
      <c r="B485" s="71"/>
      <c r="C485" s="66"/>
      <c r="D485" s="66">
        <f t="shared" si="412"/>
        <v>0</v>
      </c>
      <c r="E485" s="67"/>
      <c r="F485" s="58">
        <f t="shared" ref="F485:L485" si="478">SUMIFS($C485,$B485,F$7)+F484</f>
        <v>168</v>
      </c>
      <c r="G485" s="58">
        <f t="shared" si="478"/>
        <v>3</v>
      </c>
      <c r="H485" s="58">
        <f t="shared" si="478"/>
        <v>14</v>
      </c>
      <c r="I485" s="58">
        <f t="shared" si="478"/>
        <v>187</v>
      </c>
      <c r="J485" s="58">
        <f t="shared" si="478"/>
        <v>0</v>
      </c>
      <c r="K485" s="58">
        <f t="shared" si="478"/>
        <v>0</v>
      </c>
      <c r="L485" s="58">
        <f t="shared" si="478"/>
        <v>0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0" customHeight="1">
      <c r="A486" s="70"/>
      <c r="B486" s="71"/>
      <c r="C486" s="66"/>
      <c r="D486" s="66">
        <f t="shared" si="412"/>
        <v>0</v>
      </c>
      <c r="E486" s="67"/>
      <c r="F486" s="58">
        <f t="shared" ref="F486:L486" si="479">SUMIFS($C486,$B486,F$7)+F485</f>
        <v>168</v>
      </c>
      <c r="G486" s="58">
        <f t="shared" si="479"/>
        <v>3</v>
      </c>
      <c r="H486" s="58">
        <f t="shared" si="479"/>
        <v>14</v>
      </c>
      <c r="I486" s="58">
        <f t="shared" si="479"/>
        <v>187</v>
      </c>
      <c r="J486" s="58">
        <f t="shared" si="479"/>
        <v>0</v>
      </c>
      <c r="K486" s="58">
        <f t="shared" si="479"/>
        <v>0</v>
      </c>
      <c r="L486" s="58">
        <f t="shared" si="479"/>
        <v>0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0" customHeight="1">
      <c r="A487" s="70"/>
      <c r="B487" s="71"/>
      <c r="C487" s="66"/>
      <c r="D487" s="66">
        <f t="shared" si="412"/>
        <v>0</v>
      </c>
      <c r="E487" s="67"/>
      <c r="F487" s="58">
        <f t="shared" ref="F487:L487" si="480">SUMIFS($C487,$B487,F$7)+F486</f>
        <v>168</v>
      </c>
      <c r="G487" s="58">
        <f t="shared" si="480"/>
        <v>3</v>
      </c>
      <c r="H487" s="58">
        <f t="shared" si="480"/>
        <v>14</v>
      </c>
      <c r="I487" s="58">
        <f t="shared" si="480"/>
        <v>187</v>
      </c>
      <c r="J487" s="58">
        <f t="shared" si="480"/>
        <v>0</v>
      </c>
      <c r="K487" s="58">
        <f t="shared" si="480"/>
        <v>0</v>
      </c>
      <c r="L487" s="58">
        <f t="shared" si="480"/>
        <v>0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0" customHeight="1">
      <c r="A488" s="70"/>
      <c r="B488" s="71"/>
      <c r="C488" s="66"/>
      <c r="D488" s="66">
        <f t="shared" si="412"/>
        <v>0</v>
      </c>
      <c r="E488" s="67"/>
      <c r="F488" s="58">
        <f t="shared" ref="F488:L488" si="481">SUMIFS($C488,$B488,F$7)+F487</f>
        <v>168</v>
      </c>
      <c r="G488" s="58">
        <f t="shared" si="481"/>
        <v>3</v>
      </c>
      <c r="H488" s="58">
        <f t="shared" si="481"/>
        <v>14</v>
      </c>
      <c r="I488" s="58">
        <f t="shared" si="481"/>
        <v>187</v>
      </c>
      <c r="J488" s="58">
        <f t="shared" si="481"/>
        <v>0</v>
      </c>
      <c r="K488" s="58">
        <f t="shared" si="481"/>
        <v>0</v>
      </c>
      <c r="L488" s="58">
        <f t="shared" si="481"/>
        <v>0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0" customHeight="1">
      <c r="A489" s="70"/>
      <c r="B489" s="71"/>
      <c r="C489" s="66"/>
      <c r="D489" s="66">
        <f t="shared" si="412"/>
        <v>0</v>
      </c>
      <c r="E489" s="67"/>
      <c r="F489" s="58">
        <f t="shared" ref="F489:L489" si="482">SUMIFS($C489,$B489,F$7)+F488</f>
        <v>168</v>
      </c>
      <c r="G489" s="58">
        <f t="shared" si="482"/>
        <v>3</v>
      </c>
      <c r="H489" s="58">
        <f t="shared" si="482"/>
        <v>14</v>
      </c>
      <c r="I489" s="58">
        <f t="shared" si="482"/>
        <v>187</v>
      </c>
      <c r="J489" s="58">
        <f t="shared" si="482"/>
        <v>0</v>
      </c>
      <c r="K489" s="58">
        <f t="shared" si="482"/>
        <v>0</v>
      </c>
      <c r="L489" s="58">
        <f t="shared" si="482"/>
        <v>0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0" customHeight="1">
      <c r="A490" s="70"/>
      <c r="B490" s="71"/>
      <c r="C490" s="66"/>
      <c r="D490" s="66">
        <f t="shared" si="412"/>
        <v>0</v>
      </c>
      <c r="E490" s="67"/>
      <c r="F490" s="58">
        <f t="shared" ref="F490:L490" si="483">SUMIFS($C490,$B490,F$7)+F489</f>
        <v>168</v>
      </c>
      <c r="G490" s="58">
        <f t="shared" si="483"/>
        <v>3</v>
      </c>
      <c r="H490" s="58">
        <f t="shared" si="483"/>
        <v>14</v>
      </c>
      <c r="I490" s="58">
        <f t="shared" si="483"/>
        <v>187</v>
      </c>
      <c r="J490" s="58">
        <f t="shared" si="483"/>
        <v>0</v>
      </c>
      <c r="K490" s="58">
        <f t="shared" si="483"/>
        <v>0</v>
      </c>
      <c r="L490" s="58">
        <f t="shared" si="483"/>
        <v>0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0" customHeight="1">
      <c r="A491" s="70"/>
      <c r="B491" s="71"/>
      <c r="C491" s="66"/>
      <c r="D491" s="66">
        <f t="shared" si="412"/>
        <v>0</v>
      </c>
      <c r="E491" s="67"/>
      <c r="F491" s="58">
        <f t="shared" ref="F491:L491" si="484">SUMIFS($C491,$B491,F$7)+F490</f>
        <v>168</v>
      </c>
      <c r="G491" s="58">
        <f t="shared" si="484"/>
        <v>3</v>
      </c>
      <c r="H491" s="58">
        <f t="shared" si="484"/>
        <v>14</v>
      </c>
      <c r="I491" s="58">
        <f t="shared" si="484"/>
        <v>187</v>
      </c>
      <c r="J491" s="58">
        <f t="shared" si="484"/>
        <v>0</v>
      </c>
      <c r="K491" s="58">
        <f t="shared" si="484"/>
        <v>0</v>
      </c>
      <c r="L491" s="58">
        <f t="shared" si="484"/>
        <v>0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0" customHeight="1">
      <c r="A492" s="70"/>
      <c r="B492" s="71"/>
      <c r="C492" s="66"/>
      <c r="D492" s="66">
        <f t="shared" si="412"/>
        <v>0</v>
      </c>
      <c r="E492" s="67"/>
      <c r="F492" s="58">
        <f t="shared" ref="F492:L492" si="485">SUMIFS($C492,$B492,F$7)+F491</f>
        <v>168</v>
      </c>
      <c r="G492" s="58">
        <f t="shared" si="485"/>
        <v>3</v>
      </c>
      <c r="H492" s="58">
        <f t="shared" si="485"/>
        <v>14</v>
      </c>
      <c r="I492" s="58">
        <f t="shared" si="485"/>
        <v>187</v>
      </c>
      <c r="J492" s="58">
        <f t="shared" si="485"/>
        <v>0</v>
      </c>
      <c r="K492" s="58">
        <f t="shared" si="485"/>
        <v>0</v>
      </c>
      <c r="L492" s="58">
        <f t="shared" si="485"/>
        <v>0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0" customHeight="1">
      <c r="A493" s="70"/>
      <c r="B493" s="71"/>
      <c r="C493" s="66"/>
      <c r="D493" s="66">
        <f t="shared" si="412"/>
        <v>0</v>
      </c>
      <c r="E493" s="67"/>
      <c r="F493" s="58">
        <f t="shared" ref="F493:L493" si="486">SUMIFS($C493,$B493,F$7)+F492</f>
        <v>168</v>
      </c>
      <c r="G493" s="58">
        <f t="shared" si="486"/>
        <v>3</v>
      </c>
      <c r="H493" s="58">
        <f t="shared" si="486"/>
        <v>14</v>
      </c>
      <c r="I493" s="58">
        <f t="shared" si="486"/>
        <v>187</v>
      </c>
      <c r="J493" s="58">
        <f t="shared" si="486"/>
        <v>0</v>
      </c>
      <c r="K493" s="58">
        <f t="shared" si="486"/>
        <v>0</v>
      </c>
      <c r="L493" s="58">
        <f t="shared" si="486"/>
        <v>0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0" customHeight="1">
      <c r="A494" s="70"/>
      <c r="B494" s="71"/>
      <c r="C494" s="66"/>
      <c r="D494" s="66">
        <f t="shared" si="412"/>
        <v>0</v>
      </c>
      <c r="E494" s="67"/>
      <c r="F494" s="58">
        <f t="shared" ref="F494:L494" si="487">SUMIFS($C494,$B494,F$7)+F493</f>
        <v>168</v>
      </c>
      <c r="G494" s="58">
        <f t="shared" si="487"/>
        <v>3</v>
      </c>
      <c r="H494" s="58">
        <f t="shared" si="487"/>
        <v>14</v>
      </c>
      <c r="I494" s="58">
        <f t="shared" si="487"/>
        <v>187</v>
      </c>
      <c r="J494" s="58">
        <f t="shared" si="487"/>
        <v>0</v>
      </c>
      <c r="K494" s="58">
        <f t="shared" si="487"/>
        <v>0</v>
      </c>
      <c r="L494" s="58">
        <f t="shared" si="487"/>
        <v>0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0" customHeight="1">
      <c r="A495" s="70"/>
      <c r="B495" s="71"/>
      <c r="C495" s="66"/>
      <c r="D495" s="66">
        <f t="shared" si="412"/>
        <v>0</v>
      </c>
      <c r="E495" s="67"/>
      <c r="F495" s="58">
        <f t="shared" ref="F495:L495" si="488">SUMIFS($C495,$B495,F$7)+F494</f>
        <v>168</v>
      </c>
      <c r="G495" s="58">
        <f t="shared" si="488"/>
        <v>3</v>
      </c>
      <c r="H495" s="58">
        <f t="shared" si="488"/>
        <v>14</v>
      </c>
      <c r="I495" s="58">
        <f t="shared" si="488"/>
        <v>187</v>
      </c>
      <c r="J495" s="58">
        <f t="shared" si="488"/>
        <v>0</v>
      </c>
      <c r="K495" s="58">
        <f t="shared" si="488"/>
        <v>0</v>
      </c>
      <c r="L495" s="58">
        <f t="shared" si="488"/>
        <v>0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0" customHeight="1">
      <c r="A496" s="70"/>
      <c r="B496" s="71"/>
      <c r="C496" s="66"/>
      <c r="D496" s="66">
        <f t="shared" si="412"/>
        <v>0</v>
      </c>
      <c r="E496" s="67"/>
      <c r="F496" s="58">
        <f t="shared" ref="F496:L496" si="489">SUMIFS($C496,$B496,F$7)+F495</f>
        <v>168</v>
      </c>
      <c r="G496" s="58">
        <f t="shared" si="489"/>
        <v>3</v>
      </c>
      <c r="H496" s="58">
        <f t="shared" si="489"/>
        <v>14</v>
      </c>
      <c r="I496" s="58">
        <f t="shared" si="489"/>
        <v>187</v>
      </c>
      <c r="J496" s="58">
        <f t="shared" si="489"/>
        <v>0</v>
      </c>
      <c r="K496" s="58">
        <f t="shared" si="489"/>
        <v>0</v>
      </c>
      <c r="L496" s="58">
        <f t="shared" si="489"/>
        <v>0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0" customHeight="1">
      <c r="A497" s="70"/>
      <c r="B497" s="71"/>
      <c r="C497" s="66"/>
      <c r="D497" s="66">
        <f t="shared" si="412"/>
        <v>0</v>
      </c>
      <c r="E497" s="67"/>
      <c r="F497" s="58">
        <f t="shared" ref="F497:L497" si="490">SUMIFS($C497,$B497,F$7)+F496</f>
        <v>168</v>
      </c>
      <c r="G497" s="58">
        <f t="shared" si="490"/>
        <v>3</v>
      </c>
      <c r="H497" s="58">
        <f t="shared" si="490"/>
        <v>14</v>
      </c>
      <c r="I497" s="58">
        <f t="shared" si="490"/>
        <v>187</v>
      </c>
      <c r="J497" s="58">
        <f t="shared" si="490"/>
        <v>0</v>
      </c>
      <c r="K497" s="58">
        <f t="shared" si="490"/>
        <v>0</v>
      </c>
      <c r="L497" s="58">
        <f t="shared" si="490"/>
        <v>0</v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0" customHeight="1">
      <c r="A498" s="70"/>
      <c r="B498" s="71"/>
      <c r="C498" s="66"/>
      <c r="D498" s="66">
        <f t="shared" si="412"/>
        <v>0</v>
      </c>
      <c r="E498" s="67"/>
      <c r="F498" s="58">
        <f t="shared" ref="F498:L498" si="491">SUMIFS($C498,$B498,F$7)+F497</f>
        <v>168</v>
      </c>
      <c r="G498" s="58">
        <f t="shared" si="491"/>
        <v>3</v>
      </c>
      <c r="H498" s="58">
        <f t="shared" si="491"/>
        <v>14</v>
      </c>
      <c r="I498" s="58">
        <f t="shared" si="491"/>
        <v>187</v>
      </c>
      <c r="J498" s="58">
        <f t="shared" si="491"/>
        <v>0</v>
      </c>
      <c r="K498" s="58">
        <f t="shared" si="491"/>
        <v>0</v>
      </c>
      <c r="L498" s="58">
        <f t="shared" si="491"/>
        <v>0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0" customHeight="1">
      <c r="A499" s="70"/>
      <c r="B499" s="71"/>
      <c r="C499" s="66"/>
      <c r="D499" s="66">
        <f t="shared" si="412"/>
        <v>0</v>
      </c>
      <c r="E499" s="67"/>
      <c r="F499" s="58">
        <f t="shared" ref="F499:L499" si="492">SUMIFS($C499,$B499,F$7)+F498</f>
        <v>168</v>
      </c>
      <c r="G499" s="58">
        <f t="shared" si="492"/>
        <v>3</v>
      </c>
      <c r="H499" s="58">
        <f t="shared" si="492"/>
        <v>14</v>
      </c>
      <c r="I499" s="58">
        <f t="shared" si="492"/>
        <v>187</v>
      </c>
      <c r="J499" s="58">
        <f t="shared" si="492"/>
        <v>0</v>
      </c>
      <c r="K499" s="58">
        <f t="shared" si="492"/>
        <v>0</v>
      </c>
      <c r="L499" s="58">
        <f t="shared" si="492"/>
        <v>0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0" customHeight="1">
      <c r="A500" s="70"/>
      <c r="B500" s="71"/>
      <c r="C500" s="66"/>
      <c r="D500" s="66">
        <f t="shared" si="412"/>
        <v>0</v>
      </c>
      <c r="E500" s="67"/>
      <c r="F500" s="58">
        <f t="shared" ref="F500:L500" si="493">SUMIFS($C500,$B500,F$7)+F499</f>
        <v>168</v>
      </c>
      <c r="G500" s="58">
        <f t="shared" si="493"/>
        <v>3</v>
      </c>
      <c r="H500" s="58">
        <f t="shared" si="493"/>
        <v>14</v>
      </c>
      <c r="I500" s="58">
        <f t="shared" si="493"/>
        <v>187</v>
      </c>
      <c r="J500" s="58">
        <f t="shared" si="493"/>
        <v>0</v>
      </c>
      <c r="K500" s="58">
        <f t="shared" si="493"/>
        <v>0</v>
      </c>
      <c r="L500" s="58">
        <f t="shared" si="493"/>
        <v>0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0" customHeight="1">
      <c r="A501" s="70"/>
      <c r="B501" s="71"/>
      <c r="C501" s="66"/>
      <c r="D501" s="66">
        <f t="shared" si="412"/>
        <v>0</v>
      </c>
      <c r="E501" s="67"/>
      <c r="F501" s="58">
        <f t="shared" ref="F501:L501" si="494">SUMIFS($C501,$B501,F$7)+F500</f>
        <v>168</v>
      </c>
      <c r="G501" s="58">
        <f t="shared" si="494"/>
        <v>3</v>
      </c>
      <c r="H501" s="58">
        <f t="shared" si="494"/>
        <v>14</v>
      </c>
      <c r="I501" s="58">
        <f t="shared" si="494"/>
        <v>187</v>
      </c>
      <c r="J501" s="58">
        <f t="shared" si="494"/>
        <v>0</v>
      </c>
      <c r="K501" s="58">
        <f t="shared" si="494"/>
        <v>0</v>
      </c>
      <c r="L501" s="58">
        <f t="shared" si="494"/>
        <v>0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0" customHeight="1">
      <c r="A502" s="70"/>
      <c r="B502" s="71"/>
      <c r="C502" s="66"/>
      <c r="D502" s="66">
        <f t="shared" si="412"/>
        <v>0</v>
      </c>
      <c r="E502" s="67"/>
      <c r="F502" s="58">
        <f t="shared" ref="F502:L502" si="495">SUMIFS($C502,$B502,F$7)+F501</f>
        <v>168</v>
      </c>
      <c r="G502" s="58">
        <f t="shared" si="495"/>
        <v>3</v>
      </c>
      <c r="H502" s="58">
        <f t="shared" si="495"/>
        <v>14</v>
      </c>
      <c r="I502" s="58">
        <f t="shared" si="495"/>
        <v>187</v>
      </c>
      <c r="J502" s="58">
        <f t="shared" si="495"/>
        <v>0</v>
      </c>
      <c r="K502" s="58">
        <f t="shared" si="495"/>
        <v>0</v>
      </c>
      <c r="L502" s="58">
        <f t="shared" si="495"/>
        <v>0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0" customHeight="1">
      <c r="A503" s="70"/>
      <c r="B503" s="71"/>
      <c r="C503" s="66"/>
      <c r="D503" s="66">
        <f t="shared" si="412"/>
        <v>0</v>
      </c>
      <c r="E503" s="67"/>
      <c r="F503" s="58">
        <f t="shared" ref="F503:L503" si="496">SUMIFS($C503,$B503,F$7)+F502</f>
        <v>168</v>
      </c>
      <c r="G503" s="58">
        <f t="shared" si="496"/>
        <v>3</v>
      </c>
      <c r="H503" s="58">
        <f t="shared" si="496"/>
        <v>14</v>
      </c>
      <c r="I503" s="58">
        <f t="shared" si="496"/>
        <v>187</v>
      </c>
      <c r="J503" s="58">
        <f t="shared" si="496"/>
        <v>0</v>
      </c>
      <c r="K503" s="58">
        <f t="shared" si="496"/>
        <v>0</v>
      </c>
      <c r="L503" s="58">
        <f t="shared" si="496"/>
        <v>0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0" customHeight="1">
      <c r="A504" s="70"/>
      <c r="B504" s="71"/>
      <c r="C504" s="66"/>
      <c r="D504" s="66">
        <f t="shared" si="412"/>
        <v>0</v>
      </c>
      <c r="E504" s="67"/>
      <c r="F504" s="58">
        <f t="shared" ref="F504:L504" si="497">SUMIFS($C504,$B504,F$7)+F503</f>
        <v>168</v>
      </c>
      <c r="G504" s="58">
        <f t="shared" si="497"/>
        <v>3</v>
      </c>
      <c r="H504" s="58">
        <f t="shared" si="497"/>
        <v>14</v>
      </c>
      <c r="I504" s="58">
        <f t="shared" si="497"/>
        <v>187</v>
      </c>
      <c r="J504" s="58">
        <f t="shared" si="497"/>
        <v>0</v>
      </c>
      <c r="K504" s="58">
        <f t="shared" si="497"/>
        <v>0</v>
      </c>
      <c r="L504" s="58">
        <f t="shared" si="497"/>
        <v>0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0" customHeight="1">
      <c r="A505" s="70"/>
      <c r="B505" s="71"/>
      <c r="C505" s="66"/>
      <c r="D505" s="66">
        <f t="shared" si="412"/>
        <v>0</v>
      </c>
      <c r="E505" s="67"/>
      <c r="F505" s="58">
        <f t="shared" ref="F505:L505" si="498">SUMIFS($C505,$B505,F$7)+F504</f>
        <v>168</v>
      </c>
      <c r="G505" s="58">
        <f t="shared" si="498"/>
        <v>3</v>
      </c>
      <c r="H505" s="58">
        <f t="shared" si="498"/>
        <v>14</v>
      </c>
      <c r="I505" s="58">
        <f t="shared" si="498"/>
        <v>187</v>
      </c>
      <c r="J505" s="58">
        <f t="shared" si="498"/>
        <v>0</v>
      </c>
      <c r="K505" s="58">
        <f t="shared" si="498"/>
        <v>0</v>
      </c>
      <c r="L505" s="58">
        <f t="shared" si="498"/>
        <v>0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0" customHeight="1">
      <c r="A506" s="70"/>
      <c r="B506" s="71"/>
      <c r="C506" s="66"/>
      <c r="D506" s="66">
        <f t="shared" si="412"/>
        <v>0</v>
      </c>
      <c r="E506" s="67"/>
      <c r="F506" s="58">
        <f t="shared" ref="F506:L506" si="499">SUMIFS($C506,$B506,F$7)+F505</f>
        <v>168</v>
      </c>
      <c r="G506" s="58">
        <f t="shared" si="499"/>
        <v>3</v>
      </c>
      <c r="H506" s="58">
        <f t="shared" si="499"/>
        <v>14</v>
      </c>
      <c r="I506" s="58">
        <f t="shared" si="499"/>
        <v>187</v>
      </c>
      <c r="J506" s="58">
        <f t="shared" si="499"/>
        <v>0</v>
      </c>
      <c r="K506" s="58">
        <f t="shared" si="499"/>
        <v>0</v>
      </c>
      <c r="L506" s="58">
        <f t="shared" si="499"/>
        <v>0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0" customHeight="1">
      <c r="A507" s="70"/>
      <c r="B507" s="71"/>
      <c r="C507" s="66"/>
      <c r="D507" s="66">
        <f t="shared" si="412"/>
        <v>0</v>
      </c>
      <c r="E507" s="67"/>
      <c r="F507" s="58">
        <f t="shared" ref="F507:L507" si="500">SUMIFS($C507,$B507,F$7)+F506</f>
        <v>168</v>
      </c>
      <c r="G507" s="58">
        <f t="shared" si="500"/>
        <v>3</v>
      </c>
      <c r="H507" s="58">
        <f t="shared" si="500"/>
        <v>14</v>
      </c>
      <c r="I507" s="58">
        <f t="shared" si="500"/>
        <v>187</v>
      </c>
      <c r="J507" s="58">
        <f t="shared" si="500"/>
        <v>0</v>
      </c>
      <c r="K507" s="58">
        <f t="shared" si="500"/>
        <v>0</v>
      </c>
      <c r="L507" s="58">
        <f t="shared" si="500"/>
        <v>0</v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0" customHeight="1">
      <c r="A508" s="70"/>
      <c r="B508" s="71"/>
      <c r="C508" s="66"/>
      <c r="D508" s="66">
        <f t="shared" si="412"/>
        <v>0</v>
      </c>
      <c r="E508" s="67"/>
      <c r="F508" s="58">
        <f t="shared" ref="F508:L508" si="501">SUMIFS($C508,$B508,F$7)+F507</f>
        <v>168</v>
      </c>
      <c r="G508" s="58">
        <f t="shared" si="501"/>
        <v>3</v>
      </c>
      <c r="H508" s="58">
        <f t="shared" si="501"/>
        <v>14</v>
      </c>
      <c r="I508" s="58">
        <f t="shared" si="501"/>
        <v>187</v>
      </c>
      <c r="J508" s="58">
        <f t="shared" si="501"/>
        <v>0</v>
      </c>
      <c r="K508" s="58">
        <f t="shared" si="501"/>
        <v>0</v>
      </c>
      <c r="L508" s="58">
        <f t="shared" si="501"/>
        <v>0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0" customHeight="1">
      <c r="A509" s="70"/>
      <c r="B509" s="71"/>
      <c r="C509" s="66"/>
      <c r="D509" s="66">
        <f t="shared" si="412"/>
        <v>0</v>
      </c>
      <c r="E509" s="67"/>
      <c r="F509" s="58">
        <f t="shared" ref="F509:L509" si="502">SUMIFS($C509,$B509,F$7)+F508</f>
        <v>168</v>
      </c>
      <c r="G509" s="58">
        <f t="shared" si="502"/>
        <v>3</v>
      </c>
      <c r="H509" s="58">
        <f t="shared" si="502"/>
        <v>14</v>
      </c>
      <c r="I509" s="58">
        <f t="shared" si="502"/>
        <v>187</v>
      </c>
      <c r="J509" s="58">
        <f t="shared" si="502"/>
        <v>0</v>
      </c>
      <c r="K509" s="58">
        <f t="shared" si="502"/>
        <v>0</v>
      </c>
      <c r="L509" s="58">
        <f t="shared" si="502"/>
        <v>0</v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0" customHeight="1">
      <c r="A510" s="70"/>
      <c r="B510" s="71"/>
      <c r="C510" s="66"/>
      <c r="D510" s="66">
        <f t="shared" si="412"/>
        <v>0</v>
      </c>
      <c r="E510" s="67"/>
      <c r="F510" s="58">
        <f t="shared" ref="F510:L510" si="503">SUMIFS($C510,$B510,F$7)+F509</f>
        <v>168</v>
      </c>
      <c r="G510" s="58">
        <f t="shared" si="503"/>
        <v>3</v>
      </c>
      <c r="H510" s="58">
        <f t="shared" si="503"/>
        <v>14</v>
      </c>
      <c r="I510" s="58">
        <f t="shared" si="503"/>
        <v>187</v>
      </c>
      <c r="J510" s="58">
        <f t="shared" si="503"/>
        <v>0</v>
      </c>
      <c r="K510" s="58">
        <f t="shared" si="503"/>
        <v>0</v>
      </c>
      <c r="L510" s="58">
        <f t="shared" si="503"/>
        <v>0</v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0" customHeight="1">
      <c r="A511" s="70"/>
      <c r="B511" s="71"/>
      <c r="C511" s="66"/>
      <c r="D511" s="66">
        <f t="shared" si="412"/>
        <v>0</v>
      </c>
      <c r="E511" s="67"/>
      <c r="F511" s="58">
        <f t="shared" ref="F511:L511" si="504">SUMIFS($C511,$B511,F$7)+F510</f>
        <v>168</v>
      </c>
      <c r="G511" s="58">
        <f t="shared" si="504"/>
        <v>3</v>
      </c>
      <c r="H511" s="58">
        <f t="shared" si="504"/>
        <v>14</v>
      </c>
      <c r="I511" s="58">
        <f t="shared" si="504"/>
        <v>187</v>
      </c>
      <c r="J511" s="58">
        <f t="shared" si="504"/>
        <v>0</v>
      </c>
      <c r="K511" s="58">
        <f t="shared" si="504"/>
        <v>0</v>
      </c>
      <c r="L511" s="58">
        <f t="shared" si="504"/>
        <v>0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0" customHeight="1">
      <c r="A512" s="70"/>
      <c r="B512" s="71"/>
      <c r="C512" s="66"/>
      <c r="D512" s="66">
        <f t="shared" si="412"/>
        <v>0</v>
      </c>
      <c r="E512" s="67"/>
      <c r="F512" s="58">
        <f t="shared" ref="F512:L512" si="505">SUMIFS($C512,$B512,F$7)+F511</f>
        <v>168</v>
      </c>
      <c r="G512" s="58">
        <f t="shared" si="505"/>
        <v>3</v>
      </c>
      <c r="H512" s="58">
        <f t="shared" si="505"/>
        <v>14</v>
      </c>
      <c r="I512" s="58">
        <f t="shared" si="505"/>
        <v>187</v>
      </c>
      <c r="J512" s="58">
        <f t="shared" si="505"/>
        <v>0</v>
      </c>
      <c r="K512" s="58">
        <f t="shared" si="505"/>
        <v>0</v>
      </c>
      <c r="L512" s="58">
        <f t="shared" si="505"/>
        <v>0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0" customHeight="1">
      <c r="A513" s="70"/>
      <c r="B513" s="71"/>
      <c r="C513" s="66"/>
      <c r="D513" s="66">
        <f t="shared" si="412"/>
        <v>0</v>
      </c>
      <c r="E513" s="67"/>
      <c r="F513" s="58">
        <f t="shared" ref="F513:L513" si="506">SUMIFS($C513,$B513,F$7)+F512</f>
        <v>168</v>
      </c>
      <c r="G513" s="58">
        <f t="shared" si="506"/>
        <v>3</v>
      </c>
      <c r="H513" s="58">
        <f t="shared" si="506"/>
        <v>14</v>
      </c>
      <c r="I513" s="58">
        <f t="shared" si="506"/>
        <v>187</v>
      </c>
      <c r="J513" s="58">
        <f t="shared" si="506"/>
        <v>0</v>
      </c>
      <c r="K513" s="58">
        <f t="shared" si="506"/>
        <v>0</v>
      </c>
      <c r="L513" s="58">
        <f t="shared" si="506"/>
        <v>0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0" customHeight="1">
      <c r="A514" s="70"/>
      <c r="B514" s="71"/>
      <c r="C514" s="66"/>
      <c r="D514" s="66">
        <f t="shared" si="412"/>
        <v>0</v>
      </c>
      <c r="E514" s="67"/>
      <c r="F514" s="58">
        <f t="shared" ref="F514:L514" si="507">SUMIFS($C514,$B514,F$7)+F513</f>
        <v>168</v>
      </c>
      <c r="G514" s="58">
        <f t="shared" si="507"/>
        <v>3</v>
      </c>
      <c r="H514" s="58">
        <f t="shared" si="507"/>
        <v>14</v>
      </c>
      <c r="I514" s="58">
        <f t="shared" si="507"/>
        <v>187</v>
      </c>
      <c r="J514" s="58">
        <f t="shared" si="507"/>
        <v>0</v>
      </c>
      <c r="K514" s="58">
        <f t="shared" si="507"/>
        <v>0</v>
      </c>
      <c r="L514" s="58">
        <f t="shared" si="507"/>
        <v>0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0" customHeight="1">
      <c r="A515" s="70"/>
      <c r="B515" s="71"/>
      <c r="C515" s="66"/>
      <c r="D515" s="66">
        <f t="shared" si="412"/>
        <v>0</v>
      </c>
      <c r="E515" s="67"/>
      <c r="F515" s="58">
        <f t="shared" ref="F515:L515" si="508">SUMIFS($C515,$B515,F$7)+F514</f>
        <v>168</v>
      </c>
      <c r="G515" s="58">
        <f t="shared" si="508"/>
        <v>3</v>
      </c>
      <c r="H515" s="58">
        <f t="shared" si="508"/>
        <v>14</v>
      </c>
      <c r="I515" s="58">
        <f t="shared" si="508"/>
        <v>187</v>
      </c>
      <c r="J515" s="58">
        <f t="shared" si="508"/>
        <v>0</v>
      </c>
      <c r="K515" s="58">
        <f t="shared" si="508"/>
        <v>0</v>
      </c>
      <c r="L515" s="58">
        <f t="shared" si="508"/>
        <v>0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0" customHeight="1">
      <c r="A516" s="70"/>
      <c r="B516" s="71"/>
      <c r="C516" s="66"/>
      <c r="D516" s="66">
        <f t="shared" si="412"/>
        <v>0</v>
      </c>
      <c r="E516" s="67"/>
      <c r="F516" s="58">
        <f t="shared" ref="F516:L516" si="509">SUMIFS($C516,$B516,F$7)+F515</f>
        <v>168</v>
      </c>
      <c r="G516" s="58">
        <f t="shared" si="509"/>
        <v>3</v>
      </c>
      <c r="H516" s="58">
        <f t="shared" si="509"/>
        <v>14</v>
      </c>
      <c r="I516" s="58">
        <f t="shared" si="509"/>
        <v>187</v>
      </c>
      <c r="J516" s="58">
        <f t="shared" si="509"/>
        <v>0</v>
      </c>
      <c r="K516" s="58">
        <f t="shared" si="509"/>
        <v>0</v>
      </c>
      <c r="L516" s="58">
        <f t="shared" si="509"/>
        <v>0</v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0" customHeight="1">
      <c r="A517" s="70"/>
      <c r="B517" s="71"/>
      <c r="C517" s="66"/>
      <c r="D517" s="66">
        <f t="shared" si="412"/>
        <v>0</v>
      </c>
      <c r="E517" s="67"/>
      <c r="F517" s="58">
        <f t="shared" ref="F517:L517" si="510">SUMIFS($C517,$B517,F$7)+F516</f>
        <v>168</v>
      </c>
      <c r="G517" s="58">
        <f t="shared" si="510"/>
        <v>3</v>
      </c>
      <c r="H517" s="58">
        <f t="shared" si="510"/>
        <v>14</v>
      </c>
      <c r="I517" s="58">
        <f t="shared" si="510"/>
        <v>187</v>
      </c>
      <c r="J517" s="58">
        <f t="shared" si="510"/>
        <v>0</v>
      </c>
      <c r="K517" s="58">
        <f t="shared" si="510"/>
        <v>0</v>
      </c>
      <c r="L517" s="58">
        <f t="shared" si="510"/>
        <v>0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0" customHeight="1">
      <c r="A518" s="70"/>
      <c r="B518" s="71"/>
      <c r="C518" s="66"/>
      <c r="D518" s="66">
        <f t="shared" si="412"/>
        <v>0</v>
      </c>
      <c r="E518" s="67"/>
      <c r="F518" s="58">
        <f t="shared" ref="F518:L518" si="511">SUMIFS($C518,$B518,F$7)+F517</f>
        <v>168</v>
      </c>
      <c r="G518" s="58">
        <f t="shared" si="511"/>
        <v>3</v>
      </c>
      <c r="H518" s="58">
        <f t="shared" si="511"/>
        <v>14</v>
      </c>
      <c r="I518" s="58">
        <f t="shared" si="511"/>
        <v>187</v>
      </c>
      <c r="J518" s="58">
        <f t="shared" si="511"/>
        <v>0</v>
      </c>
      <c r="K518" s="58">
        <f t="shared" si="511"/>
        <v>0</v>
      </c>
      <c r="L518" s="58">
        <f t="shared" si="511"/>
        <v>0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0" customHeight="1">
      <c r="A519" s="70"/>
      <c r="B519" s="71"/>
      <c r="C519" s="66"/>
      <c r="D519" s="66">
        <f t="shared" si="412"/>
        <v>0</v>
      </c>
      <c r="E519" s="67"/>
      <c r="F519" s="58">
        <f t="shared" ref="F519:L519" si="512">SUMIFS($C519,$B519,F$7)+F518</f>
        <v>168</v>
      </c>
      <c r="G519" s="58">
        <f t="shared" si="512"/>
        <v>3</v>
      </c>
      <c r="H519" s="58">
        <f t="shared" si="512"/>
        <v>14</v>
      </c>
      <c r="I519" s="58">
        <f t="shared" si="512"/>
        <v>187</v>
      </c>
      <c r="J519" s="58">
        <f t="shared" si="512"/>
        <v>0</v>
      </c>
      <c r="K519" s="58">
        <f t="shared" si="512"/>
        <v>0</v>
      </c>
      <c r="L519" s="58">
        <f t="shared" si="512"/>
        <v>0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0" customHeight="1">
      <c r="A520" s="70"/>
      <c r="B520" s="71"/>
      <c r="C520" s="66"/>
      <c r="D520" s="66">
        <f t="shared" si="412"/>
        <v>0</v>
      </c>
      <c r="E520" s="67"/>
      <c r="F520" s="58">
        <f t="shared" ref="F520:L520" si="513">SUMIFS($C520,$B520,F$7)+F519</f>
        <v>168</v>
      </c>
      <c r="G520" s="58">
        <f t="shared" si="513"/>
        <v>3</v>
      </c>
      <c r="H520" s="58">
        <f t="shared" si="513"/>
        <v>14</v>
      </c>
      <c r="I520" s="58">
        <f t="shared" si="513"/>
        <v>187</v>
      </c>
      <c r="J520" s="58">
        <f t="shared" si="513"/>
        <v>0</v>
      </c>
      <c r="K520" s="58">
        <f t="shared" si="513"/>
        <v>0</v>
      </c>
      <c r="L520" s="58">
        <f t="shared" si="513"/>
        <v>0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0" customHeight="1">
      <c r="A521" s="70"/>
      <c r="B521" s="71"/>
      <c r="C521" s="66"/>
      <c r="D521" s="66">
        <f t="shared" si="412"/>
        <v>0</v>
      </c>
      <c r="E521" s="67"/>
      <c r="F521" s="58">
        <f t="shared" ref="F521:L521" si="514">SUMIFS($C521,$B521,F$7)+F520</f>
        <v>168</v>
      </c>
      <c r="G521" s="58">
        <f t="shared" si="514"/>
        <v>3</v>
      </c>
      <c r="H521" s="58">
        <f t="shared" si="514"/>
        <v>14</v>
      </c>
      <c r="I521" s="58">
        <f t="shared" si="514"/>
        <v>187</v>
      </c>
      <c r="J521" s="58">
        <f t="shared" si="514"/>
        <v>0</v>
      </c>
      <c r="K521" s="58">
        <f t="shared" si="514"/>
        <v>0</v>
      </c>
      <c r="L521" s="58">
        <f t="shared" si="514"/>
        <v>0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0" customHeight="1">
      <c r="A522" s="70"/>
      <c r="B522" s="71"/>
      <c r="C522" s="66"/>
      <c r="D522" s="66">
        <f t="shared" si="412"/>
        <v>0</v>
      </c>
      <c r="E522" s="67"/>
      <c r="F522" s="58">
        <f t="shared" ref="F522:L522" si="515">SUMIFS($C522,$B522,F$7)+F521</f>
        <v>168</v>
      </c>
      <c r="G522" s="58">
        <f t="shared" si="515"/>
        <v>3</v>
      </c>
      <c r="H522" s="58">
        <f t="shared" si="515"/>
        <v>14</v>
      </c>
      <c r="I522" s="58">
        <f t="shared" si="515"/>
        <v>187</v>
      </c>
      <c r="J522" s="58">
        <f t="shared" si="515"/>
        <v>0</v>
      </c>
      <c r="K522" s="58">
        <f t="shared" si="515"/>
        <v>0</v>
      </c>
      <c r="L522" s="58">
        <f t="shared" si="515"/>
        <v>0</v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0" customHeight="1">
      <c r="A523" s="70"/>
      <c r="B523" s="71"/>
      <c r="C523" s="66"/>
      <c r="D523" s="66">
        <f t="shared" si="412"/>
        <v>0</v>
      </c>
      <c r="E523" s="67"/>
      <c r="F523" s="58">
        <f t="shared" ref="F523:L523" si="516">SUMIFS($C523,$B523,F$7)+F522</f>
        <v>168</v>
      </c>
      <c r="G523" s="58">
        <f t="shared" si="516"/>
        <v>3</v>
      </c>
      <c r="H523" s="58">
        <f t="shared" si="516"/>
        <v>14</v>
      </c>
      <c r="I523" s="58">
        <f t="shared" si="516"/>
        <v>187</v>
      </c>
      <c r="J523" s="58">
        <f t="shared" si="516"/>
        <v>0</v>
      </c>
      <c r="K523" s="58">
        <f t="shared" si="516"/>
        <v>0</v>
      </c>
      <c r="L523" s="58">
        <f t="shared" si="516"/>
        <v>0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0" customHeight="1">
      <c r="A524" s="70"/>
      <c r="B524" s="71"/>
      <c r="C524" s="66"/>
      <c r="D524" s="66">
        <f t="shared" si="412"/>
        <v>0</v>
      </c>
      <c r="E524" s="67"/>
      <c r="F524" s="58">
        <f t="shared" ref="F524:L524" si="517">SUMIFS($C524,$B524,F$7)+F523</f>
        <v>168</v>
      </c>
      <c r="G524" s="58">
        <f t="shared" si="517"/>
        <v>3</v>
      </c>
      <c r="H524" s="58">
        <f t="shared" si="517"/>
        <v>14</v>
      </c>
      <c r="I524" s="58">
        <f t="shared" si="517"/>
        <v>187</v>
      </c>
      <c r="J524" s="58">
        <f t="shared" si="517"/>
        <v>0</v>
      </c>
      <c r="K524" s="58">
        <f t="shared" si="517"/>
        <v>0</v>
      </c>
      <c r="L524" s="58">
        <f t="shared" si="517"/>
        <v>0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0" customHeight="1">
      <c r="A525" s="70"/>
      <c r="B525" s="71"/>
      <c r="C525" s="66"/>
      <c r="D525" s="66">
        <f t="shared" si="412"/>
        <v>0</v>
      </c>
      <c r="E525" s="67"/>
      <c r="F525" s="58">
        <f t="shared" ref="F525:L525" si="518">SUMIFS($C525,$B525,F$7)+F524</f>
        <v>168</v>
      </c>
      <c r="G525" s="58">
        <f t="shared" si="518"/>
        <v>3</v>
      </c>
      <c r="H525" s="58">
        <f t="shared" si="518"/>
        <v>14</v>
      </c>
      <c r="I525" s="58">
        <f t="shared" si="518"/>
        <v>187</v>
      </c>
      <c r="J525" s="58">
        <f t="shared" si="518"/>
        <v>0</v>
      </c>
      <c r="K525" s="58">
        <f t="shared" si="518"/>
        <v>0</v>
      </c>
      <c r="L525" s="58">
        <f t="shared" si="518"/>
        <v>0</v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0" customHeight="1">
      <c r="A526" s="70"/>
      <c r="B526" s="71"/>
      <c r="C526" s="66"/>
      <c r="D526" s="66">
        <f t="shared" si="412"/>
        <v>0</v>
      </c>
      <c r="E526" s="67"/>
      <c r="F526" s="58">
        <f t="shared" ref="F526:L526" si="519">SUMIFS($C526,$B526,F$7)+F525</f>
        <v>168</v>
      </c>
      <c r="G526" s="58">
        <f t="shared" si="519"/>
        <v>3</v>
      </c>
      <c r="H526" s="58">
        <f t="shared" si="519"/>
        <v>14</v>
      </c>
      <c r="I526" s="58">
        <f t="shared" si="519"/>
        <v>187</v>
      </c>
      <c r="J526" s="58">
        <f t="shared" si="519"/>
        <v>0</v>
      </c>
      <c r="K526" s="58">
        <f t="shared" si="519"/>
        <v>0</v>
      </c>
      <c r="L526" s="58">
        <f t="shared" si="519"/>
        <v>0</v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0" customHeight="1">
      <c r="A527" s="70"/>
      <c r="B527" s="71"/>
      <c r="C527" s="66"/>
      <c r="D527" s="66">
        <f t="shared" si="412"/>
        <v>0</v>
      </c>
      <c r="E527" s="67"/>
      <c r="F527" s="58">
        <f t="shared" ref="F527:L527" si="520">SUMIFS($C527,$B527,F$7)+F526</f>
        <v>168</v>
      </c>
      <c r="G527" s="58">
        <f t="shared" si="520"/>
        <v>3</v>
      </c>
      <c r="H527" s="58">
        <f t="shared" si="520"/>
        <v>14</v>
      </c>
      <c r="I527" s="58">
        <f t="shared" si="520"/>
        <v>187</v>
      </c>
      <c r="J527" s="58">
        <f t="shared" si="520"/>
        <v>0</v>
      </c>
      <c r="K527" s="58">
        <f t="shared" si="520"/>
        <v>0</v>
      </c>
      <c r="L527" s="58">
        <f t="shared" si="520"/>
        <v>0</v>
      </c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0" customHeight="1">
      <c r="A528" s="70"/>
      <c r="B528" s="71"/>
      <c r="C528" s="66"/>
      <c r="D528" s="66">
        <f t="shared" si="412"/>
        <v>0</v>
      </c>
      <c r="E528" s="67"/>
      <c r="F528" s="58">
        <f t="shared" ref="F528:L528" si="521">SUMIFS($C528,$B528,F$7)+F527</f>
        <v>168</v>
      </c>
      <c r="G528" s="58">
        <f t="shared" si="521"/>
        <v>3</v>
      </c>
      <c r="H528" s="58">
        <f t="shared" si="521"/>
        <v>14</v>
      </c>
      <c r="I528" s="58">
        <f t="shared" si="521"/>
        <v>187</v>
      </c>
      <c r="J528" s="58">
        <f t="shared" si="521"/>
        <v>0</v>
      </c>
      <c r="K528" s="58">
        <f t="shared" si="521"/>
        <v>0</v>
      </c>
      <c r="L528" s="58">
        <f t="shared" si="521"/>
        <v>0</v>
      </c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0" customHeight="1">
      <c r="A529" s="70"/>
      <c r="B529" s="71"/>
      <c r="C529" s="66"/>
      <c r="D529" s="66">
        <f t="shared" si="412"/>
        <v>0</v>
      </c>
      <c r="E529" s="67"/>
      <c r="F529" s="58">
        <f t="shared" ref="F529:L529" si="522">SUMIFS($C529,$B529,F$7)+F528</f>
        <v>168</v>
      </c>
      <c r="G529" s="58">
        <f t="shared" si="522"/>
        <v>3</v>
      </c>
      <c r="H529" s="58">
        <f t="shared" si="522"/>
        <v>14</v>
      </c>
      <c r="I529" s="58">
        <f t="shared" si="522"/>
        <v>187</v>
      </c>
      <c r="J529" s="58">
        <f t="shared" si="522"/>
        <v>0</v>
      </c>
      <c r="K529" s="58">
        <f t="shared" si="522"/>
        <v>0</v>
      </c>
      <c r="L529" s="58">
        <f t="shared" si="522"/>
        <v>0</v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0" customHeight="1">
      <c r="A530" s="70"/>
      <c r="B530" s="71"/>
      <c r="C530" s="66"/>
      <c r="D530" s="66">
        <f t="shared" si="412"/>
        <v>0</v>
      </c>
      <c r="E530" s="67"/>
      <c r="F530" s="58">
        <f t="shared" ref="F530:L530" si="523">SUMIFS($C530,$B530,F$7)+F529</f>
        <v>168</v>
      </c>
      <c r="G530" s="58">
        <f t="shared" si="523"/>
        <v>3</v>
      </c>
      <c r="H530" s="58">
        <f t="shared" si="523"/>
        <v>14</v>
      </c>
      <c r="I530" s="58">
        <f t="shared" si="523"/>
        <v>187</v>
      </c>
      <c r="J530" s="58">
        <f t="shared" si="523"/>
        <v>0</v>
      </c>
      <c r="K530" s="58">
        <f t="shared" si="523"/>
        <v>0</v>
      </c>
      <c r="L530" s="58">
        <f t="shared" si="523"/>
        <v>0</v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0" customHeight="1">
      <c r="A531" s="70"/>
      <c r="B531" s="71"/>
      <c r="C531" s="66"/>
      <c r="D531" s="66">
        <f t="shared" si="412"/>
        <v>0</v>
      </c>
      <c r="E531" s="67"/>
      <c r="F531" s="58">
        <f t="shared" ref="F531:L531" si="524">SUMIFS($C531,$B531,F$7)+F530</f>
        <v>168</v>
      </c>
      <c r="G531" s="58">
        <f t="shared" si="524"/>
        <v>3</v>
      </c>
      <c r="H531" s="58">
        <f t="shared" si="524"/>
        <v>14</v>
      </c>
      <c r="I531" s="58">
        <f t="shared" si="524"/>
        <v>187</v>
      </c>
      <c r="J531" s="58">
        <f t="shared" si="524"/>
        <v>0</v>
      </c>
      <c r="K531" s="58">
        <f t="shared" si="524"/>
        <v>0</v>
      </c>
      <c r="L531" s="58">
        <f t="shared" si="524"/>
        <v>0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0" customHeight="1">
      <c r="A532" s="70"/>
      <c r="B532" s="71"/>
      <c r="C532" s="66"/>
      <c r="D532" s="66">
        <f t="shared" si="412"/>
        <v>0</v>
      </c>
      <c r="E532" s="67"/>
      <c r="F532" s="58">
        <f t="shared" ref="F532:L532" si="525">SUMIFS($C532,$B532,F$7)+F531</f>
        <v>168</v>
      </c>
      <c r="G532" s="58">
        <f t="shared" si="525"/>
        <v>3</v>
      </c>
      <c r="H532" s="58">
        <f t="shared" si="525"/>
        <v>14</v>
      </c>
      <c r="I532" s="58">
        <f t="shared" si="525"/>
        <v>187</v>
      </c>
      <c r="J532" s="58">
        <f t="shared" si="525"/>
        <v>0</v>
      </c>
      <c r="K532" s="58">
        <f t="shared" si="525"/>
        <v>0</v>
      </c>
      <c r="L532" s="58">
        <f t="shared" si="525"/>
        <v>0</v>
      </c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0" customHeight="1">
      <c r="A533" s="70"/>
      <c r="B533" s="71"/>
      <c r="C533" s="66"/>
      <c r="D533" s="66">
        <f t="shared" si="412"/>
        <v>0</v>
      </c>
      <c r="E533" s="67"/>
      <c r="F533" s="58">
        <f t="shared" ref="F533:L533" si="526">SUMIFS($C533,$B533,F$7)+F532</f>
        <v>168</v>
      </c>
      <c r="G533" s="58">
        <f t="shared" si="526"/>
        <v>3</v>
      </c>
      <c r="H533" s="58">
        <f t="shared" si="526"/>
        <v>14</v>
      </c>
      <c r="I533" s="58">
        <f t="shared" si="526"/>
        <v>187</v>
      </c>
      <c r="J533" s="58">
        <f t="shared" si="526"/>
        <v>0</v>
      </c>
      <c r="K533" s="58">
        <f t="shared" si="526"/>
        <v>0</v>
      </c>
      <c r="L533" s="58">
        <f t="shared" si="526"/>
        <v>0</v>
      </c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0" customHeight="1">
      <c r="A534" s="70"/>
      <c r="B534" s="71"/>
      <c r="C534" s="66"/>
      <c r="D534" s="66">
        <f t="shared" si="412"/>
        <v>0</v>
      </c>
      <c r="E534" s="67"/>
      <c r="F534" s="58">
        <f t="shared" ref="F534:L534" si="527">SUMIFS($C534,$B534,F$7)+F533</f>
        <v>168</v>
      </c>
      <c r="G534" s="58">
        <f t="shared" si="527"/>
        <v>3</v>
      </c>
      <c r="H534" s="58">
        <f t="shared" si="527"/>
        <v>14</v>
      </c>
      <c r="I534" s="58">
        <f t="shared" si="527"/>
        <v>187</v>
      </c>
      <c r="J534" s="58">
        <f t="shared" si="527"/>
        <v>0</v>
      </c>
      <c r="K534" s="58">
        <f t="shared" si="527"/>
        <v>0</v>
      </c>
      <c r="L534" s="58">
        <f t="shared" si="527"/>
        <v>0</v>
      </c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0" customHeight="1">
      <c r="A535" s="70"/>
      <c r="B535" s="71"/>
      <c r="C535" s="66"/>
      <c r="D535" s="66">
        <f t="shared" si="412"/>
        <v>0</v>
      </c>
      <c r="E535" s="67"/>
      <c r="F535" s="58">
        <f t="shared" ref="F535:L535" si="528">SUMIFS($C535,$B535,F$7)+F534</f>
        <v>168</v>
      </c>
      <c r="G535" s="58">
        <f t="shared" si="528"/>
        <v>3</v>
      </c>
      <c r="H535" s="58">
        <f t="shared" si="528"/>
        <v>14</v>
      </c>
      <c r="I535" s="58">
        <f t="shared" si="528"/>
        <v>187</v>
      </c>
      <c r="J535" s="58">
        <f t="shared" si="528"/>
        <v>0</v>
      </c>
      <c r="K535" s="58">
        <f t="shared" si="528"/>
        <v>0</v>
      </c>
      <c r="L535" s="58">
        <f t="shared" si="528"/>
        <v>0</v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0" customHeight="1">
      <c r="A536" s="70"/>
      <c r="B536" s="71"/>
      <c r="C536" s="66"/>
      <c r="D536" s="66">
        <f t="shared" si="412"/>
        <v>0</v>
      </c>
      <c r="E536" s="67"/>
      <c r="F536" s="58">
        <f t="shared" ref="F536:L536" si="529">SUMIFS($C536,$B536,F$7)+F535</f>
        <v>168</v>
      </c>
      <c r="G536" s="58">
        <f t="shared" si="529"/>
        <v>3</v>
      </c>
      <c r="H536" s="58">
        <f t="shared" si="529"/>
        <v>14</v>
      </c>
      <c r="I536" s="58">
        <f t="shared" si="529"/>
        <v>187</v>
      </c>
      <c r="J536" s="58">
        <f t="shared" si="529"/>
        <v>0</v>
      </c>
      <c r="K536" s="58">
        <f t="shared" si="529"/>
        <v>0</v>
      </c>
      <c r="L536" s="58">
        <f t="shared" si="529"/>
        <v>0</v>
      </c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0" customHeight="1">
      <c r="A537" s="70"/>
      <c r="B537" s="71"/>
      <c r="C537" s="66"/>
      <c r="D537" s="66">
        <f t="shared" si="412"/>
        <v>0</v>
      </c>
      <c r="E537" s="67"/>
      <c r="F537" s="58">
        <f t="shared" ref="F537:L537" si="530">SUMIFS($C537,$B537,F$7)+F536</f>
        <v>168</v>
      </c>
      <c r="G537" s="58">
        <f t="shared" si="530"/>
        <v>3</v>
      </c>
      <c r="H537" s="58">
        <f t="shared" si="530"/>
        <v>14</v>
      </c>
      <c r="I537" s="58">
        <f t="shared" si="530"/>
        <v>187</v>
      </c>
      <c r="J537" s="58">
        <f t="shared" si="530"/>
        <v>0</v>
      </c>
      <c r="K537" s="58">
        <f t="shared" si="530"/>
        <v>0</v>
      </c>
      <c r="L537" s="58">
        <f t="shared" si="530"/>
        <v>0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0" customHeight="1">
      <c r="A538" s="70"/>
      <c r="B538" s="71"/>
      <c r="C538" s="66"/>
      <c r="D538" s="66">
        <f t="shared" si="412"/>
        <v>0</v>
      </c>
      <c r="E538" s="67"/>
      <c r="F538" s="58">
        <f t="shared" ref="F538:L538" si="531">SUMIFS($C538,$B538,F$7)+F537</f>
        <v>168</v>
      </c>
      <c r="G538" s="58">
        <f t="shared" si="531"/>
        <v>3</v>
      </c>
      <c r="H538" s="58">
        <f t="shared" si="531"/>
        <v>14</v>
      </c>
      <c r="I538" s="58">
        <f t="shared" si="531"/>
        <v>187</v>
      </c>
      <c r="J538" s="58">
        <f t="shared" si="531"/>
        <v>0</v>
      </c>
      <c r="K538" s="58">
        <f t="shared" si="531"/>
        <v>0</v>
      </c>
      <c r="L538" s="58">
        <f t="shared" si="531"/>
        <v>0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0" customHeight="1">
      <c r="A539" s="70"/>
      <c r="B539" s="71"/>
      <c r="C539" s="66"/>
      <c r="D539" s="66">
        <f t="shared" si="412"/>
        <v>0</v>
      </c>
      <c r="E539" s="67"/>
      <c r="F539" s="58">
        <f t="shared" ref="F539:L539" si="532">SUMIFS($C539,$B539,F$7)+F538</f>
        <v>168</v>
      </c>
      <c r="G539" s="58">
        <f t="shared" si="532"/>
        <v>3</v>
      </c>
      <c r="H539" s="58">
        <f t="shared" si="532"/>
        <v>14</v>
      </c>
      <c r="I539" s="58">
        <f t="shared" si="532"/>
        <v>187</v>
      </c>
      <c r="J539" s="58">
        <f t="shared" si="532"/>
        <v>0</v>
      </c>
      <c r="K539" s="58">
        <f t="shared" si="532"/>
        <v>0</v>
      </c>
      <c r="L539" s="58">
        <f t="shared" si="532"/>
        <v>0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0" customHeight="1">
      <c r="A540" s="70"/>
      <c r="B540" s="71"/>
      <c r="C540" s="66"/>
      <c r="D540" s="66">
        <f t="shared" si="412"/>
        <v>0</v>
      </c>
      <c r="E540" s="67"/>
      <c r="F540" s="58">
        <f t="shared" ref="F540:L540" si="533">SUMIFS($C540,$B540,F$7)+F539</f>
        <v>168</v>
      </c>
      <c r="G540" s="58">
        <f t="shared" si="533"/>
        <v>3</v>
      </c>
      <c r="H540" s="58">
        <f t="shared" si="533"/>
        <v>14</v>
      </c>
      <c r="I540" s="58">
        <f t="shared" si="533"/>
        <v>187</v>
      </c>
      <c r="J540" s="58">
        <f t="shared" si="533"/>
        <v>0</v>
      </c>
      <c r="K540" s="58">
        <f t="shared" si="533"/>
        <v>0</v>
      </c>
      <c r="L540" s="58">
        <f t="shared" si="533"/>
        <v>0</v>
      </c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0" customHeight="1">
      <c r="A541" s="70"/>
      <c r="B541" s="71"/>
      <c r="C541" s="66"/>
      <c r="D541" s="66">
        <f t="shared" si="412"/>
        <v>0</v>
      </c>
      <c r="E541" s="67"/>
      <c r="F541" s="58">
        <f t="shared" ref="F541:L541" si="534">SUMIFS($C541,$B541,F$7)+F540</f>
        <v>168</v>
      </c>
      <c r="G541" s="58">
        <f t="shared" si="534"/>
        <v>3</v>
      </c>
      <c r="H541" s="58">
        <f t="shared" si="534"/>
        <v>14</v>
      </c>
      <c r="I541" s="58">
        <f t="shared" si="534"/>
        <v>187</v>
      </c>
      <c r="J541" s="58">
        <f t="shared" si="534"/>
        <v>0</v>
      </c>
      <c r="K541" s="58">
        <f t="shared" si="534"/>
        <v>0</v>
      </c>
      <c r="L541" s="58">
        <f t="shared" si="534"/>
        <v>0</v>
      </c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0" customHeight="1">
      <c r="A542" s="70"/>
      <c r="B542" s="71"/>
      <c r="C542" s="66"/>
      <c r="D542" s="66">
        <f t="shared" si="412"/>
        <v>0</v>
      </c>
      <c r="E542" s="67"/>
      <c r="F542" s="58">
        <f t="shared" ref="F542:L542" si="535">SUMIFS($C542,$B542,F$7)+F541</f>
        <v>168</v>
      </c>
      <c r="G542" s="58">
        <f t="shared" si="535"/>
        <v>3</v>
      </c>
      <c r="H542" s="58">
        <f t="shared" si="535"/>
        <v>14</v>
      </c>
      <c r="I542" s="58">
        <f t="shared" si="535"/>
        <v>187</v>
      </c>
      <c r="J542" s="58">
        <f t="shared" si="535"/>
        <v>0</v>
      </c>
      <c r="K542" s="58">
        <f t="shared" si="535"/>
        <v>0</v>
      </c>
      <c r="L542" s="58">
        <f t="shared" si="535"/>
        <v>0</v>
      </c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0" customHeight="1">
      <c r="A543" s="70"/>
      <c r="B543" s="71"/>
      <c r="C543" s="66"/>
      <c r="D543" s="66">
        <f t="shared" si="412"/>
        <v>0</v>
      </c>
      <c r="E543" s="67"/>
      <c r="F543" s="58">
        <f t="shared" ref="F543:L543" si="536">SUMIFS($C543,$B543,F$7)+F542</f>
        <v>168</v>
      </c>
      <c r="G543" s="58">
        <f t="shared" si="536"/>
        <v>3</v>
      </c>
      <c r="H543" s="58">
        <f t="shared" si="536"/>
        <v>14</v>
      </c>
      <c r="I543" s="58">
        <f t="shared" si="536"/>
        <v>187</v>
      </c>
      <c r="J543" s="58">
        <f t="shared" si="536"/>
        <v>0</v>
      </c>
      <c r="K543" s="58">
        <f t="shared" si="536"/>
        <v>0</v>
      </c>
      <c r="L543" s="58">
        <f t="shared" si="536"/>
        <v>0</v>
      </c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0" customHeight="1">
      <c r="A544" s="70"/>
      <c r="B544" s="71"/>
      <c r="C544" s="66"/>
      <c r="D544" s="66">
        <f t="shared" si="412"/>
        <v>0</v>
      </c>
      <c r="E544" s="67"/>
      <c r="F544" s="58">
        <f t="shared" ref="F544:L544" si="537">SUMIFS($C544,$B544,F$7)+F543</f>
        <v>168</v>
      </c>
      <c r="G544" s="58">
        <f t="shared" si="537"/>
        <v>3</v>
      </c>
      <c r="H544" s="58">
        <f t="shared" si="537"/>
        <v>14</v>
      </c>
      <c r="I544" s="58">
        <f t="shared" si="537"/>
        <v>187</v>
      </c>
      <c r="J544" s="58">
        <f t="shared" si="537"/>
        <v>0</v>
      </c>
      <c r="K544" s="58">
        <f t="shared" si="537"/>
        <v>0</v>
      </c>
      <c r="L544" s="58">
        <f t="shared" si="537"/>
        <v>0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0" customHeight="1">
      <c r="A545" s="70"/>
      <c r="B545" s="71"/>
      <c r="C545" s="66"/>
      <c r="D545" s="66">
        <f t="shared" si="412"/>
        <v>0</v>
      </c>
      <c r="E545" s="67"/>
      <c r="F545" s="58">
        <f t="shared" ref="F545:L545" si="538">SUMIFS($C545,$B545,F$7)+F544</f>
        <v>168</v>
      </c>
      <c r="G545" s="58">
        <f t="shared" si="538"/>
        <v>3</v>
      </c>
      <c r="H545" s="58">
        <f t="shared" si="538"/>
        <v>14</v>
      </c>
      <c r="I545" s="58">
        <f t="shared" si="538"/>
        <v>187</v>
      </c>
      <c r="J545" s="58">
        <f t="shared" si="538"/>
        <v>0</v>
      </c>
      <c r="K545" s="58">
        <f t="shared" si="538"/>
        <v>0</v>
      </c>
      <c r="L545" s="58">
        <f t="shared" si="538"/>
        <v>0</v>
      </c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0" customHeight="1">
      <c r="A546" s="70"/>
      <c r="B546" s="71"/>
      <c r="C546" s="66"/>
      <c r="D546" s="66">
        <f t="shared" si="412"/>
        <v>0</v>
      </c>
      <c r="E546" s="67"/>
      <c r="F546" s="58">
        <f t="shared" ref="F546:L546" si="539">SUMIFS($C546,$B546,F$7)+F545</f>
        <v>168</v>
      </c>
      <c r="G546" s="58">
        <f t="shared" si="539"/>
        <v>3</v>
      </c>
      <c r="H546" s="58">
        <f t="shared" si="539"/>
        <v>14</v>
      </c>
      <c r="I546" s="58">
        <f t="shared" si="539"/>
        <v>187</v>
      </c>
      <c r="J546" s="58">
        <f t="shared" si="539"/>
        <v>0</v>
      </c>
      <c r="K546" s="58">
        <f t="shared" si="539"/>
        <v>0</v>
      </c>
      <c r="L546" s="58">
        <f t="shared" si="539"/>
        <v>0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0" customHeight="1">
      <c r="A547" s="70"/>
      <c r="B547" s="71"/>
      <c r="C547" s="66"/>
      <c r="D547" s="66">
        <f t="shared" si="412"/>
        <v>0</v>
      </c>
      <c r="E547" s="67"/>
      <c r="F547" s="58">
        <f t="shared" ref="F547:L547" si="540">SUMIFS($C547,$B547,F$7)+F546</f>
        <v>168</v>
      </c>
      <c r="G547" s="58">
        <f t="shared" si="540"/>
        <v>3</v>
      </c>
      <c r="H547" s="58">
        <f t="shared" si="540"/>
        <v>14</v>
      </c>
      <c r="I547" s="58">
        <f t="shared" si="540"/>
        <v>187</v>
      </c>
      <c r="J547" s="58">
        <f t="shared" si="540"/>
        <v>0</v>
      </c>
      <c r="K547" s="58">
        <f t="shared" si="540"/>
        <v>0</v>
      </c>
      <c r="L547" s="58">
        <f t="shared" si="540"/>
        <v>0</v>
      </c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0" customHeight="1">
      <c r="A548" s="70"/>
      <c r="B548" s="71"/>
      <c r="C548" s="66"/>
      <c r="D548" s="66">
        <f t="shared" si="412"/>
        <v>0</v>
      </c>
      <c r="E548" s="67"/>
      <c r="F548" s="58">
        <f t="shared" ref="F548:L548" si="541">SUMIFS($C548,$B548,F$7)+F547</f>
        <v>168</v>
      </c>
      <c r="G548" s="58">
        <f t="shared" si="541"/>
        <v>3</v>
      </c>
      <c r="H548" s="58">
        <f t="shared" si="541"/>
        <v>14</v>
      </c>
      <c r="I548" s="58">
        <f t="shared" si="541"/>
        <v>187</v>
      </c>
      <c r="J548" s="58">
        <f t="shared" si="541"/>
        <v>0</v>
      </c>
      <c r="K548" s="58">
        <f t="shared" si="541"/>
        <v>0</v>
      </c>
      <c r="L548" s="58">
        <f t="shared" si="541"/>
        <v>0</v>
      </c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0" customHeight="1">
      <c r="A549" s="70"/>
      <c r="B549" s="71"/>
      <c r="C549" s="66"/>
      <c r="D549" s="66">
        <f t="shared" si="412"/>
        <v>0</v>
      </c>
      <c r="E549" s="67"/>
      <c r="F549" s="58">
        <f t="shared" ref="F549:L549" si="542">SUMIFS($C549,$B549,F$7)+F548</f>
        <v>168</v>
      </c>
      <c r="G549" s="58">
        <f t="shared" si="542"/>
        <v>3</v>
      </c>
      <c r="H549" s="58">
        <f t="shared" si="542"/>
        <v>14</v>
      </c>
      <c r="I549" s="58">
        <f t="shared" si="542"/>
        <v>187</v>
      </c>
      <c r="J549" s="58">
        <f t="shared" si="542"/>
        <v>0</v>
      </c>
      <c r="K549" s="58">
        <f t="shared" si="542"/>
        <v>0</v>
      </c>
      <c r="L549" s="58">
        <f t="shared" si="542"/>
        <v>0</v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0" customHeight="1">
      <c r="A550" s="70"/>
      <c r="B550" s="71"/>
      <c r="C550" s="66"/>
      <c r="D550" s="66">
        <f t="shared" si="412"/>
        <v>0</v>
      </c>
      <c r="E550" s="67"/>
      <c r="F550" s="58">
        <f t="shared" ref="F550:L550" si="543">SUMIFS($C550,$B550,F$7)+F549</f>
        <v>168</v>
      </c>
      <c r="G550" s="58">
        <f t="shared" si="543"/>
        <v>3</v>
      </c>
      <c r="H550" s="58">
        <f t="shared" si="543"/>
        <v>14</v>
      </c>
      <c r="I550" s="58">
        <f t="shared" si="543"/>
        <v>187</v>
      </c>
      <c r="J550" s="58">
        <f t="shared" si="543"/>
        <v>0</v>
      </c>
      <c r="K550" s="58">
        <f t="shared" si="543"/>
        <v>0</v>
      </c>
      <c r="L550" s="58">
        <f t="shared" si="543"/>
        <v>0</v>
      </c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0" customHeight="1">
      <c r="A551" s="70"/>
      <c r="B551" s="71"/>
      <c r="C551" s="66"/>
      <c r="D551" s="66">
        <f t="shared" si="412"/>
        <v>0</v>
      </c>
      <c r="E551" s="67"/>
      <c r="F551" s="58">
        <f t="shared" ref="F551:L551" si="544">SUMIFS($C551,$B551,F$7)+F550</f>
        <v>168</v>
      </c>
      <c r="G551" s="58">
        <f t="shared" si="544"/>
        <v>3</v>
      </c>
      <c r="H551" s="58">
        <f t="shared" si="544"/>
        <v>14</v>
      </c>
      <c r="I551" s="58">
        <f t="shared" si="544"/>
        <v>187</v>
      </c>
      <c r="J551" s="58">
        <f t="shared" si="544"/>
        <v>0</v>
      </c>
      <c r="K551" s="58">
        <f t="shared" si="544"/>
        <v>0</v>
      </c>
      <c r="L551" s="58">
        <f t="shared" si="544"/>
        <v>0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0" customHeight="1">
      <c r="A552" s="70"/>
      <c r="B552" s="71"/>
      <c r="C552" s="66"/>
      <c r="D552" s="66">
        <f t="shared" si="412"/>
        <v>0</v>
      </c>
      <c r="E552" s="67"/>
      <c r="F552" s="58">
        <f t="shared" ref="F552:L552" si="545">SUMIFS($C552,$B552,F$7)+F551</f>
        <v>168</v>
      </c>
      <c r="G552" s="58">
        <f t="shared" si="545"/>
        <v>3</v>
      </c>
      <c r="H552" s="58">
        <f t="shared" si="545"/>
        <v>14</v>
      </c>
      <c r="I552" s="58">
        <f t="shared" si="545"/>
        <v>187</v>
      </c>
      <c r="J552" s="58">
        <f t="shared" si="545"/>
        <v>0</v>
      </c>
      <c r="K552" s="58">
        <f t="shared" si="545"/>
        <v>0</v>
      </c>
      <c r="L552" s="58">
        <f t="shared" si="545"/>
        <v>0</v>
      </c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0" customHeight="1">
      <c r="A553" s="70"/>
      <c r="B553" s="71"/>
      <c r="C553" s="66"/>
      <c r="D553" s="66">
        <f t="shared" si="412"/>
        <v>0</v>
      </c>
      <c r="E553" s="67"/>
      <c r="F553" s="58">
        <f t="shared" ref="F553:L553" si="546">SUMIFS($C553,$B553,F$7)+F552</f>
        <v>168</v>
      </c>
      <c r="G553" s="58">
        <f t="shared" si="546"/>
        <v>3</v>
      </c>
      <c r="H553" s="58">
        <f t="shared" si="546"/>
        <v>14</v>
      </c>
      <c r="I553" s="58">
        <f t="shared" si="546"/>
        <v>187</v>
      </c>
      <c r="J553" s="58">
        <f t="shared" si="546"/>
        <v>0</v>
      </c>
      <c r="K553" s="58">
        <f t="shared" si="546"/>
        <v>0</v>
      </c>
      <c r="L553" s="58">
        <f t="shared" si="546"/>
        <v>0</v>
      </c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0" customHeight="1">
      <c r="A554" s="70"/>
      <c r="B554" s="71"/>
      <c r="C554" s="66"/>
      <c r="D554" s="66">
        <f t="shared" si="412"/>
        <v>0</v>
      </c>
      <c r="E554" s="67"/>
      <c r="F554" s="58">
        <f t="shared" ref="F554:L554" si="547">SUMIFS($C554,$B554,F$7)+F553</f>
        <v>168</v>
      </c>
      <c r="G554" s="58">
        <f t="shared" si="547"/>
        <v>3</v>
      </c>
      <c r="H554" s="58">
        <f t="shared" si="547"/>
        <v>14</v>
      </c>
      <c r="I554" s="58">
        <f t="shared" si="547"/>
        <v>187</v>
      </c>
      <c r="J554" s="58">
        <f t="shared" si="547"/>
        <v>0</v>
      </c>
      <c r="K554" s="58">
        <f t="shared" si="547"/>
        <v>0</v>
      </c>
      <c r="L554" s="58">
        <f t="shared" si="547"/>
        <v>0</v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0" customHeight="1">
      <c r="A555" s="70"/>
      <c r="B555" s="71"/>
      <c r="C555" s="66"/>
      <c r="D555" s="66">
        <f t="shared" si="412"/>
        <v>0</v>
      </c>
      <c r="E555" s="67"/>
      <c r="F555" s="58">
        <f t="shared" ref="F555:L555" si="548">SUMIFS($C555,$B555,F$7)+F554</f>
        <v>168</v>
      </c>
      <c r="G555" s="58">
        <f t="shared" si="548"/>
        <v>3</v>
      </c>
      <c r="H555" s="58">
        <f t="shared" si="548"/>
        <v>14</v>
      </c>
      <c r="I555" s="58">
        <f t="shared" si="548"/>
        <v>187</v>
      </c>
      <c r="J555" s="58">
        <f t="shared" si="548"/>
        <v>0</v>
      </c>
      <c r="K555" s="58">
        <f t="shared" si="548"/>
        <v>0</v>
      </c>
      <c r="L555" s="58">
        <f t="shared" si="548"/>
        <v>0</v>
      </c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0" customHeight="1">
      <c r="A556" s="70"/>
      <c r="B556" s="71"/>
      <c r="C556" s="66"/>
      <c r="D556" s="66">
        <f t="shared" si="412"/>
        <v>0</v>
      </c>
      <c r="E556" s="67"/>
      <c r="F556" s="58">
        <f t="shared" ref="F556:L556" si="549">SUMIFS($C556,$B556,F$7)+F555</f>
        <v>168</v>
      </c>
      <c r="G556" s="58">
        <f t="shared" si="549"/>
        <v>3</v>
      </c>
      <c r="H556" s="58">
        <f t="shared" si="549"/>
        <v>14</v>
      </c>
      <c r="I556" s="58">
        <f t="shared" si="549"/>
        <v>187</v>
      </c>
      <c r="J556" s="58">
        <f t="shared" si="549"/>
        <v>0</v>
      </c>
      <c r="K556" s="58">
        <f t="shared" si="549"/>
        <v>0</v>
      </c>
      <c r="L556" s="58">
        <f t="shared" si="549"/>
        <v>0</v>
      </c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0" customHeight="1">
      <c r="A557" s="70"/>
      <c r="B557" s="71"/>
      <c r="C557" s="66"/>
      <c r="D557" s="66">
        <f t="shared" si="412"/>
        <v>0</v>
      </c>
      <c r="E557" s="67"/>
      <c r="F557" s="58">
        <f t="shared" ref="F557:L557" si="550">SUMIFS($C557,$B557,F$7)+F556</f>
        <v>168</v>
      </c>
      <c r="G557" s="58">
        <f t="shared" si="550"/>
        <v>3</v>
      </c>
      <c r="H557" s="58">
        <f t="shared" si="550"/>
        <v>14</v>
      </c>
      <c r="I557" s="58">
        <f t="shared" si="550"/>
        <v>187</v>
      </c>
      <c r="J557" s="58">
        <f t="shared" si="550"/>
        <v>0</v>
      </c>
      <c r="K557" s="58">
        <f t="shared" si="550"/>
        <v>0</v>
      </c>
      <c r="L557" s="58">
        <f t="shared" si="550"/>
        <v>0</v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0" customHeight="1">
      <c r="A558" s="70"/>
      <c r="B558" s="71"/>
      <c r="C558" s="66"/>
      <c r="D558" s="66">
        <f t="shared" si="412"/>
        <v>0</v>
      </c>
      <c r="E558" s="67"/>
      <c r="F558" s="58">
        <f t="shared" ref="F558:L558" si="551">SUMIFS($C558,$B558,F$7)+F557</f>
        <v>168</v>
      </c>
      <c r="G558" s="58">
        <f t="shared" si="551"/>
        <v>3</v>
      </c>
      <c r="H558" s="58">
        <f t="shared" si="551"/>
        <v>14</v>
      </c>
      <c r="I558" s="58">
        <f t="shared" si="551"/>
        <v>187</v>
      </c>
      <c r="J558" s="58">
        <f t="shared" si="551"/>
        <v>0</v>
      </c>
      <c r="K558" s="58">
        <f t="shared" si="551"/>
        <v>0</v>
      </c>
      <c r="L558" s="58">
        <f t="shared" si="551"/>
        <v>0</v>
      </c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0" customHeight="1">
      <c r="A559" s="70"/>
      <c r="B559" s="71"/>
      <c r="C559" s="66"/>
      <c r="D559" s="66">
        <f t="shared" si="412"/>
        <v>0</v>
      </c>
      <c r="E559" s="67"/>
      <c r="F559" s="58">
        <f t="shared" ref="F559:L559" si="552">SUMIFS($C559,$B559,F$7)+F558</f>
        <v>168</v>
      </c>
      <c r="G559" s="58">
        <f t="shared" si="552"/>
        <v>3</v>
      </c>
      <c r="H559" s="58">
        <f t="shared" si="552"/>
        <v>14</v>
      </c>
      <c r="I559" s="58">
        <f t="shared" si="552"/>
        <v>187</v>
      </c>
      <c r="J559" s="58">
        <f t="shared" si="552"/>
        <v>0</v>
      </c>
      <c r="K559" s="58">
        <f t="shared" si="552"/>
        <v>0</v>
      </c>
      <c r="L559" s="58">
        <f t="shared" si="552"/>
        <v>0</v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0" customHeight="1">
      <c r="A560" s="70"/>
      <c r="B560" s="71"/>
      <c r="C560" s="66"/>
      <c r="D560" s="66">
        <f t="shared" si="412"/>
        <v>0</v>
      </c>
      <c r="E560" s="67"/>
      <c r="F560" s="58">
        <f t="shared" ref="F560:L560" si="553">SUMIFS($C560,$B560,F$7)+F559</f>
        <v>168</v>
      </c>
      <c r="G560" s="58">
        <f t="shared" si="553"/>
        <v>3</v>
      </c>
      <c r="H560" s="58">
        <f t="shared" si="553"/>
        <v>14</v>
      </c>
      <c r="I560" s="58">
        <f t="shared" si="553"/>
        <v>187</v>
      </c>
      <c r="J560" s="58">
        <f t="shared" si="553"/>
        <v>0</v>
      </c>
      <c r="K560" s="58">
        <f t="shared" si="553"/>
        <v>0</v>
      </c>
      <c r="L560" s="58">
        <f t="shared" si="553"/>
        <v>0</v>
      </c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0" customHeight="1">
      <c r="A561" s="70"/>
      <c r="B561" s="71"/>
      <c r="C561" s="66"/>
      <c r="D561" s="66">
        <f t="shared" si="412"/>
        <v>0</v>
      </c>
      <c r="E561" s="67"/>
      <c r="F561" s="58">
        <f t="shared" ref="F561:L561" si="554">SUMIFS($C561,$B561,F$7)+F560</f>
        <v>168</v>
      </c>
      <c r="G561" s="58">
        <f t="shared" si="554"/>
        <v>3</v>
      </c>
      <c r="H561" s="58">
        <f t="shared" si="554"/>
        <v>14</v>
      </c>
      <c r="I561" s="58">
        <f t="shared" si="554"/>
        <v>187</v>
      </c>
      <c r="J561" s="58">
        <f t="shared" si="554"/>
        <v>0</v>
      </c>
      <c r="K561" s="58">
        <f t="shared" si="554"/>
        <v>0</v>
      </c>
      <c r="L561" s="58">
        <f t="shared" si="554"/>
        <v>0</v>
      </c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0" customHeight="1">
      <c r="A562" s="70"/>
      <c r="B562" s="71"/>
      <c r="C562" s="66"/>
      <c r="D562" s="66">
        <f t="shared" si="412"/>
        <v>0</v>
      </c>
      <c r="E562" s="67"/>
      <c r="F562" s="58">
        <f t="shared" ref="F562:L562" si="555">SUMIFS($C562,$B562,F$7)+F561</f>
        <v>168</v>
      </c>
      <c r="G562" s="58">
        <f t="shared" si="555"/>
        <v>3</v>
      </c>
      <c r="H562" s="58">
        <f t="shared" si="555"/>
        <v>14</v>
      </c>
      <c r="I562" s="58">
        <f t="shared" si="555"/>
        <v>187</v>
      </c>
      <c r="J562" s="58">
        <f t="shared" si="555"/>
        <v>0</v>
      </c>
      <c r="K562" s="58">
        <f t="shared" si="555"/>
        <v>0</v>
      </c>
      <c r="L562" s="58">
        <f t="shared" si="555"/>
        <v>0</v>
      </c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0" customHeight="1">
      <c r="A563" s="70"/>
      <c r="B563" s="71"/>
      <c r="C563" s="66"/>
      <c r="D563" s="66">
        <f t="shared" si="412"/>
        <v>0</v>
      </c>
      <c r="E563" s="67"/>
      <c r="F563" s="58">
        <f t="shared" ref="F563:L563" si="556">SUMIFS($C563,$B563,F$7)+F562</f>
        <v>168</v>
      </c>
      <c r="G563" s="58">
        <f t="shared" si="556"/>
        <v>3</v>
      </c>
      <c r="H563" s="58">
        <f t="shared" si="556"/>
        <v>14</v>
      </c>
      <c r="I563" s="58">
        <f t="shared" si="556"/>
        <v>187</v>
      </c>
      <c r="J563" s="58">
        <f t="shared" si="556"/>
        <v>0</v>
      </c>
      <c r="K563" s="58">
        <f t="shared" si="556"/>
        <v>0</v>
      </c>
      <c r="L563" s="58">
        <f t="shared" si="556"/>
        <v>0</v>
      </c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0" customHeight="1">
      <c r="A564" s="70"/>
      <c r="B564" s="71"/>
      <c r="C564" s="66"/>
      <c r="D564" s="66">
        <f t="shared" si="412"/>
        <v>0</v>
      </c>
      <c r="E564" s="67"/>
      <c r="F564" s="58">
        <f t="shared" ref="F564:L564" si="557">SUMIFS($C564,$B564,F$7)+F563</f>
        <v>168</v>
      </c>
      <c r="G564" s="58">
        <f t="shared" si="557"/>
        <v>3</v>
      </c>
      <c r="H564" s="58">
        <f t="shared" si="557"/>
        <v>14</v>
      </c>
      <c r="I564" s="58">
        <f t="shared" si="557"/>
        <v>187</v>
      </c>
      <c r="J564" s="58">
        <f t="shared" si="557"/>
        <v>0</v>
      </c>
      <c r="K564" s="58">
        <f t="shared" si="557"/>
        <v>0</v>
      </c>
      <c r="L564" s="58">
        <f t="shared" si="557"/>
        <v>0</v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0" customHeight="1">
      <c r="A565" s="70"/>
      <c r="B565" s="71"/>
      <c r="C565" s="66"/>
      <c r="D565" s="66">
        <f t="shared" si="412"/>
        <v>0</v>
      </c>
      <c r="E565" s="67"/>
      <c r="F565" s="58">
        <f t="shared" ref="F565:L565" si="558">SUMIFS($C565,$B565,F$7)+F564</f>
        <v>168</v>
      </c>
      <c r="G565" s="58">
        <f t="shared" si="558"/>
        <v>3</v>
      </c>
      <c r="H565" s="58">
        <f t="shared" si="558"/>
        <v>14</v>
      </c>
      <c r="I565" s="58">
        <f t="shared" si="558"/>
        <v>187</v>
      </c>
      <c r="J565" s="58">
        <f t="shared" si="558"/>
        <v>0</v>
      </c>
      <c r="K565" s="58">
        <f t="shared" si="558"/>
        <v>0</v>
      </c>
      <c r="L565" s="58">
        <f t="shared" si="558"/>
        <v>0</v>
      </c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0" customHeight="1">
      <c r="A566" s="70"/>
      <c r="B566" s="71"/>
      <c r="C566" s="66"/>
      <c r="D566" s="66">
        <f t="shared" si="412"/>
        <v>0</v>
      </c>
      <c r="E566" s="67"/>
      <c r="F566" s="58">
        <f t="shared" ref="F566:L566" si="559">SUMIFS($C566,$B566,F$7)+F565</f>
        <v>168</v>
      </c>
      <c r="G566" s="58">
        <f t="shared" si="559"/>
        <v>3</v>
      </c>
      <c r="H566" s="58">
        <f t="shared" si="559"/>
        <v>14</v>
      </c>
      <c r="I566" s="58">
        <f t="shared" si="559"/>
        <v>187</v>
      </c>
      <c r="J566" s="58">
        <f t="shared" si="559"/>
        <v>0</v>
      </c>
      <c r="K566" s="58">
        <f t="shared" si="559"/>
        <v>0</v>
      </c>
      <c r="L566" s="58">
        <f t="shared" si="559"/>
        <v>0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0" customHeight="1">
      <c r="A567" s="70"/>
      <c r="B567" s="71"/>
      <c r="C567" s="66"/>
      <c r="D567" s="66">
        <f t="shared" si="412"/>
        <v>0</v>
      </c>
      <c r="E567" s="67"/>
      <c r="F567" s="58">
        <f t="shared" ref="F567:L567" si="560">SUMIFS($C567,$B567,F$7)+F566</f>
        <v>168</v>
      </c>
      <c r="G567" s="58">
        <f t="shared" si="560"/>
        <v>3</v>
      </c>
      <c r="H567" s="58">
        <f t="shared" si="560"/>
        <v>14</v>
      </c>
      <c r="I567" s="58">
        <f t="shared" si="560"/>
        <v>187</v>
      </c>
      <c r="J567" s="58">
        <f t="shared" si="560"/>
        <v>0</v>
      </c>
      <c r="K567" s="58">
        <f t="shared" si="560"/>
        <v>0</v>
      </c>
      <c r="L567" s="58">
        <f t="shared" si="560"/>
        <v>0</v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0" customHeight="1">
      <c r="A568" s="70"/>
      <c r="B568" s="71"/>
      <c r="C568" s="66"/>
      <c r="D568" s="66">
        <f t="shared" si="412"/>
        <v>0</v>
      </c>
      <c r="E568" s="67"/>
      <c r="F568" s="58">
        <f t="shared" ref="F568:L568" si="561">SUMIFS($C568,$B568,F$7)+F567</f>
        <v>168</v>
      </c>
      <c r="G568" s="58">
        <f t="shared" si="561"/>
        <v>3</v>
      </c>
      <c r="H568" s="58">
        <f t="shared" si="561"/>
        <v>14</v>
      </c>
      <c r="I568" s="58">
        <f t="shared" si="561"/>
        <v>187</v>
      </c>
      <c r="J568" s="58">
        <f t="shared" si="561"/>
        <v>0</v>
      </c>
      <c r="K568" s="58">
        <f t="shared" si="561"/>
        <v>0</v>
      </c>
      <c r="L568" s="58">
        <f t="shared" si="561"/>
        <v>0</v>
      </c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0" customHeight="1">
      <c r="A569" s="70"/>
      <c r="B569" s="71"/>
      <c r="C569" s="66"/>
      <c r="D569" s="66">
        <f t="shared" si="412"/>
        <v>0</v>
      </c>
      <c r="E569" s="67"/>
      <c r="F569" s="58">
        <f t="shared" ref="F569:L569" si="562">SUMIFS($C569,$B569,F$7)+F568</f>
        <v>168</v>
      </c>
      <c r="G569" s="58">
        <f t="shared" si="562"/>
        <v>3</v>
      </c>
      <c r="H569" s="58">
        <f t="shared" si="562"/>
        <v>14</v>
      </c>
      <c r="I569" s="58">
        <f t="shared" si="562"/>
        <v>187</v>
      </c>
      <c r="J569" s="58">
        <f t="shared" si="562"/>
        <v>0</v>
      </c>
      <c r="K569" s="58">
        <f t="shared" si="562"/>
        <v>0</v>
      </c>
      <c r="L569" s="58">
        <f t="shared" si="562"/>
        <v>0</v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0" customHeight="1">
      <c r="A570" s="70"/>
      <c r="B570" s="71"/>
      <c r="C570" s="66"/>
      <c r="D570" s="66">
        <f t="shared" si="412"/>
        <v>0</v>
      </c>
      <c r="E570" s="67"/>
      <c r="F570" s="58">
        <f t="shared" ref="F570:L570" si="563">SUMIFS($C570,$B570,F$7)+F569</f>
        <v>168</v>
      </c>
      <c r="G570" s="58">
        <f t="shared" si="563"/>
        <v>3</v>
      </c>
      <c r="H570" s="58">
        <f t="shared" si="563"/>
        <v>14</v>
      </c>
      <c r="I570" s="58">
        <f t="shared" si="563"/>
        <v>187</v>
      </c>
      <c r="J570" s="58">
        <f t="shared" si="563"/>
        <v>0</v>
      </c>
      <c r="K570" s="58">
        <f t="shared" si="563"/>
        <v>0</v>
      </c>
      <c r="L570" s="58">
        <f t="shared" si="563"/>
        <v>0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0" customHeight="1">
      <c r="A571" s="70"/>
      <c r="B571" s="71"/>
      <c r="C571" s="66"/>
      <c r="D571" s="66">
        <f t="shared" si="412"/>
        <v>0</v>
      </c>
      <c r="E571" s="67"/>
      <c r="F571" s="58">
        <f t="shared" ref="F571:L571" si="564">SUMIFS($C571,$B571,F$7)+F570</f>
        <v>168</v>
      </c>
      <c r="G571" s="58">
        <f t="shared" si="564"/>
        <v>3</v>
      </c>
      <c r="H571" s="58">
        <f t="shared" si="564"/>
        <v>14</v>
      </c>
      <c r="I571" s="58">
        <f t="shared" si="564"/>
        <v>187</v>
      </c>
      <c r="J571" s="58">
        <f t="shared" si="564"/>
        <v>0</v>
      </c>
      <c r="K571" s="58">
        <f t="shared" si="564"/>
        <v>0</v>
      </c>
      <c r="L571" s="58">
        <f t="shared" si="564"/>
        <v>0</v>
      </c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0" customHeight="1">
      <c r="A572" s="70"/>
      <c r="B572" s="71"/>
      <c r="C572" s="66"/>
      <c r="D572" s="66">
        <f t="shared" si="412"/>
        <v>0</v>
      </c>
      <c r="E572" s="67"/>
      <c r="F572" s="58">
        <f t="shared" ref="F572:L572" si="565">SUMIFS($C572,$B572,F$7)+F571</f>
        <v>168</v>
      </c>
      <c r="G572" s="58">
        <f t="shared" si="565"/>
        <v>3</v>
      </c>
      <c r="H572" s="58">
        <f t="shared" si="565"/>
        <v>14</v>
      </c>
      <c r="I572" s="58">
        <f t="shared" si="565"/>
        <v>187</v>
      </c>
      <c r="J572" s="58">
        <f t="shared" si="565"/>
        <v>0</v>
      </c>
      <c r="K572" s="58">
        <f t="shared" si="565"/>
        <v>0</v>
      </c>
      <c r="L572" s="58">
        <f t="shared" si="565"/>
        <v>0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0" customHeight="1">
      <c r="A573" s="70"/>
      <c r="B573" s="71"/>
      <c r="C573" s="66"/>
      <c r="D573" s="66">
        <f t="shared" si="412"/>
        <v>0</v>
      </c>
      <c r="E573" s="67"/>
      <c r="F573" s="58">
        <f t="shared" ref="F573:L573" si="566">SUMIFS($C573,$B573,F$7)+F572</f>
        <v>168</v>
      </c>
      <c r="G573" s="58">
        <f t="shared" si="566"/>
        <v>3</v>
      </c>
      <c r="H573" s="58">
        <f t="shared" si="566"/>
        <v>14</v>
      </c>
      <c r="I573" s="58">
        <f t="shared" si="566"/>
        <v>187</v>
      </c>
      <c r="J573" s="58">
        <f t="shared" si="566"/>
        <v>0</v>
      </c>
      <c r="K573" s="58">
        <f t="shared" si="566"/>
        <v>0</v>
      </c>
      <c r="L573" s="58">
        <f t="shared" si="566"/>
        <v>0</v>
      </c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0" customHeight="1">
      <c r="A574" s="70"/>
      <c r="B574" s="71"/>
      <c r="C574" s="66"/>
      <c r="D574" s="66">
        <f t="shared" si="412"/>
        <v>0</v>
      </c>
      <c r="E574" s="67"/>
      <c r="F574" s="58">
        <f t="shared" ref="F574:L574" si="567">SUMIFS($C574,$B574,F$7)+F573</f>
        <v>168</v>
      </c>
      <c r="G574" s="58">
        <f t="shared" si="567"/>
        <v>3</v>
      </c>
      <c r="H574" s="58">
        <f t="shared" si="567"/>
        <v>14</v>
      </c>
      <c r="I574" s="58">
        <f t="shared" si="567"/>
        <v>187</v>
      </c>
      <c r="J574" s="58">
        <f t="shared" si="567"/>
        <v>0</v>
      </c>
      <c r="K574" s="58">
        <f t="shared" si="567"/>
        <v>0</v>
      </c>
      <c r="L574" s="58">
        <f t="shared" si="567"/>
        <v>0</v>
      </c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0" customHeight="1">
      <c r="A575" s="70"/>
      <c r="B575" s="71"/>
      <c r="C575" s="66"/>
      <c r="D575" s="66">
        <f t="shared" si="412"/>
        <v>0</v>
      </c>
      <c r="E575" s="67"/>
      <c r="F575" s="58">
        <f t="shared" ref="F575:L575" si="568">SUMIFS($C575,$B575,F$7)+F574</f>
        <v>168</v>
      </c>
      <c r="G575" s="58">
        <f t="shared" si="568"/>
        <v>3</v>
      </c>
      <c r="H575" s="58">
        <f t="shared" si="568"/>
        <v>14</v>
      </c>
      <c r="I575" s="58">
        <f t="shared" si="568"/>
        <v>187</v>
      </c>
      <c r="J575" s="58">
        <f t="shared" si="568"/>
        <v>0</v>
      </c>
      <c r="K575" s="58">
        <f t="shared" si="568"/>
        <v>0</v>
      </c>
      <c r="L575" s="58">
        <f t="shared" si="568"/>
        <v>0</v>
      </c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0" customHeight="1">
      <c r="A576" s="70"/>
      <c r="B576" s="71"/>
      <c r="C576" s="66"/>
      <c r="D576" s="66">
        <f t="shared" si="412"/>
        <v>0</v>
      </c>
      <c r="E576" s="67"/>
      <c r="F576" s="58">
        <f t="shared" ref="F576:L576" si="569">SUMIFS($C576,$B576,F$7)+F575</f>
        <v>168</v>
      </c>
      <c r="G576" s="58">
        <f t="shared" si="569"/>
        <v>3</v>
      </c>
      <c r="H576" s="58">
        <f t="shared" si="569"/>
        <v>14</v>
      </c>
      <c r="I576" s="58">
        <f t="shared" si="569"/>
        <v>187</v>
      </c>
      <c r="J576" s="58">
        <f t="shared" si="569"/>
        <v>0</v>
      </c>
      <c r="K576" s="58">
        <f t="shared" si="569"/>
        <v>0</v>
      </c>
      <c r="L576" s="58">
        <f t="shared" si="569"/>
        <v>0</v>
      </c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0" customHeight="1">
      <c r="A577" s="70"/>
      <c r="B577" s="71"/>
      <c r="C577" s="66"/>
      <c r="D577" s="66">
        <f t="shared" si="412"/>
        <v>0</v>
      </c>
      <c r="E577" s="67"/>
      <c r="F577" s="58">
        <f t="shared" ref="F577:L577" si="570">SUMIFS($C577,$B577,F$7)+F576</f>
        <v>168</v>
      </c>
      <c r="G577" s="58">
        <f t="shared" si="570"/>
        <v>3</v>
      </c>
      <c r="H577" s="58">
        <f t="shared" si="570"/>
        <v>14</v>
      </c>
      <c r="I577" s="58">
        <f t="shared" si="570"/>
        <v>187</v>
      </c>
      <c r="J577" s="58">
        <f t="shared" si="570"/>
        <v>0</v>
      </c>
      <c r="K577" s="58">
        <f t="shared" si="570"/>
        <v>0</v>
      </c>
      <c r="L577" s="58">
        <f t="shared" si="570"/>
        <v>0</v>
      </c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0" customHeight="1">
      <c r="A578" s="70"/>
      <c r="B578" s="71"/>
      <c r="C578" s="66"/>
      <c r="D578" s="66">
        <f t="shared" si="412"/>
        <v>0</v>
      </c>
      <c r="E578" s="67"/>
      <c r="F578" s="58">
        <f t="shared" ref="F578:L578" si="571">SUMIFS($C578,$B578,F$7)+F577</f>
        <v>168</v>
      </c>
      <c r="G578" s="58">
        <f t="shared" si="571"/>
        <v>3</v>
      </c>
      <c r="H578" s="58">
        <f t="shared" si="571"/>
        <v>14</v>
      </c>
      <c r="I578" s="58">
        <f t="shared" si="571"/>
        <v>187</v>
      </c>
      <c r="J578" s="58">
        <f t="shared" si="571"/>
        <v>0</v>
      </c>
      <c r="K578" s="58">
        <f t="shared" si="571"/>
        <v>0</v>
      </c>
      <c r="L578" s="58">
        <f t="shared" si="571"/>
        <v>0</v>
      </c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0" customHeight="1">
      <c r="A579" s="70"/>
      <c r="B579" s="71"/>
      <c r="C579" s="66"/>
      <c r="D579" s="66">
        <f t="shared" si="412"/>
        <v>0</v>
      </c>
      <c r="E579" s="67"/>
      <c r="F579" s="58">
        <f t="shared" ref="F579:L579" si="572">SUMIFS($C579,$B579,F$7)+F578</f>
        <v>168</v>
      </c>
      <c r="G579" s="58">
        <f t="shared" si="572"/>
        <v>3</v>
      </c>
      <c r="H579" s="58">
        <f t="shared" si="572"/>
        <v>14</v>
      </c>
      <c r="I579" s="58">
        <f t="shared" si="572"/>
        <v>187</v>
      </c>
      <c r="J579" s="58">
        <f t="shared" si="572"/>
        <v>0</v>
      </c>
      <c r="K579" s="58">
        <f t="shared" si="572"/>
        <v>0</v>
      </c>
      <c r="L579" s="58">
        <f t="shared" si="572"/>
        <v>0</v>
      </c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0" customHeight="1">
      <c r="A580" s="70"/>
      <c r="B580" s="71"/>
      <c r="C580" s="66"/>
      <c r="D580" s="66">
        <f t="shared" si="412"/>
        <v>0</v>
      </c>
      <c r="E580" s="67"/>
      <c r="F580" s="58">
        <f t="shared" ref="F580:L580" si="573">SUMIFS($C580,$B580,F$7)+F579</f>
        <v>168</v>
      </c>
      <c r="G580" s="58">
        <f t="shared" si="573"/>
        <v>3</v>
      </c>
      <c r="H580" s="58">
        <f t="shared" si="573"/>
        <v>14</v>
      </c>
      <c r="I580" s="58">
        <f t="shared" si="573"/>
        <v>187</v>
      </c>
      <c r="J580" s="58">
        <f t="shared" si="573"/>
        <v>0</v>
      </c>
      <c r="K580" s="58">
        <f t="shared" si="573"/>
        <v>0</v>
      </c>
      <c r="L580" s="58">
        <f t="shared" si="573"/>
        <v>0</v>
      </c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0" customHeight="1">
      <c r="A581" s="70"/>
      <c r="B581" s="71"/>
      <c r="C581" s="66"/>
      <c r="D581" s="66">
        <f t="shared" si="412"/>
        <v>0</v>
      </c>
      <c r="E581" s="67"/>
      <c r="F581" s="58">
        <f t="shared" ref="F581:L581" si="574">SUMIFS($C581,$B581,F$7)+F580</f>
        <v>168</v>
      </c>
      <c r="G581" s="58">
        <f t="shared" si="574"/>
        <v>3</v>
      </c>
      <c r="H581" s="58">
        <f t="shared" si="574"/>
        <v>14</v>
      </c>
      <c r="I581" s="58">
        <f t="shared" si="574"/>
        <v>187</v>
      </c>
      <c r="J581" s="58">
        <f t="shared" si="574"/>
        <v>0</v>
      </c>
      <c r="K581" s="58">
        <f t="shared" si="574"/>
        <v>0</v>
      </c>
      <c r="L581" s="58">
        <f t="shared" si="574"/>
        <v>0</v>
      </c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0" customHeight="1">
      <c r="A582" s="70"/>
      <c r="B582" s="71"/>
      <c r="C582" s="66"/>
      <c r="D582" s="66">
        <f t="shared" si="412"/>
        <v>0</v>
      </c>
      <c r="E582" s="67"/>
      <c r="F582" s="58">
        <f t="shared" ref="F582:L582" si="575">SUMIFS($C582,$B582,F$7)+F581</f>
        <v>168</v>
      </c>
      <c r="G582" s="58">
        <f t="shared" si="575"/>
        <v>3</v>
      </c>
      <c r="H582" s="58">
        <f t="shared" si="575"/>
        <v>14</v>
      </c>
      <c r="I582" s="58">
        <f t="shared" si="575"/>
        <v>187</v>
      </c>
      <c r="J582" s="58">
        <f t="shared" si="575"/>
        <v>0</v>
      </c>
      <c r="K582" s="58">
        <f t="shared" si="575"/>
        <v>0</v>
      </c>
      <c r="L582" s="58">
        <f t="shared" si="575"/>
        <v>0</v>
      </c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0" customHeight="1">
      <c r="A583" s="70"/>
      <c r="B583" s="71"/>
      <c r="C583" s="66"/>
      <c r="D583" s="66">
        <f t="shared" si="412"/>
        <v>0</v>
      </c>
      <c r="E583" s="67"/>
      <c r="F583" s="58">
        <f t="shared" ref="F583:L583" si="576">SUMIFS($C583,$B583,F$7)+F582</f>
        <v>168</v>
      </c>
      <c r="G583" s="58">
        <f t="shared" si="576"/>
        <v>3</v>
      </c>
      <c r="H583" s="58">
        <f t="shared" si="576"/>
        <v>14</v>
      </c>
      <c r="I583" s="58">
        <f t="shared" si="576"/>
        <v>187</v>
      </c>
      <c r="J583" s="58">
        <f t="shared" si="576"/>
        <v>0</v>
      </c>
      <c r="K583" s="58">
        <f t="shared" si="576"/>
        <v>0</v>
      </c>
      <c r="L583" s="58">
        <f t="shared" si="576"/>
        <v>0</v>
      </c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0" customHeight="1">
      <c r="A584" s="70"/>
      <c r="B584" s="71"/>
      <c r="C584" s="66"/>
      <c r="D584" s="66">
        <f t="shared" si="412"/>
        <v>0</v>
      </c>
      <c r="E584" s="67"/>
      <c r="F584" s="58">
        <f t="shared" ref="F584:L584" si="577">SUMIFS($C584,$B584,F$7)+F583</f>
        <v>168</v>
      </c>
      <c r="G584" s="58">
        <f t="shared" si="577"/>
        <v>3</v>
      </c>
      <c r="H584" s="58">
        <f t="shared" si="577"/>
        <v>14</v>
      </c>
      <c r="I584" s="58">
        <f t="shared" si="577"/>
        <v>187</v>
      </c>
      <c r="J584" s="58">
        <f t="shared" si="577"/>
        <v>0</v>
      </c>
      <c r="K584" s="58">
        <f t="shared" si="577"/>
        <v>0</v>
      </c>
      <c r="L584" s="58">
        <f t="shared" si="577"/>
        <v>0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0" customHeight="1">
      <c r="A585" s="70"/>
      <c r="B585" s="71"/>
      <c r="C585" s="66"/>
      <c r="D585" s="66">
        <f t="shared" si="412"/>
        <v>0</v>
      </c>
      <c r="E585" s="67"/>
      <c r="F585" s="58">
        <f t="shared" ref="F585:L585" si="578">SUMIFS($C585,$B585,F$7)+F584</f>
        <v>168</v>
      </c>
      <c r="G585" s="58">
        <f t="shared" si="578"/>
        <v>3</v>
      </c>
      <c r="H585" s="58">
        <f t="shared" si="578"/>
        <v>14</v>
      </c>
      <c r="I585" s="58">
        <f t="shared" si="578"/>
        <v>187</v>
      </c>
      <c r="J585" s="58">
        <f t="shared" si="578"/>
        <v>0</v>
      </c>
      <c r="K585" s="58">
        <f t="shared" si="578"/>
        <v>0</v>
      </c>
      <c r="L585" s="58">
        <f t="shared" si="578"/>
        <v>0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0" customHeight="1">
      <c r="A586" s="70"/>
      <c r="B586" s="71"/>
      <c r="C586" s="66"/>
      <c r="D586" s="66">
        <f t="shared" si="412"/>
        <v>0</v>
      </c>
      <c r="E586" s="67"/>
      <c r="F586" s="58">
        <f t="shared" ref="F586:L586" si="579">SUMIFS($C586,$B586,F$7)+F585</f>
        <v>168</v>
      </c>
      <c r="G586" s="58">
        <f t="shared" si="579"/>
        <v>3</v>
      </c>
      <c r="H586" s="58">
        <f t="shared" si="579"/>
        <v>14</v>
      </c>
      <c r="I586" s="58">
        <f t="shared" si="579"/>
        <v>187</v>
      </c>
      <c r="J586" s="58">
        <f t="shared" si="579"/>
        <v>0</v>
      </c>
      <c r="K586" s="58">
        <f t="shared" si="579"/>
        <v>0</v>
      </c>
      <c r="L586" s="58">
        <f t="shared" si="579"/>
        <v>0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0" customHeight="1">
      <c r="A587" s="70"/>
      <c r="B587" s="71"/>
      <c r="C587" s="66"/>
      <c r="D587" s="66">
        <f t="shared" si="412"/>
        <v>0</v>
      </c>
      <c r="E587" s="67"/>
      <c r="F587" s="58">
        <f t="shared" ref="F587:L587" si="580">SUMIFS($C587,$B587,F$7)+F586</f>
        <v>168</v>
      </c>
      <c r="G587" s="58">
        <f t="shared" si="580"/>
        <v>3</v>
      </c>
      <c r="H587" s="58">
        <f t="shared" si="580"/>
        <v>14</v>
      </c>
      <c r="I587" s="58">
        <f t="shared" si="580"/>
        <v>187</v>
      </c>
      <c r="J587" s="58">
        <f t="shared" si="580"/>
        <v>0</v>
      </c>
      <c r="K587" s="58">
        <f t="shared" si="580"/>
        <v>0</v>
      </c>
      <c r="L587" s="58">
        <f t="shared" si="580"/>
        <v>0</v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0" customHeight="1">
      <c r="A588" s="70"/>
      <c r="B588" s="71"/>
      <c r="C588" s="66"/>
      <c r="D588" s="66">
        <f t="shared" si="412"/>
        <v>0</v>
      </c>
      <c r="E588" s="67"/>
      <c r="F588" s="58">
        <f t="shared" ref="F588:L588" si="581">SUMIFS($C588,$B588,F$7)+F587</f>
        <v>168</v>
      </c>
      <c r="G588" s="58">
        <f t="shared" si="581"/>
        <v>3</v>
      </c>
      <c r="H588" s="58">
        <f t="shared" si="581"/>
        <v>14</v>
      </c>
      <c r="I588" s="58">
        <f t="shared" si="581"/>
        <v>187</v>
      </c>
      <c r="J588" s="58">
        <f t="shared" si="581"/>
        <v>0</v>
      </c>
      <c r="K588" s="58">
        <f t="shared" si="581"/>
        <v>0</v>
      </c>
      <c r="L588" s="58">
        <f t="shared" si="581"/>
        <v>0</v>
      </c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0" customHeight="1">
      <c r="A589" s="70"/>
      <c r="B589" s="71"/>
      <c r="C589" s="66"/>
      <c r="D589" s="66">
        <f t="shared" si="412"/>
        <v>0</v>
      </c>
      <c r="E589" s="67"/>
      <c r="F589" s="58">
        <f t="shared" ref="F589:L589" si="582">SUMIFS($C589,$B589,F$7)+F588</f>
        <v>168</v>
      </c>
      <c r="G589" s="58">
        <f t="shared" si="582"/>
        <v>3</v>
      </c>
      <c r="H589" s="58">
        <f t="shared" si="582"/>
        <v>14</v>
      </c>
      <c r="I589" s="58">
        <f t="shared" si="582"/>
        <v>187</v>
      </c>
      <c r="J589" s="58">
        <f t="shared" si="582"/>
        <v>0</v>
      </c>
      <c r="K589" s="58">
        <f t="shared" si="582"/>
        <v>0</v>
      </c>
      <c r="L589" s="58">
        <f t="shared" si="582"/>
        <v>0</v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0" customHeight="1">
      <c r="A590" s="70"/>
      <c r="B590" s="71"/>
      <c r="C590" s="66"/>
      <c r="D590" s="66">
        <f t="shared" si="412"/>
        <v>0</v>
      </c>
      <c r="E590" s="67"/>
      <c r="F590" s="58">
        <f t="shared" ref="F590:L590" si="583">SUMIFS($C590,$B590,F$7)+F589</f>
        <v>168</v>
      </c>
      <c r="G590" s="58">
        <f t="shared" si="583"/>
        <v>3</v>
      </c>
      <c r="H590" s="58">
        <f t="shared" si="583"/>
        <v>14</v>
      </c>
      <c r="I590" s="58">
        <f t="shared" si="583"/>
        <v>187</v>
      </c>
      <c r="J590" s="58">
        <f t="shared" si="583"/>
        <v>0</v>
      </c>
      <c r="K590" s="58">
        <f t="shared" si="583"/>
        <v>0</v>
      </c>
      <c r="L590" s="58">
        <f t="shared" si="583"/>
        <v>0</v>
      </c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0" customHeight="1">
      <c r="A591" s="70"/>
      <c r="B591" s="71"/>
      <c r="C591" s="66"/>
      <c r="D591" s="66">
        <f t="shared" si="412"/>
        <v>0</v>
      </c>
      <c r="E591" s="67"/>
      <c r="F591" s="58">
        <f t="shared" ref="F591:L591" si="584">SUMIFS($C591,$B591,F$7)+F590</f>
        <v>168</v>
      </c>
      <c r="G591" s="58">
        <f t="shared" si="584"/>
        <v>3</v>
      </c>
      <c r="H591" s="58">
        <f t="shared" si="584"/>
        <v>14</v>
      </c>
      <c r="I591" s="58">
        <f t="shared" si="584"/>
        <v>187</v>
      </c>
      <c r="J591" s="58">
        <f t="shared" si="584"/>
        <v>0</v>
      </c>
      <c r="K591" s="58">
        <f t="shared" si="584"/>
        <v>0</v>
      </c>
      <c r="L591" s="58">
        <f t="shared" si="584"/>
        <v>0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0" customHeight="1">
      <c r="A592" s="70"/>
      <c r="B592" s="71"/>
      <c r="C592" s="66"/>
      <c r="D592" s="66">
        <f t="shared" si="412"/>
        <v>0</v>
      </c>
      <c r="E592" s="67"/>
      <c r="F592" s="58">
        <f t="shared" ref="F592:L592" si="585">SUMIFS($C592,$B592,F$7)+F591</f>
        <v>168</v>
      </c>
      <c r="G592" s="58">
        <f t="shared" si="585"/>
        <v>3</v>
      </c>
      <c r="H592" s="58">
        <f t="shared" si="585"/>
        <v>14</v>
      </c>
      <c r="I592" s="58">
        <f t="shared" si="585"/>
        <v>187</v>
      </c>
      <c r="J592" s="58">
        <f t="shared" si="585"/>
        <v>0</v>
      </c>
      <c r="K592" s="58">
        <f t="shared" si="585"/>
        <v>0</v>
      </c>
      <c r="L592" s="58">
        <f t="shared" si="585"/>
        <v>0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0" customHeight="1">
      <c r="A593" s="70"/>
      <c r="B593" s="71"/>
      <c r="C593" s="66"/>
      <c r="D593" s="66">
        <f t="shared" si="412"/>
        <v>0</v>
      </c>
      <c r="E593" s="67"/>
      <c r="F593" s="58">
        <f t="shared" ref="F593:L593" si="586">SUMIFS($C593,$B593,F$7)+F592</f>
        <v>168</v>
      </c>
      <c r="G593" s="58">
        <f t="shared" si="586"/>
        <v>3</v>
      </c>
      <c r="H593" s="58">
        <f t="shared" si="586"/>
        <v>14</v>
      </c>
      <c r="I593" s="58">
        <f t="shared" si="586"/>
        <v>187</v>
      </c>
      <c r="J593" s="58">
        <f t="shared" si="586"/>
        <v>0</v>
      </c>
      <c r="K593" s="58">
        <f t="shared" si="586"/>
        <v>0</v>
      </c>
      <c r="L593" s="58">
        <f t="shared" si="586"/>
        <v>0</v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0" customHeight="1">
      <c r="A594" s="70"/>
      <c r="B594" s="71"/>
      <c r="C594" s="66"/>
      <c r="D594" s="66">
        <f t="shared" si="412"/>
        <v>0</v>
      </c>
      <c r="E594" s="67"/>
      <c r="F594" s="58">
        <f t="shared" ref="F594:L594" si="587">SUMIFS($C594,$B594,F$7)+F593</f>
        <v>168</v>
      </c>
      <c r="G594" s="58">
        <f t="shared" si="587"/>
        <v>3</v>
      </c>
      <c r="H594" s="58">
        <f t="shared" si="587"/>
        <v>14</v>
      </c>
      <c r="I594" s="58">
        <f t="shared" si="587"/>
        <v>187</v>
      </c>
      <c r="J594" s="58">
        <f t="shared" si="587"/>
        <v>0</v>
      </c>
      <c r="K594" s="58">
        <f t="shared" si="587"/>
        <v>0</v>
      </c>
      <c r="L594" s="58">
        <f t="shared" si="587"/>
        <v>0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0" customHeight="1">
      <c r="A595" s="70"/>
      <c r="B595" s="71"/>
      <c r="C595" s="66"/>
      <c r="D595" s="66">
        <f t="shared" si="412"/>
        <v>0</v>
      </c>
      <c r="E595" s="67"/>
      <c r="F595" s="58">
        <f t="shared" ref="F595:L595" si="588">SUMIFS($C595,$B595,F$7)+F594</f>
        <v>168</v>
      </c>
      <c r="G595" s="58">
        <f t="shared" si="588"/>
        <v>3</v>
      </c>
      <c r="H595" s="58">
        <f t="shared" si="588"/>
        <v>14</v>
      </c>
      <c r="I595" s="58">
        <f t="shared" si="588"/>
        <v>187</v>
      </c>
      <c r="J595" s="58">
        <f t="shared" si="588"/>
        <v>0</v>
      </c>
      <c r="K595" s="58">
        <f t="shared" si="588"/>
        <v>0</v>
      </c>
      <c r="L595" s="58">
        <f t="shared" si="588"/>
        <v>0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0" customHeight="1">
      <c r="A596" s="70"/>
      <c r="B596" s="71"/>
      <c r="C596" s="66"/>
      <c r="D596" s="66">
        <f t="shared" si="412"/>
        <v>0</v>
      </c>
      <c r="E596" s="67"/>
      <c r="F596" s="58">
        <f t="shared" ref="F596:L596" si="589">SUMIFS($C596,$B596,F$7)+F595</f>
        <v>168</v>
      </c>
      <c r="G596" s="58">
        <f t="shared" si="589"/>
        <v>3</v>
      </c>
      <c r="H596" s="58">
        <f t="shared" si="589"/>
        <v>14</v>
      </c>
      <c r="I596" s="58">
        <f t="shared" si="589"/>
        <v>187</v>
      </c>
      <c r="J596" s="58">
        <f t="shared" si="589"/>
        <v>0</v>
      </c>
      <c r="K596" s="58">
        <f t="shared" si="589"/>
        <v>0</v>
      </c>
      <c r="L596" s="58">
        <f t="shared" si="589"/>
        <v>0</v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0" customHeight="1">
      <c r="A597" s="70"/>
      <c r="B597" s="71"/>
      <c r="C597" s="66"/>
      <c r="D597" s="66">
        <f t="shared" si="412"/>
        <v>0</v>
      </c>
      <c r="E597" s="67"/>
      <c r="F597" s="58">
        <f t="shared" ref="F597:L597" si="590">SUMIFS($C597,$B597,F$7)+F596</f>
        <v>168</v>
      </c>
      <c r="G597" s="58">
        <f t="shared" si="590"/>
        <v>3</v>
      </c>
      <c r="H597" s="58">
        <f t="shared" si="590"/>
        <v>14</v>
      </c>
      <c r="I597" s="58">
        <f t="shared" si="590"/>
        <v>187</v>
      </c>
      <c r="J597" s="58">
        <f t="shared" si="590"/>
        <v>0</v>
      </c>
      <c r="K597" s="58">
        <f t="shared" si="590"/>
        <v>0</v>
      </c>
      <c r="L597" s="58">
        <f t="shared" si="590"/>
        <v>0</v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0" customHeight="1">
      <c r="A598" s="70"/>
      <c r="B598" s="71"/>
      <c r="C598" s="66"/>
      <c r="D598" s="66">
        <f t="shared" si="412"/>
        <v>0</v>
      </c>
      <c r="E598" s="67"/>
      <c r="F598" s="58">
        <f t="shared" ref="F598:L598" si="591">SUMIFS($C598,$B598,F$7)+F597</f>
        <v>168</v>
      </c>
      <c r="G598" s="58">
        <f t="shared" si="591"/>
        <v>3</v>
      </c>
      <c r="H598" s="58">
        <f t="shared" si="591"/>
        <v>14</v>
      </c>
      <c r="I598" s="58">
        <f t="shared" si="591"/>
        <v>187</v>
      </c>
      <c r="J598" s="58">
        <f t="shared" si="591"/>
        <v>0</v>
      </c>
      <c r="K598" s="58">
        <f t="shared" si="591"/>
        <v>0</v>
      </c>
      <c r="L598" s="58">
        <f t="shared" si="591"/>
        <v>0</v>
      </c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0" customHeight="1">
      <c r="A599" s="70"/>
      <c r="B599" s="71"/>
      <c r="C599" s="66"/>
      <c r="D599" s="66">
        <f t="shared" si="412"/>
        <v>0</v>
      </c>
      <c r="E599" s="67"/>
      <c r="F599" s="58">
        <f t="shared" ref="F599:L599" si="592">SUMIFS($C599,$B599,F$7)+F598</f>
        <v>168</v>
      </c>
      <c r="G599" s="58">
        <f t="shared" si="592"/>
        <v>3</v>
      </c>
      <c r="H599" s="58">
        <f t="shared" si="592"/>
        <v>14</v>
      </c>
      <c r="I599" s="58">
        <f t="shared" si="592"/>
        <v>187</v>
      </c>
      <c r="J599" s="58">
        <f t="shared" si="592"/>
        <v>0</v>
      </c>
      <c r="K599" s="58">
        <f t="shared" si="592"/>
        <v>0</v>
      </c>
      <c r="L599" s="58">
        <f t="shared" si="592"/>
        <v>0</v>
      </c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0" customHeight="1">
      <c r="A600" s="70"/>
      <c r="B600" s="71"/>
      <c r="C600" s="66"/>
      <c r="D600" s="66">
        <f t="shared" si="412"/>
        <v>0</v>
      </c>
      <c r="E600" s="67"/>
      <c r="F600" s="58">
        <f t="shared" ref="F600:L600" si="593">SUMIFS($C600,$B600,F$7)+F599</f>
        <v>168</v>
      </c>
      <c r="G600" s="58">
        <f t="shared" si="593"/>
        <v>3</v>
      </c>
      <c r="H600" s="58">
        <f t="shared" si="593"/>
        <v>14</v>
      </c>
      <c r="I600" s="58">
        <f t="shared" si="593"/>
        <v>187</v>
      </c>
      <c r="J600" s="58">
        <f t="shared" si="593"/>
        <v>0</v>
      </c>
      <c r="K600" s="58">
        <f t="shared" si="593"/>
        <v>0</v>
      </c>
      <c r="L600" s="58">
        <f t="shared" si="593"/>
        <v>0</v>
      </c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0" customHeight="1">
      <c r="A601" s="70"/>
      <c r="B601" s="71"/>
      <c r="C601" s="66"/>
      <c r="D601" s="66">
        <f t="shared" si="412"/>
        <v>0</v>
      </c>
      <c r="E601" s="67"/>
      <c r="F601" s="58">
        <f t="shared" ref="F601:L601" si="594">SUMIFS($C601,$B601,F$7)+F600</f>
        <v>168</v>
      </c>
      <c r="G601" s="58">
        <f t="shared" si="594"/>
        <v>3</v>
      </c>
      <c r="H601" s="58">
        <f t="shared" si="594"/>
        <v>14</v>
      </c>
      <c r="I601" s="58">
        <f t="shared" si="594"/>
        <v>187</v>
      </c>
      <c r="J601" s="58">
        <f t="shared" si="594"/>
        <v>0</v>
      </c>
      <c r="K601" s="58">
        <f t="shared" si="594"/>
        <v>0</v>
      </c>
      <c r="L601" s="58">
        <f t="shared" si="594"/>
        <v>0</v>
      </c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0" customHeight="1">
      <c r="A602" s="70"/>
      <c r="B602" s="71"/>
      <c r="C602" s="66"/>
      <c r="D602" s="66">
        <f t="shared" si="412"/>
        <v>0</v>
      </c>
      <c r="E602" s="67"/>
      <c r="F602" s="58">
        <f t="shared" ref="F602:L602" si="595">SUMIFS($C602,$B602,F$7)+F601</f>
        <v>168</v>
      </c>
      <c r="G602" s="58">
        <f t="shared" si="595"/>
        <v>3</v>
      </c>
      <c r="H602" s="58">
        <f t="shared" si="595"/>
        <v>14</v>
      </c>
      <c r="I602" s="58">
        <f t="shared" si="595"/>
        <v>187</v>
      </c>
      <c r="J602" s="58">
        <f t="shared" si="595"/>
        <v>0</v>
      </c>
      <c r="K602" s="58">
        <f t="shared" si="595"/>
        <v>0</v>
      </c>
      <c r="L602" s="58">
        <f t="shared" si="595"/>
        <v>0</v>
      </c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0" customHeight="1">
      <c r="A603" s="70"/>
      <c r="B603" s="71"/>
      <c r="C603" s="66"/>
      <c r="D603" s="66">
        <f t="shared" si="412"/>
        <v>0</v>
      </c>
      <c r="E603" s="67"/>
      <c r="F603" s="58">
        <f t="shared" ref="F603:L603" si="596">SUMIFS($C603,$B603,F$7)+F602</f>
        <v>168</v>
      </c>
      <c r="G603" s="58">
        <f t="shared" si="596"/>
        <v>3</v>
      </c>
      <c r="H603" s="58">
        <f t="shared" si="596"/>
        <v>14</v>
      </c>
      <c r="I603" s="58">
        <f t="shared" si="596"/>
        <v>187</v>
      </c>
      <c r="J603" s="58">
        <f t="shared" si="596"/>
        <v>0</v>
      </c>
      <c r="K603" s="58">
        <f t="shared" si="596"/>
        <v>0</v>
      </c>
      <c r="L603" s="58">
        <f t="shared" si="596"/>
        <v>0</v>
      </c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0" customHeight="1">
      <c r="A604" s="70"/>
      <c r="B604" s="71"/>
      <c r="C604" s="66"/>
      <c r="D604" s="66">
        <f t="shared" si="412"/>
        <v>0</v>
      </c>
      <c r="E604" s="67"/>
      <c r="F604" s="58">
        <f t="shared" ref="F604:L604" si="597">SUMIFS($C604,$B604,F$7)+F603</f>
        <v>168</v>
      </c>
      <c r="G604" s="58">
        <f t="shared" si="597"/>
        <v>3</v>
      </c>
      <c r="H604" s="58">
        <f t="shared" si="597"/>
        <v>14</v>
      </c>
      <c r="I604" s="58">
        <f t="shared" si="597"/>
        <v>187</v>
      </c>
      <c r="J604" s="58">
        <f t="shared" si="597"/>
        <v>0</v>
      </c>
      <c r="K604" s="58">
        <f t="shared" si="597"/>
        <v>0</v>
      </c>
      <c r="L604" s="58">
        <f t="shared" si="597"/>
        <v>0</v>
      </c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0" customHeight="1">
      <c r="A605" s="70"/>
      <c r="B605" s="71"/>
      <c r="C605" s="66"/>
      <c r="D605" s="66">
        <f t="shared" si="412"/>
        <v>0</v>
      </c>
      <c r="E605" s="67"/>
      <c r="F605" s="58">
        <f t="shared" ref="F605:L605" si="598">SUMIFS($C605,$B605,F$7)+F604</f>
        <v>168</v>
      </c>
      <c r="G605" s="58">
        <f t="shared" si="598"/>
        <v>3</v>
      </c>
      <c r="H605" s="58">
        <f t="shared" si="598"/>
        <v>14</v>
      </c>
      <c r="I605" s="58">
        <f t="shared" si="598"/>
        <v>187</v>
      </c>
      <c r="J605" s="58">
        <f t="shared" si="598"/>
        <v>0</v>
      </c>
      <c r="K605" s="58">
        <f t="shared" si="598"/>
        <v>0</v>
      </c>
      <c r="L605" s="58">
        <f t="shared" si="598"/>
        <v>0</v>
      </c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0" customHeight="1">
      <c r="A606" s="70"/>
      <c r="B606" s="71"/>
      <c r="C606" s="66"/>
      <c r="D606" s="66">
        <f t="shared" si="412"/>
        <v>0</v>
      </c>
      <c r="E606" s="67"/>
      <c r="F606" s="58">
        <f t="shared" ref="F606:L606" si="599">SUMIFS($C606,$B606,F$7)+F605</f>
        <v>168</v>
      </c>
      <c r="G606" s="58">
        <f t="shared" si="599"/>
        <v>3</v>
      </c>
      <c r="H606" s="58">
        <f t="shared" si="599"/>
        <v>14</v>
      </c>
      <c r="I606" s="58">
        <f t="shared" si="599"/>
        <v>187</v>
      </c>
      <c r="J606" s="58">
        <f t="shared" si="599"/>
        <v>0</v>
      </c>
      <c r="K606" s="58">
        <f t="shared" si="599"/>
        <v>0</v>
      </c>
      <c r="L606" s="58">
        <f t="shared" si="599"/>
        <v>0</v>
      </c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0" customHeight="1">
      <c r="A607" s="70"/>
      <c r="B607" s="71"/>
      <c r="C607" s="66"/>
      <c r="D607" s="66">
        <f t="shared" si="412"/>
        <v>0</v>
      </c>
      <c r="E607" s="67"/>
      <c r="F607" s="58">
        <f t="shared" ref="F607:L607" si="600">SUMIFS($C607,$B607,F$7)+F606</f>
        <v>168</v>
      </c>
      <c r="G607" s="58">
        <f t="shared" si="600"/>
        <v>3</v>
      </c>
      <c r="H607" s="58">
        <f t="shared" si="600"/>
        <v>14</v>
      </c>
      <c r="I607" s="58">
        <f t="shared" si="600"/>
        <v>187</v>
      </c>
      <c r="J607" s="58">
        <f t="shared" si="600"/>
        <v>0</v>
      </c>
      <c r="K607" s="58">
        <f t="shared" si="600"/>
        <v>0</v>
      </c>
      <c r="L607" s="58">
        <f t="shared" si="600"/>
        <v>0</v>
      </c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0" customHeight="1">
      <c r="A608" s="70"/>
      <c r="B608" s="71"/>
      <c r="C608" s="66"/>
      <c r="D608" s="66">
        <f t="shared" si="412"/>
        <v>0</v>
      </c>
      <c r="E608" s="67"/>
      <c r="F608" s="58">
        <f t="shared" ref="F608:L608" si="601">SUMIFS($C608,$B608,F$7)+F607</f>
        <v>168</v>
      </c>
      <c r="G608" s="58">
        <f t="shared" si="601"/>
        <v>3</v>
      </c>
      <c r="H608" s="58">
        <f t="shared" si="601"/>
        <v>14</v>
      </c>
      <c r="I608" s="58">
        <f t="shared" si="601"/>
        <v>187</v>
      </c>
      <c r="J608" s="58">
        <f t="shared" si="601"/>
        <v>0</v>
      </c>
      <c r="K608" s="58">
        <f t="shared" si="601"/>
        <v>0</v>
      </c>
      <c r="L608" s="58">
        <f t="shared" si="601"/>
        <v>0</v>
      </c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0" customHeight="1">
      <c r="A609" s="70"/>
      <c r="B609" s="71"/>
      <c r="C609" s="66"/>
      <c r="D609" s="66">
        <f t="shared" si="412"/>
        <v>0</v>
      </c>
      <c r="E609" s="67"/>
      <c r="F609" s="58">
        <f t="shared" ref="F609:L609" si="602">SUMIFS($C609,$B609,F$7)+F608</f>
        <v>168</v>
      </c>
      <c r="G609" s="58">
        <f t="shared" si="602"/>
        <v>3</v>
      </c>
      <c r="H609" s="58">
        <f t="shared" si="602"/>
        <v>14</v>
      </c>
      <c r="I609" s="58">
        <f t="shared" si="602"/>
        <v>187</v>
      </c>
      <c r="J609" s="58">
        <f t="shared" si="602"/>
        <v>0</v>
      </c>
      <c r="K609" s="58">
        <f t="shared" si="602"/>
        <v>0</v>
      </c>
      <c r="L609" s="58">
        <f t="shared" si="602"/>
        <v>0</v>
      </c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0" customHeight="1">
      <c r="A610" s="70"/>
      <c r="B610" s="71"/>
      <c r="C610" s="66"/>
      <c r="D610" s="66">
        <f t="shared" si="412"/>
        <v>0</v>
      </c>
      <c r="E610" s="67"/>
      <c r="F610" s="58">
        <f t="shared" ref="F610:L610" si="603">SUMIFS($C610,$B610,F$7)+F609</f>
        <v>168</v>
      </c>
      <c r="G610" s="58">
        <f t="shared" si="603"/>
        <v>3</v>
      </c>
      <c r="H610" s="58">
        <f t="shared" si="603"/>
        <v>14</v>
      </c>
      <c r="I610" s="58">
        <f t="shared" si="603"/>
        <v>187</v>
      </c>
      <c r="J610" s="58">
        <f t="shared" si="603"/>
        <v>0</v>
      </c>
      <c r="K610" s="58">
        <f t="shared" si="603"/>
        <v>0</v>
      </c>
      <c r="L610" s="58">
        <f t="shared" si="603"/>
        <v>0</v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0" customHeight="1">
      <c r="A611" s="70"/>
      <c r="B611" s="71"/>
      <c r="C611" s="66"/>
      <c r="D611" s="66">
        <f t="shared" si="412"/>
        <v>0</v>
      </c>
      <c r="E611" s="67"/>
      <c r="F611" s="58">
        <f t="shared" ref="F611:L611" si="604">SUMIFS($C611,$B611,F$7)+F610</f>
        <v>168</v>
      </c>
      <c r="G611" s="58">
        <f t="shared" si="604"/>
        <v>3</v>
      </c>
      <c r="H611" s="58">
        <f t="shared" si="604"/>
        <v>14</v>
      </c>
      <c r="I611" s="58">
        <f t="shared" si="604"/>
        <v>187</v>
      </c>
      <c r="J611" s="58">
        <f t="shared" si="604"/>
        <v>0</v>
      </c>
      <c r="K611" s="58">
        <f t="shared" si="604"/>
        <v>0</v>
      </c>
      <c r="L611" s="58">
        <f t="shared" si="604"/>
        <v>0</v>
      </c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0" customHeight="1">
      <c r="A612" s="70"/>
      <c r="B612" s="71"/>
      <c r="C612" s="66"/>
      <c r="D612" s="66">
        <f t="shared" si="412"/>
        <v>0</v>
      </c>
      <c r="E612" s="67"/>
      <c r="F612" s="58">
        <f t="shared" ref="F612:L612" si="605">SUMIFS($C612,$B612,F$7)+F611</f>
        <v>168</v>
      </c>
      <c r="G612" s="58">
        <f t="shared" si="605"/>
        <v>3</v>
      </c>
      <c r="H612" s="58">
        <f t="shared" si="605"/>
        <v>14</v>
      </c>
      <c r="I612" s="58">
        <f t="shared" si="605"/>
        <v>187</v>
      </c>
      <c r="J612" s="58">
        <f t="shared" si="605"/>
        <v>0</v>
      </c>
      <c r="K612" s="58">
        <f t="shared" si="605"/>
        <v>0</v>
      </c>
      <c r="L612" s="58">
        <f t="shared" si="605"/>
        <v>0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0" customHeight="1">
      <c r="A613" s="70"/>
      <c r="B613" s="71"/>
      <c r="C613" s="66"/>
      <c r="D613" s="66">
        <f t="shared" si="412"/>
        <v>0</v>
      </c>
      <c r="E613" s="67"/>
      <c r="F613" s="58">
        <f t="shared" ref="F613:L613" si="606">SUMIFS($C613,$B613,F$7)+F612</f>
        <v>168</v>
      </c>
      <c r="G613" s="58">
        <f t="shared" si="606"/>
        <v>3</v>
      </c>
      <c r="H613" s="58">
        <f t="shared" si="606"/>
        <v>14</v>
      </c>
      <c r="I613" s="58">
        <f t="shared" si="606"/>
        <v>187</v>
      </c>
      <c r="J613" s="58">
        <f t="shared" si="606"/>
        <v>0</v>
      </c>
      <c r="K613" s="58">
        <f t="shared" si="606"/>
        <v>0</v>
      </c>
      <c r="L613" s="58">
        <f t="shared" si="606"/>
        <v>0</v>
      </c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0" customHeight="1">
      <c r="A614" s="70"/>
      <c r="B614" s="71"/>
      <c r="C614" s="66"/>
      <c r="D614" s="66">
        <f t="shared" si="412"/>
        <v>0</v>
      </c>
      <c r="E614" s="67"/>
      <c r="F614" s="58">
        <f t="shared" ref="F614:L614" si="607">SUMIFS($C614,$B614,F$7)+F613</f>
        <v>168</v>
      </c>
      <c r="G614" s="58">
        <f t="shared" si="607"/>
        <v>3</v>
      </c>
      <c r="H614" s="58">
        <f t="shared" si="607"/>
        <v>14</v>
      </c>
      <c r="I614" s="58">
        <f t="shared" si="607"/>
        <v>187</v>
      </c>
      <c r="J614" s="58">
        <f t="shared" si="607"/>
        <v>0</v>
      </c>
      <c r="K614" s="58">
        <f t="shared" si="607"/>
        <v>0</v>
      </c>
      <c r="L614" s="58">
        <f t="shared" si="607"/>
        <v>0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0" customHeight="1">
      <c r="A615" s="70"/>
      <c r="B615" s="71"/>
      <c r="C615" s="66"/>
      <c r="D615" s="66">
        <f t="shared" si="412"/>
        <v>0</v>
      </c>
      <c r="E615" s="67"/>
      <c r="F615" s="58">
        <f t="shared" ref="F615:L615" si="608">SUMIFS($C615,$B615,F$7)+F614</f>
        <v>168</v>
      </c>
      <c r="G615" s="58">
        <f t="shared" si="608"/>
        <v>3</v>
      </c>
      <c r="H615" s="58">
        <f t="shared" si="608"/>
        <v>14</v>
      </c>
      <c r="I615" s="58">
        <f t="shared" si="608"/>
        <v>187</v>
      </c>
      <c r="J615" s="58">
        <f t="shared" si="608"/>
        <v>0</v>
      </c>
      <c r="K615" s="58">
        <f t="shared" si="608"/>
        <v>0</v>
      </c>
      <c r="L615" s="58">
        <f t="shared" si="608"/>
        <v>0</v>
      </c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0" customHeight="1">
      <c r="A616" s="70"/>
      <c r="B616" s="71"/>
      <c r="C616" s="66"/>
      <c r="D616" s="66">
        <f t="shared" si="412"/>
        <v>0</v>
      </c>
      <c r="E616" s="67"/>
      <c r="F616" s="58">
        <f t="shared" ref="F616:L616" si="609">SUMIFS($C616,$B616,F$7)+F615</f>
        <v>168</v>
      </c>
      <c r="G616" s="58">
        <f t="shared" si="609"/>
        <v>3</v>
      </c>
      <c r="H616" s="58">
        <f t="shared" si="609"/>
        <v>14</v>
      </c>
      <c r="I616" s="58">
        <f t="shared" si="609"/>
        <v>187</v>
      </c>
      <c r="J616" s="58">
        <f t="shared" si="609"/>
        <v>0</v>
      </c>
      <c r="K616" s="58">
        <f t="shared" si="609"/>
        <v>0</v>
      </c>
      <c r="L616" s="58">
        <f t="shared" si="609"/>
        <v>0</v>
      </c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0" customHeight="1">
      <c r="A617" s="70"/>
      <c r="B617" s="71"/>
      <c r="C617" s="66"/>
      <c r="D617" s="66">
        <f t="shared" si="412"/>
        <v>0</v>
      </c>
      <c r="E617" s="67"/>
      <c r="F617" s="58">
        <f t="shared" ref="F617:L617" si="610">SUMIFS($C617,$B617,F$7)+F616</f>
        <v>168</v>
      </c>
      <c r="G617" s="58">
        <f t="shared" si="610"/>
        <v>3</v>
      </c>
      <c r="H617" s="58">
        <f t="shared" si="610"/>
        <v>14</v>
      </c>
      <c r="I617" s="58">
        <f t="shared" si="610"/>
        <v>187</v>
      </c>
      <c r="J617" s="58">
        <f t="shared" si="610"/>
        <v>0</v>
      </c>
      <c r="K617" s="58">
        <f t="shared" si="610"/>
        <v>0</v>
      </c>
      <c r="L617" s="58">
        <f t="shared" si="610"/>
        <v>0</v>
      </c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0" customHeight="1">
      <c r="A618" s="70"/>
      <c r="B618" s="71"/>
      <c r="C618" s="66"/>
      <c r="D618" s="66">
        <f t="shared" si="412"/>
        <v>0</v>
      </c>
      <c r="E618" s="67"/>
      <c r="F618" s="58">
        <f t="shared" ref="F618:L618" si="611">SUMIFS($C618,$B618,F$7)+F617</f>
        <v>168</v>
      </c>
      <c r="G618" s="58">
        <f t="shared" si="611"/>
        <v>3</v>
      </c>
      <c r="H618" s="58">
        <f t="shared" si="611"/>
        <v>14</v>
      </c>
      <c r="I618" s="58">
        <f t="shared" si="611"/>
        <v>187</v>
      </c>
      <c r="J618" s="58">
        <f t="shared" si="611"/>
        <v>0</v>
      </c>
      <c r="K618" s="58">
        <f t="shared" si="611"/>
        <v>0</v>
      </c>
      <c r="L618" s="58">
        <f t="shared" si="611"/>
        <v>0</v>
      </c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0" customHeight="1">
      <c r="A619" s="70"/>
      <c r="B619" s="71"/>
      <c r="C619" s="66"/>
      <c r="D619" s="66">
        <f t="shared" si="412"/>
        <v>0</v>
      </c>
      <c r="E619" s="67"/>
      <c r="F619" s="58">
        <f t="shared" ref="F619:L619" si="612">SUMIFS($C619,$B619,F$7)+F618</f>
        <v>168</v>
      </c>
      <c r="G619" s="58">
        <f t="shared" si="612"/>
        <v>3</v>
      </c>
      <c r="H619" s="58">
        <f t="shared" si="612"/>
        <v>14</v>
      </c>
      <c r="I619" s="58">
        <f t="shared" si="612"/>
        <v>187</v>
      </c>
      <c r="J619" s="58">
        <f t="shared" si="612"/>
        <v>0</v>
      </c>
      <c r="K619" s="58">
        <f t="shared" si="612"/>
        <v>0</v>
      </c>
      <c r="L619" s="58">
        <f t="shared" si="612"/>
        <v>0</v>
      </c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0" customHeight="1">
      <c r="A620" s="70"/>
      <c r="B620" s="71"/>
      <c r="C620" s="66"/>
      <c r="D620" s="66">
        <f t="shared" si="412"/>
        <v>0</v>
      </c>
      <c r="E620" s="67"/>
      <c r="F620" s="58">
        <f t="shared" ref="F620:L620" si="613">SUMIFS($C620,$B620,F$7)+F619</f>
        <v>168</v>
      </c>
      <c r="G620" s="58">
        <f t="shared" si="613"/>
        <v>3</v>
      </c>
      <c r="H620" s="58">
        <f t="shared" si="613"/>
        <v>14</v>
      </c>
      <c r="I620" s="58">
        <f t="shared" si="613"/>
        <v>187</v>
      </c>
      <c r="J620" s="58">
        <f t="shared" si="613"/>
        <v>0</v>
      </c>
      <c r="K620" s="58">
        <f t="shared" si="613"/>
        <v>0</v>
      </c>
      <c r="L620" s="58">
        <f t="shared" si="613"/>
        <v>0</v>
      </c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0" customHeight="1">
      <c r="A621" s="70"/>
      <c r="B621" s="71"/>
      <c r="C621" s="66"/>
      <c r="D621" s="66">
        <f t="shared" si="412"/>
        <v>0</v>
      </c>
      <c r="E621" s="67"/>
      <c r="F621" s="58">
        <f t="shared" ref="F621:L621" si="614">SUMIFS($C621,$B621,F$7)+F620</f>
        <v>168</v>
      </c>
      <c r="G621" s="58">
        <f t="shared" si="614"/>
        <v>3</v>
      </c>
      <c r="H621" s="58">
        <f t="shared" si="614"/>
        <v>14</v>
      </c>
      <c r="I621" s="58">
        <f t="shared" si="614"/>
        <v>187</v>
      </c>
      <c r="J621" s="58">
        <f t="shared" si="614"/>
        <v>0</v>
      </c>
      <c r="K621" s="58">
        <f t="shared" si="614"/>
        <v>0</v>
      </c>
      <c r="L621" s="58">
        <f t="shared" si="614"/>
        <v>0</v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0" customHeight="1">
      <c r="A622" s="70"/>
      <c r="B622" s="71"/>
      <c r="C622" s="66"/>
      <c r="D622" s="66">
        <f t="shared" si="412"/>
        <v>0</v>
      </c>
      <c r="E622" s="67"/>
      <c r="F622" s="58">
        <f t="shared" ref="F622:L622" si="615">SUMIFS($C622,$B622,F$7)+F621</f>
        <v>168</v>
      </c>
      <c r="G622" s="58">
        <f t="shared" si="615"/>
        <v>3</v>
      </c>
      <c r="H622" s="58">
        <f t="shared" si="615"/>
        <v>14</v>
      </c>
      <c r="I622" s="58">
        <f t="shared" si="615"/>
        <v>187</v>
      </c>
      <c r="J622" s="58">
        <f t="shared" si="615"/>
        <v>0</v>
      </c>
      <c r="K622" s="58">
        <f t="shared" si="615"/>
        <v>0</v>
      </c>
      <c r="L622" s="58">
        <f t="shared" si="615"/>
        <v>0</v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0" customHeight="1">
      <c r="A623" s="70"/>
      <c r="B623" s="71"/>
      <c r="C623" s="66"/>
      <c r="D623" s="66">
        <f t="shared" si="412"/>
        <v>0</v>
      </c>
      <c r="E623" s="67"/>
      <c r="F623" s="58">
        <f t="shared" ref="F623:L623" si="616">SUMIFS($C623,$B623,F$7)+F622</f>
        <v>168</v>
      </c>
      <c r="G623" s="58">
        <f t="shared" si="616"/>
        <v>3</v>
      </c>
      <c r="H623" s="58">
        <f t="shared" si="616"/>
        <v>14</v>
      </c>
      <c r="I623" s="58">
        <f t="shared" si="616"/>
        <v>187</v>
      </c>
      <c r="J623" s="58">
        <f t="shared" si="616"/>
        <v>0</v>
      </c>
      <c r="K623" s="58">
        <f t="shared" si="616"/>
        <v>0</v>
      </c>
      <c r="L623" s="58">
        <f t="shared" si="616"/>
        <v>0</v>
      </c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0" customHeight="1">
      <c r="A624" s="70"/>
      <c r="B624" s="71"/>
      <c r="C624" s="66"/>
      <c r="D624" s="66">
        <f t="shared" si="412"/>
        <v>0</v>
      </c>
      <c r="E624" s="67"/>
      <c r="F624" s="58">
        <f t="shared" ref="F624:L624" si="617">SUMIFS($C624,$B624,F$7)+F623</f>
        <v>168</v>
      </c>
      <c r="G624" s="58">
        <f t="shared" si="617"/>
        <v>3</v>
      </c>
      <c r="H624" s="58">
        <f t="shared" si="617"/>
        <v>14</v>
      </c>
      <c r="I624" s="58">
        <f t="shared" si="617"/>
        <v>187</v>
      </c>
      <c r="J624" s="58">
        <f t="shared" si="617"/>
        <v>0</v>
      </c>
      <c r="K624" s="58">
        <f t="shared" si="617"/>
        <v>0</v>
      </c>
      <c r="L624" s="58">
        <f t="shared" si="617"/>
        <v>0</v>
      </c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0" customHeight="1">
      <c r="A625" s="70"/>
      <c r="B625" s="71"/>
      <c r="C625" s="66"/>
      <c r="D625" s="66">
        <f t="shared" si="412"/>
        <v>0</v>
      </c>
      <c r="E625" s="67"/>
      <c r="F625" s="58">
        <f t="shared" ref="F625:L625" si="618">SUMIFS($C625,$B625,F$7)+F624</f>
        <v>168</v>
      </c>
      <c r="G625" s="58">
        <f t="shared" si="618"/>
        <v>3</v>
      </c>
      <c r="H625" s="58">
        <f t="shared" si="618"/>
        <v>14</v>
      </c>
      <c r="I625" s="58">
        <f t="shared" si="618"/>
        <v>187</v>
      </c>
      <c r="J625" s="58">
        <f t="shared" si="618"/>
        <v>0</v>
      </c>
      <c r="K625" s="58">
        <f t="shared" si="618"/>
        <v>0</v>
      </c>
      <c r="L625" s="58">
        <f t="shared" si="618"/>
        <v>0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0" customHeight="1">
      <c r="A626" s="70"/>
      <c r="B626" s="71"/>
      <c r="C626" s="66"/>
      <c r="D626" s="66">
        <f t="shared" si="412"/>
        <v>0</v>
      </c>
      <c r="E626" s="67"/>
      <c r="F626" s="58">
        <f t="shared" ref="F626:L626" si="619">SUMIFS($C626,$B626,F$7)+F625</f>
        <v>168</v>
      </c>
      <c r="G626" s="58">
        <f t="shared" si="619"/>
        <v>3</v>
      </c>
      <c r="H626" s="58">
        <f t="shared" si="619"/>
        <v>14</v>
      </c>
      <c r="I626" s="58">
        <f t="shared" si="619"/>
        <v>187</v>
      </c>
      <c r="J626" s="58">
        <f t="shared" si="619"/>
        <v>0</v>
      </c>
      <c r="K626" s="58">
        <f t="shared" si="619"/>
        <v>0</v>
      </c>
      <c r="L626" s="58">
        <f t="shared" si="619"/>
        <v>0</v>
      </c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0" customHeight="1">
      <c r="A627" s="70"/>
      <c r="B627" s="71"/>
      <c r="C627" s="66"/>
      <c r="D627" s="66">
        <f t="shared" si="412"/>
        <v>0</v>
      </c>
      <c r="E627" s="67"/>
      <c r="F627" s="58">
        <f t="shared" ref="F627:L627" si="620">SUMIFS($C627,$B627,F$7)+F626</f>
        <v>168</v>
      </c>
      <c r="G627" s="58">
        <f t="shared" si="620"/>
        <v>3</v>
      </c>
      <c r="H627" s="58">
        <f t="shared" si="620"/>
        <v>14</v>
      </c>
      <c r="I627" s="58">
        <f t="shared" si="620"/>
        <v>187</v>
      </c>
      <c r="J627" s="58">
        <f t="shared" si="620"/>
        <v>0</v>
      </c>
      <c r="K627" s="58">
        <f t="shared" si="620"/>
        <v>0</v>
      </c>
      <c r="L627" s="58">
        <f t="shared" si="620"/>
        <v>0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0" customHeight="1">
      <c r="A628" s="70"/>
      <c r="B628" s="71"/>
      <c r="C628" s="66"/>
      <c r="D628" s="66">
        <f t="shared" si="412"/>
        <v>0</v>
      </c>
      <c r="E628" s="67"/>
      <c r="F628" s="58">
        <f t="shared" ref="F628:L628" si="621">SUMIFS($C628,$B628,F$7)+F627</f>
        <v>168</v>
      </c>
      <c r="G628" s="58">
        <f t="shared" si="621"/>
        <v>3</v>
      </c>
      <c r="H628" s="58">
        <f t="shared" si="621"/>
        <v>14</v>
      </c>
      <c r="I628" s="58">
        <f t="shared" si="621"/>
        <v>187</v>
      </c>
      <c r="J628" s="58">
        <f t="shared" si="621"/>
        <v>0</v>
      </c>
      <c r="K628" s="58">
        <f t="shared" si="621"/>
        <v>0</v>
      </c>
      <c r="L628" s="58">
        <f t="shared" si="621"/>
        <v>0</v>
      </c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0" customHeight="1">
      <c r="A629" s="70"/>
      <c r="B629" s="71"/>
      <c r="C629" s="66"/>
      <c r="D629" s="66">
        <f t="shared" si="412"/>
        <v>0</v>
      </c>
      <c r="E629" s="67"/>
      <c r="F629" s="58">
        <f t="shared" ref="F629:L629" si="622">SUMIFS($C629,$B629,F$7)+F628</f>
        <v>168</v>
      </c>
      <c r="G629" s="58">
        <f t="shared" si="622"/>
        <v>3</v>
      </c>
      <c r="H629" s="58">
        <f t="shared" si="622"/>
        <v>14</v>
      </c>
      <c r="I629" s="58">
        <f t="shared" si="622"/>
        <v>187</v>
      </c>
      <c r="J629" s="58">
        <f t="shared" si="622"/>
        <v>0</v>
      </c>
      <c r="K629" s="58">
        <f t="shared" si="622"/>
        <v>0</v>
      </c>
      <c r="L629" s="58">
        <f t="shared" si="622"/>
        <v>0</v>
      </c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0" customHeight="1">
      <c r="A630" s="70"/>
      <c r="B630" s="71"/>
      <c r="C630" s="66"/>
      <c r="D630" s="66">
        <f t="shared" si="412"/>
        <v>0</v>
      </c>
      <c r="E630" s="67"/>
      <c r="F630" s="58">
        <f t="shared" ref="F630:L630" si="623">SUMIFS($C630,$B630,F$7)+F629</f>
        <v>168</v>
      </c>
      <c r="G630" s="58">
        <f t="shared" si="623"/>
        <v>3</v>
      </c>
      <c r="H630" s="58">
        <f t="shared" si="623"/>
        <v>14</v>
      </c>
      <c r="I630" s="58">
        <f t="shared" si="623"/>
        <v>187</v>
      </c>
      <c r="J630" s="58">
        <f t="shared" si="623"/>
        <v>0</v>
      </c>
      <c r="K630" s="58">
        <f t="shared" si="623"/>
        <v>0</v>
      </c>
      <c r="L630" s="58">
        <f t="shared" si="623"/>
        <v>0</v>
      </c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0" customHeight="1">
      <c r="A631" s="70"/>
      <c r="B631" s="71"/>
      <c r="C631" s="66"/>
      <c r="D631" s="66">
        <f t="shared" si="412"/>
        <v>0</v>
      </c>
      <c r="E631" s="67"/>
      <c r="F631" s="58">
        <f t="shared" ref="F631:L631" si="624">SUMIFS($C631,$B631,F$7)+F630</f>
        <v>168</v>
      </c>
      <c r="G631" s="58">
        <f t="shared" si="624"/>
        <v>3</v>
      </c>
      <c r="H631" s="58">
        <f t="shared" si="624"/>
        <v>14</v>
      </c>
      <c r="I631" s="58">
        <f t="shared" si="624"/>
        <v>187</v>
      </c>
      <c r="J631" s="58">
        <f t="shared" si="624"/>
        <v>0</v>
      </c>
      <c r="K631" s="58">
        <f t="shared" si="624"/>
        <v>0</v>
      </c>
      <c r="L631" s="58">
        <f t="shared" si="624"/>
        <v>0</v>
      </c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0" customHeight="1">
      <c r="A632" s="70"/>
      <c r="B632" s="71"/>
      <c r="C632" s="66"/>
      <c r="D632" s="66">
        <f t="shared" si="412"/>
        <v>0</v>
      </c>
      <c r="E632" s="67"/>
      <c r="F632" s="58">
        <f t="shared" ref="F632:L632" si="625">SUMIFS($C632,$B632,F$7)+F631</f>
        <v>168</v>
      </c>
      <c r="G632" s="58">
        <f t="shared" si="625"/>
        <v>3</v>
      </c>
      <c r="H632" s="58">
        <f t="shared" si="625"/>
        <v>14</v>
      </c>
      <c r="I632" s="58">
        <f t="shared" si="625"/>
        <v>187</v>
      </c>
      <c r="J632" s="58">
        <f t="shared" si="625"/>
        <v>0</v>
      </c>
      <c r="K632" s="58">
        <f t="shared" si="625"/>
        <v>0</v>
      </c>
      <c r="L632" s="58">
        <f t="shared" si="625"/>
        <v>0</v>
      </c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0" customHeight="1">
      <c r="A633" s="70"/>
      <c r="B633" s="71"/>
      <c r="C633" s="66"/>
      <c r="D633" s="66">
        <f t="shared" si="412"/>
        <v>0</v>
      </c>
      <c r="E633" s="67"/>
      <c r="F633" s="58">
        <f t="shared" ref="F633:L633" si="626">SUMIFS($C633,$B633,F$7)+F632</f>
        <v>168</v>
      </c>
      <c r="G633" s="58">
        <f t="shared" si="626"/>
        <v>3</v>
      </c>
      <c r="H633" s="58">
        <f t="shared" si="626"/>
        <v>14</v>
      </c>
      <c r="I633" s="58">
        <f t="shared" si="626"/>
        <v>187</v>
      </c>
      <c r="J633" s="58">
        <f t="shared" si="626"/>
        <v>0</v>
      </c>
      <c r="K633" s="58">
        <f t="shared" si="626"/>
        <v>0</v>
      </c>
      <c r="L633" s="58">
        <f t="shared" si="626"/>
        <v>0</v>
      </c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0" customHeight="1">
      <c r="A634" s="70"/>
      <c r="B634" s="71"/>
      <c r="C634" s="66"/>
      <c r="D634" s="66">
        <f t="shared" si="412"/>
        <v>0</v>
      </c>
      <c r="E634" s="67"/>
      <c r="F634" s="58">
        <f t="shared" ref="F634:L634" si="627">SUMIFS($C634,$B634,F$7)+F633</f>
        <v>168</v>
      </c>
      <c r="G634" s="58">
        <f t="shared" si="627"/>
        <v>3</v>
      </c>
      <c r="H634" s="58">
        <f t="shared" si="627"/>
        <v>14</v>
      </c>
      <c r="I634" s="58">
        <f t="shared" si="627"/>
        <v>187</v>
      </c>
      <c r="J634" s="58">
        <f t="shared" si="627"/>
        <v>0</v>
      </c>
      <c r="K634" s="58">
        <f t="shared" si="627"/>
        <v>0</v>
      </c>
      <c r="L634" s="58">
        <f t="shared" si="627"/>
        <v>0</v>
      </c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0" customHeight="1">
      <c r="A635" s="70"/>
      <c r="B635" s="71"/>
      <c r="C635" s="66"/>
      <c r="D635" s="66">
        <f t="shared" si="412"/>
        <v>0</v>
      </c>
      <c r="E635" s="67"/>
      <c r="F635" s="58">
        <f t="shared" ref="F635:L635" si="628">SUMIFS($C635,$B635,F$7)+F634</f>
        <v>168</v>
      </c>
      <c r="G635" s="58">
        <f t="shared" si="628"/>
        <v>3</v>
      </c>
      <c r="H635" s="58">
        <f t="shared" si="628"/>
        <v>14</v>
      </c>
      <c r="I635" s="58">
        <f t="shared" si="628"/>
        <v>187</v>
      </c>
      <c r="J635" s="58">
        <f t="shared" si="628"/>
        <v>0</v>
      </c>
      <c r="K635" s="58">
        <f t="shared" si="628"/>
        <v>0</v>
      </c>
      <c r="L635" s="58">
        <f t="shared" si="628"/>
        <v>0</v>
      </c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0" customHeight="1">
      <c r="A636" s="70"/>
      <c r="B636" s="71"/>
      <c r="C636" s="66"/>
      <c r="D636" s="66">
        <f t="shared" si="412"/>
        <v>0</v>
      </c>
      <c r="E636" s="67"/>
      <c r="F636" s="58">
        <f t="shared" ref="F636:L636" si="629">SUMIFS($C636,$B636,F$7)+F635</f>
        <v>168</v>
      </c>
      <c r="G636" s="58">
        <f t="shared" si="629"/>
        <v>3</v>
      </c>
      <c r="H636" s="58">
        <f t="shared" si="629"/>
        <v>14</v>
      </c>
      <c r="I636" s="58">
        <f t="shared" si="629"/>
        <v>187</v>
      </c>
      <c r="J636" s="58">
        <f t="shared" si="629"/>
        <v>0</v>
      </c>
      <c r="K636" s="58">
        <f t="shared" si="629"/>
        <v>0</v>
      </c>
      <c r="L636" s="58">
        <f t="shared" si="629"/>
        <v>0</v>
      </c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0" customHeight="1">
      <c r="A637" s="70"/>
      <c r="B637" s="71"/>
      <c r="C637" s="66"/>
      <c r="D637" s="66">
        <f t="shared" si="412"/>
        <v>0</v>
      </c>
      <c r="E637" s="67"/>
      <c r="F637" s="58">
        <f t="shared" ref="F637:L637" si="630">SUMIFS($C637,$B637,F$7)+F636</f>
        <v>168</v>
      </c>
      <c r="G637" s="58">
        <f t="shared" si="630"/>
        <v>3</v>
      </c>
      <c r="H637" s="58">
        <f t="shared" si="630"/>
        <v>14</v>
      </c>
      <c r="I637" s="58">
        <f t="shared" si="630"/>
        <v>187</v>
      </c>
      <c r="J637" s="58">
        <f t="shared" si="630"/>
        <v>0</v>
      </c>
      <c r="K637" s="58">
        <f t="shared" si="630"/>
        <v>0</v>
      </c>
      <c r="L637" s="58">
        <f t="shared" si="630"/>
        <v>0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0" customHeight="1">
      <c r="A638" s="70"/>
      <c r="B638" s="71"/>
      <c r="C638" s="66"/>
      <c r="D638" s="66">
        <f t="shared" si="412"/>
        <v>0</v>
      </c>
      <c r="E638" s="67"/>
      <c r="F638" s="58">
        <f t="shared" ref="F638:L638" si="631">SUMIFS($C638,$B638,F$7)+F637</f>
        <v>168</v>
      </c>
      <c r="G638" s="58">
        <f t="shared" si="631"/>
        <v>3</v>
      </c>
      <c r="H638" s="58">
        <f t="shared" si="631"/>
        <v>14</v>
      </c>
      <c r="I638" s="58">
        <f t="shared" si="631"/>
        <v>187</v>
      </c>
      <c r="J638" s="58">
        <f t="shared" si="631"/>
        <v>0</v>
      </c>
      <c r="K638" s="58">
        <f t="shared" si="631"/>
        <v>0</v>
      </c>
      <c r="L638" s="58">
        <f t="shared" si="631"/>
        <v>0</v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0" customHeight="1">
      <c r="A639" s="70"/>
      <c r="B639" s="71"/>
      <c r="C639" s="66"/>
      <c r="D639" s="66">
        <f t="shared" si="412"/>
        <v>0</v>
      </c>
      <c r="E639" s="67"/>
      <c r="F639" s="58">
        <f t="shared" ref="F639:L639" si="632">SUMIFS($C639,$B639,F$7)+F638</f>
        <v>168</v>
      </c>
      <c r="G639" s="58">
        <f t="shared" si="632"/>
        <v>3</v>
      </c>
      <c r="H639" s="58">
        <f t="shared" si="632"/>
        <v>14</v>
      </c>
      <c r="I639" s="58">
        <f t="shared" si="632"/>
        <v>187</v>
      </c>
      <c r="J639" s="58">
        <f t="shared" si="632"/>
        <v>0</v>
      </c>
      <c r="K639" s="58">
        <f t="shared" si="632"/>
        <v>0</v>
      </c>
      <c r="L639" s="58">
        <f t="shared" si="632"/>
        <v>0</v>
      </c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0" customHeight="1">
      <c r="A640" s="70"/>
      <c r="B640" s="71"/>
      <c r="C640" s="66"/>
      <c r="D640" s="66">
        <f t="shared" si="412"/>
        <v>0</v>
      </c>
      <c r="E640" s="67"/>
      <c r="F640" s="58">
        <f t="shared" ref="F640:L640" si="633">SUMIFS($C640,$B640,F$7)+F639</f>
        <v>168</v>
      </c>
      <c r="G640" s="58">
        <f t="shared" si="633"/>
        <v>3</v>
      </c>
      <c r="H640" s="58">
        <f t="shared" si="633"/>
        <v>14</v>
      </c>
      <c r="I640" s="58">
        <f t="shared" si="633"/>
        <v>187</v>
      </c>
      <c r="J640" s="58">
        <f t="shared" si="633"/>
        <v>0</v>
      </c>
      <c r="K640" s="58">
        <f t="shared" si="633"/>
        <v>0</v>
      </c>
      <c r="L640" s="58">
        <f t="shared" si="633"/>
        <v>0</v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0" customHeight="1">
      <c r="A641" s="70"/>
      <c r="B641" s="71"/>
      <c r="C641" s="66"/>
      <c r="D641" s="66">
        <f t="shared" si="412"/>
        <v>0</v>
      </c>
      <c r="E641" s="67"/>
      <c r="F641" s="58">
        <f t="shared" ref="F641:L641" si="634">SUMIFS($C641,$B641,F$7)+F640</f>
        <v>168</v>
      </c>
      <c r="G641" s="58">
        <f t="shared" si="634"/>
        <v>3</v>
      </c>
      <c r="H641" s="58">
        <f t="shared" si="634"/>
        <v>14</v>
      </c>
      <c r="I641" s="58">
        <f t="shared" si="634"/>
        <v>187</v>
      </c>
      <c r="J641" s="58">
        <f t="shared" si="634"/>
        <v>0</v>
      </c>
      <c r="K641" s="58">
        <f t="shared" si="634"/>
        <v>0</v>
      </c>
      <c r="L641" s="58">
        <f t="shared" si="634"/>
        <v>0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0" customHeight="1">
      <c r="A642" s="70"/>
      <c r="B642" s="71"/>
      <c r="C642" s="66"/>
      <c r="D642" s="66">
        <f t="shared" si="412"/>
        <v>0</v>
      </c>
      <c r="E642" s="67"/>
      <c r="F642" s="58">
        <f t="shared" ref="F642:L642" si="635">SUMIFS($C642,$B642,F$7)+F641</f>
        <v>168</v>
      </c>
      <c r="G642" s="58">
        <f t="shared" si="635"/>
        <v>3</v>
      </c>
      <c r="H642" s="58">
        <f t="shared" si="635"/>
        <v>14</v>
      </c>
      <c r="I642" s="58">
        <f t="shared" si="635"/>
        <v>187</v>
      </c>
      <c r="J642" s="58">
        <f t="shared" si="635"/>
        <v>0</v>
      </c>
      <c r="K642" s="58">
        <f t="shared" si="635"/>
        <v>0</v>
      </c>
      <c r="L642" s="58">
        <f t="shared" si="635"/>
        <v>0</v>
      </c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0" customHeight="1">
      <c r="A643" s="70"/>
      <c r="B643" s="71"/>
      <c r="C643" s="66"/>
      <c r="D643" s="66">
        <f t="shared" si="412"/>
        <v>0</v>
      </c>
      <c r="E643" s="67"/>
      <c r="F643" s="58">
        <f t="shared" ref="F643:L643" si="636">SUMIFS($C643,$B643,F$7)+F642</f>
        <v>168</v>
      </c>
      <c r="G643" s="58">
        <f t="shared" si="636"/>
        <v>3</v>
      </c>
      <c r="H643" s="58">
        <f t="shared" si="636"/>
        <v>14</v>
      </c>
      <c r="I643" s="58">
        <f t="shared" si="636"/>
        <v>187</v>
      </c>
      <c r="J643" s="58">
        <f t="shared" si="636"/>
        <v>0</v>
      </c>
      <c r="K643" s="58">
        <f t="shared" si="636"/>
        <v>0</v>
      </c>
      <c r="L643" s="58">
        <f t="shared" si="636"/>
        <v>0</v>
      </c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0" customHeight="1">
      <c r="A644" s="70"/>
      <c r="B644" s="71"/>
      <c r="C644" s="66"/>
      <c r="D644" s="66">
        <f t="shared" si="412"/>
        <v>0</v>
      </c>
      <c r="E644" s="67"/>
      <c r="F644" s="58">
        <f t="shared" ref="F644:L644" si="637">SUMIFS($C644,$B644,F$7)+F643</f>
        <v>168</v>
      </c>
      <c r="G644" s="58">
        <f t="shared" si="637"/>
        <v>3</v>
      </c>
      <c r="H644" s="58">
        <f t="shared" si="637"/>
        <v>14</v>
      </c>
      <c r="I644" s="58">
        <f t="shared" si="637"/>
        <v>187</v>
      </c>
      <c r="J644" s="58">
        <f t="shared" si="637"/>
        <v>0</v>
      </c>
      <c r="K644" s="58">
        <f t="shared" si="637"/>
        <v>0</v>
      </c>
      <c r="L644" s="58">
        <f t="shared" si="637"/>
        <v>0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0" customHeight="1">
      <c r="A645" s="70"/>
      <c r="B645" s="71"/>
      <c r="C645" s="66"/>
      <c r="D645" s="66">
        <f t="shared" si="412"/>
        <v>0</v>
      </c>
      <c r="E645" s="67"/>
      <c r="F645" s="58">
        <f t="shared" ref="F645:L645" si="638">SUMIFS($C645,$B645,F$7)+F644</f>
        <v>168</v>
      </c>
      <c r="G645" s="58">
        <f t="shared" si="638"/>
        <v>3</v>
      </c>
      <c r="H645" s="58">
        <f t="shared" si="638"/>
        <v>14</v>
      </c>
      <c r="I645" s="58">
        <f t="shared" si="638"/>
        <v>187</v>
      </c>
      <c r="J645" s="58">
        <f t="shared" si="638"/>
        <v>0</v>
      </c>
      <c r="K645" s="58">
        <f t="shared" si="638"/>
        <v>0</v>
      </c>
      <c r="L645" s="58">
        <f t="shared" si="638"/>
        <v>0</v>
      </c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0" customHeight="1">
      <c r="A646" s="70"/>
      <c r="B646" s="71"/>
      <c r="C646" s="66"/>
      <c r="D646" s="66">
        <f t="shared" si="412"/>
        <v>0</v>
      </c>
      <c r="E646" s="67"/>
      <c r="F646" s="58">
        <f t="shared" ref="F646:L646" si="639">SUMIFS($C646,$B646,F$7)+F645</f>
        <v>168</v>
      </c>
      <c r="G646" s="58">
        <f t="shared" si="639"/>
        <v>3</v>
      </c>
      <c r="H646" s="58">
        <f t="shared" si="639"/>
        <v>14</v>
      </c>
      <c r="I646" s="58">
        <f t="shared" si="639"/>
        <v>187</v>
      </c>
      <c r="J646" s="58">
        <f t="shared" si="639"/>
        <v>0</v>
      </c>
      <c r="K646" s="58">
        <f t="shared" si="639"/>
        <v>0</v>
      </c>
      <c r="L646" s="58">
        <f t="shared" si="639"/>
        <v>0</v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0" customHeight="1">
      <c r="A647" s="70"/>
      <c r="B647" s="71"/>
      <c r="C647" s="66"/>
      <c r="D647" s="66">
        <f t="shared" si="412"/>
        <v>0</v>
      </c>
      <c r="E647" s="67"/>
      <c r="F647" s="58">
        <f t="shared" ref="F647:L647" si="640">SUMIFS($C647,$B647,F$7)+F646</f>
        <v>168</v>
      </c>
      <c r="G647" s="58">
        <f t="shared" si="640"/>
        <v>3</v>
      </c>
      <c r="H647" s="58">
        <f t="shared" si="640"/>
        <v>14</v>
      </c>
      <c r="I647" s="58">
        <f t="shared" si="640"/>
        <v>187</v>
      </c>
      <c r="J647" s="58">
        <f t="shared" si="640"/>
        <v>0</v>
      </c>
      <c r="K647" s="58">
        <f t="shared" si="640"/>
        <v>0</v>
      </c>
      <c r="L647" s="58">
        <f t="shared" si="640"/>
        <v>0</v>
      </c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0" customHeight="1">
      <c r="A648" s="70"/>
      <c r="B648" s="71"/>
      <c r="C648" s="66"/>
      <c r="D648" s="66">
        <f t="shared" si="412"/>
        <v>0</v>
      </c>
      <c r="E648" s="67"/>
      <c r="F648" s="58">
        <f t="shared" ref="F648:L648" si="641">SUMIFS($C648,$B648,F$7)+F647</f>
        <v>168</v>
      </c>
      <c r="G648" s="58">
        <f t="shared" si="641"/>
        <v>3</v>
      </c>
      <c r="H648" s="58">
        <f t="shared" si="641"/>
        <v>14</v>
      </c>
      <c r="I648" s="58">
        <f t="shared" si="641"/>
        <v>187</v>
      </c>
      <c r="J648" s="58">
        <f t="shared" si="641"/>
        <v>0</v>
      </c>
      <c r="K648" s="58">
        <f t="shared" si="641"/>
        <v>0</v>
      </c>
      <c r="L648" s="58">
        <f t="shared" si="641"/>
        <v>0</v>
      </c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0" customHeight="1">
      <c r="A649" s="70"/>
      <c r="B649" s="71"/>
      <c r="C649" s="66"/>
      <c r="D649" s="66">
        <f t="shared" si="412"/>
        <v>0</v>
      </c>
      <c r="E649" s="67"/>
      <c r="F649" s="58">
        <f t="shared" ref="F649:L649" si="642">SUMIFS($C649,$B649,F$7)+F648</f>
        <v>168</v>
      </c>
      <c r="G649" s="58">
        <f t="shared" si="642"/>
        <v>3</v>
      </c>
      <c r="H649" s="58">
        <f t="shared" si="642"/>
        <v>14</v>
      </c>
      <c r="I649" s="58">
        <f t="shared" si="642"/>
        <v>187</v>
      </c>
      <c r="J649" s="58">
        <f t="shared" si="642"/>
        <v>0</v>
      </c>
      <c r="K649" s="58">
        <f t="shared" si="642"/>
        <v>0</v>
      </c>
      <c r="L649" s="58">
        <f t="shared" si="642"/>
        <v>0</v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0" customHeight="1">
      <c r="A650" s="70"/>
      <c r="B650" s="71"/>
      <c r="C650" s="66"/>
      <c r="D650" s="66">
        <f t="shared" si="412"/>
        <v>0</v>
      </c>
      <c r="E650" s="67"/>
      <c r="F650" s="58">
        <f t="shared" ref="F650:L650" si="643">SUMIFS($C650,$B650,F$7)+F649</f>
        <v>168</v>
      </c>
      <c r="G650" s="58">
        <f t="shared" si="643"/>
        <v>3</v>
      </c>
      <c r="H650" s="58">
        <f t="shared" si="643"/>
        <v>14</v>
      </c>
      <c r="I650" s="58">
        <f t="shared" si="643"/>
        <v>187</v>
      </c>
      <c r="J650" s="58">
        <f t="shared" si="643"/>
        <v>0</v>
      </c>
      <c r="K650" s="58">
        <f t="shared" si="643"/>
        <v>0</v>
      </c>
      <c r="L650" s="58">
        <f t="shared" si="643"/>
        <v>0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0" customHeight="1">
      <c r="A651" s="70"/>
      <c r="B651" s="71"/>
      <c r="C651" s="66"/>
      <c r="D651" s="66">
        <f t="shared" si="412"/>
        <v>0</v>
      </c>
      <c r="E651" s="67"/>
      <c r="F651" s="58">
        <f t="shared" ref="F651:L651" si="644">SUMIFS($C651,$B651,F$7)+F650</f>
        <v>168</v>
      </c>
      <c r="G651" s="58">
        <f t="shared" si="644"/>
        <v>3</v>
      </c>
      <c r="H651" s="58">
        <f t="shared" si="644"/>
        <v>14</v>
      </c>
      <c r="I651" s="58">
        <f t="shared" si="644"/>
        <v>187</v>
      </c>
      <c r="J651" s="58">
        <f t="shared" si="644"/>
        <v>0</v>
      </c>
      <c r="K651" s="58">
        <f t="shared" si="644"/>
        <v>0</v>
      </c>
      <c r="L651" s="58">
        <f t="shared" si="644"/>
        <v>0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0" customHeight="1">
      <c r="A652" s="70"/>
      <c r="B652" s="71"/>
      <c r="C652" s="66"/>
      <c r="D652" s="66">
        <f t="shared" si="412"/>
        <v>0</v>
      </c>
      <c r="E652" s="67"/>
      <c r="F652" s="58">
        <f t="shared" ref="F652:L652" si="645">SUMIFS($C652,$B652,F$7)+F651</f>
        <v>168</v>
      </c>
      <c r="G652" s="58">
        <f t="shared" si="645"/>
        <v>3</v>
      </c>
      <c r="H652" s="58">
        <f t="shared" si="645"/>
        <v>14</v>
      </c>
      <c r="I652" s="58">
        <f t="shared" si="645"/>
        <v>187</v>
      </c>
      <c r="J652" s="58">
        <f t="shared" si="645"/>
        <v>0</v>
      </c>
      <c r="K652" s="58">
        <f t="shared" si="645"/>
        <v>0</v>
      </c>
      <c r="L652" s="58">
        <f t="shared" si="645"/>
        <v>0</v>
      </c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0" customHeight="1">
      <c r="A653" s="70"/>
      <c r="B653" s="71"/>
      <c r="C653" s="66"/>
      <c r="D653" s="66">
        <f t="shared" si="412"/>
        <v>0</v>
      </c>
      <c r="E653" s="67"/>
      <c r="F653" s="58">
        <f t="shared" ref="F653:L653" si="646">SUMIFS($C653,$B653,F$7)+F652</f>
        <v>168</v>
      </c>
      <c r="G653" s="58">
        <f t="shared" si="646"/>
        <v>3</v>
      </c>
      <c r="H653" s="58">
        <f t="shared" si="646"/>
        <v>14</v>
      </c>
      <c r="I653" s="58">
        <f t="shared" si="646"/>
        <v>187</v>
      </c>
      <c r="J653" s="58">
        <f t="shared" si="646"/>
        <v>0</v>
      </c>
      <c r="K653" s="58">
        <f t="shared" si="646"/>
        <v>0</v>
      </c>
      <c r="L653" s="58">
        <f t="shared" si="646"/>
        <v>0</v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0" customHeight="1">
      <c r="A654" s="70"/>
      <c r="B654" s="71"/>
      <c r="C654" s="66"/>
      <c r="D654" s="66">
        <f t="shared" si="412"/>
        <v>0</v>
      </c>
      <c r="E654" s="67"/>
      <c r="F654" s="58">
        <f t="shared" ref="F654:L654" si="647">SUMIFS($C654,$B654,F$7)+F653</f>
        <v>168</v>
      </c>
      <c r="G654" s="58">
        <f t="shared" si="647"/>
        <v>3</v>
      </c>
      <c r="H654" s="58">
        <f t="shared" si="647"/>
        <v>14</v>
      </c>
      <c r="I654" s="58">
        <f t="shared" si="647"/>
        <v>187</v>
      </c>
      <c r="J654" s="58">
        <f t="shared" si="647"/>
        <v>0</v>
      </c>
      <c r="K654" s="58">
        <f t="shared" si="647"/>
        <v>0</v>
      </c>
      <c r="L654" s="58">
        <f t="shared" si="647"/>
        <v>0</v>
      </c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0" customHeight="1">
      <c r="A655" s="70"/>
      <c r="B655" s="71"/>
      <c r="C655" s="66"/>
      <c r="D655" s="66">
        <f t="shared" si="412"/>
        <v>0</v>
      </c>
      <c r="E655" s="67"/>
      <c r="F655" s="58">
        <f t="shared" ref="F655:L655" si="648">SUMIFS($C655,$B655,F$7)+F654</f>
        <v>168</v>
      </c>
      <c r="G655" s="58">
        <f t="shared" si="648"/>
        <v>3</v>
      </c>
      <c r="H655" s="58">
        <f t="shared" si="648"/>
        <v>14</v>
      </c>
      <c r="I655" s="58">
        <f t="shared" si="648"/>
        <v>187</v>
      </c>
      <c r="J655" s="58">
        <f t="shared" si="648"/>
        <v>0</v>
      </c>
      <c r="K655" s="58">
        <f t="shared" si="648"/>
        <v>0</v>
      </c>
      <c r="L655" s="58">
        <f t="shared" si="648"/>
        <v>0</v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0" customHeight="1">
      <c r="A656" s="70"/>
      <c r="B656" s="71"/>
      <c r="C656" s="66"/>
      <c r="D656" s="66">
        <f t="shared" si="412"/>
        <v>0</v>
      </c>
      <c r="E656" s="67"/>
      <c r="F656" s="58">
        <f t="shared" ref="F656:L656" si="649">SUMIFS($C656,$B656,F$7)+F655</f>
        <v>168</v>
      </c>
      <c r="G656" s="58">
        <f t="shared" si="649"/>
        <v>3</v>
      </c>
      <c r="H656" s="58">
        <f t="shared" si="649"/>
        <v>14</v>
      </c>
      <c r="I656" s="58">
        <f t="shared" si="649"/>
        <v>187</v>
      </c>
      <c r="J656" s="58">
        <f t="shared" si="649"/>
        <v>0</v>
      </c>
      <c r="K656" s="58">
        <f t="shared" si="649"/>
        <v>0</v>
      </c>
      <c r="L656" s="58">
        <f t="shared" si="649"/>
        <v>0</v>
      </c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0" customHeight="1">
      <c r="A657" s="70"/>
      <c r="B657" s="71"/>
      <c r="C657" s="66"/>
      <c r="D657" s="66">
        <f t="shared" si="412"/>
        <v>0</v>
      </c>
      <c r="E657" s="67"/>
      <c r="F657" s="58">
        <f t="shared" ref="F657:L657" si="650">SUMIFS($C657,$B657,F$7)+F656</f>
        <v>168</v>
      </c>
      <c r="G657" s="58">
        <f t="shared" si="650"/>
        <v>3</v>
      </c>
      <c r="H657" s="58">
        <f t="shared" si="650"/>
        <v>14</v>
      </c>
      <c r="I657" s="58">
        <f t="shared" si="650"/>
        <v>187</v>
      </c>
      <c r="J657" s="58">
        <f t="shared" si="650"/>
        <v>0</v>
      </c>
      <c r="K657" s="58">
        <f t="shared" si="650"/>
        <v>0</v>
      </c>
      <c r="L657" s="58">
        <f t="shared" si="650"/>
        <v>0</v>
      </c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0" customHeight="1">
      <c r="A658" s="70"/>
      <c r="B658" s="71"/>
      <c r="C658" s="66"/>
      <c r="D658" s="66">
        <f t="shared" si="412"/>
        <v>0</v>
      </c>
      <c r="E658" s="67"/>
      <c r="F658" s="58">
        <f t="shared" ref="F658:L658" si="651">SUMIFS($C658,$B658,F$7)+F657</f>
        <v>168</v>
      </c>
      <c r="G658" s="58">
        <f t="shared" si="651"/>
        <v>3</v>
      </c>
      <c r="H658" s="58">
        <f t="shared" si="651"/>
        <v>14</v>
      </c>
      <c r="I658" s="58">
        <f t="shared" si="651"/>
        <v>187</v>
      </c>
      <c r="J658" s="58">
        <f t="shared" si="651"/>
        <v>0</v>
      </c>
      <c r="K658" s="58">
        <f t="shared" si="651"/>
        <v>0</v>
      </c>
      <c r="L658" s="58">
        <f t="shared" si="651"/>
        <v>0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0" customHeight="1">
      <c r="A659" s="70"/>
      <c r="B659" s="71"/>
      <c r="C659" s="66"/>
      <c r="D659" s="66">
        <f t="shared" si="412"/>
        <v>0</v>
      </c>
      <c r="E659" s="67"/>
      <c r="F659" s="58">
        <f t="shared" ref="F659:L659" si="652">SUMIFS($C659,$B659,F$7)+F658</f>
        <v>168</v>
      </c>
      <c r="G659" s="58">
        <f t="shared" si="652"/>
        <v>3</v>
      </c>
      <c r="H659" s="58">
        <f t="shared" si="652"/>
        <v>14</v>
      </c>
      <c r="I659" s="58">
        <f t="shared" si="652"/>
        <v>187</v>
      </c>
      <c r="J659" s="58">
        <f t="shared" si="652"/>
        <v>0</v>
      </c>
      <c r="K659" s="58">
        <f t="shared" si="652"/>
        <v>0</v>
      </c>
      <c r="L659" s="58">
        <f t="shared" si="652"/>
        <v>0</v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0" customHeight="1">
      <c r="A660" s="70"/>
      <c r="B660" s="71"/>
      <c r="C660" s="66"/>
      <c r="D660" s="66">
        <f t="shared" si="412"/>
        <v>0</v>
      </c>
      <c r="E660" s="67"/>
      <c r="F660" s="58">
        <f t="shared" ref="F660:L660" si="653">SUMIFS($C660,$B660,F$7)+F659</f>
        <v>168</v>
      </c>
      <c r="G660" s="58">
        <f t="shared" si="653"/>
        <v>3</v>
      </c>
      <c r="H660" s="58">
        <f t="shared" si="653"/>
        <v>14</v>
      </c>
      <c r="I660" s="58">
        <f t="shared" si="653"/>
        <v>187</v>
      </c>
      <c r="J660" s="58">
        <f t="shared" si="653"/>
        <v>0</v>
      </c>
      <c r="K660" s="58">
        <f t="shared" si="653"/>
        <v>0</v>
      </c>
      <c r="L660" s="58">
        <f t="shared" si="653"/>
        <v>0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0" customHeight="1">
      <c r="A661" s="70"/>
      <c r="B661" s="71"/>
      <c r="C661" s="66"/>
      <c r="D661" s="66">
        <f t="shared" si="412"/>
        <v>0</v>
      </c>
      <c r="E661" s="67"/>
      <c r="F661" s="58">
        <f t="shared" ref="F661:L661" si="654">SUMIFS($C661,$B661,F$7)+F660</f>
        <v>168</v>
      </c>
      <c r="G661" s="58">
        <f t="shared" si="654"/>
        <v>3</v>
      </c>
      <c r="H661" s="58">
        <f t="shared" si="654"/>
        <v>14</v>
      </c>
      <c r="I661" s="58">
        <f t="shared" si="654"/>
        <v>187</v>
      </c>
      <c r="J661" s="58">
        <f t="shared" si="654"/>
        <v>0</v>
      </c>
      <c r="K661" s="58">
        <f t="shared" si="654"/>
        <v>0</v>
      </c>
      <c r="L661" s="58">
        <f t="shared" si="654"/>
        <v>0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0" customHeight="1">
      <c r="A662" s="70"/>
      <c r="B662" s="71"/>
      <c r="C662" s="66"/>
      <c r="D662" s="66">
        <f t="shared" si="412"/>
        <v>0</v>
      </c>
      <c r="E662" s="67"/>
      <c r="F662" s="58">
        <f t="shared" ref="F662:L662" si="655">SUMIFS($C662,$B662,F$7)+F661</f>
        <v>168</v>
      </c>
      <c r="G662" s="58">
        <f t="shared" si="655"/>
        <v>3</v>
      </c>
      <c r="H662" s="58">
        <f t="shared" si="655"/>
        <v>14</v>
      </c>
      <c r="I662" s="58">
        <f t="shared" si="655"/>
        <v>187</v>
      </c>
      <c r="J662" s="58">
        <f t="shared" si="655"/>
        <v>0</v>
      </c>
      <c r="K662" s="58">
        <f t="shared" si="655"/>
        <v>0</v>
      </c>
      <c r="L662" s="58">
        <f t="shared" si="655"/>
        <v>0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0" customHeight="1">
      <c r="A663" s="70"/>
      <c r="B663" s="71"/>
      <c r="C663" s="66"/>
      <c r="D663" s="66">
        <f t="shared" si="412"/>
        <v>0</v>
      </c>
      <c r="E663" s="67"/>
      <c r="F663" s="58">
        <f t="shared" ref="F663:L663" si="656">SUMIFS($C663,$B663,F$7)+F662</f>
        <v>168</v>
      </c>
      <c r="G663" s="58">
        <f t="shared" si="656"/>
        <v>3</v>
      </c>
      <c r="H663" s="58">
        <f t="shared" si="656"/>
        <v>14</v>
      </c>
      <c r="I663" s="58">
        <f t="shared" si="656"/>
        <v>187</v>
      </c>
      <c r="J663" s="58">
        <f t="shared" si="656"/>
        <v>0</v>
      </c>
      <c r="K663" s="58">
        <f t="shared" si="656"/>
        <v>0</v>
      </c>
      <c r="L663" s="58">
        <f t="shared" si="656"/>
        <v>0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0" customHeight="1">
      <c r="A664" s="70"/>
      <c r="B664" s="71"/>
      <c r="C664" s="66"/>
      <c r="D664" s="66">
        <f t="shared" si="412"/>
        <v>0</v>
      </c>
      <c r="E664" s="67"/>
      <c r="F664" s="58">
        <f t="shared" ref="F664:L664" si="657">SUMIFS($C664,$B664,F$7)+F663</f>
        <v>168</v>
      </c>
      <c r="G664" s="58">
        <f t="shared" si="657"/>
        <v>3</v>
      </c>
      <c r="H664" s="58">
        <f t="shared" si="657"/>
        <v>14</v>
      </c>
      <c r="I664" s="58">
        <f t="shared" si="657"/>
        <v>187</v>
      </c>
      <c r="J664" s="58">
        <f t="shared" si="657"/>
        <v>0</v>
      </c>
      <c r="K664" s="58">
        <f t="shared" si="657"/>
        <v>0</v>
      </c>
      <c r="L664" s="58">
        <f t="shared" si="657"/>
        <v>0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0" customHeight="1">
      <c r="A665" s="70"/>
      <c r="B665" s="71"/>
      <c r="C665" s="66"/>
      <c r="D665" s="66">
        <f t="shared" si="412"/>
        <v>0</v>
      </c>
      <c r="E665" s="67"/>
      <c r="F665" s="58">
        <f t="shared" ref="F665:L665" si="658">SUMIFS($C665,$B665,F$7)+F664</f>
        <v>168</v>
      </c>
      <c r="G665" s="58">
        <f t="shared" si="658"/>
        <v>3</v>
      </c>
      <c r="H665" s="58">
        <f t="shared" si="658"/>
        <v>14</v>
      </c>
      <c r="I665" s="58">
        <f t="shared" si="658"/>
        <v>187</v>
      </c>
      <c r="J665" s="58">
        <f t="shared" si="658"/>
        <v>0</v>
      </c>
      <c r="K665" s="58">
        <f t="shared" si="658"/>
        <v>0</v>
      </c>
      <c r="L665" s="58">
        <f t="shared" si="658"/>
        <v>0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0" customHeight="1">
      <c r="A666" s="70"/>
      <c r="B666" s="71"/>
      <c r="C666" s="66"/>
      <c r="D666" s="66">
        <f t="shared" si="412"/>
        <v>0</v>
      </c>
      <c r="E666" s="67"/>
      <c r="F666" s="58">
        <f t="shared" ref="F666:L666" si="659">SUMIFS($C666,$B666,F$7)+F665</f>
        <v>168</v>
      </c>
      <c r="G666" s="58">
        <f t="shared" si="659"/>
        <v>3</v>
      </c>
      <c r="H666" s="58">
        <f t="shared" si="659"/>
        <v>14</v>
      </c>
      <c r="I666" s="58">
        <f t="shared" si="659"/>
        <v>187</v>
      </c>
      <c r="J666" s="58">
        <f t="shared" si="659"/>
        <v>0</v>
      </c>
      <c r="K666" s="58">
        <f t="shared" si="659"/>
        <v>0</v>
      </c>
      <c r="L666" s="58">
        <f t="shared" si="659"/>
        <v>0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0" customHeight="1">
      <c r="A667" s="70"/>
      <c r="B667" s="71"/>
      <c r="C667" s="66"/>
      <c r="D667" s="66">
        <f t="shared" si="412"/>
        <v>0</v>
      </c>
      <c r="E667" s="67"/>
      <c r="F667" s="58">
        <f t="shared" ref="F667:L667" si="660">SUMIFS($C667,$B667,F$7)+F666</f>
        <v>168</v>
      </c>
      <c r="G667" s="58">
        <f t="shared" si="660"/>
        <v>3</v>
      </c>
      <c r="H667" s="58">
        <f t="shared" si="660"/>
        <v>14</v>
      </c>
      <c r="I667" s="58">
        <f t="shared" si="660"/>
        <v>187</v>
      </c>
      <c r="J667" s="58">
        <f t="shared" si="660"/>
        <v>0</v>
      </c>
      <c r="K667" s="58">
        <f t="shared" si="660"/>
        <v>0</v>
      </c>
      <c r="L667" s="58">
        <f t="shared" si="660"/>
        <v>0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0" customHeight="1">
      <c r="A668" s="70"/>
      <c r="B668" s="71"/>
      <c r="C668" s="66"/>
      <c r="D668" s="66">
        <f t="shared" si="412"/>
        <v>0</v>
      </c>
      <c r="E668" s="67"/>
      <c r="F668" s="58">
        <f t="shared" ref="F668:L668" si="661">SUMIFS($C668,$B668,F$7)+F667</f>
        <v>168</v>
      </c>
      <c r="G668" s="58">
        <f t="shared" si="661"/>
        <v>3</v>
      </c>
      <c r="H668" s="58">
        <f t="shared" si="661"/>
        <v>14</v>
      </c>
      <c r="I668" s="58">
        <f t="shared" si="661"/>
        <v>187</v>
      </c>
      <c r="J668" s="58">
        <f t="shared" si="661"/>
        <v>0</v>
      </c>
      <c r="K668" s="58">
        <f t="shared" si="661"/>
        <v>0</v>
      </c>
      <c r="L668" s="58">
        <f t="shared" si="661"/>
        <v>0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0" customHeight="1">
      <c r="A669" s="70"/>
      <c r="B669" s="71"/>
      <c r="C669" s="66"/>
      <c r="D669" s="66">
        <f t="shared" si="412"/>
        <v>0</v>
      </c>
      <c r="E669" s="67"/>
      <c r="F669" s="58">
        <f t="shared" ref="F669:L669" si="662">SUMIFS($C669,$B669,F$7)+F668</f>
        <v>168</v>
      </c>
      <c r="G669" s="58">
        <f t="shared" si="662"/>
        <v>3</v>
      </c>
      <c r="H669" s="58">
        <f t="shared" si="662"/>
        <v>14</v>
      </c>
      <c r="I669" s="58">
        <f t="shared" si="662"/>
        <v>187</v>
      </c>
      <c r="J669" s="58">
        <f t="shared" si="662"/>
        <v>0</v>
      </c>
      <c r="K669" s="58">
        <f t="shared" si="662"/>
        <v>0</v>
      </c>
      <c r="L669" s="58">
        <f t="shared" si="662"/>
        <v>0</v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0" customHeight="1">
      <c r="A670" s="70"/>
      <c r="B670" s="71"/>
      <c r="C670" s="66"/>
      <c r="D670" s="66">
        <f t="shared" si="412"/>
        <v>0</v>
      </c>
      <c r="E670" s="67"/>
      <c r="F670" s="58">
        <f t="shared" ref="F670:L670" si="663">SUMIFS($C670,$B670,F$7)+F669</f>
        <v>168</v>
      </c>
      <c r="G670" s="58">
        <f t="shared" si="663"/>
        <v>3</v>
      </c>
      <c r="H670" s="58">
        <f t="shared" si="663"/>
        <v>14</v>
      </c>
      <c r="I670" s="58">
        <f t="shared" si="663"/>
        <v>187</v>
      </c>
      <c r="J670" s="58">
        <f t="shared" si="663"/>
        <v>0</v>
      </c>
      <c r="K670" s="58">
        <f t="shared" si="663"/>
        <v>0</v>
      </c>
      <c r="L670" s="58">
        <f t="shared" si="663"/>
        <v>0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0" customHeight="1">
      <c r="A671" s="70"/>
      <c r="B671" s="71"/>
      <c r="C671" s="66"/>
      <c r="D671" s="66">
        <f t="shared" si="412"/>
        <v>0</v>
      </c>
      <c r="E671" s="67"/>
      <c r="F671" s="58">
        <f t="shared" ref="F671:L671" si="664">SUMIFS($C671,$B671,F$7)+F670</f>
        <v>168</v>
      </c>
      <c r="G671" s="58">
        <f t="shared" si="664"/>
        <v>3</v>
      </c>
      <c r="H671" s="58">
        <f t="shared" si="664"/>
        <v>14</v>
      </c>
      <c r="I671" s="58">
        <f t="shared" si="664"/>
        <v>187</v>
      </c>
      <c r="J671" s="58">
        <f t="shared" si="664"/>
        <v>0</v>
      </c>
      <c r="K671" s="58">
        <f t="shared" si="664"/>
        <v>0</v>
      </c>
      <c r="L671" s="58">
        <f t="shared" si="664"/>
        <v>0</v>
      </c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0" customHeight="1">
      <c r="A672" s="70"/>
      <c r="B672" s="71"/>
      <c r="C672" s="66"/>
      <c r="D672" s="66">
        <f t="shared" si="412"/>
        <v>0</v>
      </c>
      <c r="E672" s="67"/>
      <c r="F672" s="58">
        <f t="shared" ref="F672:L672" si="665">SUMIFS($C672,$B672,F$7)+F671</f>
        <v>168</v>
      </c>
      <c r="G672" s="58">
        <f t="shared" si="665"/>
        <v>3</v>
      </c>
      <c r="H672" s="58">
        <f t="shared" si="665"/>
        <v>14</v>
      </c>
      <c r="I672" s="58">
        <f t="shared" si="665"/>
        <v>187</v>
      </c>
      <c r="J672" s="58">
        <f t="shared" si="665"/>
        <v>0</v>
      </c>
      <c r="K672" s="58">
        <f t="shared" si="665"/>
        <v>0</v>
      </c>
      <c r="L672" s="58">
        <f t="shared" si="665"/>
        <v>0</v>
      </c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0" customHeight="1">
      <c r="A673" s="70"/>
      <c r="B673" s="71"/>
      <c r="C673" s="66"/>
      <c r="D673" s="66">
        <f t="shared" si="412"/>
        <v>0</v>
      </c>
      <c r="E673" s="67"/>
      <c r="F673" s="58">
        <f t="shared" ref="F673:L673" si="666">SUMIFS($C673,$B673,F$7)+F672</f>
        <v>168</v>
      </c>
      <c r="G673" s="58">
        <f t="shared" si="666"/>
        <v>3</v>
      </c>
      <c r="H673" s="58">
        <f t="shared" si="666"/>
        <v>14</v>
      </c>
      <c r="I673" s="58">
        <f t="shared" si="666"/>
        <v>187</v>
      </c>
      <c r="J673" s="58">
        <f t="shared" si="666"/>
        <v>0</v>
      </c>
      <c r="K673" s="58">
        <f t="shared" si="666"/>
        <v>0</v>
      </c>
      <c r="L673" s="58">
        <f t="shared" si="666"/>
        <v>0</v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0" customHeight="1">
      <c r="A674" s="70"/>
      <c r="B674" s="71"/>
      <c r="C674" s="66"/>
      <c r="D674" s="66">
        <f t="shared" si="412"/>
        <v>0</v>
      </c>
      <c r="E674" s="67"/>
      <c r="F674" s="58">
        <f t="shared" ref="F674:L674" si="667">SUMIFS($C674,$B674,F$7)+F673</f>
        <v>168</v>
      </c>
      <c r="G674" s="58">
        <f t="shared" si="667"/>
        <v>3</v>
      </c>
      <c r="H674" s="58">
        <f t="shared" si="667"/>
        <v>14</v>
      </c>
      <c r="I674" s="58">
        <f t="shared" si="667"/>
        <v>187</v>
      </c>
      <c r="J674" s="58">
        <f t="shared" si="667"/>
        <v>0</v>
      </c>
      <c r="K674" s="58">
        <f t="shared" si="667"/>
        <v>0</v>
      </c>
      <c r="L674" s="58">
        <f t="shared" si="667"/>
        <v>0</v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0" customHeight="1">
      <c r="A675" s="70"/>
      <c r="B675" s="71"/>
      <c r="C675" s="66"/>
      <c r="D675" s="66">
        <f t="shared" si="412"/>
        <v>0</v>
      </c>
      <c r="E675" s="67"/>
      <c r="F675" s="58">
        <f t="shared" ref="F675:L675" si="668">SUMIFS($C675,$B675,F$7)+F674</f>
        <v>168</v>
      </c>
      <c r="G675" s="58">
        <f t="shared" si="668"/>
        <v>3</v>
      </c>
      <c r="H675" s="58">
        <f t="shared" si="668"/>
        <v>14</v>
      </c>
      <c r="I675" s="58">
        <f t="shared" si="668"/>
        <v>187</v>
      </c>
      <c r="J675" s="58">
        <f t="shared" si="668"/>
        <v>0</v>
      </c>
      <c r="K675" s="58">
        <f t="shared" si="668"/>
        <v>0</v>
      </c>
      <c r="L675" s="58">
        <f t="shared" si="668"/>
        <v>0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0" customHeight="1">
      <c r="A676" s="70"/>
      <c r="B676" s="71"/>
      <c r="C676" s="66"/>
      <c r="D676" s="66">
        <f t="shared" si="412"/>
        <v>0</v>
      </c>
      <c r="E676" s="67"/>
      <c r="F676" s="58">
        <f t="shared" ref="F676:L676" si="669">SUMIFS($C676,$B676,F$7)+F675</f>
        <v>168</v>
      </c>
      <c r="G676" s="58">
        <f t="shared" si="669"/>
        <v>3</v>
      </c>
      <c r="H676" s="58">
        <f t="shared" si="669"/>
        <v>14</v>
      </c>
      <c r="I676" s="58">
        <f t="shared" si="669"/>
        <v>187</v>
      </c>
      <c r="J676" s="58">
        <f t="shared" si="669"/>
        <v>0</v>
      </c>
      <c r="K676" s="58">
        <f t="shared" si="669"/>
        <v>0</v>
      </c>
      <c r="L676" s="58">
        <f t="shared" si="669"/>
        <v>0</v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0" customHeight="1">
      <c r="A677" s="70"/>
      <c r="B677" s="71"/>
      <c r="C677" s="66"/>
      <c r="D677" s="66">
        <f t="shared" si="412"/>
        <v>0</v>
      </c>
      <c r="E677" s="67"/>
      <c r="F677" s="58">
        <f t="shared" ref="F677:L677" si="670">SUMIFS($C677,$B677,F$7)+F676</f>
        <v>168</v>
      </c>
      <c r="G677" s="58">
        <f t="shared" si="670"/>
        <v>3</v>
      </c>
      <c r="H677" s="58">
        <f t="shared" si="670"/>
        <v>14</v>
      </c>
      <c r="I677" s="58">
        <f t="shared" si="670"/>
        <v>187</v>
      </c>
      <c r="J677" s="58">
        <f t="shared" si="670"/>
        <v>0</v>
      </c>
      <c r="K677" s="58">
        <f t="shared" si="670"/>
        <v>0</v>
      </c>
      <c r="L677" s="58">
        <f t="shared" si="670"/>
        <v>0</v>
      </c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0" customHeight="1">
      <c r="A678" s="70"/>
      <c r="B678" s="71"/>
      <c r="C678" s="66"/>
      <c r="D678" s="66">
        <f t="shared" si="412"/>
        <v>0</v>
      </c>
      <c r="E678" s="67"/>
      <c r="F678" s="58">
        <f t="shared" ref="F678:L678" si="671">SUMIFS($C678,$B678,F$7)+F677</f>
        <v>168</v>
      </c>
      <c r="G678" s="58">
        <f t="shared" si="671"/>
        <v>3</v>
      </c>
      <c r="H678" s="58">
        <f t="shared" si="671"/>
        <v>14</v>
      </c>
      <c r="I678" s="58">
        <f t="shared" si="671"/>
        <v>187</v>
      </c>
      <c r="J678" s="58">
        <f t="shared" si="671"/>
        <v>0</v>
      </c>
      <c r="K678" s="58">
        <f t="shared" si="671"/>
        <v>0</v>
      </c>
      <c r="L678" s="58">
        <f t="shared" si="671"/>
        <v>0</v>
      </c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0" customHeight="1">
      <c r="A679" s="70"/>
      <c r="B679" s="71"/>
      <c r="C679" s="66"/>
      <c r="D679" s="66">
        <f t="shared" si="412"/>
        <v>0</v>
      </c>
      <c r="E679" s="67"/>
      <c r="F679" s="58">
        <f t="shared" ref="F679:L679" si="672">SUMIFS($C679,$B679,F$7)+F678</f>
        <v>168</v>
      </c>
      <c r="G679" s="58">
        <f t="shared" si="672"/>
        <v>3</v>
      </c>
      <c r="H679" s="58">
        <f t="shared" si="672"/>
        <v>14</v>
      </c>
      <c r="I679" s="58">
        <f t="shared" si="672"/>
        <v>187</v>
      </c>
      <c r="J679" s="58">
        <f t="shared" si="672"/>
        <v>0</v>
      </c>
      <c r="K679" s="58">
        <f t="shared" si="672"/>
        <v>0</v>
      </c>
      <c r="L679" s="58">
        <f t="shared" si="672"/>
        <v>0</v>
      </c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0" customHeight="1">
      <c r="A680" s="70"/>
      <c r="B680" s="71"/>
      <c r="C680" s="66"/>
      <c r="D680" s="66">
        <f t="shared" si="412"/>
        <v>0</v>
      </c>
      <c r="E680" s="67"/>
      <c r="F680" s="58">
        <f t="shared" ref="F680:L680" si="673">SUMIFS($C680,$B680,F$7)+F679</f>
        <v>168</v>
      </c>
      <c r="G680" s="58">
        <f t="shared" si="673"/>
        <v>3</v>
      </c>
      <c r="H680" s="58">
        <f t="shared" si="673"/>
        <v>14</v>
      </c>
      <c r="I680" s="58">
        <f t="shared" si="673"/>
        <v>187</v>
      </c>
      <c r="J680" s="58">
        <f t="shared" si="673"/>
        <v>0</v>
      </c>
      <c r="K680" s="58">
        <f t="shared" si="673"/>
        <v>0</v>
      </c>
      <c r="L680" s="58">
        <f t="shared" si="673"/>
        <v>0</v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0" customHeight="1">
      <c r="A681" s="70"/>
      <c r="B681" s="71"/>
      <c r="C681" s="66"/>
      <c r="D681" s="66">
        <f t="shared" si="412"/>
        <v>0</v>
      </c>
      <c r="E681" s="67"/>
      <c r="F681" s="58">
        <f t="shared" ref="F681:L681" si="674">SUMIFS($C681,$B681,F$7)+F680</f>
        <v>168</v>
      </c>
      <c r="G681" s="58">
        <f t="shared" si="674"/>
        <v>3</v>
      </c>
      <c r="H681" s="58">
        <f t="shared" si="674"/>
        <v>14</v>
      </c>
      <c r="I681" s="58">
        <f t="shared" si="674"/>
        <v>187</v>
      </c>
      <c r="J681" s="58">
        <f t="shared" si="674"/>
        <v>0</v>
      </c>
      <c r="K681" s="58">
        <f t="shared" si="674"/>
        <v>0</v>
      </c>
      <c r="L681" s="58">
        <f t="shared" si="674"/>
        <v>0</v>
      </c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0" customHeight="1">
      <c r="A682" s="70"/>
      <c r="B682" s="71"/>
      <c r="C682" s="66"/>
      <c r="D682" s="66">
        <f t="shared" si="412"/>
        <v>0</v>
      </c>
      <c r="E682" s="67"/>
      <c r="F682" s="58">
        <f t="shared" ref="F682:L682" si="675">SUMIFS($C682,$B682,F$7)+F681</f>
        <v>168</v>
      </c>
      <c r="G682" s="58">
        <f t="shared" si="675"/>
        <v>3</v>
      </c>
      <c r="H682" s="58">
        <f t="shared" si="675"/>
        <v>14</v>
      </c>
      <c r="I682" s="58">
        <f t="shared" si="675"/>
        <v>187</v>
      </c>
      <c r="J682" s="58">
        <f t="shared" si="675"/>
        <v>0</v>
      </c>
      <c r="K682" s="58">
        <f t="shared" si="675"/>
        <v>0</v>
      </c>
      <c r="L682" s="58">
        <f t="shared" si="675"/>
        <v>0</v>
      </c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0" customHeight="1">
      <c r="A683" s="70"/>
      <c r="B683" s="71"/>
      <c r="C683" s="66"/>
      <c r="D683" s="66">
        <f t="shared" si="412"/>
        <v>0</v>
      </c>
      <c r="E683" s="67"/>
      <c r="F683" s="58">
        <f t="shared" ref="F683:L683" si="676">SUMIFS($C683,$B683,F$7)+F682</f>
        <v>168</v>
      </c>
      <c r="G683" s="58">
        <f t="shared" si="676"/>
        <v>3</v>
      </c>
      <c r="H683" s="58">
        <f t="shared" si="676"/>
        <v>14</v>
      </c>
      <c r="I683" s="58">
        <f t="shared" si="676"/>
        <v>187</v>
      </c>
      <c r="J683" s="58">
        <f t="shared" si="676"/>
        <v>0</v>
      </c>
      <c r="K683" s="58">
        <f t="shared" si="676"/>
        <v>0</v>
      </c>
      <c r="L683" s="58">
        <f t="shared" si="676"/>
        <v>0</v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0" customHeight="1">
      <c r="A684" s="70"/>
      <c r="B684" s="71"/>
      <c r="C684" s="66"/>
      <c r="D684" s="66">
        <f t="shared" si="412"/>
        <v>0</v>
      </c>
      <c r="E684" s="67"/>
      <c r="F684" s="58">
        <f t="shared" ref="F684:L684" si="677">SUMIFS($C684,$B684,F$7)+F683</f>
        <v>168</v>
      </c>
      <c r="G684" s="58">
        <f t="shared" si="677"/>
        <v>3</v>
      </c>
      <c r="H684" s="58">
        <f t="shared" si="677"/>
        <v>14</v>
      </c>
      <c r="I684" s="58">
        <f t="shared" si="677"/>
        <v>187</v>
      </c>
      <c r="J684" s="58">
        <f t="shared" si="677"/>
        <v>0</v>
      </c>
      <c r="K684" s="58">
        <f t="shared" si="677"/>
        <v>0</v>
      </c>
      <c r="L684" s="58">
        <f t="shared" si="677"/>
        <v>0</v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0" customHeight="1">
      <c r="A685" s="70"/>
      <c r="B685" s="71"/>
      <c r="C685" s="66"/>
      <c r="D685" s="66">
        <f t="shared" si="412"/>
        <v>0</v>
      </c>
      <c r="E685" s="67"/>
      <c r="F685" s="58">
        <f t="shared" ref="F685:L685" si="678">SUMIFS($C685,$B685,F$7)+F684</f>
        <v>168</v>
      </c>
      <c r="G685" s="58">
        <f t="shared" si="678"/>
        <v>3</v>
      </c>
      <c r="H685" s="58">
        <f t="shared" si="678"/>
        <v>14</v>
      </c>
      <c r="I685" s="58">
        <f t="shared" si="678"/>
        <v>187</v>
      </c>
      <c r="J685" s="58">
        <f t="shared" si="678"/>
        <v>0</v>
      </c>
      <c r="K685" s="58">
        <f t="shared" si="678"/>
        <v>0</v>
      </c>
      <c r="L685" s="58">
        <f t="shared" si="678"/>
        <v>0</v>
      </c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0" customHeight="1">
      <c r="A686" s="70"/>
      <c r="B686" s="71"/>
      <c r="C686" s="66"/>
      <c r="D686" s="66">
        <f t="shared" si="412"/>
        <v>0</v>
      </c>
      <c r="E686" s="67"/>
      <c r="F686" s="58">
        <f t="shared" ref="F686:L686" si="679">SUMIFS($C686,$B686,F$7)+F685</f>
        <v>168</v>
      </c>
      <c r="G686" s="58">
        <f t="shared" si="679"/>
        <v>3</v>
      </c>
      <c r="H686" s="58">
        <f t="shared" si="679"/>
        <v>14</v>
      </c>
      <c r="I686" s="58">
        <f t="shared" si="679"/>
        <v>187</v>
      </c>
      <c r="J686" s="58">
        <f t="shared" si="679"/>
        <v>0</v>
      </c>
      <c r="K686" s="58">
        <f t="shared" si="679"/>
        <v>0</v>
      </c>
      <c r="L686" s="58">
        <f t="shared" si="679"/>
        <v>0</v>
      </c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0" customHeight="1">
      <c r="A687" s="70"/>
      <c r="B687" s="71"/>
      <c r="C687" s="66"/>
      <c r="D687" s="66">
        <f t="shared" si="412"/>
        <v>0</v>
      </c>
      <c r="E687" s="67"/>
      <c r="F687" s="58">
        <f t="shared" ref="F687:L687" si="680">SUMIFS($C687,$B687,F$7)+F686</f>
        <v>168</v>
      </c>
      <c r="G687" s="58">
        <f t="shared" si="680"/>
        <v>3</v>
      </c>
      <c r="H687" s="58">
        <f t="shared" si="680"/>
        <v>14</v>
      </c>
      <c r="I687" s="58">
        <f t="shared" si="680"/>
        <v>187</v>
      </c>
      <c r="J687" s="58">
        <f t="shared" si="680"/>
        <v>0</v>
      </c>
      <c r="K687" s="58">
        <f t="shared" si="680"/>
        <v>0</v>
      </c>
      <c r="L687" s="58">
        <f t="shared" si="680"/>
        <v>0</v>
      </c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0" customHeight="1">
      <c r="A688" s="70"/>
      <c r="B688" s="71"/>
      <c r="C688" s="66"/>
      <c r="D688" s="66">
        <f t="shared" si="412"/>
        <v>0</v>
      </c>
      <c r="E688" s="67"/>
      <c r="F688" s="58">
        <f t="shared" ref="F688:L688" si="681">SUMIFS($C688,$B688,F$7)+F687</f>
        <v>168</v>
      </c>
      <c r="G688" s="58">
        <f t="shared" si="681"/>
        <v>3</v>
      </c>
      <c r="H688" s="58">
        <f t="shared" si="681"/>
        <v>14</v>
      </c>
      <c r="I688" s="58">
        <f t="shared" si="681"/>
        <v>187</v>
      </c>
      <c r="J688" s="58">
        <f t="shared" si="681"/>
        <v>0</v>
      </c>
      <c r="K688" s="58">
        <f t="shared" si="681"/>
        <v>0</v>
      </c>
      <c r="L688" s="58">
        <f t="shared" si="681"/>
        <v>0</v>
      </c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0" customHeight="1">
      <c r="A689" s="70"/>
      <c r="B689" s="71"/>
      <c r="C689" s="66"/>
      <c r="D689" s="66">
        <f t="shared" si="412"/>
        <v>0</v>
      </c>
      <c r="E689" s="67"/>
      <c r="F689" s="58">
        <f t="shared" ref="F689:L689" si="682">SUMIFS($C689,$B689,F$7)+F688</f>
        <v>168</v>
      </c>
      <c r="G689" s="58">
        <f t="shared" si="682"/>
        <v>3</v>
      </c>
      <c r="H689" s="58">
        <f t="shared" si="682"/>
        <v>14</v>
      </c>
      <c r="I689" s="58">
        <f t="shared" si="682"/>
        <v>187</v>
      </c>
      <c r="J689" s="58">
        <f t="shared" si="682"/>
        <v>0</v>
      </c>
      <c r="K689" s="58">
        <f t="shared" si="682"/>
        <v>0</v>
      </c>
      <c r="L689" s="58">
        <f t="shared" si="682"/>
        <v>0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0" customHeight="1">
      <c r="A690" s="70"/>
      <c r="B690" s="71"/>
      <c r="C690" s="66"/>
      <c r="D690" s="66">
        <f t="shared" si="412"/>
        <v>0</v>
      </c>
      <c r="E690" s="67"/>
      <c r="F690" s="58">
        <f t="shared" ref="F690:L690" si="683">SUMIFS($C690,$B690,F$7)+F689</f>
        <v>168</v>
      </c>
      <c r="G690" s="58">
        <f t="shared" si="683"/>
        <v>3</v>
      </c>
      <c r="H690" s="58">
        <f t="shared" si="683"/>
        <v>14</v>
      </c>
      <c r="I690" s="58">
        <f t="shared" si="683"/>
        <v>187</v>
      </c>
      <c r="J690" s="58">
        <f t="shared" si="683"/>
        <v>0</v>
      </c>
      <c r="K690" s="58">
        <f t="shared" si="683"/>
        <v>0</v>
      </c>
      <c r="L690" s="58">
        <f t="shared" si="683"/>
        <v>0</v>
      </c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0" customHeight="1">
      <c r="A691" s="70"/>
      <c r="B691" s="71"/>
      <c r="C691" s="66"/>
      <c r="D691" s="66">
        <f t="shared" si="412"/>
        <v>0</v>
      </c>
      <c r="E691" s="67"/>
      <c r="F691" s="58">
        <f t="shared" ref="F691:L691" si="684">SUMIFS($C691,$B691,F$7)+F690</f>
        <v>168</v>
      </c>
      <c r="G691" s="58">
        <f t="shared" si="684"/>
        <v>3</v>
      </c>
      <c r="H691" s="58">
        <f t="shared" si="684"/>
        <v>14</v>
      </c>
      <c r="I691" s="58">
        <f t="shared" si="684"/>
        <v>187</v>
      </c>
      <c r="J691" s="58">
        <f t="shared" si="684"/>
        <v>0</v>
      </c>
      <c r="K691" s="58">
        <f t="shared" si="684"/>
        <v>0</v>
      </c>
      <c r="L691" s="58">
        <f t="shared" si="684"/>
        <v>0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0" customHeight="1">
      <c r="A692" s="70"/>
      <c r="B692" s="71"/>
      <c r="C692" s="66"/>
      <c r="D692" s="66">
        <f t="shared" si="412"/>
        <v>0</v>
      </c>
      <c r="E692" s="67"/>
      <c r="F692" s="58">
        <f t="shared" ref="F692:L692" si="685">SUMIFS($C692,$B692,F$7)+F691</f>
        <v>168</v>
      </c>
      <c r="G692" s="58">
        <f t="shared" si="685"/>
        <v>3</v>
      </c>
      <c r="H692" s="58">
        <f t="shared" si="685"/>
        <v>14</v>
      </c>
      <c r="I692" s="58">
        <f t="shared" si="685"/>
        <v>187</v>
      </c>
      <c r="J692" s="58">
        <f t="shared" si="685"/>
        <v>0</v>
      </c>
      <c r="K692" s="58">
        <f t="shared" si="685"/>
        <v>0</v>
      </c>
      <c r="L692" s="58">
        <f t="shared" si="685"/>
        <v>0</v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0" customHeight="1">
      <c r="A693" s="70"/>
      <c r="B693" s="71"/>
      <c r="C693" s="66"/>
      <c r="D693" s="66">
        <f t="shared" si="412"/>
        <v>0</v>
      </c>
      <c r="E693" s="67"/>
      <c r="F693" s="58">
        <f t="shared" ref="F693:L693" si="686">SUMIFS($C693,$B693,F$7)+F692</f>
        <v>168</v>
      </c>
      <c r="G693" s="58">
        <f t="shared" si="686"/>
        <v>3</v>
      </c>
      <c r="H693" s="58">
        <f t="shared" si="686"/>
        <v>14</v>
      </c>
      <c r="I693" s="58">
        <f t="shared" si="686"/>
        <v>187</v>
      </c>
      <c r="J693" s="58">
        <f t="shared" si="686"/>
        <v>0</v>
      </c>
      <c r="K693" s="58">
        <f t="shared" si="686"/>
        <v>0</v>
      </c>
      <c r="L693" s="58">
        <f t="shared" si="686"/>
        <v>0</v>
      </c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0" customHeight="1">
      <c r="A694" s="70"/>
      <c r="B694" s="71"/>
      <c r="C694" s="66"/>
      <c r="D694" s="66">
        <f t="shared" si="412"/>
        <v>0</v>
      </c>
      <c r="E694" s="67"/>
      <c r="F694" s="58">
        <f t="shared" ref="F694:L694" si="687">SUMIFS($C694,$B694,F$7)+F693</f>
        <v>168</v>
      </c>
      <c r="G694" s="58">
        <f t="shared" si="687"/>
        <v>3</v>
      </c>
      <c r="H694" s="58">
        <f t="shared" si="687"/>
        <v>14</v>
      </c>
      <c r="I694" s="58">
        <f t="shared" si="687"/>
        <v>187</v>
      </c>
      <c r="J694" s="58">
        <f t="shared" si="687"/>
        <v>0</v>
      </c>
      <c r="K694" s="58">
        <f t="shared" si="687"/>
        <v>0</v>
      </c>
      <c r="L694" s="58">
        <f t="shared" si="687"/>
        <v>0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0" customHeight="1">
      <c r="A695" s="70"/>
      <c r="B695" s="71"/>
      <c r="C695" s="66"/>
      <c r="D695" s="66">
        <f t="shared" si="412"/>
        <v>0</v>
      </c>
      <c r="E695" s="67"/>
      <c r="F695" s="58">
        <f t="shared" ref="F695:L695" si="688">SUMIFS($C695,$B695,F$7)+F694</f>
        <v>168</v>
      </c>
      <c r="G695" s="58">
        <f t="shared" si="688"/>
        <v>3</v>
      </c>
      <c r="H695" s="58">
        <f t="shared" si="688"/>
        <v>14</v>
      </c>
      <c r="I695" s="58">
        <f t="shared" si="688"/>
        <v>187</v>
      </c>
      <c r="J695" s="58">
        <f t="shared" si="688"/>
        <v>0</v>
      </c>
      <c r="K695" s="58">
        <f t="shared" si="688"/>
        <v>0</v>
      </c>
      <c r="L695" s="58">
        <f t="shared" si="688"/>
        <v>0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0" customHeight="1">
      <c r="A696" s="70"/>
      <c r="B696" s="71"/>
      <c r="C696" s="66"/>
      <c r="D696" s="66">
        <f t="shared" si="412"/>
        <v>0</v>
      </c>
      <c r="E696" s="67"/>
      <c r="F696" s="58">
        <f t="shared" ref="F696:L696" si="689">SUMIFS($C696,$B696,F$7)+F695</f>
        <v>168</v>
      </c>
      <c r="G696" s="58">
        <f t="shared" si="689"/>
        <v>3</v>
      </c>
      <c r="H696" s="58">
        <f t="shared" si="689"/>
        <v>14</v>
      </c>
      <c r="I696" s="58">
        <f t="shared" si="689"/>
        <v>187</v>
      </c>
      <c r="J696" s="58">
        <f t="shared" si="689"/>
        <v>0</v>
      </c>
      <c r="K696" s="58">
        <f t="shared" si="689"/>
        <v>0</v>
      </c>
      <c r="L696" s="58">
        <f t="shared" si="689"/>
        <v>0</v>
      </c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0" customHeight="1">
      <c r="A697" s="70"/>
      <c r="B697" s="71"/>
      <c r="C697" s="66"/>
      <c r="D697" s="66">
        <f t="shared" si="412"/>
        <v>0</v>
      </c>
      <c r="E697" s="67"/>
      <c r="F697" s="58">
        <f t="shared" ref="F697:L697" si="690">SUMIFS($C697,$B697,F$7)+F696</f>
        <v>168</v>
      </c>
      <c r="G697" s="58">
        <f t="shared" si="690"/>
        <v>3</v>
      </c>
      <c r="H697" s="58">
        <f t="shared" si="690"/>
        <v>14</v>
      </c>
      <c r="I697" s="58">
        <f t="shared" si="690"/>
        <v>187</v>
      </c>
      <c r="J697" s="58">
        <f t="shared" si="690"/>
        <v>0</v>
      </c>
      <c r="K697" s="58">
        <f t="shared" si="690"/>
        <v>0</v>
      </c>
      <c r="L697" s="58">
        <f t="shared" si="690"/>
        <v>0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0" customHeight="1">
      <c r="A698" s="70"/>
      <c r="B698" s="71"/>
      <c r="C698" s="66"/>
      <c r="D698" s="66">
        <f t="shared" si="412"/>
        <v>0</v>
      </c>
      <c r="E698" s="67"/>
      <c r="F698" s="58">
        <f t="shared" ref="F698:L698" si="691">SUMIFS($C698,$B698,F$7)+F697</f>
        <v>168</v>
      </c>
      <c r="G698" s="58">
        <f t="shared" si="691"/>
        <v>3</v>
      </c>
      <c r="H698" s="58">
        <f t="shared" si="691"/>
        <v>14</v>
      </c>
      <c r="I698" s="58">
        <f t="shared" si="691"/>
        <v>187</v>
      </c>
      <c r="J698" s="58">
        <f t="shared" si="691"/>
        <v>0</v>
      </c>
      <c r="K698" s="58">
        <f t="shared" si="691"/>
        <v>0</v>
      </c>
      <c r="L698" s="58">
        <f t="shared" si="691"/>
        <v>0</v>
      </c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0" customHeight="1">
      <c r="A699" s="70"/>
      <c r="B699" s="71"/>
      <c r="C699" s="66"/>
      <c r="D699" s="66">
        <f t="shared" si="412"/>
        <v>0</v>
      </c>
      <c r="E699" s="67"/>
      <c r="F699" s="58">
        <f t="shared" ref="F699:L699" si="692">SUMIFS($C699,$B699,F$7)+F698</f>
        <v>168</v>
      </c>
      <c r="G699" s="58">
        <f t="shared" si="692"/>
        <v>3</v>
      </c>
      <c r="H699" s="58">
        <f t="shared" si="692"/>
        <v>14</v>
      </c>
      <c r="I699" s="58">
        <f t="shared" si="692"/>
        <v>187</v>
      </c>
      <c r="J699" s="58">
        <f t="shared" si="692"/>
        <v>0</v>
      </c>
      <c r="K699" s="58">
        <f t="shared" si="692"/>
        <v>0</v>
      </c>
      <c r="L699" s="58">
        <f t="shared" si="692"/>
        <v>0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0" customHeight="1">
      <c r="A700" s="70"/>
      <c r="B700" s="71"/>
      <c r="C700" s="66"/>
      <c r="D700" s="66">
        <f t="shared" si="412"/>
        <v>0</v>
      </c>
      <c r="E700" s="67"/>
      <c r="F700" s="58">
        <f t="shared" ref="F700:L700" si="693">SUMIFS($C700,$B700,F$7)+F699</f>
        <v>168</v>
      </c>
      <c r="G700" s="58">
        <f t="shared" si="693"/>
        <v>3</v>
      </c>
      <c r="H700" s="58">
        <f t="shared" si="693"/>
        <v>14</v>
      </c>
      <c r="I700" s="58">
        <f t="shared" si="693"/>
        <v>187</v>
      </c>
      <c r="J700" s="58">
        <f t="shared" si="693"/>
        <v>0</v>
      </c>
      <c r="K700" s="58">
        <f t="shared" si="693"/>
        <v>0</v>
      </c>
      <c r="L700" s="58">
        <f t="shared" si="693"/>
        <v>0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0" customHeight="1">
      <c r="A701" s="70"/>
      <c r="B701" s="71"/>
      <c r="C701" s="66"/>
      <c r="D701" s="66">
        <f t="shared" si="412"/>
        <v>0</v>
      </c>
      <c r="E701" s="67"/>
      <c r="F701" s="58">
        <f t="shared" ref="F701:L701" si="694">SUMIFS($C701,$B701,F$7)+F700</f>
        <v>168</v>
      </c>
      <c r="G701" s="58">
        <f t="shared" si="694"/>
        <v>3</v>
      </c>
      <c r="H701" s="58">
        <f t="shared" si="694"/>
        <v>14</v>
      </c>
      <c r="I701" s="58">
        <f t="shared" si="694"/>
        <v>187</v>
      </c>
      <c r="J701" s="58">
        <f t="shared" si="694"/>
        <v>0</v>
      </c>
      <c r="K701" s="58">
        <f t="shared" si="694"/>
        <v>0</v>
      </c>
      <c r="L701" s="58">
        <f t="shared" si="694"/>
        <v>0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0" customHeight="1">
      <c r="A702" s="70"/>
      <c r="B702" s="71"/>
      <c r="C702" s="66"/>
      <c r="D702" s="66">
        <f t="shared" si="412"/>
        <v>0</v>
      </c>
      <c r="E702" s="67"/>
      <c r="F702" s="58">
        <f t="shared" ref="F702:L702" si="695">SUMIFS($C702,$B702,F$7)+F701</f>
        <v>168</v>
      </c>
      <c r="G702" s="58">
        <f t="shared" si="695"/>
        <v>3</v>
      </c>
      <c r="H702" s="58">
        <f t="shared" si="695"/>
        <v>14</v>
      </c>
      <c r="I702" s="58">
        <f t="shared" si="695"/>
        <v>187</v>
      </c>
      <c r="J702" s="58">
        <f t="shared" si="695"/>
        <v>0</v>
      </c>
      <c r="K702" s="58">
        <f t="shared" si="695"/>
        <v>0</v>
      </c>
      <c r="L702" s="58">
        <f t="shared" si="695"/>
        <v>0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0" customHeight="1">
      <c r="A703" s="70"/>
      <c r="B703" s="71"/>
      <c r="C703" s="66"/>
      <c r="D703" s="66">
        <f t="shared" si="412"/>
        <v>0</v>
      </c>
      <c r="E703" s="67"/>
      <c r="F703" s="58">
        <f t="shared" ref="F703:L703" si="696">SUMIFS($C703,$B703,F$7)+F702</f>
        <v>168</v>
      </c>
      <c r="G703" s="58">
        <f t="shared" si="696"/>
        <v>3</v>
      </c>
      <c r="H703" s="58">
        <f t="shared" si="696"/>
        <v>14</v>
      </c>
      <c r="I703" s="58">
        <f t="shared" si="696"/>
        <v>187</v>
      </c>
      <c r="J703" s="58">
        <f t="shared" si="696"/>
        <v>0</v>
      </c>
      <c r="K703" s="58">
        <f t="shared" si="696"/>
        <v>0</v>
      </c>
      <c r="L703" s="58">
        <f t="shared" si="696"/>
        <v>0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0" customHeight="1">
      <c r="A704" s="70"/>
      <c r="B704" s="71"/>
      <c r="C704" s="66"/>
      <c r="D704" s="66">
        <f t="shared" si="412"/>
        <v>0</v>
      </c>
      <c r="E704" s="67"/>
      <c r="F704" s="58">
        <f t="shared" ref="F704:L704" si="697">SUMIFS($C704,$B704,F$7)+F703</f>
        <v>168</v>
      </c>
      <c r="G704" s="58">
        <f t="shared" si="697"/>
        <v>3</v>
      </c>
      <c r="H704" s="58">
        <f t="shared" si="697"/>
        <v>14</v>
      </c>
      <c r="I704" s="58">
        <f t="shared" si="697"/>
        <v>187</v>
      </c>
      <c r="J704" s="58">
        <f t="shared" si="697"/>
        <v>0</v>
      </c>
      <c r="K704" s="58">
        <f t="shared" si="697"/>
        <v>0</v>
      </c>
      <c r="L704" s="58">
        <f t="shared" si="697"/>
        <v>0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0" customHeight="1">
      <c r="A705" s="70"/>
      <c r="B705" s="71"/>
      <c r="C705" s="66"/>
      <c r="D705" s="66">
        <f t="shared" si="412"/>
        <v>0</v>
      </c>
      <c r="E705" s="67"/>
      <c r="F705" s="58">
        <f t="shared" ref="F705:L705" si="698">SUMIFS($C705,$B705,F$7)+F704</f>
        <v>168</v>
      </c>
      <c r="G705" s="58">
        <f t="shared" si="698"/>
        <v>3</v>
      </c>
      <c r="H705" s="58">
        <f t="shared" si="698"/>
        <v>14</v>
      </c>
      <c r="I705" s="58">
        <f t="shared" si="698"/>
        <v>187</v>
      </c>
      <c r="J705" s="58">
        <f t="shared" si="698"/>
        <v>0</v>
      </c>
      <c r="K705" s="58">
        <f t="shared" si="698"/>
        <v>0</v>
      </c>
      <c r="L705" s="58">
        <f t="shared" si="698"/>
        <v>0</v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0" customHeight="1">
      <c r="A706" s="70"/>
      <c r="B706" s="71"/>
      <c r="C706" s="66"/>
      <c r="D706" s="66">
        <f t="shared" si="412"/>
        <v>0</v>
      </c>
      <c r="E706" s="67"/>
      <c r="F706" s="58">
        <f t="shared" ref="F706:L706" si="699">SUMIFS($C706,$B706,F$7)+F705</f>
        <v>168</v>
      </c>
      <c r="G706" s="58">
        <f t="shared" si="699"/>
        <v>3</v>
      </c>
      <c r="H706" s="58">
        <f t="shared" si="699"/>
        <v>14</v>
      </c>
      <c r="I706" s="58">
        <f t="shared" si="699"/>
        <v>187</v>
      </c>
      <c r="J706" s="58">
        <f t="shared" si="699"/>
        <v>0</v>
      </c>
      <c r="K706" s="58">
        <f t="shared" si="699"/>
        <v>0</v>
      </c>
      <c r="L706" s="58">
        <f t="shared" si="699"/>
        <v>0</v>
      </c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0" customHeight="1">
      <c r="A707" s="70"/>
      <c r="B707" s="71"/>
      <c r="C707" s="66"/>
      <c r="D707" s="66">
        <f t="shared" si="412"/>
        <v>0</v>
      </c>
      <c r="E707" s="67"/>
      <c r="F707" s="58">
        <f t="shared" ref="F707:L707" si="700">SUMIFS($C707,$B707,F$7)+F706</f>
        <v>168</v>
      </c>
      <c r="G707" s="58">
        <f t="shared" si="700"/>
        <v>3</v>
      </c>
      <c r="H707" s="58">
        <f t="shared" si="700"/>
        <v>14</v>
      </c>
      <c r="I707" s="58">
        <f t="shared" si="700"/>
        <v>187</v>
      </c>
      <c r="J707" s="58">
        <f t="shared" si="700"/>
        <v>0</v>
      </c>
      <c r="K707" s="58">
        <f t="shared" si="700"/>
        <v>0</v>
      </c>
      <c r="L707" s="58">
        <f t="shared" si="700"/>
        <v>0</v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0" customHeight="1">
      <c r="A708" s="70"/>
      <c r="B708" s="71"/>
      <c r="C708" s="66"/>
      <c r="D708" s="66">
        <f t="shared" si="412"/>
        <v>0</v>
      </c>
      <c r="E708" s="67"/>
      <c r="F708" s="58">
        <f t="shared" ref="F708:L708" si="701">SUMIFS($C708,$B708,F$7)+F707</f>
        <v>168</v>
      </c>
      <c r="G708" s="58">
        <f t="shared" si="701"/>
        <v>3</v>
      </c>
      <c r="H708" s="58">
        <f t="shared" si="701"/>
        <v>14</v>
      </c>
      <c r="I708" s="58">
        <f t="shared" si="701"/>
        <v>187</v>
      </c>
      <c r="J708" s="58">
        <f t="shared" si="701"/>
        <v>0</v>
      </c>
      <c r="K708" s="58">
        <f t="shared" si="701"/>
        <v>0</v>
      </c>
      <c r="L708" s="58">
        <f t="shared" si="701"/>
        <v>0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0" customHeight="1">
      <c r="A709" s="70"/>
      <c r="B709" s="71"/>
      <c r="C709" s="66"/>
      <c r="D709" s="66">
        <f t="shared" si="412"/>
        <v>0</v>
      </c>
      <c r="E709" s="67"/>
      <c r="F709" s="58">
        <f t="shared" ref="F709:L709" si="702">SUMIFS($C709,$B709,F$7)+F708</f>
        <v>168</v>
      </c>
      <c r="G709" s="58">
        <f t="shared" si="702"/>
        <v>3</v>
      </c>
      <c r="H709" s="58">
        <f t="shared" si="702"/>
        <v>14</v>
      </c>
      <c r="I709" s="58">
        <f t="shared" si="702"/>
        <v>187</v>
      </c>
      <c r="J709" s="58">
        <f t="shared" si="702"/>
        <v>0</v>
      </c>
      <c r="K709" s="58">
        <f t="shared" si="702"/>
        <v>0</v>
      </c>
      <c r="L709" s="58">
        <f t="shared" si="702"/>
        <v>0</v>
      </c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0" customHeight="1">
      <c r="A710" s="70"/>
      <c r="B710" s="71"/>
      <c r="C710" s="66"/>
      <c r="D710" s="66">
        <f t="shared" si="412"/>
        <v>0</v>
      </c>
      <c r="E710" s="67"/>
      <c r="F710" s="58">
        <f t="shared" ref="F710:L710" si="703">SUMIFS($C710,$B710,F$7)+F709</f>
        <v>168</v>
      </c>
      <c r="G710" s="58">
        <f t="shared" si="703"/>
        <v>3</v>
      </c>
      <c r="H710" s="58">
        <f t="shared" si="703"/>
        <v>14</v>
      </c>
      <c r="I710" s="58">
        <f t="shared" si="703"/>
        <v>187</v>
      </c>
      <c r="J710" s="58">
        <f t="shared" si="703"/>
        <v>0</v>
      </c>
      <c r="K710" s="58">
        <f t="shared" si="703"/>
        <v>0</v>
      </c>
      <c r="L710" s="58">
        <f t="shared" si="703"/>
        <v>0</v>
      </c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0" customHeight="1">
      <c r="A711" s="70"/>
      <c r="B711" s="71"/>
      <c r="C711" s="66"/>
      <c r="D711" s="66">
        <f t="shared" si="412"/>
        <v>0</v>
      </c>
      <c r="E711" s="67"/>
      <c r="F711" s="58">
        <f t="shared" ref="F711:L711" si="704">SUMIFS($C711,$B711,F$7)+F710</f>
        <v>168</v>
      </c>
      <c r="G711" s="58">
        <f t="shared" si="704"/>
        <v>3</v>
      </c>
      <c r="H711" s="58">
        <f t="shared" si="704"/>
        <v>14</v>
      </c>
      <c r="I711" s="58">
        <f t="shared" si="704"/>
        <v>187</v>
      </c>
      <c r="J711" s="58">
        <f t="shared" si="704"/>
        <v>0</v>
      </c>
      <c r="K711" s="58">
        <f t="shared" si="704"/>
        <v>0</v>
      </c>
      <c r="L711" s="58">
        <f t="shared" si="704"/>
        <v>0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0" customHeight="1">
      <c r="A712" s="70"/>
      <c r="B712" s="71"/>
      <c r="C712" s="66"/>
      <c r="D712" s="66">
        <f t="shared" si="412"/>
        <v>0</v>
      </c>
      <c r="E712" s="67"/>
      <c r="F712" s="58">
        <f t="shared" ref="F712:L712" si="705">SUMIFS($C712,$B712,F$7)+F711</f>
        <v>168</v>
      </c>
      <c r="G712" s="58">
        <f t="shared" si="705"/>
        <v>3</v>
      </c>
      <c r="H712" s="58">
        <f t="shared" si="705"/>
        <v>14</v>
      </c>
      <c r="I712" s="58">
        <f t="shared" si="705"/>
        <v>187</v>
      </c>
      <c r="J712" s="58">
        <f t="shared" si="705"/>
        <v>0</v>
      </c>
      <c r="K712" s="58">
        <f t="shared" si="705"/>
        <v>0</v>
      </c>
      <c r="L712" s="58">
        <f t="shared" si="705"/>
        <v>0</v>
      </c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0" customHeight="1">
      <c r="A713" s="70"/>
      <c r="B713" s="71"/>
      <c r="C713" s="66"/>
      <c r="D713" s="66">
        <f t="shared" si="412"/>
        <v>0</v>
      </c>
      <c r="E713" s="67"/>
      <c r="F713" s="58">
        <f t="shared" ref="F713:L713" si="706">SUMIFS($C713,$B713,F$7)+F712</f>
        <v>168</v>
      </c>
      <c r="G713" s="58">
        <f t="shared" si="706"/>
        <v>3</v>
      </c>
      <c r="H713" s="58">
        <f t="shared" si="706"/>
        <v>14</v>
      </c>
      <c r="I713" s="58">
        <f t="shared" si="706"/>
        <v>187</v>
      </c>
      <c r="J713" s="58">
        <f t="shared" si="706"/>
        <v>0</v>
      </c>
      <c r="K713" s="58">
        <f t="shared" si="706"/>
        <v>0</v>
      </c>
      <c r="L713" s="58">
        <f t="shared" si="706"/>
        <v>0</v>
      </c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0" customHeight="1">
      <c r="A714" s="70"/>
      <c r="B714" s="71"/>
      <c r="C714" s="66"/>
      <c r="D714" s="66">
        <f t="shared" si="412"/>
        <v>0</v>
      </c>
      <c r="E714" s="67"/>
      <c r="F714" s="58">
        <f t="shared" ref="F714:L714" si="707">SUMIFS($C714,$B714,F$7)+F713</f>
        <v>168</v>
      </c>
      <c r="G714" s="58">
        <f t="shared" si="707"/>
        <v>3</v>
      </c>
      <c r="H714" s="58">
        <f t="shared" si="707"/>
        <v>14</v>
      </c>
      <c r="I714" s="58">
        <f t="shared" si="707"/>
        <v>187</v>
      </c>
      <c r="J714" s="58">
        <f t="shared" si="707"/>
        <v>0</v>
      </c>
      <c r="K714" s="58">
        <f t="shared" si="707"/>
        <v>0</v>
      </c>
      <c r="L714" s="58">
        <f t="shared" si="707"/>
        <v>0</v>
      </c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0" customHeight="1">
      <c r="A715" s="70"/>
      <c r="B715" s="71"/>
      <c r="C715" s="66"/>
      <c r="D715" s="66">
        <f t="shared" si="412"/>
        <v>0</v>
      </c>
      <c r="E715" s="67"/>
      <c r="F715" s="58">
        <f t="shared" ref="F715:L715" si="708">SUMIFS($C715,$B715,F$7)+F714</f>
        <v>168</v>
      </c>
      <c r="G715" s="58">
        <f t="shared" si="708"/>
        <v>3</v>
      </c>
      <c r="H715" s="58">
        <f t="shared" si="708"/>
        <v>14</v>
      </c>
      <c r="I715" s="58">
        <f t="shared" si="708"/>
        <v>187</v>
      </c>
      <c r="J715" s="58">
        <f t="shared" si="708"/>
        <v>0</v>
      </c>
      <c r="K715" s="58">
        <f t="shared" si="708"/>
        <v>0</v>
      </c>
      <c r="L715" s="58">
        <f t="shared" si="708"/>
        <v>0</v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0" customHeight="1">
      <c r="A716" s="70"/>
      <c r="B716" s="71"/>
      <c r="C716" s="66"/>
      <c r="D716" s="66">
        <f t="shared" si="412"/>
        <v>0</v>
      </c>
      <c r="E716" s="67"/>
      <c r="F716" s="58">
        <f t="shared" ref="F716:L716" si="709">SUMIFS($C716,$B716,F$7)+F715</f>
        <v>168</v>
      </c>
      <c r="G716" s="58">
        <f t="shared" si="709"/>
        <v>3</v>
      </c>
      <c r="H716" s="58">
        <f t="shared" si="709"/>
        <v>14</v>
      </c>
      <c r="I716" s="58">
        <f t="shared" si="709"/>
        <v>187</v>
      </c>
      <c r="J716" s="58">
        <f t="shared" si="709"/>
        <v>0</v>
      </c>
      <c r="K716" s="58">
        <f t="shared" si="709"/>
        <v>0</v>
      </c>
      <c r="L716" s="58">
        <f t="shared" si="709"/>
        <v>0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0" customHeight="1">
      <c r="A717" s="70"/>
      <c r="B717" s="71"/>
      <c r="C717" s="66"/>
      <c r="D717" s="66">
        <f t="shared" si="412"/>
        <v>0</v>
      </c>
      <c r="E717" s="67"/>
      <c r="F717" s="58">
        <f t="shared" ref="F717:L717" si="710">SUMIFS($C717,$B717,F$7)+F716</f>
        <v>168</v>
      </c>
      <c r="G717" s="58">
        <f t="shared" si="710"/>
        <v>3</v>
      </c>
      <c r="H717" s="58">
        <f t="shared" si="710"/>
        <v>14</v>
      </c>
      <c r="I717" s="58">
        <f t="shared" si="710"/>
        <v>187</v>
      </c>
      <c r="J717" s="58">
        <f t="shared" si="710"/>
        <v>0</v>
      </c>
      <c r="K717" s="58">
        <f t="shared" si="710"/>
        <v>0</v>
      </c>
      <c r="L717" s="58">
        <f t="shared" si="710"/>
        <v>0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0" customHeight="1">
      <c r="A718" s="70"/>
      <c r="B718" s="71"/>
      <c r="C718" s="66"/>
      <c r="D718" s="66">
        <f t="shared" si="412"/>
        <v>0</v>
      </c>
      <c r="E718" s="67"/>
      <c r="F718" s="58">
        <f t="shared" ref="F718:L718" si="711">SUMIFS($C718,$B718,F$7)+F717</f>
        <v>168</v>
      </c>
      <c r="G718" s="58">
        <f t="shared" si="711"/>
        <v>3</v>
      </c>
      <c r="H718" s="58">
        <f t="shared" si="711"/>
        <v>14</v>
      </c>
      <c r="I718" s="58">
        <f t="shared" si="711"/>
        <v>187</v>
      </c>
      <c r="J718" s="58">
        <f t="shared" si="711"/>
        <v>0</v>
      </c>
      <c r="K718" s="58">
        <f t="shared" si="711"/>
        <v>0</v>
      </c>
      <c r="L718" s="58">
        <f t="shared" si="711"/>
        <v>0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0" customHeight="1">
      <c r="A719" s="70"/>
      <c r="B719" s="71"/>
      <c r="C719" s="66"/>
      <c r="D719" s="66">
        <f t="shared" si="412"/>
        <v>0</v>
      </c>
      <c r="E719" s="67"/>
      <c r="F719" s="58">
        <f t="shared" ref="F719:L719" si="712">SUMIFS($C719,$B719,F$7)+F718</f>
        <v>168</v>
      </c>
      <c r="G719" s="58">
        <f t="shared" si="712"/>
        <v>3</v>
      </c>
      <c r="H719" s="58">
        <f t="shared" si="712"/>
        <v>14</v>
      </c>
      <c r="I719" s="58">
        <f t="shared" si="712"/>
        <v>187</v>
      </c>
      <c r="J719" s="58">
        <f t="shared" si="712"/>
        <v>0</v>
      </c>
      <c r="K719" s="58">
        <f t="shared" si="712"/>
        <v>0</v>
      </c>
      <c r="L719" s="58">
        <f t="shared" si="712"/>
        <v>0</v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0" customHeight="1">
      <c r="A720" s="70"/>
      <c r="B720" s="71"/>
      <c r="C720" s="66"/>
      <c r="D720" s="66">
        <f t="shared" si="412"/>
        <v>0</v>
      </c>
      <c r="E720" s="67"/>
      <c r="F720" s="58">
        <f t="shared" ref="F720:L720" si="713">SUMIFS($C720,$B720,F$7)+F719</f>
        <v>168</v>
      </c>
      <c r="G720" s="58">
        <f t="shared" si="713"/>
        <v>3</v>
      </c>
      <c r="H720" s="58">
        <f t="shared" si="713"/>
        <v>14</v>
      </c>
      <c r="I720" s="58">
        <f t="shared" si="713"/>
        <v>187</v>
      </c>
      <c r="J720" s="58">
        <f t="shared" si="713"/>
        <v>0</v>
      </c>
      <c r="K720" s="58">
        <f t="shared" si="713"/>
        <v>0</v>
      </c>
      <c r="L720" s="58">
        <f t="shared" si="713"/>
        <v>0</v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0" customHeight="1">
      <c r="A721" s="70"/>
      <c r="B721" s="71"/>
      <c r="C721" s="66"/>
      <c r="D721" s="66">
        <f t="shared" si="412"/>
        <v>0</v>
      </c>
      <c r="E721" s="67"/>
      <c r="F721" s="58">
        <f t="shared" ref="F721:L721" si="714">SUMIFS($C721,$B721,F$7)+F720</f>
        <v>168</v>
      </c>
      <c r="G721" s="58">
        <f t="shared" si="714"/>
        <v>3</v>
      </c>
      <c r="H721" s="58">
        <f t="shared" si="714"/>
        <v>14</v>
      </c>
      <c r="I721" s="58">
        <f t="shared" si="714"/>
        <v>187</v>
      </c>
      <c r="J721" s="58">
        <f t="shared" si="714"/>
        <v>0</v>
      </c>
      <c r="K721" s="58">
        <f t="shared" si="714"/>
        <v>0</v>
      </c>
      <c r="L721" s="58">
        <f t="shared" si="714"/>
        <v>0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0" customHeight="1">
      <c r="A722" s="70"/>
      <c r="B722" s="71"/>
      <c r="C722" s="66"/>
      <c r="D722" s="66">
        <f t="shared" si="412"/>
        <v>0</v>
      </c>
      <c r="E722" s="67"/>
      <c r="F722" s="58">
        <f t="shared" ref="F722:L722" si="715">SUMIFS($C722,$B722,F$7)+F721</f>
        <v>168</v>
      </c>
      <c r="G722" s="58">
        <f t="shared" si="715"/>
        <v>3</v>
      </c>
      <c r="H722" s="58">
        <f t="shared" si="715"/>
        <v>14</v>
      </c>
      <c r="I722" s="58">
        <f t="shared" si="715"/>
        <v>187</v>
      </c>
      <c r="J722" s="58">
        <f t="shared" si="715"/>
        <v>0</v>
      </c>
      <c r="K722" s="58">
        <f t="shared" si="715"/>
        <v>0</v>
      </c>
      <c r="L722" s="58">
        <f t="shared" si="715"/>
        <v>0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0" customHeight="1">
      <c r="A723" s="70"/>
      <c r="B723" s="71"/>
      <c r="C723" s="66"/>
      <c r="D723" s="66">
        <f t="shared" si="412"/>
        <v>0</v>
      </c>
      <c r="E723" s="67"/>
      <c r="F723" s="58">
        <f t="shared" ref="F723:L723" si="716">SUMIFS($C723,$B723,F$7)+F722</f>
        <v>168</v>
      </c>
      <c r="G723" s="58">
        <f t="shared" si="716"/>
        <v>3</v>
      </c>
      <c r="H723" s="58">
        <f t="shared" si="716"/>
        <v>14</v>
      </c>
      <c r="I723" s="58">
        <f t="shared" si="716"/>
        <v>187</v>
      </c>
      <c r="J723" s="58">
        <f t="shared" si="716"/>
        <v>0</v>
      </c>
      <c r="K723" s="58">
        <f t="shared" si="716"/>
        <v>0</v>
      </c>
      <c r="L723" s="58">
        <f t="shared" si="716"/>
        <v>0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0" customHeight="1">
      <c r="A724" s="70"/>
      <c r="B724" s="71"/>
      <c r="C724" s="66"/>
      <c r="D724" s="66">
        <f t="shared" si="412"/>
        <v>0</v>
      </c>
      <c r="E724" s="67"/>
      <c r="F724" s="58">
        <f t="shared" ref="F724:L724" si="717">SUMIFS($C724,$B724,F$7)+F723</f>
        <v>168</v>
      </c>
      <c r="G724" s="58">
        <f t="shared" si="717"/>
        <v>3</v>
      </c>
      <c r="H724" s="58">
        <f t="shared" si="717"/>
        <v>14</v>
      </c>
      <c r="I724" s="58">
        <f t="shared" si="717"/>
        <v>187</v>
      </c>
      <c r="J724" s="58">
        <f t="shared" si="717"/>
        <v>0</v>
      </c>
      <c r="K724" s="58">
        <f t="shared" si="717"/>
        <v>0</v>
      </c>
      <c r="L724" s="58">
        <f t="shared" si="717"/>
        <v>0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0" customHeight="1">
      <c r="A725" s="70"/>
      <c r="B725" s="71"/>
      <c r="C725" s="66"/>
      <c r="D725" s="66">
        <f t="shared" si="412"/>
        <v>0</v>
      </c>
      <c r="E725" s="67"/>
      <c r="F725" s="58">
        <f t="shared" ref="F725:L725" si="718">SUMIFS($C725,$B725,F$7)+F724</f>
        <v>168</v>
      </c>
      <c r="G725" s="58">
        <f t="shared" si="718"/>
        <v>3</v>
      </c>
      <c r="H725" s="58">
        <f t="shared" si="718"/>
        <v>14</v>
      </c>
      <c r="I725" s="58">
        <f t="shared" si="718"/>
        <v>187</v>
      </c>
      <c r="J725" s="58">
        <f t="shared" si="718"/>
        <v>0</v>
      </c>
      <c r="K725" s="58">
        <f t="shared" si="718"/>
        <v>0</v>
      </c>
      <c r="L725" s="58">
        <f t="shared" si="718"/>
        <v>0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0" customHeight="1">
      <c r="A726" s="70"/>
      <c r="B726" s="71"/>
      <c r="C726" s="66"/>
      <c r="D726" s="66">
        <f t="shared" si="412"/>
        <v>0</v>
      </c>
      <c r="E726" s="67"/>
      <c r="F726" s="58">
        <f t="shared" ref="F726:L726" si="719">SUMIFS($C726,$B726,F$7)+F725</f>
        <v>168</v>
      </c>
      <c r="G726" s="58">
        <f t="shared" si="719"/>
        <v>3</v>
      </c>
      <c r="H726" s="58">
        <f t="shared" si="719"/>
        <v>14</v>
      </c>
      <c r="I726" s="58">
        <f t="shared" si="719"/>
        <v>187</v>
      </c>
      <c r="J726" s="58">
        <f t="shared" si="719"/>
        <v>0</v>
      </c>
      <c r="K726" s="58">
        <f t="shared" si="719"/>
        <v>0</v>
      </c>
      <c r="L726" s="58">
        <f t="shared" si="719"/>
        <v>0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0" customHeight="1">
      <c r="A727" s="70"/>
      <c r="B727" s="71"/>
      <c r="C727" s="66"/>
      <c r="D727" s="66">
        <f t="shared" si="412"/>
        <v>0</v>
      </c>
      <c r="E727" s="67"/>
      <c r="F727" s="58">
        <f t="shared" ref="F727:L727" si="720">SUMIFS($C727,$B727,F$7)+F726</f>
        <v>168</v>
      </c>
      <c r="G727" s="58">
        <f t="shared" si="720"/>
        <v>3</v>
      </c>
      <c r="H727" s="58">
        <f t="shared" si="720"/>
        <v>14</v>
      </c>
      <c r="I727" s="58">
        <f t="shared" si="720"/>
        <v>187</v>
      </c>
      <c r="J727" s="58">
        <f t="shared" si="720"/>
        <v>0</v>
      </c>
      <c r="K727" s="58">
        <f t="shared" si="720"/>
        <v>0</v>
      </c>
      <c r="L727" s="58">
        <f t="shared" si="720"/>
        <v>0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0" customHeight="1">
      <c r="A728" s="70"/>
      <c r="B728" s="71"/>
      <c r="C728" s="66"/>
      <c r="D728" s="66">
        <f t="shared" si="412"/>
        <v>0</v>
      </c>
      <c r="E728" s="67"/>
      <c r="F728" s="58">
        <f t="shared" ref="F728:L728" si="721">SUMIFS($C728,$B728,F$7)+F727</f>
        <v>168</v>
      </c>
      <c r="G728" s="58">
        <f t="shared" si="721"/>
        <v>3</v>
      </c>
      <c r="H728" s="58">
        <f t="shared" si="721"/>
        <v>14</v>
      </c>
      <c r="I728" s="58">
        <f t="shared" si="721"/>
        <v>187</v>
      </c>
      <c r="J728" s="58">
        <f t="shared" si="721"/>
        <v>0</v>
      </c>
      <c r="K728" s="58">
        <f t="shared" si="721"/>
        <v>0</v>
      </c>
      <c r="L728" s="58">
        <f t="shared" si="721"/>
        <v>0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0" customHeight="1">
      <c r="A729" s="70"/>
      <c r="B729" s="71"/>
      <c r="C729" s="66"/>
      <c r="D729" s="66">
        <f t="shared" si="412"/>
        <v>0</v>
      </c>
      <c r="E729" s="67"/>
      <c r="F729" s="58">
        <f t="shared" ref="F729:L729" si="722">SUMIFS($C729,$B729,F$7)+F728</f>
        <v>168</v>
      </c>
      <c r="G729" s="58">
        <f t="shared" si="722"/>
        <v>3</v>
      </c>
      <c r="H729" s="58">
        <f t="shared" si="722"/>
        <v>14</v>
      </c>
      <c r="I729" s="58">
        <f t="shared" si="722"/>
        <v>187</v>
      </c>
      <c r="J729" s="58">
        <f t="shared" si="722"/>
        <v>0</v>
      </c>
      <c r="K729" s="58">
        <f t="shared" si="722"/>
        <v>0</v>
      </c>
      <c r="L729" s="58">
        <f t="shared" si="722"/>
        <v>0</v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0" customHeight="1">
      <c r="A730" s="70"/>
      <c r="B730" s="71"/>
      <c r="C730" s="66"/>
      <c r="D730" s="66">
        <f t="shared" si="412"/>
        <v>0</v>
      </c>
      <c r="E730" s="67"/>
      <c r="F730" s="58">
        <f t="shared" ref="F730:L730" si="723">SUMIFS($C730,$B730,F$7)+F729</f>
        <v>168</v>
      </c>
      <c r="G730" s="58">
        <f t="shared" si="723"/>
        <v>3</v>
      </c>
      <c r="H730" s="58">
        <f t="shared" si="723"/>
        <v>14</v>
      </c>
      <c r="I730" s="58">
        <f t="shared" si="723"/>
        <v>187</v>
      </c>
      <c r="J730" s="58">
        <f t="shared" si="723"/>
        <v>0</v>
      </c>
      <c r="K730" s="58">
        <f t="shared" si="723"/>
        <v>0</v>
      </c>
      <c r="L730" s="58">
        <f t="shared" si="723"/>
        <v>0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0" customHeight="1">
      <c r="A731" s="70"/>
      <c r="B731" s="71"/>
      <c r="C731" s="66"/>
      <c r="D731" s="66">
        <f t="shared" si="412"/>
        <v>0</v>
      </c>
      <c r="E731" s="67"/>
      <c r="F731" s="58">
        <f t="shared" ref="F731:L731" si="724">SUMIFS($C731,$B731,F$7)+F730</f>
        <v>168</v>
      </c>
      <c r="G731" s="58">
        <f t="shared" si="724"/>
        <v>3</v>
      </c>
      <c r="H731" s="58">
        <f t="shared" si="724"/>
        <v>14</v>
      </c>
      <c r="I731" s="58">
        <f t="shared" si="724"/>
        <v>187</v>
      </c>
      <c r="J731" s="58">
        <f t="shared" si="724"/>
        <v>0</v>
      </c>
      <c r="K731" s="58">
        <f t="shared" si="724"/>
        <v>0</v>
      </c>
      <c r="L731" s="58">
        <f t="shared" si="724"/>
        <v>0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0" customHeight="1">
      <c r="A732" s="70"/>
      <c r="B732" s="71"/>
      <c r="C732" s="66"/>
      <c r="D732" s="66">
        <f t="shared" si="412"/>
        <v>0</v>
      </c>
      <c r="E732" s="67"/>
      <c r="F732" s="58">
        <f t="shared" ref="F732:L732" si="725">SUMIFS($C732,$B732,F$7)+F731</f>
        <v>168</v>
      </c>
      <c r="G732" s="58">
        <f t="shared" si="725"/>
        <v>3</v>
      </c>
      <c r="H732" s="58">
        <f t="shared" si="725"/>
        <v>14</v>
      </c>
      <c r="I732" s="58">
        <f t="shared" si="725"/>
        <v>187</v>
      </c>
      <c r="J732" s="58">
        <f t="shared" si="725"/>
        <v>0</v>
      </c>
      <c r="K732" s="58">
        <f t="shared" si="725"/>
        <v>0</v>
      </c>
      <c r="L732" s="58">
        <f t="shared" si="725"/>
        <v>0</v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0" customHeight="1">
      <c r="A733" s="70"/>
      <c r="B733" s="71"/>
      <c r="C733" s="66"/>
      <c r="D733" s="66">
        <f t="shared" si="412"/>
        <v>0</v>
      </c>
      <c r="E733" s="67"/>
      <c r="F733" s="58">
        <f t="shared" ref="F733:L733" si="726">SUMIFS($C733,$B733,F$7)+F732</f>
        <v>168</v>
      </c>
      <c r="G733" s="58">
        <f t="shared" si="726"/>
        <v>3</v>
      </c>
      <c r="H733" s="58">
        <f t="shared" si="726"/>
        <v>14</v>
      </c>
      <c r="I733" s="58">
        <f t="shared" si="726"/>
        <v>187</v>
      </c>
      <c r="J733" s="58">
        <f t="shared" si="726"/>
        <v>0</v>
      </c>
      <c r="K733" s="58">
        <f t="shared" si="726"/>
        <v>0</v>
      </c>
      <c r="L733" s="58">
        <f t="shared" si="726"/>
        <v>0</v>
      </c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0" customHeight="1">
      <c r="A734" s="70"/>
      <c r="B734" s="71"/>
      <c r="C734" s="66"/>
      <c r="D734" s="66">
        <f t="shared" si="412"/>
        <v>0</v>
      </c>
      <c r="E734" s="67"/>
      <c r="F734" s="58">
        <f t="shared" ref="F734:L734" si="727">SUMIFS($C734,$B734,F$7)+F733</f>
        <v>168</v>
      </c>
      <c r="G734" s="58">
        <f t="shared" si="727"/>
        <v>3</v>
      </c>
      <c r="H734" s="58">
        <f t="shared" si="727"/>
        <v>14</v>
      </c>
      <c r="I734" s="58">
        <f t="shared" si="727"/>
        <v>187</v>
      </c>
      <c r="J734" s="58">
        <f t="shared" si="727"/>
        <v>0</v>
      </c>
      <c r="K734" s="58">
        <f t="shared" si="727"/>
        <v>0</v>
      </c>
      <c r="L734" s="58">
        <f t="shared" si="727"/>
        <v>0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0" customHeight="1">
      <c r="A735" s="70"/>
      <c r="B735" s="71"/>
      <c r="C735" s="66"/>
      <c r="D735" s="66">
        <f t="shared" si="412"/>
        <v>0</v>
      </c>
      <c r="E735" s="67"/>
      <c r="F735" s="58">
        <f t="shared" ref="F735:L735" si="728">SUMIFS($C735,$B735,F$7)+F734</f>
        <v>168</v>
      </c>
      <c r="G735" s="58">
        <f t="shared" si="728"/>
        <v>3</v>
      </c>
      <c r="H735" s="58">
        <f t="shared" si="728"/>
        <v>14</v>
      </c>
      <c r="I735" s="58">
        <f t="shared" si="728"/>
        <v>187</v>
      </c>
      <c r="J735" s="58">
        <f t="shared" si="728"/>
        <v>0</v>
      </c>
      <c r="K735" s="58">
        <f t="shared" si="728"/>
        <v>0</v>
      </c>
      <c r="L735" s="58">
        <f t="shared" si="728"/>
        <v>0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0" customHeight="1">
      <c r="A736" s="70"/>
      <c r="B736" s="71"/>
      <c r="C736" s="66"/>
      <c r="D736" s="66">
        <f t="shared" si="412"/>
        <v>0</v>
      </c>
      <c r="E736" s="67"/>
      <c r="F736" s="58">
        <f t="shared" ref="F736:L736" si="729">SUMIFS($C736,$B736,F$7)+F735</f>
        <v>168</v>
      </c>
      <c r="G736" s="58">
        <f t="shared" si="729"/>
        <v>3</v>
      </c>
      <c r="H736" s="58">
        <f t="shared" si="729"/>
        <v>14</v>
      </c>
      <c r="I736" s="58">
        <f t="shared" si="729"/>
        <v>187</v>
      </c>
      <c r="J736" s="58">
        <f t="shared" si="729"/>
        <v>0</v>
      </c>
      <c r="K736" s="58">
        <f t="shared" si="729"/>
        <v>0</v>
      </c>
      <c r="L736" s="58">
        <f t="shared" si="729"/>
        <v>0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0" customHeight="1">
      <c r="A737" s="70"/>
      <c r="B737" s="71"/>
      <c r="C737" s="66"/>
      <c r="D737" s="66">
        <f t="shared" si="412"/>
        <v>0</v>
      </c>
      <c r="E737" s="67"/>
      <c r="F737" s="58">
        <f t="shared" ref="F737:L737" si="730">SUMIFS($C737,$B737,F$7)+F736</f>
        <v>168</v>
      </c>
      <c r="G737" s="58">
        <f t="shared" si="730"/>
        <v>3</v>
      </c>
      <c r="H737" s="58">
        <f t="shared" si="730"/>
        <v>14</v>
      </c>
      <c r="I737" s="58">
        <f t="shared" si="730"/>
        <v>187</v>
      </c>
      <c r="J737" s="58">
        <f t="shared" si="730"/>
        <v>0</v>
      </c>
      <c r="K737" s="58">
        <f t="shared" si="730"/>
        <v>0</v>
      </c>
      <c r="L737" s="58">
        <f t="shared" si="730"/>
        <v>0</v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0" customHeight="1">
      <c r="A738" s="70"/>
      <c r="B738" s="71"/>
      <c r="C738" s="66"/>
      <c r="D738" s="66">
        <f t="shared" si="412"/>
        <v>0</v>
      </c>
      <c r="E738" s="67"/>
      <c r="F738" s="58">
        <f t="shared" ref="F738:L738" si="731">SUMIFS($C738,$B738,F$7)+F737</f>
        <v>168</v>
      </c>
      <c r="G738" s="58">
        <f t="shared" si="731"/>
        <v>3</v>
      </c>
      <c r="H738" s="58">
        <f t="shared" si="731"/>
        <v>14</v>
      </c>
      <c r="I738" s="58">
        <f t="shared" si="731"/>
        <v>187</v>
      </c>
      <c r="J738" s="58">
        <f t="shared" si="731"/>
        <v>0</v>
      </c>
      <c r="K738" s="58">
        <f t="shared" si="731"/>
        <v>0</v>
      </c>
      <c r="L738" s="58">
        <f t="shared" si="731"/>
        <v>0</v>
      </c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0" customHeight="1">
      <c r="A739" s="70"/>
      <c r="B739" s="71"/>
      <c r="C739" s="66"/>
      <c r="D739" s="66">
        <f t="shared" si="412"/>
        <v>0</v>
      </c>
      <c r="E739" s="67"/>
      <c r="F739" s="58">
        <f t="shared" ref="F739:L739" si="732">SUMIFS($C739,$B739,F$7)+F738</f>
        <v>168</v>
      </c>
      <c r="G739" s="58">
        <f t="shared" si="732"/>
        <v>3</v>
      </c>
      <c r="H739" s="58">
        <f t="shared" si="732"/>
        <v>14</v>
      </c>
      <c r="I739" s="58">
        <f t="shared" si="732"/>
        <v>187</v>
      </c>
      <c r="J739" s="58">
        <f t="shared" si="732"/>
        <v>0</v>
      </c>
      <c r="K739" s="58">
        <f t="shared" si="732"/>
        <v>0</v>
      </c>
      <c r="L739" s="58">
        <f t="shared" si="732"/>
        <v>0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0" customHeight="1">
      <c r="A740" s="70"/>
      <c r="B740" s="71"/>
      <c r="C740" s="66"/>
      <c r="D740" s="66">
        <f t="shared" si="412"/>
        <v>0</v>
      </c>
      <c r="E740" s="67"/>
      <c r="F740" s="58">
        <f t="shared" ref="F740:L740" si="733">SUMIFS($C740,$B740,F$7)+F739</f>
        <v>168</v>
      </c>
      <c r="G740" s="58">
        <f t="shared" si="733"/>
        <v>3</v>
      </c>
      <c r="H740" s="58">
        <f t="shared" si="733"/>
        <v>14</v>
      </c>
      <c r="I740" s="58">
        <f t="shared" si="733"/>
        <v>187</v>
      </c>
      <c r="J740" s="58">
        <f t="shared" si="733"/>
        <v>0</v>
      </c>
      <c r="K740" s="58">
        <f t="shared" si="733"/>
        <v>0</v>
      </c>
      <c r="L740" s="58">
        <f t="shared" si="733"/>
        <v>0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0" customHeight="1">
      <c r="A741" s="70"/>
      <c r="B741" s="71"/>
      <c r="C741" s="66"/>
      <c r="D741" s="66">
        <f t="shared" si="412"/>
        <v>0</v>
      </c>
      <c r="E741" s="67"/>
      <c r="F741" s="58">
        <f t="shared" ref="F741:L741" si="734">SUMIFS($C741,$B741,F$7)+F740</f>
        <v>168</v>
      </c>
      <c r="G741" s="58">
        <f t="shared" si="734"/>
        <v>3</v>
      </c>
      <c r="H741" s="58">
        <f t="shared" si="734"/>
        <v>14</v>
      </c>
      <c r="I741" s="58">
        <f t="shared" si="734"/>
        <v>187</v>
      </c>
      <c r="J741" s="58">
        <f t="shared" si="734"/>
        <v>0</v>
      </c>
      <c r="K741" s="58">
        <f t="shared" si="734"/>
        <v>0</v>
      </c>
      <c r="L741" s="58">
        <f t="shared" si="734"/>
        <v>0</v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0" customHeight="1">
      <c r="A742" s="70"/>
      <c r="B742" s="71"/>
      <c r="C742" s="66"/>
      <c r="D742" s="66">
        <f t="shared" si="412"/>
        <v>0</v>
      </c>
      <c r="E742" s="67"/>
      <c r="F742" s="58">
        <f t="shared" ref="F742:L742" si="735">SUMIFS($C742,$B742,F$7)+F741</f>
        <v>168</v>
      </c>
      <c r="G742" s="58">
        <f t="shared" si="735"/>
        <v>3</v>
      </c>
      <c r="H742" s="58">
        <f t="shared" si="735"/>
        <v>14</v>
      </c>
      <c r="I742" s="58">
        <f t="shared" si="735"/>
        <v>187</v>
      </c>
      <c r="J742" s="58">
        <f t="shared" si="735"/>
        <v>0</v>
      </c>
      <c r="K742" s="58">
        <f t="shared" si="735"/>
        <v>0</v>
      </c>
      <c r="L742" s="58">
        <f t="shared" si="735"/>
        <v>0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0" customHeight="1">
      <c r="A743" s="70"/>
      <c r="B743" s="71"/>
      <c r="C743" s="66"/>
      <c r="D743" s="66">
        <f t="shared" si="412"/>
        <v>0</v>
      </c>
      <c r="E743" s="67"/>
      <c r="F743" s="58">
        <f t="shared" ref="F743:L743" si="736">SUMIFS($C743,$B743,F$7)+F742</f>
        <v>168</v>
      </c>
      <c r="G743" s="58">
        <f t="shared" si="736"/>
        <v>3</v>
      </c>
      <c r="H743" s="58">
        <f t="shared" si="736"/>
        <v>14</v>
      </c>
      <c r="I743" s="58">
        <f t="shared" si="736"/>
        <v>187</v>
      </c>
      <c r="J743" s="58">
        <f t="shared" si="736"/>
        <v>0</v>
      </c>
      <c r="K743" s="58">
        <f t="shared" si="736"/>
        <v>0</v>
      </c>
      <c r="L743" s="58">
        <f t="shared" si="736"/>
        <v>0</v>
      </c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0" customHeight="1">
      <c r="A744" s="70"/>
      <c r="B744" s="71"/>
      <c r="C744" s="66"/>
      <c r="D744" s="66">
        <f t="shared" si="412"/>
        <v>0</v>
      </c>
      <c r="E744" s="67"/>
      <c r="F744" s="58">
        <f t="shared" ref="F744:L744" si="737">SUMIFS($C744,$B744,F$7)+F743</f>
        <v>168</v>
      </c>
      <c r="G744" s="58">
        <f t="shared" si="737"/>
        <v>3</v>
      </c>
      <c r="H744" s="58">
        <f t="shared" si="737"/>
        <v>14</v>
      </c>
      <c r="I744" s="58">
        <f t="shared" si="737"/>
        <v>187</v>
      </c>
      <c r="J744" s="58">
        <f t="shared" si="737"/>
        <v>0</v>
      </c>
      <c r="K744" s="58">
        <f t="shared" si="737"/>
        <v>0</v>
      </c>
      <c r="L744" s="58">
        <f t="shared" si="737"/>
        <v>0</v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0" customHeight="1">
      <c r="A745" s="70"/>
      <c r="B745" s="71"/>
      <c r="C745" s="66"/>
      <c r="D745" s="66">
        <f t="shared" si="412"/>
        <v>0</v>
      </c>
      <c r="E745" s="67"/>
      <c r="F745" s="58">
        <f t="shared" ref="F745:L745" si="738">SUMIFS($C745,$B745,F$7)+F744</f>
        <v>168</v>
      </c>
      <c r="G745" s="58">
        <f t="shared" si="738"/>
        <v>3</v>
      </c>
      <c r="H745" s="58">
        <f t="shared" si="738"/>
        <v>14</v>
      </c>
      <c r="I745" s="58">
        <f t="shared" si="738"/>
        <v>187</v>
      </c>
      <c r="J745" s="58">
        <f t="shared" si="738"/>
        <v>0</v>
      </c>
      <c r="K745" s="58">
        <f t="shared" si="738"/>
        <v>0</v>
      </c>
      <c r="L745" s="58">
        <f t="shared" si="738"/>
        <v>0</v>
      </c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0" customHeight="1">
      <c r="A746" s="70"/>
      <c r="B746" s="71"/>
      <c r="C746" s="66"/>
      <c r="D746" s="66">
        <f t="shared" si="412"/>
        <v>0</v>
      </c>
      <c r="E746" s="67"/>
      <c r="F746" s="58">
        <f t="shared" ref="F746:L746" si="739">SUMIFS($C746,$B746,F$7)+F745</f>
        <v>168</v>
      </c>
      <c r="G746" s="58">
        <f t="shared" si="739"/>
        <v>3</v>
      </c>
      <c r="H746" s="58">
        <f t="shared" si="739"/>
        <v>14</v>
      </c>
      <c r="I746" s="58">
        <f t="shared" si="739"/>
        <v>187</v>
      </c>
      <c r="J746" s="58">
        <f t="shared" si="739"/>
        <v>0</v>
      </c>
      <c r="K746" s="58">
        <f t="shared" si="739"/>
        <v>0</v>
      </c>
      <c r="L746" s="58">
        <f t="shared" si="739"/>
        <v>0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0" customHeight="1">
      <c r="A747" s="70"/>
      <c r="B747" s="71"/>
      <c r="C747" s="66"/>
      <c r="D747" s="66">
        <f t="shared" si="412"/>
        <v>0</v>
      </c>
      <c r="E747" s="67"/>
      <c r="F747" s="58">
        <f t="shared" ref="F747:L747" si="740">SUMIFS($C747,$B747,F$7)+F746</f>
        <v>168</v>
      </c>
      <c r="G747" s="58">
        <f t="shared" si="740"/>
        <v>3</v>
      </c>
      <c r="H747" s="58">
        <f t="shared" si="740"/>
        <v>14</v>
      </c>
      <c r="I747" s="58">
        <f t="shared" si="740"/>
        <v>187</v>
      </c>
      <c r="J747" s="58">
        <f t="shared" si="740"/>
        <v>0</v>
      </c>
      <c r="K747" s="58">
        <f t="shared" si="740"/>
        <v>0</v>
      </c>
      <c r="L747" s="58">
        <f t="shared" si="740"/>
        <v>0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0" customHeight="1">
      <c r="A748" s="70"/>
      <c r="B748" s="71"/>
      <c r="C748" s="66"/>
      <c r="D748" s="66">
        <f t="shared" si="412"/>
        <v>0</v>
      </c>
      <c r="E748" s="67"/>
      <c r="F748" s="58">
        <f t="shared" ref="F748:L748" si="741">SUMIFS($C748,$B748,F$7)+F747</f>
        <v>168</v>
      </c>
      <c r="G748" s="58">
        <f t="shared" si="741"/>
        <v>3</v>
      </c>
      <c r="H748" s="58">
        <f t="shared" si="741"/>
        <v>14</v>
      </c>
      <c r="I748" s="58">
        <f t="shared" si="741"/>
        <v>187</v>
      </c>
      <c r="J748" s="58">
        <f t="shared" si="741"/>
        <v>0</v>
      </c>
      <c r="K748" s="58">
        <f t="shared" si="741"/>
        <v>0</v>
      </c>
      <c r="L748" s="58">
        <f t="shared" si="741"/>
        <v>0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0" customHeight="1">
      <c r="A749" s="70"/>
      <c r="B749" s="71"/>
      <c r="C749" s="66"/>
      <c r="D749" s="66">
        <f t="shared" si="412"/>
        <v>0</v>
      </c>
      <c r="E749" s="67"/>
      <c r="F749" s="58">
        <f t="shared" ref="F749:L749" si="742">SUMIFS($C749,$B749,F$7)+F748</f>
        <v>168</v>
      </c>
      <c r="G749" s="58">
        <f t="shared" si="742"/>
        <v>3</v>
      </c>
      <c r="H749" s="58">
        <f t="shared" si="742"/>
        <v>14</v>
      </c>
      <c r="I749" s="58">
        <f t="shared" si="742"/>
        <v>187</v>
      </c>
      <c r="J749" s="58">
        <f t="shared" si="742"/>
        <v>0</v>
      </c>
      <c r="K749" s="58">
        <f t="shared" si="742"/>
        <v>0</v>
      </c>
      <c r="L749" s="58">
        <f t="shared" si="742"/>
        <v>0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0" customHeight="1">
      <c r="A750" s="70"/>
      <c r="B750" s="71"/>
      <c r="C750" s="66"/>
      <c r="D750" s="66">
        <f t="shared" si="412"/>
        <v>0</v>
      </c>
      <c r="E750" s="67"/>
      <c r="F750" s="58">
        <f t="shared" ref="F750:L750" si="743">SUMIFS($C750,$B750,F$7)+F749</f>
        <v>168</v>
      </c>
      <c r="G750" s="58">
        <f t="shared" si="743"/>
        <v>3</v>
      </c>
      <c r="H750" s="58">
        <f t="shared" si="743"/>
        <v>14</v>
      </c>
      <c r="I750" s="58">
        <f t="shared" si="743"/>
        <v>187</v>
      </c>
      <c r="J750" s="58">
        <f t="shared" si="743"/>
        <v>0</v>
      </c>
      <c r="K750" s="58">
        <f t="shared" si="743"/>
        <v>0</v>
      </c>
      <c r="L750" s="58">
        <f t="shared" si="743"/>
        <v>0</v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0" customHeight="1">
      <c r="A751" s="70"/>
      <c r="B751" s="71"/>
      <c r="C751" s="66"/>
      <c r="D751" s="66">
        <f t="shared" si="412"/>
        <v>0</v>
      </c>
      <c r="E751" s="67"/>
      <c r="F751" s="58">
        <f t="shared" ref="F751:L751" si="744">SUMIFS($C751,$B751,F$7)+F750</f>
        <v>168</v>
      </c>
      <c r="G751" s="58">
        <f t="shared" si="744"/>
        <v>3</v>
      </c>
      <c r="H751" s="58">
        <f t="shared" si="744"/>
        <v>14</v>
      </c>
      <c r="I751" s="58">
        <f t="shared" si="744"/>
        <v>187</v>
      </c>
      <c r="J751" s="58">
        <f t="shared" si="744"/>
        <v>0</v>
      </c>
      <c r="K751" s="58">
        <f t="shared" si="744"/>
        <v>0</v>
      </c>
      <c r="L751" s="58">
        <f t="shared" si="744"/>
        <v>0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0" customHeight="1">
      <c r="A752" s="70"/>
      <c r="B752" s="71"/>
      <c r="C752" s="66"/>
      <c r="D752" s="66">
        <f t="shared" si="412"/>
        <v>0</v>
      </c>
      <c r="E752" s="67"/>
      <c r="F752" s="58">
        <f t="shared" ref="F752:L752" si="745">SUMIFS($C752,$B752,F$7)+F751</f>
        <v>168</v>
      </c>
      <c r="G752" s="58">
        <f t="shared" si="745"/>
        <v>3</v>
      </c>
      <c r="H752" s="58">
        <f t="shared" si="745"/>
        <v>14</v>
      </c>
      <c r="I752" s="58">
        <f t="shared" si="745"/>
        <v>187</v>
      </c>
      <c r="J752" s="58">
        <f t="shared" si="745"/>
        <v>0</v>
      </c>
      <c r="K752" s="58">
        <f t="shared" si="745"/>
        <v>0</v>
      </c>
      <c r="L752" s="58">
        <f t="shared" si="745"/>
        <v>0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0" customHeight="1">
      <c r="A753" s="70"/>
      <c r="B753" s="71"/>
      <c r="C753" s="66"/>
      <c r="D753" s="66">
        <f t="shared" si="412"/>
        <v>0</v>
      </c>
      <c r="E753" s="67"/>
      <c r="F753" s="58">
        <f t="shared" ref="F753:L753" si="746">SUMIFS($C753,$B753,F$7)+F752</f>
        <v>168</v>
      </c>
      <c r="G753" s="58">
        <f t="shared" si="746"/>
        <v>3</v>
      </c>
      <c r="H753" s="58">
        <f t="shared" si="746"/>
        <v>14</v>
      </c>
      <c r="I753" s="58">
        <f t="shared" si="746"/>
        <v>187</v>
      </c>
      <c r="J753" s="58">
        <f t="shared" si="746"/>
        <v>0</v>
      </c>
      <c r="K753" s="58">
        <f t="shared" si="746"/>
        <v>0</v>
      </c>
      <c r="L753" s="58">
        <f t="shared" si="746"/>
        <v>0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0" customHeight="1">
      <c r="A754" s="70"/>
      <c r="B754" s="71"/>
      <c r="C754" s="66"/>
      <c r="D754" s="66">
        <f t="shared" si="412"/>
        <v>0</v>
      </c>
      <c r="E754" s="67"/>
      <c r="F754" s="58">
        <f t="shared" ref="F754:L754" si="747">SUMIFS($C754,$B754,F$7)+F753</f>
        <v>168</v>
      </c>
      <c r="G754" s="58">
        <f t="shared" si="747"/>
        <v>3</v>
      </c>
      <c r="H754" s="58">
        <f t="shared" si="747"/>
        <v>14</v>
      </c>
      <c r="I754" s="58">
        <f t="shared" si="747"/>
        <v>187</v>
      </c>
      <c r="J754" s="58">
        <f t="shared" si="747"/>
        <v>0</v>
      </c>
      <c r="K754" s="58">
        <f t="shared" si="747"/>
        <v>0</v>
      </c>
      <c r="L754" s="58">
        <f t="shared" si="747"/>
        <v>0</v>
      </c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0" customHeight="1">
      <c r="A755" s="70"/>
      <c r="B755" s="71"/>
      <c r="C755" s="66"/>
      <c r="D755" s="66">
        <f t="shared" si="412"/>
        <v>0</v>
      </c>
      <c r="E755" s="67"/>
      <c r="F755" s="58">
        <f t="shared" ref="F755:L755" si="748">SUMIFS($C755,$B755,F$7)+F754</f>
        <v>168</v>
      </c>
      <c r="G755" s="58">
        <f t="shared" si="748"/>
        <v>3</v>
      </c>
      <c r="H755" s="58">
        <f t="shared" si="748"/>
        <v>14</v>
      </c>
      <c r="I755" s="58">
        <f t="shared" si="748"/>
        <v>187</v>
      </c>
      <c r="J755" s="58">
        <f t="shared" si="748"/>
        <v>0</v>
      </c>
      <c r="K755" s="58">
        <f t="shared" si="748"/>
        <v>0</v>
      </c>
      <c r="L755" s="58">
        <f t="shared" si="748"/>
        <v>0</v>
      </c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0" customHeight="1">
      <c r="A756" s="70"/>
      <c r="B756" s="71"/>
      <c r="C756" s="66"/>
      <c r="D756" s="66">
        <f t="shared" si="412"/>
        <v>0</v>
      </c>
      <c r="E756" s="67"/>
      <c r="F756" s="58">
        <f t="shared" ref="F756:L756" si="749">SUMIFS($C756,$B756,F$7)+F755</f>
        <v>168</v>
      </c>
      <c r="G756" s="58">
        <f t="shared" si="749"/>
        <v>3</v>
      </c>
      <c r="H756" s="58">
        <f t="shared" si="749"/>
        <v>14</v>
      </c>
      <c r="I756" s="58">
        <f t="shared" si="749"/>
        <v>187</v>
      </c>
      <c r="J756" s="58">
        <f t="shared" si="749"/>
        <v>0</v>
      </c>
      <c r="K756" s="58">
        <f t="shared" si="749"/>
        <v>0</v>
      </c>
      <c r="L756" s="58">
        <f t="shared" si="749"/>
        <v>0</v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0" customHeight="1">
      <c r="A757" s="70"/>
      <c r="B757" s="71"/>
      <c r="C757" s="66"/>
      <c r="D757" s="66">
        <f t="shared" si="412"/>
        <v>0</v>
      </c>
      <c r="E757" s="67"/>
      <c r="F757" s="58">
        <f t="shared" ref="F757:L757" si="750">SUMIFS($C757,$B757,F$7)+F756</f>
        <v>168</v>
      </c>
      <c r="G757" s="58">
        <f t="shared" si="750"/>
        <v>3</v>
      </c>
      <c r="H757" s="58">
        <f t="shared" si="750"/>
        <v>14</v>
      </c>
      <c r="I757" s="58">
        <f t="shared" si="750"/>
        <v>187</v>
      </c>
      <c r="J757" s="58">
        <f t="shared" si="750"/>
        <v>0</v>
      </c>
      <c r="K757" s="58">
        <f t="shared" si="750"/>
        <v>0</v>
      </c>
      <c r="L757" s="58">
        <f t="shared" si="750"/>
        <v>0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0" customHeight="1">
      <c r="A758" s="70"/>
      <c r="B758" s="71"/>
      <c r="C758" s="66"/>
      <c r="D758" s="66">
        <f t="shared" si="412"/>
        <v>0</v>
      </c>
      <c r="E758" s="67"/>
      <c r="F758" s="58">
        <f t="shared" ref="F758:L758" si="751">SUMIFS($C758,$B758,F$7)+F757</f>
        <v>168</v>
      </c>
      <c r="G758" s="58">
        <f t="shared" si="751"/>
        <v>3</v>
      </c>
      <c r="H758" s="58">
        <f t="shared" si="751"/>
        <v>14</v>
      </c>
      <c r="I758" s="58">
        <f t="shared" si="751"/>
        <v>187</v>
      </c>
      <c r="J758" s="58">
        <f t="shared" si="751"/>
        <v>0</v>
      </c>
      <c r="K758" s="58">
        <f t="shared" si="751"/>
        <v>0</v>
      </c>
      <c r="L758" s="58">
        <f t="shared" si="751"/>
        <v>0</v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0" customHeight="1">
      <c r="A759" s="70"/>
      <c r="B759" s="71"/>
      <c r="C759" s="66"/>
      <c r="D759" s="66">
        <f t="shared" si="412"/>
        <v>0</v>
      </c>
      <c r="E759" s="67"/>
      <c r="F759" s="58">
        <f t="shared" ref="F759:L759" si="752">SUMIFS($C759,$B759,F$7)+F758</f>
        <v>168</v>
      </c>
      <c r="G759" s="58">
        <f t="shared" si="752"/>
        <v>3</v>
      </c>
      <c r="H759" s="58">
        <f t="shared" si="752"/>
        <v>14</v>
      </c>
      <c r="I759" s="58">
        <f t="shared" si="752"/>
        <v>187</v>
      </c>
      <c r="J759" s="58">
        <f t="shared" si="752"/>
        <v>0</v>
      </c>
      <c r="K759" s="58">
        <f t="shared" si="752"/>
        <v>0</v>
      </c>
      <c r="L759" s="58">
        <f t="shared" si="752"/>
        <v>0</v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0" customHeight="1">
      <c r="A760" s="70"/>
      <c r="B760" s="71"/>
      <c r="C760" s="66"/>
      <c r="D760" s="66">
        <f t="shared" si="412"/>
        <v>0</v>
      </c>
      <c r="E760" s="67"/>
      <c r="F760" s="58">
        <f t="shared" ref="F760:L760" si="753">SUMIFS($C760,$B760,F$7)+F759</f>
        <v>168</v>
      </c>
      <c r="G760" s="58">
        <f t="shared" si="753"/>
        <v>3</v>
      </c>
      <c r="H760" s="58">
        <f t="shared" si="753"/>
        <v>14</v>
      </c>
      <c r="I760" s="58">
        <f t="shared" si="753"/>
        <v>187</v>
      </c>
      <c r="J760" s="58">
        <f t="shared" si="753"/>
        <v>0</v>
      </c>
      <c r="K760" s="58">
        <f t="shared" si="753"/>
        <v>0</v>
      </c>
      <c r="L760" s="58">
        <f t="shared" si="753"/>
        <v>0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0" customHeight="1">
      <c r="A761" s="70"/>
      <c r="B761" s="71"/>
      <c r="C761" s="66"/>
      <c r="D761" s="66">
        <f t="shared" si="412"/>
        <v>0</v>
      </c>
      <c r="E761" s="67"/>
      <c r="F761" s="58">
        <f t="shared" ref="F761:L761" si="754">SUMIFS($C761,$B761,F$7)+F760</f>
        <v>168</v>
      </c>
      <c r="G761" s="58">
        <f t="shared" si="754"/>
        <v>3</v>
      </c>
      <c r="H761" s="58">
        <f t="shared" si="754"/>
        <v>14</v>
      </c>
      <c r="I761" s="58">
        <f t="shared" si="754"/>
        <v>187</v>
      </c>
      <c r="J761" s="58">
        <f t="shared" si="754"/>
        <v>0</v>
      </c>
      <c r="K761" s="58">
        <f t="shared" si="754"/>
        <v>0</v>
      </c>
      <c r="L761" s="58">
        <f t="shared" si="754"/>
        <v>0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0" customHeight="1">
      <c r="A762" s="70"/>
      <c r="B762" s="71"/>
      <c r="C762" s="66"/>
      <c r="D762" s="66">
        <f t="shared" si="412"/>
        <v>0</v>
      </c>
      <c r="E762" s="67"/>
      <c r="F762" s="58">
        <f t="shared" ref="F762:L762" si="755">SUMIFS($C762,$B762,F$7)+F761</f>
        <v>168</v>
      </c>
      <c r="G762" s="58">
        <f t="shared" si="755"/>
        <v>3</v>
      </c>
      <c r="H762" s="58">
        <f t="shared" si="755"/>
        <v>14</v>
      </c>
      <c r="I762" s="58">
        <f t="shared" si="755"/>
        <v>187</v>
      </c>
      <c r="J762" s="58">
        <f t="shared" si="755"/>
        <v>0</v>
      </c>
      <c r="K762" s="58">
        <f t="shared" si="755"/>
        <v>0</v>
      </c>
      <c r="L762" s="58">
        <f t="shared" si="755"/>
        <v>0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0" customHeight="1">
      <c r="A763" s="70"/>
      <c r="B763" s="71"/>
      <c r="C763" s="66"/>
      <c r="D763" s="66">
        <f t="shared" si="412"/>
        <v>0</v>
      </c>
      <c r="E763" s="67"/>
      <c r="F763" s="58">
        <f t="shared" ref="F763:L763" si="756">SUMIFS($C763,$B763,F$7)+F762</f>
        <v>168</v>
      </c>
      <c r="G763" s="58">
        <f t="shared" si="756"/>
        <v>3</v>
      </c>
      <c r="H763" s="58">
        <f t="shared" si="756"/>
        <v>14</v>
      </c>
      <c r="I763" s="58">
        <f t="shared" si="756"/>
        <v>187</v>
      </c>
      <c r="J763" s="58">
        <f t="shared" si="756"/>
        <v>0</v>
      </c>
      <c r="K763" s="58">
        <f t="shared" si="756"/>
        <v>0</v>
      </c>
      <c r="L763" s="58">
        <f t="shared" si="756"/>
        <v>0</v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0" customHeight="1">
      <c r="A764" s="70"/>
      <c r="B764" s="71"/>
      <c r="C764" s="66"/>
      <c r="D764" s="66">
        <f t="shared" si="412"/>
        <v>0</v>
      </c>
      <c r="E764" s="67"/>
      <c r="F764" s="58">
        <f t="shared" ref="F764:L764" si="757">SUMIFS($C764,$B764,F$7)+F763</f>
        <v>168</v>
      </c>
      <c r="G764" s="58">
        <f t="shared" si="757"/>
        <v>3</v>
      </c>
      <c r="H764" s="58">
        <f t="shared" si="757"/>
        <v>14</v>
      </c>
      <c r="I764" s="58">
        <f t="shared" si="757"/>
        <v>187</v>
      </c>
      <c r="J764" s="58">
        <f t="shared" si="757"/>
        <v>0</v>
      </c>
      <c r="K764" s="58">
        <f t="shared" si="757"/>
        <v>0</v>
      </c>
      <c r="L764" s="58">
        <f t="shared" si="757"/>
        <v>0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0" customHeight="1">
      <c r="A765" s="70"/>
      <c r="B765" s="71"/>
      <c r="C765" s="66"/>
      <c r="D765" s="66">
        <f t="shared" si="412"/>
        <v>0</v>
      </c>
      <c r="E765" s="67"/>
      <c r="F765" s="58">
        <f t="shared" ref="F765:L765" si="758">SUMIFS($C765,$B765,F$7)+F764</f>
        <v>168</v>
      </c>
      <c r="G765" s="58">
        <f t="shared" si="758"/>
        <v>3</v>
      </c>
      <c r="H765" s="58">
        <f t="shared" si="758"/>
        <v>14</v>
      </c>
      <c r="I765" s="58">
        <f t="shared" si="758"/>
        <v>187</v>
      </c>
      <c r="J765" s="58">
        <f t="shared" si="758"/>
        <v>0</v>
      </c>
      <c r="K765" s="58">
        <f t="shared" si="758"/>
        <v>0</v>
      </c>
      <c r="L765" s="58">
        <f t="shared" si="758"/>
        <v>0</v>
      </c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0" customHeight="1">
      <c r="A766" s="70"/>
      <c r="B766" s="71"/>
      <c r="C766" s="66"/>
      <c r="D766" s="66">
        <f t="shared" si="412"/>
        <v>0</v>
      </c>
      <c r="E766" s="67"/>
      <c r="F766" s="58">
        <f t="shared" ref="F766:L766" si="759">SUMIFS($C766,$B766,F$7)+F765</f>
        <v>168</v>
      </c>
      <c r="G766" s="58">
        <f t="shared" si="759"/>
        <v>3</v>
      </c>
      <c r="H766" s="58">
        <f t="shared" si="759"/>
        <v>14</v>
      </c>
      <c r="I766" s="58">
        <f t="shared" si="759"/>
        <v>187</v>
      </c>
      <c r="J766" s="58">
        <f t="shared" si="759"/>
        <v>0</v>
      </c>
      <c r="K766" s="58">
        <f t="shared" si="759"/>
        <v>0</v>
      </c>
      <c r="L766" s="58">
        <f t="shared" si="759"/>
        <v>0</v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0" customHeight="1">
      <c r="A767" s="70"/>
      <c r="B767" s="71"/>
      <c r="C767" s="66"/>
      <c r="D767" s="66">
        <f t="shared" si="412"/>
        <v>0</v>
      </c>
      <c r="E767" s="67"/>
      <c r="F767" s="58">
        <f t="shared" ref="F767:L767" si="760">SUMIFS($C767,$B767,F$7)+F766</f>
        <v>168</v>
      </c>
      <c r="G767" s="58">
        <f t="shared" si="760"/>
        <v>3</v>
      </c>
      <c r="H767" s="58">
        <f t="shared" si="760"/>
        <v>14</v>
      </c>
      <c r="I767" s="58">
        <f t="shared" si="760"/>
        <v>187</v>
      </c>
      <c r="J767" s="58">
        <f t="shared" si="760"/>
        <v>0</v>
      </c>
      <c r="K767" s="58">
        <f t="shared" si="760"/>
        <v>0</v>
      </c>
      <c r="L767" s="58">
        <f t="shared" si="760"/>
        <v>0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0" customHeight="1">
      <c r="A768" s="70"/>
      <c r="B768" s="71"/>
      <c r="C768" s="66"/>
      <c r="D768" s="66">
        <f t="shared" si="412"/>
        <v>0</v>
      </c>
      <c r="E768" s="67"/>
      <c r="F768" s="58">
        <f t="shared" ref="F768:L768" si="761">SUMIFS($C768,$B768,F$7)+F767</f>
        <v>168</v>
      </c>
      <c r="G768" s="58">
        <f t="shared" si="761"/>
        <v>3</v>
      </c>
      <c r="H768" s="58">
        <f t="shared" si="761"/>
        <v>14</v>
      </c>
      <c r="I768" s="58">
        <f t="shared" si="761"/>
        <v>187</v>
      </c>
      <c r="J768" s="58">
        <f t="shared" si="761"/>
        <v>0</v>
      </c>
      <c r="K768" s="58">
        <f t="shared" si="761"/>
        <v>0</v>
      </c>
      <c r="L768" s="58">
        <f t="shared" si="761"/>
        <v>0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0" customHeight="1">
      <c r="A769" s="70"/>
      <c r="B769" s="71"/>
      <c r="C769" s="66"/>
      <c r="D769" s="66">
        <f t="shared" si="412"/>
        <v>0</v>
      </c>
      <c r="E769" s="67"/>
      <c r="F769" s="58">
        <f t="shared" ref="F769:L769" si="762">SUMIFS($C769,$B769,F$7)+F768</f>
        <v>168</v>
      </c>
      <c r="G769" s="58">
        <f t="shared" si="762"/>
        <v>3</v>
      </c>
      <c r="H769" s="58">
        <f t="shared" si="762"/>
        <v>14</v>
      </c>
      <c r="I769" s="58">
        <f t="shared" si="762"/>
        <v>187</v>
      </c>
      <c r="J769" s="58">
        <f t="shared" si="762"/>
        <v>0</v>
      </c>
      <c r="K769" s="58">
        <f t="shared" si="762"/>
        <v>0</v>
      </c>
      <c r="L769" s="58">
        <f t="shared" si="762"/>
        <v>0</v>
      </c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0" customHeight="1">
      <c r="A770" s="70"/>
      <c r="B770" s="71"/>
      <c r="C770" s="66"/>
      <c r="D770" s="66">
        <f t="shared" si="412"/>
        <v>0</v>
      </c>
      <c r="E770" s="67"/>
      <c r="F770" s="58">
        <f t="shared" ref="F770:L770" si="763">SUMIFS($C770,$B770,F$7)+F769</f>
        <v>168</v>
      </c>
      <c r="G770" s="58">
        <f t="shared" si="763"/>
        <v>3</v>
      </c>
      <c r="H770" s="58">
        <f t="shared" si="763"/>
        <v>14</v>
      </c>
      <c r="I770" s="58">
        <f t="shared" si="763"/>
        <v>187</v>
      </c>
      <c r="J770" s="58">
        <f t="shared" si="763"/>
        <v>0</v>
      </c>
      <c r="K770" s="58">
        <f t="shared" si="763"/>
        <v>0</v>
      </c>
      <c r="L770" s="58">
        <f t="shared" si="763"/>
        <v>0</v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0" customHeight="1">
      <c r="A771" s="70"/>
      <c r="B771" s="71"/>
      <c r="C771" s="66"/>
      <c r="D771" s="66">
        <f t="shared" si="412"/>
        <v>0</v>
      </c>
      <c r="E771" s="67"/>
      <c r="F771" s="58">
        <f t="shared" ref="F771:L771" si="764">SUMIFS($C771,$B771,F$7)+F770</f>
        <v>168</v>
      </c>
      <c r="G771" s="58">
        <f t="shared" si="764"/>
        <v>3</v>
      </c>
      <c r="H771" s="58">
        <f t="shared" si="764"/>
        <v>14</v>
      </c>
      <c r="I771" s="58">
        <f t="shared" si="764"/>
        <v>187</v>
      </c>
      <c r="J771" s="58">
        <f t="shared" si="764"/>
        <v>0</v>
      </c>
      <c r="K771" s="58">
        <f t="shared" si="764"/>
        <v>0</v>
      </c>
      <c r="L771" s="58">
        <f t="shared" si="764"/>
        <v>0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0" customHeight="1">
      <c r="A772" s="70"/>
      <c r="B772" s="71"/>
      <c r="C772" s="66"/>
      <c r="D772" s="66">
        <f t="shared" si="412"/>
        <v>0</v>
      </c>
      <c r="E772" s="67"/>
      <c r="F772" s="58">
        <f t="shared" ref="F772:L772" si="765">SUMIFS($C772,$B772,F$7)+F771</f>
        <v>168</v>
      </c>
      <c r="G772" s="58">
        <f t="shared" si="765"/>
        <v>3</v>
      </c>
      <c r="H772" s="58">
        <f t="shared" si="765"/>
        <v>14</v>
      </c>
      <c r="I772" s="58">
        <f t="shared" si="765"/>
        <v>187</v>
      </c>
      <c r="J772" s="58">
        <f t="shared" si="765"/>
        <v>0</v>
      </c>
      <c r="K772" s="58">
        <f t="shared" si="765"/>
        <v>0</v>
      </c>
      <c r="L772" s="58">
        <f t="shared" si="765"/>
        <v>0</v>
      </c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0" customHeight="1">
      <c r="A773" s="70"/>
      <c r="B773" s="71"/>
      <c r="C773" s="66"/>
      <c r="D773" s="66">
        <f t="shared" si="412"/>
        <v>0</v>
      </c>
      <c r="E773" s="67"/>
      <c r="F773" s="58">
        <f t="shared" ref="F773:L773" si="766">SUMIFS($C773,$B773,F$7)+F772</f>
        <v>168</v>
      </c>
      <c r="G773" s="58">
        <f t="shared" si="766"/>
        <v>3</v>
      </c>
      <c r="H773" s="58">
        <f t="shared" si="766"/>
        <v>14</v>
      </c>
      <c r="I773" s="58">
        <f t="shared" si="766"/>
        <v>187</v>
      </c>
      <c r="J773" s="58">
        <f t="shared" si="766"/>
        <v>0</v>
      </c>
      <c r="K773" s="58">
        <f t="shared" si="766"/>
        <v>0</v>
      </c>
      <c r="L773" s="58">
        <f t="shared" si="766"/>
        <v>0</v>
      </c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0" customHeight="1">
      <c r="A774" s="70"/>
      <c r="B774" s="71"/>
      <c r="C774" s="66"/>
      <c r="D774" s="66">
        <f t="shared" si="412"/>
        <v>0</v>
      </c>
      <c r="E774" s="67"/>
      <c r="F774" s="58">
        <f t="shared" ref="F774:L774" si="767">SUMIFS($C774,$B774,F$7)+F773</f>
        <v>168</v>
      </c>
      <c r="G774" s="58">
        <f t="shared" si="767"/>
        <v>3</v>
      </c>
      <c r="H774" s="58">
        <f t="shared" si="767"/>
        <v>14</v>
      </c>
      <c r="I774" s="58">
        <f t="shared" si="767"/>
        <v>187</v>
      </c>
      <c r="J774" s="58">
        <f t="shared" si="767"/>
        <v>0</v>
      </c>
      <c r="K774" s="58">
        <f t="shared" si="767"/>
        <v>0</v>
      </c>
      <c r="L774" s="58">
        <f t="shared" si="767"/>
        <v>0</v>
      </c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0" customHeight="1">
      <c r="A775" s="70"/>
      <c r="B775" s="71"/>
      <c r="C775" s="66"/>
      <c r="D775" s="66">
        <f t="shared" si="412"/>
        <v>0</v>
      </c>
      <c r="E775" s="67"/>
      <c r="F775" s="58">
        <f t="shared" ref="F775:L775" si="768">SUMIFS($C775,$B775,F$7)+F774</f>
        <v>168</v>
      </c>
      <c r="G775" s="58">
        <f t="shared" si="768"/>
        <v>3</v>
      </c>
      <c r="H775" s="58">
        <f t="shared" si="768"/>
        <v>14</v>
      </c>
      <c r="I775" s="58">
        <f t="shared" si="768"/>
        <v>187</v>
      </c>
      <c r="J775" s="58">
        <f t="shared" si="768"/>
        <v>0</v>
      </c>
      <c r="K775" s="58">
        <f t="shared" si="768"/>
        <v>0</v>
      </c>
      <c r="L775" s="58">
        <f t="shared" si="768"/>
        <v>0</v>
      </c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0" customHeight="1">
      <c r="A776" s="70"/>
      <c r="B776" s="71"/>
      <c r="C776" s="66"/>
      <c r="D776" s="66">
        <f t="shared" si="412"/>
        <v>0</v>
      </c>
      <c r="E776" s="67"/>
      <c r="F776" s="58">
        <f t="shared" ref="F776:L776" si="769">SUMIFS($C776,$B776,F$7)+F775</f>
        <v>168</v>
      </c>
      <c r="G776" s="58">
        <f t="shared" si="769"/>
        <v>3</v>
      </c>
      <c r="H776" s="58">
        <f t="shared" si="769"/>
        <v>14</v>
      </c>
      <c r="I776" s="58">
        <f t="shared" si="769"/>
        <v>187</v>
      </c>
      <c r="J776" s="58">
        <f t="shared" si="769"/>
        <v>0</v>
      </c>
      <c r="K776" s="58">
        <f t="shared" si="769"/>
        <v>0</v>
      </c>
      <c r="L776" s="58">
        <f t="shared" si="769"/>
        <v>0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0" customHeight="1">
      <c r="A777" s="70"/>
      <c r="B777" s="71"/>
      <c r="C777" s="66"/>
      <c r="D777" s="66">
        <f t="shared" si="412"/>
        <v>0</v>
      </c>
      <c r="E777" s="67"/>
      <c r="F777" s="58">
        <f t="shared" ref="F777:L777" si="770">SUMIFS($C777,$B777,F$7)+F776</f>
        <v>168</v>
      </c>
      <c r="G777" s="58">
        <f t="shared" si="770"/>
        <v>3</v>
      </c>
      <c r="H777" s="58">
        <f t="shared" si="770"/>
        <v>14</v>
      </c>
      <c r="I777" s="58">
        <f t="shared" si="770"/>
        <v>187</v>
      </c>
      <c r="J777" s="58">
        <f t="shared" si="770"/>
        <v>0</v>
      </c>
      <c r="K777" s="58">
        <f t="shared" si="770"/>
        <v>0</v>
      </c>
      <c r="L777" s="58">
        <f t="shared" si="770"/>
        <v>0</v>
      </c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0" customHeight="1">
      <c r="A778" s="70"/>
      <c r="B778" s="71"/>
      <c r="C778" s="66"/>
      <c r="D778" s="66">
        <f t="shared" si="412"/>
        <v>0</v>
      </c>
      <c r="E778" s="67"/>
      <c r="F778" s="58">
        <f t="shared" ref="F778:L778" si="771">SUMIFS($C778,$B778,F$7)+F777</f>
        <v>168</v>
      </c>
      <c r="G778" s="58">
        <f t="shared" si="771"/>
        <v>3</v>
      </c>
      <c r="H778" s="58">
        <f t="shared" si="771"/>
        <v>14</v>
      </c>
      <c r="I778" s="58">
        <f t="shared" si="771"/>
        <v>187</v>
      </c>
      <c r="J778" s="58">
        <f t="shared" si="771"/>
        <v>0</v>
      </c>
      <c r="K778" s="58">
        <f t="shared" si="771"/>
        <v>0</v>
      </c>
      <c r="L778" s="58">
        <f t="shared" si="771"/>
        <v>0</v>
      </c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0" customHeight="1">
      <c r="A779" s="70"/>
      <c r="B779" s="71"/>
      <c r="C779" s="66"/>
      <c r="D779" s="66">
        <f t="shared" si="412"/>
        <v>0</v>
      </c>
      <c r="E779" s="67"/>
      <c r="F779" s="58">
        <f t="shared" ref="F779:L779" si="772">SUMIFS($C779,$B779,F$7)+F778</f>
        <v>168</v>
      </c>
      <c r="G779" s="58">
        <f t="shared" si="772"/>
        <v>3</v>
      </c>
      <c r="H779" s="58">
        <f t="shared" si="772"/>
        <v>14</v>
      </c>
      <c r="I779" s="58">
        <f t="shared" si="772"/>
        <v>187</v>
      </c>
      <c r="J779" s="58">
        <f t="shared" si="772"/>
        <v>0</v>
      </c>
      <c r="K779" s="58">
        <f t="shared" si="772"/>
        <v>0</v>
      </c>
      <c r="L779" s="58">
        <f t="shared" si="772"/>
        <v>0</v>
      </c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0" customHeight="1">
      <c r="A780" s="70"/>
      <c r="B780" s="71"/>
      <c r="C780" s="66"/>
      <c r="D780" s="66">
        <f t="shared" si="412"/>
        <v>0</v>
      </c>
      <c r="E780" s="67"/>
      <c r="F780" s="58">
        <f t="shared" ref="F780:L780" si="773">SUMIFS($C780,$B780,F$7)+F779</f>
        <v>168</v>
      </c>
      <c r="G780" s="58">
        <f t="shared" si="773"/>
        <v>3</v>
      </c>
      <c r="H780" s="58">
        <f t="shared" si="773"/>
        <v>14</v>
      </c>
      <c r="I780" s="58">
        <f t="shared" si="773"/>
        <v>187</v>
      </c>
      <c r="J780" s="58">
        <f t="shared" si="773"/>
        <v>0</v>
      </c>
      <c r="K780" s="58">
        <f t="shared" si="773"/>
        <v>0</v>
      </c>
      <c r="L780" s="58">
        <f t="shared" si="773"/>
        <v>0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0" customHeight="1">
      <c r="A781" s="70"/>
      <c r="B781" s="71"/>
      <c r="C781" s="66"/>
      <c r="D781" s="66">
        <f t="shared" si="412"/>
        <v>0</v>
      </c>
      <c r="E781" s="67"/>
      <c r="F781" s="58">
        <f t="shared" ref="F781:L781" si="774">SUMIFS($C781,$B781,F$7)+F780</f>
        <v>168</v>
      </c>
      <c r="G781" s="58">
        <f t="shared" si="774"/>
        <v>3</v>
      </c>
      <c r="H781" s="58">
        <f t="shared" si="774"/>
        <v>14</v>
      </c>
      <c r="I781" s="58">
        <f t="shared" si="774"/>
        <v>187</v>
      </c>
      <c r="J781" s="58">
        <f t="shared" si="774"/>
        <v>0</v>
      </c>
      <c r="K781" s="58">
        <f t="shared" si="774"/>
        <v>0</v>
      </c>
      <c r="L781" s="58">
        <f t="shared" si="774"/>
        <v>0</v>
      </c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0" customHeight="1">
      <c r="A782" s="70"/>
      <c r="B782" s="71"/>
      <c r="C782" s="66"/>
      <c r="D782" s="66">
        <f t="shared" si="412"/>
        <v>0</v>
      </c>
      <c r="E782" s="67"/>
      <c r="F782" s="58">
        <f t="shared" ref="F782:L782" si="775">SUMIFS($C782,$B782,F$7)+F781</f>
        <v>168</v>
      </c>
      <c r="G782" s="58">
        <f t="shared" si="775"/>
        <v>3</v>
      </c>
      <c r="H782" s="58">
        <f t="shared" si="775"/>
        <v>14</v>
      </c>
      <c r="I782" s="58">
        <f t="shared" si="775"/>
        <v>187</v>
      </c>
      <c r="J782" s="58">
        <f t="shared" si="775"/>
        <v>0</v>
      </c>
      <c r="K782" s="58">
        <f t="shared" si="775"/>
        <v>0</v>
      </c>
      <c r="L782" s="58">
        <f t="shared" si="775"/>
        <v>0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0" customHeight="1">
      <c r="A783" s="70"/>
      <c r="B783" s="71"/>
      <c r="C783" s="66"/>
      <c r="D783" s="66">
        <f t="shared" si="412"/>
        <v>0</v>
      </c>
      <c r="E783" s="67"/>
      <c r="F783" s="58">
        <f t="shared" ref="F783:L783" si="776">SUMIFS($C783,$B783,F$7)+F782</f>
        <v>168</v>
      </c>
      <c r="G783" s="58">
        <f t="shared" si="776"/>
        <v>3</v>
      </c>
      <c r="H783" s="58">
        <f t="shared" si="776"/>
        <v>14</v>
      </c>
      <c r="I783" s="58">
        <f t="shared" si="776"/>
        <v>187</v>
      </c>
      <c r="J783" s="58">
        <f t="shared" si="776"/>
        <v>0</v>
      </c>
      <c r="K783" s="58">
        <f t="shared" si="776"/>
        <v>0</v>
      </c>
      <c r="L783" s="58">
        <f t="shared" si="776"/>
        <v>0</v>
      </c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0" customHeight="1">
      <c r="A784" s="70"/>
      <c r="B784" s="71"/>
      <c r="C784" s="66"/>
      <c r="D784" s="66">
        <f t="shared" si="412"/>
        <v>0</v>
      </c>
      <c r="E784" s="67"/>
      <c r="F784" s="58">
        <f t="shared" ref="F784:L784" si="777">SUMIFS($C784,$B784,F$7)+F783</f>
        <v>168</v>
      </c>
      <c r="G784" s="58">
        <f t="shared" si="777"/>
        <v>3</v>
      </c>
      <c r="H784" s="58">
        <f t="shared" si="777"/>
        <v>14</v>
      </c>
      <c r="I784" s="58">
        <f t="shared" si="777"/>
        <v>187</v>
      </c>
      <c r="J784" s="58">
        <f t="shared" si="777"/>
        <v>0</v>
      </c>
      <c r="K784" s="58">
        <f t="shared" si="777"/>
        <v>0</v>
      </c>
      <c r="L784" s="58">
        <f t="shared" si="777"/>
        <v>0</v>
      </c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0" customHeight="1">
      <c r="A785" s="70"/>
      <c r="B785" s="71"/>
      <c r="C785" s="66"/>
      <c r="D785" s="66">
        <f t="shared" si="412"/>
        <v>0</v>
      </c>
      <c r="E785" s="67"/>
      <c r="F785" s="58">
        <f t="shared" ref="F785:L785" si="778">SUMIFS($C785,$B785,F$7)+F784</f>
        <v>168</v>
      </c>
      <c r="G785" s="58">
        <f t="shared" si="778"/>
        <v>3</v>
      </c>
      <c r="H785" s="58">
        <f t="shared" si="778"/>
        <v>14</v>
      </c>
      <c r="I785" s="58">
        <f t="shared" si="778"/>
        <v>187</v>
      </c>
      <c r="J785" s="58">
        <f t="shared" si="778"/>
        <v>0</v>
      </c>
      <c r="K785" s="58">
        <f t="shared" si="778"/>
        <v>0</v>
      </c>
      <c r="L785" s="58">
        <f t="shared" si="778"/>
        <v>0</v>
      </c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0" customHeight="1">
      <c r="A786" s="70"/>
      <c r="B786" s="71"/>
      <c r="C786" s="66"/>
      <c r="D786" s="66">
        <f t="shared" si="412"/>
        <v>0</v>
      </c>
      <c r="E786" s="67"/>
      <c r="F786" s="58">
        <f t="shared" ref="F786:L786" si="779">SUMIFS($C786,$B786,F$7)+F785</f>
        <v>168</v>
      </c>
      <c r="G786" s="58">
        <f t="shared" si="779"/>
        <v>3</v>
      </c>
      <c r="H786" s="58">
        <f t="shared" si="779"/>
        <v>14</v>
      </c>
      <c r="I786" s="58">
        <f t="shared" si="779"/>
        <v>187</v>
      </c>
      <c r="J786" s="58">
        <f t="shared" si="779"/>
        <v>0</v>
      </c>
      <c r="K786" s="58">
        <f t="shared" si="779"/>
        <v>0</v>
      </c>
      <c r="L786" s="58">
        <f t="shared" si="779"/>
        <v>0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0" customHeight="1">
      <c r="A787" s="70"/>
      <c r="B787" s="71"/>
      <c r="C787" s="66"/>
      <c r="D787" s="66">
        <f t="shared" si="412"/>
        <v>0</v>
      </c>
      <c r="E787" s="67"/>
      <c r="F787" s="58">
        <f t="shared" ref="F787:L787" si="780">SUMIFS($C787,$B787,F$7)+F786</f>
        <v>168</v>
      </c>
      <c r="G787" s="58">
        <f t="shared" si="780"/>
        <v>3</v>
      </c>
      <c r="H787" s="58">
        <f t="shared" si="780"/>
        <v>14</v>
      </c>
      <c r="I787" s="58">
        <f t="shared" si="780"/>
        <v>187</v>
      </c>
      <c r="J787" s="58">
        <f t="shared" si="780"/>
        <v>0</v>
      </c>
      <c r="K787" s="58">
        <f t="shared" si="780"/>
        <v>0</v>
      </c>
      <c r="L787" s="58">
        <f t="shared" si="780"/>
        <v>0</v>
      </c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0" customHeight="1">
      <c r="A788" s="70"/>
      <c r="B788" s="71"/>
      <c r="C788" s="66"/>
      <c r="D788" s="66">
        <f t="shared" si="412"/>
        <v>0</v>
      </c>
      <c r="E788" s="67"/>
      <c r="F788" s="58">
        <f t="shared" ref="F788:L788" si="781">SUMIFS($C788,$B788,F$7)+F787</f>
        <v>168</v>
      </c>
      <c r="G788" s="58">
        <f t="shared" si="781"/>
        <v>3</v>
      </c>
      <c r="H788" s="58">
        <f t="shared" si="781"/>
        <v>14</v>
      </c>
      <c r="I788" s="58">
        <f t="shared" si="781"/>
        <v>187</v>
      </c>
      <c r="J788" s="58">
        <f t="shared" si="781"/>
        <v>0</v>
      </c>
      <c r="K788" s="58">
        <f t="shared" si="781"/>
        <v>0</v>
      </c>
      <c r="L788" s="58">
        <f t="shared" si="781"/>
        <v>0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0" customHeight="1">
      <c r="A789" s="70"/>
      <c r="B789" s="71"/>
      <c r="C789" s="66"/>
      <c r="D789" s="66">
        <f t="shared" si="412"/>
        <v>0</v>
      </c>
      <c r="E789" s="67"/>
      <c r="F789" s="58">
        <f t="shared" ref="F789:L789" si="782">SUMIFS($C789,$B789,F$7)+F788</f>
        <v>168</v>
      </c>
      <c r="G789" s="58">
        <f t="shared" si="782"/>
        <v>3</v>
      </c>
      <c r="H789" s="58">
        <f t="shared" si="782"/>
        <v>14</v>
      </c>
      <c r="I789" s="58">
        <f t="shared" si="782"/>
        <v>187</v>
      </c>
      <c r="J789" s="58">
        <f t="shared" si="782"/>
        <v>0</v>
      </c>
      <c r="K789" s="58">
        <f t="shared" si="782"/>
        <v>0</v>
      </c>
      <c r="L789" s="58">
        <f t="shared" si="782"/>
        <v>0</v>
      </c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0" customHeight="1">
      <c r="A790" s="70"/>
      <c r="B790" s="71"/>
      <c r="C790" s="66"/>
      <c r="D790" s="66">
        <f t="shared" si="412"/>
        <v>0</v>
      </c>
      <c r="E790" s="67"/>
      <c r="F790" s="58">
        <f t="shared" ref="F790:L790" si="783">SUMIFS($C790,$B790,F$7)+F789</f>
        <v>168</v>
      </c>
      <c r="G790" s="58">
        <f t="shared" si="783"/>
        <v>3</v>
      </c>
      <c r="H790" s="58">
        <f t="shared" si="783"/>
        <v>14</v>
      </c>
      <c r="I790" s="58">
        <f t="shared" si="783"/>
        <v>187</v>
      </c>
      <c r="J790" s="58">
        <f t="shared" si="783"/>
        <v>0</v>
      </c>
      <c r="K790" s="58">
        <f t="shared" si="783"/>
        <v>0</v>
      </c>
      <c r="L790" s="58">
        <f t="shared" si="783"/>
        <v>0</v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0" customHeight="1">
      <c r="A791" s="70"/>
      <c r="B791" s="71"/>
      <c r="C791" s="66"/>
      <c r="D791" s="66">
        <f t="shared" si="412"/>
        <v>0</v>
      </c>
      <c r="E791" s="67"/>
      <c r="F791" s="58">
        <f t="shared" ref="F791:L791" si="784">SUMIFS($C791,$B791,F$7)+F790</f>
        <v>168</v>
      </c>
      <c r="G791" s="58">
        <f t="shared" si="784"/>
        <v>3</v>
      </c>
      <c r="H791" s="58">
        <f t="shared" si="784"/>
        <v>14</v>
      </c>
      <c r="I791" s="58">
        <f t="shared" si="784"/>
        <v>187</v>
      </c>
      <c r="J791" s="58">
        <f t="shared" si="784"/>
        <v>0</v>
      </c>
      <c r="K791" s="58">
        <f t="shared" si="784"/>
        <v>0</v>
      </c>
      <c r="L791" s="58">
        <f t="shared" si="784"/>
        <v>0</v>
      </c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0" customHeight="1">
      <c r="A792" s="70"/>
      <c r="B792" s="71"/>
      <c r="C792" s="66"/>
      <c r="D792" s="66">
        <f t="shared" si="412"/>
        <v>0</v>
      </c>
      <c r="E792" s="67"/>
      <c r="F792" s="58">
        <f t="shared" ref="F792:L792" si="785">SUMIFS($C792,$B792,F$7)+F791</f>
        <v>168</v>
      </c>
      <c r="G792" s="58">
        <f t="shared" si="785"/>
        <v>3</v>
      </c>
      <c r="H792" s="58">
        <f t="shared" si="785"/>
        <v>14</v>
      </c>
      <c r="I792" s="58">
        <f t="shared" si="785"/>
        <v>187</v>
      </c>
      <c r="J792" s="58">
        <f t="shared" si="785"/>
        <v>0</v>
      </c>
      <c r="K792" s="58">
        <f t="shared" si="785"/>
        <v>0</v>
      </c>
      <c r="L792" s="58">
        <f t="shared" si="785"/>
        <v>0</v>
      </c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0" customHeight="1">
      <c r="A793" s="70"/>
      <c r="B793" s="71"/>
      <c r="C793" s="66"/>
      <c r="D793" s="66">
        <f t="shared" si="412"/>
        <v>0</v>
      </c>
      <c r="E793" s="67"/>
      <c r="F793" s="58">
        <f t="shared" ref="F793:L793" si="786">SUMIFS($C793,$B793,F$7)+F792</f>
        <v>168</v>
      </c>
      <c r="G793" s="58">
        <f t="shared" si="786"/>
        <v>3</v>
      </c>
      <c r="H793" s="58">
        <f t="shared" si="786"/>
        <v>14</v>
      </c>
      <c r="I793" s="58">
        <f t="shared" si="786"/>
        <v>187</v>
      </c>
      <c r="J793" s="58">
        <f t="shared" si="786"/>
        <v>0</v>
      </c>
      <c r="K793" s="58">
        <f t="shared" si="786"/>
        <v>0</v>
      </c>
      <c r="L793" s="58">
        <f t="shared" si="786"/>
        <v>0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0" customHeight="1">
      <c r="A794" s="70"/>
      <c r="B794" s="71"/>
      <c r="C794" s="66"/>
      <c r="D794" s="66">
        <f t="shared" si="412"/>
        <v>0</v>
      </c>
      <c r="E794" s="67"/>
      <c r="F794" s="58">
        <f t="shared" ref="F794:L794" si="787">SUMIFS($C794,$B794,F$7)+F793</f>
        <v>168</v>
      </c>
      <c r="G794" s="58">
        <f t="shared" si="787"/>
        <v>3</v>
      </c>
      <c r="H794" s="58">
        <f t="shared" si="787"/>
        <v>14</v>
      </c>
      <c r="I794" s="58">
        <f t="shared" si="787"/>
        <v>187</v>
      </c>
      <c r="J794" s="58">
        <f t="shared" si="787"/>
        <v>0</v>
      </c>
      <c r="K794" s="58">
        <f t="shared" si="787"/>
        <v>0</v>
      </c>
      <c r="L794" s="58">
        <f t="shared" si="787"/>
        <v>0</v>
      </c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0" customHeight="1">
      <c r="A795" s="70"/>
      <c r="B795" s="71"/>
      <c r="C795" s="66"/>
      <c r="D795" s="66">
        <f t="shared" si="412"/>
        <v>0</v>
      </c>
      <c r="E795" s="67"/>
      <c r="F795" s="58">
        <f t="shared" ref="F795:L795" si="788">SUMIFS($C795,$B795,F$7)+F794</f>
        <v>168</v>
      </c>
      <c r="G795" s="58">
        <f t="shared" si="788"/>
        <v>3</v>
      </c>
      <c r="H795" s="58">
        <f t="shared" si="788"/>
        <v>14</v>
      </c>
      <c r="I795" s="58">
        <f t="shared" si="788"/>
        <v>187</v>
      </c>
      <c r="J795" s="58">
        <f t="shared" si="788"/>
        <v>0</v>
      </c>
      <c r="K795" s="58">
        <f t="shared" si="788"/>
        <v>0</v>
      </c>
      <c r="L795" s="58">
        <f t="shared" si="788"/>
        <v>0</v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0" customHeight="1">
      <c r="A796" s="70"/>
      <c r="B796" s="71"/>
      <c r="C796" s="66"/>
      <c r="D796" s="66">
        <f t="shared" si="412"/>
        <v>0</v>
      </c>
      <c r="E796" s="67"/>
      <c r="F796" s="58">
        <f t="shared" ref="F796:L796" si="789">SUMIFS($C796,$B796,F$7)+F795</f>
        <v>168</v>
      </c>
      <c r="G796" s="58">
        <f t="shared" si="789"/>
        <v>3</v>
      </c>
      <c r="H796" s="58">
        <f t="shared" si="789"/>
        <v>14</v>
      </c>
      <c r="I796" s="58">
        <f t="shared" si="789"/>
        <v>187</v>
      </c>
      <c r="J796" s="58">
        <f t="shared" si="789"/>
        <v>0</v>
      </c>
      <c r="K796" s="58">
        <f t="shared" si="789"/>
        <v>0</v>
      </c>
      <c r="L796" s="58">
        <f t="shared" si="789"/>
        <v>0</v>
      </c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0" customHeight="1">
      <c r="A797" s="70"/>
      <c r="B797" s="71"/>
      <c r="C797" s="66"/>
      <c r="D797" s="66">
        <f t="shared" si="412"/>
        <v>0</v>
      </c>
      <c r="E797" s="67"/>
      <c r="F797" s="58">
        <f t="shared" ref="F797:L797" si="790">SUMIFS($C797,$B797,F$7)+F796</f>
        <v>168</v>
      </c>
      <c r="G797" s="58">
        <f t="shared" si="790"/>
        <v>3</v>
      </c>
      <c r="H797" s="58">
        <f t="shared" si="790"/>
        <v>14</v>
      </c>
      <c r="I797" s="58">
        <f t="shared" si="790"/>
        <v>187</v>
      </c>
      <c r="J797" s="58">
        <f t="shared" si="790"/>
        <v>0</v>
      </c>
      <c r="K797" s="58">
        <f t="shared" si="790"/>
        <v>0</v>
      </c>
      <c r="L797" s="58">
        <f t="shared" si="790"/>
        <v>0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0" customHeight="1">
      <c r="A798" s="70"/>
      <c r="B798" s="71"/>
      <c r="C798" s="66"/>
      <c r="D798" s="66">
        <f t="shared" si="412"/>
        <v>0</v>
      </c>
      <c r="E798" s="67"/>
      <c r="F798" s="58">
        <f t="shared" ref="F798:L798" si="791">SUMIFS($C798,$B798,F$7)+F797</f>
        <v>168</v>
      </c>
      <c r="G798" s="58">
        <f t="shared" si="791"/>
        <v>3</v>
      </c>
      <c r="H798" s="58">
        <f t="shared" si="791"/>
        <v>14</v>
      </c>
      <c r="I798" s="58">
        <f t="shared" si="791"/>
        <v>187</v>
      </c>
      <c r="J798" s="58">
        <f t="shared" si="791"/>
        <v>0</v>
      </c>
      <c r="K798" s="58">
        <f t="shared" si="791"/>
        <v>0</v>
      </c>
      <c r="L798" s="58">
        <f t="shared" si="791"/>
        <v>0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0" customHeight="1">
      <c r="A799" s="70"/>
      <c r="B799" s="71"/>
      <c r="C799" s="66"/>
      <c r="D799" s="66">
        <f t="shared" si="412"/>
        <v>0</v>
      </c>
      <c r="E799" s="67"/>
      <c r="F799" s="58">
        <f t="shared" ref="F799:L799" si="792">SUMIFS($C799,$B799,F$7)+F798</f>
        <v>168</v>
      </c>
      <c r="G799" s="58">
        <f t="shared" si="792"/>
        <v>3</v>
      </c>
      <c r="H799" s="58">
        <f t="shared" si="792"/>
        <v>14</v>
      </c>
      <c r="I799" s="58">
        <f t="shared" si="792"/>
        <v>187</v>
      </c>
      <c r="J799" s="58">
        <f t="shared" si="792"/>
        <v>0</v>
      </c>
      <c r="K799" s="58">
        <f t="shared" si="792"/>
        <v>0</v>
      </c>
      <c r="L799" s="58">
        <f t="shared" si="792"/>
        <v>0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0" customHeight="1">
      <c r="A800" s="70"/>
      <c r="B800" s="71"/>
      <c r="C800" s="66"/>
      <c r="D800" s="66">
        <f t="shared" si="412"/>
        <v>0</v>
      </c>
      <c r="E800" s="67"/>
      <c r="F800" s="58">
        <f t="shared" ref="F800:L800" si="793">SUMIFS($C800,$B800,F$7)+F799</f>
        <v>168</v>
      </c>
      <c r="G800" s="58">
        <f t="shared" si="793"/>
        <v>3</v>
      </c>
      <c r="H800" s="58">
        <f t="shared" si="793"/>
        <v>14</v>
      </c>
      <c r="I800" s="58">
        <f t="shared" si="793"/>
        <v>187</v>
      </c>
      <c r="J800" s="58">
        <f t="shared" si="793"/>
        <v>0</v>
      </c>
      <c r="K800" s="58">
        <f t="shared" si="793"/>
        <v>0</v>
      </c>
      <c r="L800" s="58">
        <f t="shared" si="793"/>
        <v>0</v>
      </c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0" customHeight="1">
      <c r="A801" s="70"/>
      <c r="B801" s="71"/>
      <c r="C801" s="66"/>
      <c r="D801" s="66">
        <f t="shared" si="412"/>
        <v>0</v>
      </c>
      <c r="E801" s="67"/>
      <c r="F801" s="58">
        <f t="shared" ref="F801:L801" si="794">SUMIFS($C801,$B801,F$7)+F800</f>
        <v>168</v>
      </c>
      <c r="G801" s="58">
        <f t="shared" si="794"/>
        <v>3</v>
      </c>
      <c r="H801" s="58">
        <f t="shared" si="794"/>
        <v>14</v>
      </c>
      <c r="I801" s="58">
        <f t="shared" si="794"/>
        <v>187</v>
      </c>
      <c r="J801" s="58">
        <f t="shared" si="794"/>
        <v>0</v>
      </c>
      <c r="K801" s="58">
        <f t="shared" si="794"/>
        <v>0</v>
      </c>
      <c r="L801" s="58">
        <f t="shared" si="794"/>
        <v>0</v>
      </c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0" customHeight="1">
      <c r="A802" s="70"/>
      <c r="B802" s="71"/>
      <c r="C802" s="66"/>
      <c r="D802" s="66">
        <f t="shared" si="412"/>
        <v>0</v>
      </c>
      <c r="E802" s="67"/>
      <c r="F802" s="58">
        <f t="shared" ref="F802:L802" si="795">SUMIFS($C802,$B802,F$7)+F801</f>
        <v>168</v>
      </c>
      <c r="G802" s="58">
        <f t="shared" si="795"/>
        <v>3</v>
      </c>
      <c r="H802" s="58">
        <f t="shared" si="795"/>
        <v>14</v>
      </c>
      <c r="I802" s="58">
        <f t="shared" si="795"/>
        <v>187</v>
      </c>
      <c r="J802" s="58">
        <f t="shared" si="795"/>
        <v>0</v>
      </c>
      <c r="K802" s="58">
        <f t="shared" si="795"/>
        <v>0</v>
      </c>
      <c r="L802" s="58">
        <f t="shared" si="795"/>
        <v>0</v>
      </c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0" customHeight="1">
      <c r="A803" s="70"/>
      <c r="B803" s="71"/>
      <c r="C803" s="66"/>
      <c r="D803" s="66">
        <f t="shared" si="412"/>
        <v>0</v>
      </c>
      <c r="E803" s="67"/>
      <c r="F803" s="58">
        <f t="shared" ref="F803:L803" si="796">SUMIFS($C803,$B803,F$7)+F802</f>
        <v>168</v>
      </c>
      <c r="G803" s="58">
        <f t="shared" si="796"/>
        <v>3</v>
      </c>
      <c r="H803" s="58">
        <f t="shared" si="796"/>
        <v>14</v>
      </c>
      <c r="I803" s="58">
        <f t="shared" si="796"/>
        <v>187</v>
      </c>
      <c r="J803" s="58">
        <f t="shared" si="796"/>
        <v>0</v>
      </c>
      <c r="K803" s="58">
        <f t="shared" si="796"/>
        <v>0</v>
      </c>
      <c r="L803" s="58">
        <f t="shared" si="796"/>
        <v>0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0" customHeight="1">
      <c r="A804" s="70"/>
      <c r="B804" s="71"/>
      <c r="C804" s="66"/>
      <c r="D804" s="66">
        <f t="shared" si="412"/>
        <v>0</v>
      </c>
      <c r="E804" s="67"/>
      <c r="F804" s="58">
        <f t="shared" ref="F804:L804" si="797">SUMIFS($C804,$B804,F$7)+F803</f>
        <v>168</v>
      </c>
      <c r="G804" s="58">
        <f t="shared" si="797"/>
        <v>3</v>
      </c>
      <c r="H804" s="58">
        <f t="shared" si="797"/>
        <v>14</v>
      </c>
      <c r="I804" s="58">
        <f t="shared" si="797"/>
        <v>187</v>
      </c>
      <c r="J804" s="58">
        <f t="shared" si="797"/>
        <v>0</v>
      </c>
      <c r="K804" s="58">
        <f t="shared" si="797"/>
        <v>0</v>
      </c>
      <c r="L804" s="58">
        <f t="shared" si="797"/>
        <v>0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0" customHeight="1">
      <c r="A805" s="70"/>
      <c r="B805" s="71"/>
      <c r="C805" s="66"/>
      <c r="D805" s="66">
        <f t="shared" si="412"/>
        <v>0</v>
      </c>
      <c r="E805" s="67"/>
      <c r="F805" s="58">
        <f t="shared" ref="F805:L805" si="798">SUMIFS($C805,$B805,F$7)+F804</f>
        <v>168</v>
      </c>
      <c r="G805" s="58">
        <f t="shared" si="798"/>
        <v>3</v>
      </c>
      <c r="H805" s="58">
        <f t="shared" si="798"/>
        <v>14</v>
      </c>
      <c r="I805" s="58">
        <f t="shared" si="798"/>
        <v>187</v>
      </c>
      <c r="J805" s="58">
        <f t="shared" si="798"/>
        <v>0</v>
      </c>
      <c r="K805" s="58">
        <f t="shared" si="798"/>
        <v>0</v>
      </c>
      <c r="L805" s="58">
        <f t="shared" si="798"/>
        <v>0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0" customHeight="1">
      <c r="A806" s="70"/>
      <c r="B806" s="71"/>
      <c r="C806" s="66"/>
      <c r="D806" s="66">
        <f t="shared" si="412"/>
        <v>0</v>
      </c>
      <c r="E806" s="67"/>
      <c r="F806" s="58">
        <f t="shared" ref="F806:L806" si="799">SUMIFS($C806,$B806,F$7)+F805</f>
        <v>168</v>
      </c>
      <c r="G806" s="58">
        <f t="shared" si="799"/>
        <v>3</v>
      </c>
      <c r="H806" s="58">
        <f t="shared" si="799"/>
        <v>14</v>
      </c>
      <c r="I806" s="58">
        <f t="shared" si="799"/>
        <v>187</v>
      </c>
      <c r="J806" s="58">
        <f t="shared" si="799"/>
        <v>0</v>
      </c>
      <c r="K806" s="58">
        <f t="shared" si="799"/>
        <v>0</v>
      </c>
      <c r="L806" s="58">
        <f t="shared" si="799"/>
        <v>0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0" customHeight="1">
      <c r="A807" s="70"/>
      <c r="B807" s="71"/>
      <c r="C807" s="66"/>
      <c r="D807" s="66">
        <f t="shared" si="412"/>
        <v>0</v>
      </c>
      <c r="E807" s="67"/>
      <c r="F807" s="58">
        <f t="shared" ref="F807:L807" si="800">SUMIFS($C807,$B807,F$7)+F806</f>
        <v>168</v>
      </c>
      <c r="G807" s="58">
        <f t="shared" si="800"/>
        <v>3</v>
      </c>
      <c r="H807" s="58">
        <f t="shared" si="800"/>
        <v>14</v>
      </c>
      <c r="I807" s="58">
        <f t="shared" si="800"/>
        <v>187</v>
      </c>
      <c r="J807" s="58">
        <f t="shared" si="800"/>
        <v>0</v>
      </c>
      <c r="K807" s="58">
        <f t="shared" si="800"/>
        <v>0</v>
      </c>
      <c r="L807" s="58">
        <f t="shared" si="800"/>
        <v>0</v>
      </c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0" customHeight="1">
      <c r="A808" s="70"/>
      <c r="B808" s="71"/>
      <c r="C808" s="66"/>
      <c r="D808" s="66">
        <f t="shared" si="412"/>
        <v>0</v>
      </c>
      <c r="E808" s="67"/>
      <c r="F808" s="58">
        <f t="shared" ref="F808:L808" si="801">SUMIFS($C808,$B808,F$7)+F807</f>
        <v>168</v>
      </c>
      <c r="G808" s="58">
        <f t="shared" si="801"/>
        <v>3</v>
      </c>
      <c r="H808" s="58">
        <f t="shared" si="801"/>
        <v>14</v>
      </c>
      <c r="I808" s="58">
        <f t="shared" si="801"/>
        <v>187</v>
      </c>
      <c r="J808" s="58">
        <f t="shared" si="801"/>
        <v>0</v>
      </c>
      <c r="K808" s="58">
        <f t="shared" si="801"/>
        <v>0</v>
      </c>
      <c r="L808" s="58">
        <f t="shared" si="801"/>
        <v>0</v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0" customHeight="1">
      <c r="A809" s="70"/>
      <c r="B809" s="71"/>
      <c r="C809" s="66"/>
      <c r="D809" s="66">
        <f t="shared" si="412"/>
        <v>0</v>
      </c>
      <c r="E809" s="67"/>
      <c r="F809" s="58">
        <f t="shared" ref="F809:L809" si="802">SUMIFS($C809,$B809,F$7)+F808</f>
        <v>168</v>
      </c>
      <c r="G809" s="58">
        <f t="shared" si="802"/>
        <v>3</v>
      </c>
      <c r="H809" s="58">
        <f t="shared" si="802"/>
        <v>14</v>
      </c>
      <c r="I809" s="58">
        <f t="shared" si="802"/>
        <v>187</v>
      </c>
      <c r="J809" s="58">
        <f t="shared" si="802"/>
        <v>0</v>
      </c>
      <c r="K809" s="58">
        <f t="shared" si="802"/>
        <v>0</v>
      </c>
      <c r="L809" s="58">
        <f t="shared" si="802"/>
        <v>0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0" customHeight="1">
      <c r="A810" s="70"/>
      <c r="B810" s="71"/>
      <c r="C810" s="66"/>
      <c r="D810" s="66">
        <f t="shared" si="412"/>
        <v>0</v>
      </c>
      <c r="E810" s="67"/>
      <c r="F810" s="58">
        <f t="shared" ref="F810:L810" si="803">SUMIFS($C810,$B810,F$7)+F809</f>
        <v>168</v>
      </c>
      <c r="G810" s="58">
        <f t="shared" si="803"/>
        <v>3</v>
      </c>
      <c r="H810" s="58">
        <f t="shared" si="803"/>
        <v>14</v>
      </c>
      <c r="I810" s="58">
        <f t="shared" si="803"/>
        <v>187</v>
      </c>
      <c r="J810" s="58">
        <f t="shared" si="803"/>
        <v>0</v>
      </c>
      <c r="K810" s="58">
        <f t="shared" si="803"/>
        <v>0</v>
      </c>
      <c r="L810" s="58">
        <f t="shared" si="803"/>
        <v>0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0" customHeight="1">
      <c r="A811" s="70"/>
      <c r="B811" s="71"/>
      <c r="C811" s="66"/>
      <c r="D811" s="66">
        <f t="shared" si="412"/>
        <v>0</v>
      </c>
      <c r="E811" s="67"/>
      <c r="F811" s="58">
        <f t="shared" ref="F811:L811" si="804">SUMIFS($C811,$B811,F$7)+F810</f>
        <v>168</v>
      </c>
      <c r="G811" s="58">
        <f t="shared" si="804"/>
        <v>3</v>
      </c>
      <c r="H811" s="58">
        <f t="shared" si="804"/>
        <v>14</v>
      </c>
      <c r="I811" s="58">
        <f t="shared" si="804"/>
        <v>187</v>
      </c>
      <c r="J811" s="58">
        <f t="shared" si="804"/>
        <v>0</v>
      </c>
      <c r="K811" s="58">
        <f t="shared" si="804"/>
        <v>0</v>
      </c>
      <c r="L811" s="58">
        <f t="shared" si="804"/>
        <v>0</v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0" customHeight="1">
      <c r="A812" s="70"/>
      <c r="B812" s="71"/>
      <c r="C812" s="66"/>
      <c r="D812" s="66">
        <f t="shared" si="412"/>
        <v>0</v>
      </c>
      <c r="E812" s="67"/>
      <c r="F812" s="58">
        <f t="shared" ref="F812:L812" si="805">SUMIFS($C812,$B812,F$7)+F811</f>
        <v>168</v>
      </c>
      <c r="G812" s="58">
        <f t="shared" si="805"/>
        <v>3</v>
      </c>
      <c r="H812" s="58">
        <f t="shared" si="805"/>
        <v>14</v>
      </c>
      <c r="I812" s="58">
        <f t="shared" si="805"/>
        <v>187</v>
      </c>
      <c r="J812" s="58">
        <f t="shared" si="805"/>
        <v>0</v>
      </c>
      <c r="K812" s="58">
        <f t="shared" si="805"/>
        <v>0</v>
      </c>
      <c r="L812" s="58">
        <f t="shared" si="805"/>
        <v>0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0" customHeight="1">
      <c r="A813" s="70"/>
      <c r="B813" s="71"/>
      <c r="C813" s="66"/>
      <c r="D813" s="66">
        <f t="shared" si="412"/>
        <v>0</v>
      </c>
      <c r="E813" s="67"/>
      <c r="F813" s="58">
        <f t="shared" ref="F813:L813" si="806">SUMIFS($C813,$B813,F$7)+F812</f>
        <v>168</v>
      </c>
      <c r="G813" s="58">
        <f t="shared" si="806"/>
        <v>3</v>
      </c>
      <c r="H813" s="58">
        <f t="shared" si="806"/>
        <v>14</v>
      </c>
      <c r="I813" s="58">
        <f t="shared" si="806"/>
        <v>187</v>
      </c>
      <c r="J813" s="58">
        <f t="shared" si="806"/>
        <v>0</v>
      </c>
      <c r="K813" s="58">
        <f t="shared" si="806"/>
        <v>0</v>
      </c>
      <c r="L813" s="58">
        <f t="shared" si="806"/>
        <v>0</v>
      </c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0" customHeight="1">
      <c r="A814" s="70"/>
      <c r="B814" s="71"/>
      <c r="C814" s="66"/>
      <c r="D814" s="66">
        <f t="shared" si="412"/>
        <v>0</v>
      </c>
      <c r="E814" s="67"/>
      <c r="F814" s="58">
        <f t="shared" ref="F814:L814" si="807">SUMIFS($C814,$B814,F$7)+F813</f>
        <v>168</v>
      </c>
      <c r="G814" s="58">
        <f t="shared" si="807"/>
        <v>3</v>
      </c>
      <c r="H814" s="58">
        <f t="shared" si="807"/>
        <v>14</v>
      </c>
      <c r="I814" s="58">
        <f t="shared" si="807"/>
        <v>187</v>
      </c>
      <c r="J814" s="58">
        <f t="shared" si="807"/>
        <v>0</v>
      </c>
      <c r="K814" s="58">
        <f t="shared" si="807"/>
        <v>0</v>
      </c>
      <c r="L814" s="58">
        <f t="shared" si="807"/>
        <v>0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0" customHeight="1">
      <c r="A815" s="70"/>
      <c r="B815" s="71"/>
      <c r="C815" s="66"/>
      <c r="D815" s="66">
        <f t="shared" si="412"/>
        <v>0</v>
      </c>
      <c r="E815" s="67"/>
      <c r="F815" s="58">
        <f t="shared" ref="F815:L815" si="808">SUMIFS($C815,$B815,F$7)+F814</f>
        <v>168</v>
      </c>
      <c r="G815" s="58">
        <f t="shared" si="808"/>
        <v>3</v>
      </c>
      <c r="H815" s="58">
        <f t="shared" si="808"/>
        <v>14</v>
      </c>
      <c r="I815" s="58">
        <f t="shared" si="808"/>
        <v>187</v>
      </c>
      <c r="J815" s="58">
        <f t="shared" si="808"/>
        <v>0</v>
      </c>
      <c r="K815" s="58">
        <f t="shared" si="808"/>
        <v>0</v>
      </c>
      <c r="L815" s="58">
        <f t="shared" si="808"/>
        <v>0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0" customHeight="1">
      <c r="A816" s="70"/>
      <c r="B816" s="71"/>
      <c r="C816" s="66"/>
      <c r="D816" s="66">
        <f t="shared" si="412"/>
        <v>0</v>
      </c>
      <c r="E816" s="67"/>
      <c r="F816" s="58">
        <f t="shared" ref="F816:L816" si="809">SUMIFS($C816,$B816,F$7)+F815</f>
        <v>168</v>
      </c>
      <c r="G816" s="58">
        <f t="shared" si="809"/>
        <v>3</v>
      </c>
      <c r="H816" s="58">
        <f t="shared" si="809"/>
        <v>14</v>
      </c>
      <c r="I816" s="58">
        <f t="shared" si="809"/>
        <v>187</v>
      </c>
      <c r="J816" s="58">
        <f t="shared" si="809"/>
        <v>0</v>
      </c>
      <c r="K816" s="58">
        <f t="shared" si="809"/>
        <v>0</v>
      </c>
      <c r="L816" s="58">
        <f t="shared" si="809"/>
        <v>0</v>
      </c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0" customHeight="1">
      <c r="A817" s="70"/>
      <c r="B817" s="71"/>
      <c r="C817" s="66"/>
      <c r="D817" s="66">
        <f t="shared" si="412"/>
        <v>0</v>
      </c>
      <c r="E817" s="67"/>
      <c r="F817" s="58">
        <f t="shared" ref="F817:L817" si="810">SUMIFS($C817,$B817,F$7)+F816</f>
        <v>168</v>
      </c>
      <c r="G817" s="58">
        <f t="shared" si="810"/>
        <v>3</v>
      </c>
      <c r="H817" s="58">
        <f t="shared" si="810"/>
        <v>14</v>
      </c>
      <c r="I817" s="58">
        <f t="shared" si="810"/>
        <v>187</v>
      </c>
      <c r="J817" s="58">
        <f t="shared" si="810"/>
        <v>0</v>
      </c>
      <c r="K817" s="58">
        <f t="shared" si="810"/>
        <v>0</v>
      </c>
      <c r="L817" s="58">
        <f t="shared" si="810"/>
        <v>0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0" customHeight="1">
      <c r="A818" s="70"/>
      <c r="B818" s="71"/>
      <c r="C818" s="66"/>
      <c r="D818" s="66">
        <f t="shared" si="412"/>
        <v>0</v>
      </c>
      <c r="E818" s="67"/>
      <c r="F818" s="58">
        <f t="shared" ref="F818:L818" si="811">SUMIFS($C818,$B818,F$7)+F817</f>
        <v>168</v>
      </c>
      <c r="G818" s="58">
        <f t="shared" si="811"/>
        <v>3</v>
      </c>
      <c r="H818" s="58">
        <f t="shared" si="811"/>
        <v>14</v>
      </c>
      <c r="I818" s="58">
        <f t="shared" si="811"/>
        <v>187</v>
      </c>
      <c r="J818" s="58">
        <f t="shared" si="811"/>
        <v>0</v>
      </c>
      <c r="K818" s="58">
        <f t="shared" si="811"/>
        <v>0</v>
      </c>
      <c r="L818" s="58">
        <f t="shared" si="811"/>
        <v>0</v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0" customHeight="1">
      <c r="A819" s="70"/>
      <c r="B819" s="71"/>
      <c r="C819" s="66"/>
      <c r="D819" s="66">
        <f t="shared" si="412"/>
        <v>0</v>
      </c>
      <c r="E819" s="67"/>
      <c r="F819" s="58">
        <f t="shared" ref="F819:L819" si="812">SUMIFS($C819,$B819,F$7)+F818</f>
        <v>168</v>
      </c>
      <c r="G819" s="58">
        <f t="shared" si="812"/>
        <v>3</v>
      </c>
      <c r="H819" s="58">
        <f t="shared" si="812"/>
        <v>14</v>
      </c>
      <c r="I819" s="58">
        <f t="shared" si="812"/>
        <v>187</v>
      </c>
      <c r="J819" s="58">
        <f t="shared" si="812"/>
        <v>0</v>
      </c>
      <c r="K819" s="58">
        <f t="shared" si="812"/>
        <v>0</v>
      </c>
      <c r="L819" s="58">
        <f t="shared" si="812"/>
        <v>0</v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0" customHeight="1">
      <c r="A820" s="70"/>
      <c r="B820" s="71"/>
      <c r="C820" s="66"/>
      <c r="D820" s="66">
        <f t="shared" si="412"/>
        <v>0</v>
      </c>
      <c r="E820" s="67"/>
      <c r="F820" s="58">
        <f t="shared" ref="F820:L820" si="813">SUMIFS($C820,$B820,F$7)+F819</f>
        <v>168</v>
      </c>
      <c r="G820" s="58">
        <f t="shared" si="813"/>
        <v>3</v>
      </c>
      <c r="H820" s="58">
        <f t="shared" si="813"/>
        <v>14</v>
      </c>
      <c r="I820" s="58">
        <f t="shared" si="813"/>
        <v>187</v>
      </c>
      <c r="J820" s="58">
        <f t="shared" si="813"/>
        <v>0</v>
      </c>
      <c r="K820" s="58">
        <f t="shared" si="813"/>
        <v>0</v>
      </c>
      <c r="L820" s="58">
        <f t="shared" si="813"/>
        <v>0</v>
      </c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0" customHeight="1">
      <c r="A821" s="70"/>
      <c r="B821" s="71"/>
      <c r="C821" s="66"/>
      <c r="D821" s="66">
        <f t="shared" si="412"/>
        <v>0</v>
      </c>
      <c r="E821" s="67"/>
      <c r="F821" s="58">
        <f t="shared" ref="F821:L821" si="814">SUMIFS($C821,$B821,F$7)+F820</f>
        <v>168</v>
      </c>
      <c r="G821" s="58">
        <f t="shared" si="814"/>
        <v>3</v>
      </c>
      <c r="H821" s="58">
        <f t="shared" si="814"/>
        <v>14</v>
      </c>
      <c r="I821" s="58">
        <f t="shared" si="814"/>
        <v>187</v>
      </c>
      <c r="J821" s="58">
        <f t="shared" si="814"/>
        <v>0</v>
      </c>
      <c r="K821" s="58">
        <f t="shared" si="814"/>
        <v>0</v>
      </c>
      <c r="L821" s="58">
        <f t="shared" si="814"/>
        <v>0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0" customHeight="1">
      <c r="A822" s="70"/>
      <c r="B822" s="71"/>
      <c r="C822" s="66"/>
      <c r="D822" s="66">
        <f t="shared" si="412"/>
        <v>0</v>
      </c>
      <c r="E822" s="67"/>
      <c r="F822" s="58">
        <f t="shared" ref="F822:L822" si="815">SUMIFS($C822,$B822,F$7)+F821</f>
        <v>168</v>
      </c>
      <c r="G822" s="58">
        <f t="shared" si="815"/>
        <v>3</v>
      </c>
      <c r="H822" s="58">
        <f t="shared" si="815"/>
        <v>14</v>
      </c>
      <c r="I822" s="58">
        <f t="shared" si="815"/>
        <v>187</v>
      </c>
      <c r="J822" s="58">
        <f t="shared" si="815"/>
        <v>0</v>
      </c>
      <c r="K822" s="58">
        <f t="shared" si="815"/>
        <v>0</v>
      </c>
      <c r="L822" s="58">
        <f t="shared" si="815"/>
        <v>0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0" customHeight="1">
      <c r="A823" s="70"/>
      <c r="B823" s="71"/>
      <c r="C823" s="66"/>
      <c r="D823" s="66">
        <f t="shared" si="412"/>
        <v>0</v>
      </c>
      <c r="E823" s="67"/>
      <c r="F823" s="58">
        <f t="shared" ref="F823:L823" si="816">SUMIFS($C823,$B823,F$7)+F822</f>
        <v>168</v>
      </c>
      <c r="G823" s="58">
        <f t="shared" si="816"/>
        <v>3</v>
      </c>
      <c r="H823" s="58">
        <f t="shared" si="816"/>
        <v>14</v>
      </c>
      <c r="I823" s="58">
        <f t="shared" si="816"/>
        <v>187</v>
      </c>
      <c r="J823" s="58">
        <f t="shared" si="816"/>
        <v>0</v>
      </c>
      <c r="K823" s="58">
        <f t="shared" si="816"/>
        <v>0</v>
      </c>
      <c r="L823" s="58">
        <f t="shared" si="816"/>
        <v>0</v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0" customHeight="1">
      <c r="A824" s="70"/>
      <c r="B824" s="71"/>
      <c r="C824" s="66"/>
      <c r="D824" s="66">
        <f t="shared" si="412"/>
        <v>0</v>
      </c>
      <c r="E824" s="67"/>
      <c r="F824" s="58">
        <f t="shared" ref="F824:L824" si="817">SUMIFS($C824,$B824,F$7)+F823</f>
        <v>168</v>
      </c>
      <c r="G824" s="58">
        <f t="shared" si="817"/>
        <v>3</v>
      </c>
      <c r="H824" s="58">
        <f t="shared" si="817"/>
        <v>14</v>
      </c>
      <c r="I824" s="58">
        <f t="shared" si="817"/>
        <v>187</v>
      </c>
      <c r="J824" s="58">
        <f t="shared" si="817"/>
        <v>0</v>
      </c>
      <c r="K824" s="58">
        <f t="shared" si="817"/>
        <v>0</v>
      </c>
      <c r="L824" s="58">
        <f t="shared" si="817"/>
        <v>0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0" customHeight="1">
      <c r="A825" s="70"/>
      <c r="B825" s="71"/>
      <c r="C825" s="66"/>
      <c r="D825" s="66">
        <f t="shared" si="412"/>
        <v>0</v>
      </c>
      <c r="E825" s="67"/>
      <c r="F825" s="58">
        <f t="shared" ref="F825:L825" si="818">SUMIFS($C825,$B825,F$7)+F824</f>
        <v>168</v>
      </c>
      <c r="G825" s="58">
        <f t="shared" si="818"/>
        <v>3</v>
      </c>
      <c r="H825" s="58">
        <f t="shared" si="818"/>
        <v>14</v>
      </c>
      <c r="I825" s="58">
        <f t="shared" si="818"/>
        <v>187</v>
      </c>
      <c r="J825" s="58">
        <f t="shared" si="818"/>
        <v>0</v>
      </c>
      <c r="K825" s="58">
        <f t="shared" si="818"/>
        <v>0</v>
      </c>
      <c r="L825" s="58">
        <f t="shared" si="818"/>
        <v>0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0" customHeight="1">
      <c r="A826" s="70"/>
      <c r="B826" s="71"/>
      <c r="C826" s="66"/>
      <c r="D826" s="66">
        <f t="shared" si="412"/>
        <v>0</v>
      </c>
      <c r="E826" s="67"/>
      <c r="F826" s="58">
        <f t="shared" ref="F826:L826" si="819">SUMIFS($C826,$B826,F$7)+F825</f>
        <v>168</v>
      </c>
      <c r="G826" s="58">
        <f t="shared" si="819"/>
        <v>3</v>
      </c>
      <c r="H826" s="58">
        <f t="shared" si="819"/>
        <v>14</v>
      </c>
      <c r="I826" s="58">
        <f t="shared" si="819"/>
        <v>187</v>
      </c>
      <c r="J826" s="58">
        <f t="shared" si="819"/>
        <v>0</v>
      </c>
      <c r="K826" s="58">
        <f t="shared" si="819"/>
        <v>0</v>
      </c>
      <c r="L826" s="58">
        <f t="shared" si="819"/>
        <v>0</v>
      </c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0" customHeight="1">
      <c r="A827" s="70"/>
      <c r="B827" s="71"/>
      <c r="C827" s="66"/>
      <c r="D827" s="66">
        <f t="shared" si="412"/>
        <v>0</v>
      </c>
      <c r="E827" s="67"/>
      <c r="F827" s="58">
        <f t="shared" ref="F827:L827" si="820">SUMIFS($C827,$B827,F$7)+F826</f>
        <v>168</v>
      </c>
      <c r="G827" s="58">
        <f t="shared" si="820"/>
        <v>3</v>
      </c>
      <c r="H827" s="58">
        <f t="shared" si="820"/>
        <v>14</v>
      </c>
      <c r="I827" s="58">
        <f t="shared" si="820"/>
        <v>187</v>
      </c>
      <c r="J827" s="58">
        <f t="shared" si="820"/>
        <v>0</v>
      </c>
      <c r="K827" s="58">
        <f t="shared" si="820"/>
        <v>0</v>
      </c>
      <c r="L827" s="58">
        <f t="shared" si="820"/>
        <v>0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0" customHeight="1">
      <c r="A828" s="70"/>
      <c r="B828" s="71"/>
      <c r="C828" s="66"/>
      <c r="D828" s="66">
        <f t="shared" si="412"/>
        <v>0</v>
      </c>
      <c r="E828" s="67"/>
      <c r="F828" s="58">
        <f t="shared" ref="F828:L828" si="821">SUMIFS($C828,$B828,F$7)+F827</f>
        <v>168</v>
      </c>
      <c r="G828" s="58">
        <f t="shared" si="821"/>
        <v>3</v>
      </c>
      <c r="H828" s="58">
        <f t="shared" si="821"/>
        <v>14</v>
      </c>
      <c r="I828" s="58">
        <f t="shared" si="821"/>
        <v>187</v>
      </c>
      <c r="J828" s="58">
        <f t="shared" si="821"/>
        <v>0</v>
      </c>
      <c r="K828" s="58">
        <f t="shared" si="821"/>
        <v>0</v>
      </c>
      <c r="L828" s="58">
        <f t="shared" si="821"/>
        <v>0</v>
      </c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0" customHeight="1">
      <c r="A829" s="70"/>
      <c r="B829" s="71"/>
      <c r="C829" s="66"/>
      <c r="D829" s="66">
        <f t="shared" si="412"/>
        <v>0</v>
      </c>
      <c r="E829" s="67"/>
      <c r="F829" s="58">
        <f t="shared" ref="F829:L829" si="822">SUMIFS($C829,$B829,F$7)+F828</f>
        <v>168</v>
      </c>
      <c r="G829" s="58">
        <f t="shared" si="822"/>
        <v>3</v>
      </c>
      <c r="H829" s="58">
        <f t="shared" si="822"/>
        <v>14</v>
      </c>
      <c r="I829" s="58">
        <f t="shared" si="822"/>
        <v>187</v>
      </c>
      <c r="J829" s="58">
        <f t="shared" si="822"/>
        <v>0</v>
      </c>
      <c r="K829" s="58">
        <f t="shared" si="822"/>
        <v>0</v>
      </c>
      <c r="L829" s="58">
        <f t="shared" si="822"/>
        <v>0</v>
      </c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0" customHeight="1">
      <c r="A830" s="70"/>
      <c r="B830" s="71"/>
      <c r="C830" s="66"/>
      <c r="D830" s="66">
        <f t="shared" si="412"/>
        <v>0</v>
      </c>
      <c r="E830" s="67"/>
      <c r="F830" s="58">
        <f t="shared" ref="F830:L830" si="823">SUMIFS($C830,$B830,F$7)+F829</f>
        <v>168</v>
      </c>
      <c r="G830" s="58">
        <f t="shared" si="823"/>
        <v>3</v>
      </c>
      <c r="H830" s="58">
        <f t="shared" si="823"/>
        <v>14</v>
      </c>
      <c r="I830" s="58">
        <f t="shared" si="823"/>
        <v>187</v>
      </c>
      <c r="J830" s="58">
        <f t="shared" si="823"/>
        <v>0</v>
      </c>
      <c r="K830" s="58">
        <f t="shared" si="823"/>
        <v>0</v>
      </c>
      <c r="L830" s="58">
        <f t="shared" si="823"/>
        <v>0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0" customHeight="1">
      <c r="A831" s="70"/>
      <c r="B831" s="71"/>
      <c r="C831" s="66"/>
      <c r="D831" s="66">
        <f t="shared" si="412"/>
        <v>0</v>
      </c>
      <c r="E831" s="67"/>
      <c r="F831" s="58">
        <f t="shared" ref="F831:L831" si="824">SUMIFS($C831,$B831,F$7)+F830</f>
        <v>168</v>
      </c>
      <c r="G831" s="58">
        <f t="shared" si="824"/>
        <v>3</v>
      </c>
      <c r="H831" s="58">
        <f t="shared" si="824"/>
        <v>14</v>
      </c>
      <c r="I831" s="58">
        <f t="shared" si="824"/>
        <v>187</v>
      </c>
      <c r="J831" s="58">
        <f t="shared" si="824"/>
        <v>0</v>
      </c>
      <c r="K831" s="58">
        <f t="shared" si="824"/>
        <v>0</v>
      </c>
      <c r="L831" s="58">
        <f t="shared" si="824"/>
        <v>0</v>
      </c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0" customHeight="1">
      <c r="A832" s="70"/>
      <c r="B832" s="71"/>
      <c r="C832" s="66"/>
      <c r="D832" s="66">
        <f t="shared" si="412"/>
        <v>0</v>
      </c>
      <c r="E832" s="67"/>
      <c r="F832" s="58">
        <f t="shared" ref="F832:L832" si="825">SUMIFS($C832,$B832,F$7)+F831</f>
        <v>168</v>
      </c>
      <c r="G832" s="58">
        <f t="shared" si="825"/>
        <v>3</v>
      </c>
      <c r="H832" s="58">
        <f t="shared" si="825"/>
        <v>14</v>
      </c>
      <c r="I832" s="58">
        <f t="shared" si="825"/>
        <v>187</v>
      </c>
      <c r="J832" s="58">
        <f t="shared" si="825"/>
        <v>0</v>
      </c>
      <c r="K832" s="58">
        <f t="shared" si="825"/>
        <v>0</v>
      </c>
      <c r="L832" s="58">
        <f t="shared" si="825"/>
        <v>0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0" customHeight="1">
      <c r="A833" s="70"/>
      <c r="B833" s="71"/>
      <c r="C833" s="66"/>
      <c r="D833" s="66">
        <f t="shared" si="412"/>
        <v>0</v>
      </c>
      <c r="E833" s="67"/>
      <c r="F833" s="58">
        <f t="shared" ref="F833:L833" si="826">SUMIFS($C833,$B833,F$7)+F832</f>
        <v>168</v>
      </c>
      <c r="G833" s="58">
        <f t="shared" si="826"/>
        <v>3</v>
      </c>
      <c r="H833" s="58">
        <f t="shared" si="826"/>
        <v>14</v>
      </c>
      <c r="I833" s="58">
        <f t="shared" si="826"/>
        <v>187</v>
      </c>
      <c r="J833" s="58">
        <f t="shared" si="826"/>
        <v>0</v>
      </c>
      <c r="K833" s="58">
        <f t="shared" si="826"/>
        <v>0</v>
      </c>
      <c r="L833" s="58">
        <f t="shared" si="826"/>
        <v>0</v>
      </c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0" customHeight="1">
      <c r="A834" s="70"/>
      <c r="B834" s="71"/>
      <c r="C834" s="66"/>
      <c r="D834" s="66">
        <f t="shared" si="412"/>
        <v>0</v>
      </c>
      <c r="E834" s="67"/>
      <c r="F834" s="58">
        <f t="shared" ref="F834:L834" si="827">SUMIFS($C834,$B834,F$7)+F833</f>
        <v>168</v>
      </c>
      <c r="G834" s="58">
        <f t="shared" si="827"/>
        <v>3</v>
      </c>
      <c r="H834" s="58">
        <f t="shared" si="827"/>
        <v>14</v>
      </c>
      <c r="I834" s="58">
        <f t="shared" si="827"/>
        <v>187</v>
      </c>
      <c r="J834" s="58">
        <f t="shared" si="827"/>
        <v>0</v>
      </c>
      <c r="K834" s="58">
        <f t="shared" si="827"/>
        <v>0</v>
      </c>
      <c r="L834" s="58">
        <f t="shared" si="827"/>
        <v>0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0" customHeight="1">
      <c r="A835" s="70"/>
      <c r="B835" s="71"/>
      <c r="C835" s="66"/>
      <c r="D835" s="66">
        <f t="shared" si="412"/>
        <v>0</v>
      </c>
      <c r="E835" s="67"/>
      <c r="F835" s="58">
        <f t="shared" ref="F835:L835" si="828">SUMIFS($C835,$B835,F$7)+F834</f>
        <v>168</v>
      </c>
      <c r="G835" s="58">
        <f t="shared" si="828"/>
        <v>3</v>
      </c>
      <c r="H835" s="58">
        <f t="shared" si="828"/>
        <v>14</v>
      </c>
      <c r="I835" s="58">
        <f t="shared" si="828"/>
        <v>187</v>
      </c>
      <c r="J835" s="58">
        <f t="shared" si="828"/>
        <v>0</v>
      </c>
      <c r="K835" s="58">
        <f t="shared" si="828"/>
        <v>0</v>
      </c>
      <c r="L835" s="58">
        <f t="shared" si="828"/>
        <v>0</v>
      </c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0" customHeight="1">
      <c r="A836" s="70"/>
      <c r="B836" s="71"/>
      <c r="C836" s="66"/>
      <c r="D836" s="66">
        <f t="shared" si="412"/>
        <v>0</v>
      </c>
      <c r="E836" s="67"/>
      <c r="F836" s="58">
        <f t="shared" ref="F836:L836" si="829">SUMIFS($C836,$B836,F$7)+F835</f>
        <v>168</v>
      </c>
      <c r="G836" s="58">
        <f t="shared" si="829"/>
        <v>3</v>
      </c>
      <c r="H836" s="58">
        <f t="shared" si="829"/>
        <v>14</v>
      </c>
      <c r="I836" s="58">
        <f t="shared" si="829"/>
        <v>187</v>
      </c>
      <c r="J836" s="58">
        <f t="shared" si="829"/>
        <v>0</v>
      </c>
      <c r="K836" s="58">
        <f t="shared" si="829"/>
        <v>0</v>
      </c>
      <c r="L836" s="58">
        <f t="shared" si="829"/>
        <v>0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0" customHeight="1">
      <c r="A837" s="70"/>
      <c r="B837" s="71"/>
      <c r="C837" s="66"/>
      <c r="D837" s="66">
        <f t="shared" si="412"/>
        <v>0</v>
      </c>
      <c r="E837" s="67"/>
      <c r="F837" s="58">
        <f t="shared" ref="F837:L837" si="830">SUMIFS($C837,$B837,F$7)+F836</f>
        <v>168</v>
      </c>
      <c r="G837" s="58">
        <f t="shared" si="830"/>
        <v>3</v>
      </c>
      <c r="H837" s="58">
        <f t="shared" si="830"/>
        <v>14</v>
      </c>
      <c r="I837" s="58">
        <f t="shared" si="830"/>
        <v>187</v>
      </c>
      <c r="J837" s="58">
        <f t="shared" si="830"/>
        <v>0</v>
      </c>
      <c r="K837" s="58">
        <f t="shared" si="830"/>
        <v>0</v>
      </c>
      <c r="L837" s="58">
        <f t="shared" si="830"/>
        <v>0</v>
      </c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0" customHeight="1">
      <c r="A838" s="70"/>
      <c r="B838" s="71"/>
      <c r="C838" s="66"/>
      <c r="D838" s="66">
        <f t="shared" si="412"/>
        <v>0</v>
      </c>
      <c r="E838" s="67"/>
      <c r="F838" s="58">
        <f t="shared" ref="F838:L838" si="831">SUMIFS($C838,$B838,F$7)+F837</f>
        <v>168</v>
      </c>
      <c r="G838" s="58">
        <f t="shared" si="831"/>
        <v>3</v>
      </c>
      <c r="H838" s="58">
        <f t="shared" si="831"/>
        <v>14</v>
      </c>
      <c r="I838" s="58">
        <f t="shared" si="831"/>
        <v>187</v>
      </c>
      <c r="J838" s="58">
        <f t="shared" si="831"/>
        <v>0</v>
      </c>
      <c r="K838" s="58">
        <f t="shared" si="831"/>
        <v>0</v>
      </c>
      <c r="L838" s="58">
        <f t="shared" si="831"/>
        <v>0</v>
      </c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0" customHeight="1">
      <c r="A839" s="70"/>
      <c r="B839" s="71"/>
      <c r="C839" s="66"/>
      <c r="D839" s="66">
        <f t="shared" si="412"/>
        <v>0</v>
      </c>
      <c r="E839" s="67"/>
      <c r="F839" s="58">
        <f t="shared" ref="F839:L839" si="832">SUMIFS($C839,$B839,F$7)+F838</f>
        <v>168</v>
      </c>
      <c r="G839" s="58">
        <f t="shared" si="832"/>
        <v>3</v>
      </c>
      <c r="H839" s="58">
        <f t="shared" si="832"/>
        <v>14</v>
      </c>
      <c r="I839" s="58">
        <f t="shared" si="832"/>
        <v>187</v>
      </c>
      <c r="J839" s="58">
        <f t="shared" si="832"/>
        <v>0</v>
      </c>
      <c r="K839" s="58">
        <f t="shared" si="832"/>
        <v>0</v>
      </c>
      <c r="L839" s="58">
        <f t="shared" si="832"/>
        <v>0</v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0" customHeight="1">
      <c r="A840" s="70"/>
      <c r="B840" s="71"/>
      <c r="C840" s="66"/>
      <c r="D840" s="66">
        <f t="shared" si="412"/>
        <v>0</v>
      </c>
      <c r="E840" s="67"/>
      <c r="F840" s="58">
        <f t="shared" ref="F840:L840" si="833">SUMIFS($C840,$B840,F$7)+F839</f>
        <v>168</v>
      </c>
      <c r="G840" s="58">
        <f t="shared" si="833"/>
        <v>3</v>
      </c>
      <c r="H840" s="58">
        <f t="shared" si="833"/>
        <v>14</v>
      </c>
      <c r="I840" s="58">
        <f t="shared" si="833"/>
        <v>187</v>
      </c>
      <c r="J840" s="58">
        <f t="shared" si="833"/>
        <v>0</v>
      </c>
      <c r="K840" s="58">
        <f t="shared" si="833"/>
        <v>0</v>
      </c>
      <c r="L840" s="58">
        <f t="shared" si="833"/>
        <v>0</v>
      </c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0" customHeight="1">
      <c r="A841" s="70"/>
      <c r="B841" s="71"/>
      <c r="C841" s="66"/>
      <c r="D841" s="66">
        <f t="shared" si="412"/>
        <v>0</v>
      </c>
      <c r="E841" s="67"/>
      <c r="F841" s="58">
        <f t="shared" ref="F841:L841" si="834">SUMIFS($C841,$B841,F$7)+F840</f>
        <v>168</v>
      </c>
      <c r="G841" s="58">
        <f t="shared" si="834"/>
        <v>3</v>
      </c>
      <c r="H841" s="58">
        <f t="shared" si="834"/>
        <v>14</v>
      </c>
      <c r="I841" s="58">
        <f t="shared" si="834"/>
        <v>187</v>
      </c>
      <c r="J841" s="58">
        <f t="shared" si="834"/>
        <v>0</v>
      </c>
      <c r="K841" s="58">
        <f t="shared" si="834"/>
        <v>0</v>
      </c>
      <c r="L841" s="58">
        <f t="shared" si="834"/>
        <v>0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0" customHeight="1">
      <c r="A842" s="70"/>
      <c r="B842" s="71"/>
      <c r="C842" s="66"/>
      <c r="D842" s="66">
        <f t="shared" si="412"/>
        <v>0</v>
      </c>
      <c r="E842" s="67"/>
      <c r="F842" s="58">
        <f t="shared" ref="F842:L842" si="835">SUMIFS($C842,$B842,F$7)+F841</f>
        <v>168</v>
      </c>
      <c r="G842" s="58">
        <f t="shared" si="835"/>
        <v>3</v>
      </c>
      <c r="H842" s="58">
        <f t="shared" si="835"/>
        <v>14</v>
      </c>
      <c r="I842" s="58">
        <f t="shared" si="835"/>
        <v>187</v>
      </c>
      <c r="J842" s="58">
        <f t="shared" si="835"/>
        <v>0</v>
      </c>
      <c r="K842" s="58">
        <f t="shared" si="835"/>
        <v>0</v>
      </c>
      <c r="L842" s="58">
        <f t="shared" si="835"/>
        <v>0</v>
      </c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0" customHeight="1">
      <c r="A843" s="70"/>
      <c r="B843" s="71"/>
      <c r="C843" s="66"/>
      <c r="D843" s="66">
        <f t="shared" si="412"/>
        <v>0</v>
      </c>
      <c r="E843" s="67"/>
      <c r="F843" s="58">
        <f t="shared" ref="F843:L843" si="836">SUMIFS($C843,$B843,F$7)+F842</f>
        <v>168</v>
      </c>
      <c r="G843" s="58">
        <f t="shared" si="836"/>
        <v>3</v>
      </c>
      <c r="H843" s="58">
        <f t="shared" si="836"/>
        <v>14</v>
      </c>
      <c r="I843" s="58">
        <f t="shared" si="836"/>
        <v>187</v>
      </c>
      <c r="J843" s="58">
        <f t="shared" si="836"/>
        <v>0</v>
      </c>
      <c r="K843" s="58">
        <f t="shared" si="836"/>
        <v>0</v>
      </c>
      <c r="L843" s="58">
        <f t="shared" si="836"/>
        <v>0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0" customHeight="1">
      <c r="A844" s="70"/>
      <c r="B844" s="71"/>
      <c r="C844" s="66"/>
      <c r="D844" s="66">
        <f t="shared" si="412"/>
        <v>0</v>
      </c>
      <c r="E844" s="67"/>
      <c r="F844" s="58">
        <f t="shared" ref="F844:L844" si="837">SUMIFS($C844,$B844,F$7)+F843</f>
        <v>168</v>
      </c>
      <c r="G844" s="58">
        <f t="shared" si="837"/>
        <v>3</v>
      </c>
      <c r="H844" s="58">
        <f t="shared" si="837"/>
        <v>14</v>
      </c>
      <c r="I844" s="58">
        <f t="shared" si="837"/>
        <v>187</v>
      </c>
      <c r="J844" s="58">
        <f t="shared" si="837"/>
        <v>0</v>
      </c>
      <c r="K844" s="58">
        <f t="shared" si="837"/>
        <v>0</v>
      </c>
      <c r="L844" s="58">
        <f t="shared" si="837"/>
        <v>0</v>
      </c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0" customHeight="1">
      <c r="A845" s="70"/>
      <c r="B845" s="71"/>
      <c r="C845" s="66"/>
      <c r="D845" s="66">
        <f t="shared" si="412"/>
        <v>0</v>
      </c>
      <c r="E845" s="67"/>
      <c r="F845" s="58">
        <f t="shared" ref="F845:L845" si="838">SUMIFS($C845,$B845,F$7)+F844</f>
        <v>168</v>
      </c>
      <c r="G845" s="58">
        <f t="shared" si="838"/>
        <v>3</v>
      </c>
      <c r="H845" s="58">
        <f t="shared" si="838"/>
        <v>14</v>
      </c>
      <c r="I845" s="58">
        <f t="shared" si="838"/>
        <v>187</v>
      </c>
      <c r="J845" s="58">
        <f t="shared" si="838"/>
        <v>0</v>
      </c>
      <c r="K845" s="58">
        <f t="shared" si="838"/>
        <v>0</v>
      </c>
      <c r="L845" s="58">
        <f t="shared" si="838"/>
        <v>0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0" customHeight="1">
      <c r="A846" s="70"/>
      <c r="B846" s="71"/>
      <c r="C846" s="66"/>
      <c r="D846" s="66">
        <f t="shared" si="412"/>
        <v>0</v>
      </c>
      <c r="E846" s="67"/>
      <c r="F846" s="58">
        <f t="shared" ref="F846:L846" si="839">SUMIFS($C846,$B846,F$7)+F845</f>
        <v>168</v>
      </c>
      <c r="G846" s="58">
        <f t="shared" si="839"/>
        <v>3</v>
      </c>
      <c r="H846" s="58">
        <f t="shared" si="839"/>
        <v>14</v>
      </c>
      <c r="I846" s="58">
        <f t="shared" si="839"/>
        <v>187</v>
      </c>
      <c r="J846" s="58">
        <f t="shared" si="839"/>
        <v>0</v>
      </c>
      <c r="K846" s="58">
        <f t="shared" si="839"/>
        <v>0</v>
      </c>
      <c r="L846" s="58">
        <f t="shared" si="839"/>
        <v>0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0" customHeight="1">
      <c r="A847" s="70"/>
      <c r="B847" s="71"/>
      <c r="C847" s="66"/>
      <c r="D847" s="66">
        <f t="shared" si="412"/>
        <v>0</v>
      </c>
      <c r="E847" s="67"/>
      <c r="F847" s="58">
        <f t="shared" ref="F847:L847" si="840">SUMIFS($C847,$B847,F$7)+F846</f>
        <v>168</v>
      </c>
      <c r="G847" s="58">
        <f t="shared" si="840"/>
        <v>3</v>
      </c>
      <c r="H847" s="58">
        <f t="shared" si="840"/>
        <v>14</v>
      </c>
      <c r="I847" s="58">
        <f t="shared" si="840"/>
        <v>187</v>
      </c>
      <c r="J847" s="58">
        <f t="shared" si="840"/>
        <v>0</v>
      </c>
      <c r="K847" s="58">
        <f t="shared" si="840"/>
        <v>0</v>
      </c>
      <c r="L847" s="58">
        <f t="shared" si="840"/>
        <v>0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0" customHeight="1">
      <c r="A848" s="70"/>
      <c r="B848" s="71"/>
      <c r="C848" s="66"/>
      <c r="D848" s="66">
        <f t="shared" si="412"/>
        <v>0</v>
      </c>
      <c r="E848" s="67"/>
      <c r="F848" s="58">
        <f t="shared" ref="F848:L848" si="841">SUMIFS($C848,$B848,F$7)+F847</f>
        <v>168</v>
      </c>
      <c r="G848" s="58">
        <f t="shared" si="841"/>
        <v>3</v>
      </c>
      <c r="H848" s="58">
        <f t="shared" si="841"/>
        <v>14</v>
      </c>
      <c r="I848" s="58">
        <f t="shared" si="841"/>
        <v>187</v>
      </c>
      <c r="J848" s="58">
        <f t="shared" si="841"/>
        <v>0</v>
      </c>
      <c r="K848" s="58">
        <f t="shared" si="841"/>
        <v>0</v>
      </c>
      <c r="L848" s="58">
        <f t="shared" si="841"/>
        <v>0</v>
      </c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0" customHeight="1">
      <c r="A849" s="70"/>
      <c r="B849" s="71"/>
      <c r="C849" s="66"/>
      <c r="D849" s="66">
        <f t="shared" si="412"/>
        <v>0</v>
      </c>
      <c r="E849" s="67"/>
      <c r="F849" s="58">
        <f t="shared" ref="F849:L849" si="842">SUMIFS($C849,$B849,F$7)+F848</f>
        <v>168</v>
      </c>
      <c r="G849" s="58">
        <f t="shared" si="842"/>
        <v>3</v>
      </c>
      <c r="H849" s="58">
        <f t="shared" si="842"/>
        <v>14</v>
      </c>
      <c r="I849" s="58">
        <f t="shared" si="842"/>
        <v>187</v>
      </c>
      <c r="J849" s="58">
        <f t="shared" si="842"/>
        <v>0</v>
      </c>
      <c r="K849" s="58">
        <f t="shared" si="842"/>
        <v>0</v>
      </c>
      <c r="L849" s="58">
        <f t="shared" si="842"/>
        <v>0</v>
      </c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0" customHeight="1">
      <c r="A850" s="70"/>
      <c r="B850" s="71"/>
      <c r="C850" s="66"/>
      <c r="D850" s="66">
        <f t="shared" si="412"/>
        <v>0</v>
      </c>
      <c r="E850" s="67"/>
      <c r="F850" s="58">
        <f t="shared" ref="F850:L850" si="843">SUMIFS($C850,$B850,F$7)+F849</f>
        <v>168</v>
      </c>
      <c r="G850" s="58">
        <f t="shared" si="843"/>
        <v>3</v>
      </c>
      <c r="H850" s="58">
        <f t="shared" si="843"/>
        <v>14</v>
      </c>
      <c r="I850" s="58">
        <f t="shared" si="843"/>
        <v>187</v>
      </c>
      <c r="J850" s="58">
        <f t="shared" si="843"/>
        <v>0</v>
      </c>
      <c r="K850" s="58">
        <f t="shared" si="843"/>
        <v>0</v>
      </c>
      <c r="L850" s="58">
        <f t="shared" si="843"/>
        <v>0</v>
      </c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0" customHeight="1">
      <c r="A851" s="70"/>
      <c r="B851" s="71"/>
      <c r="C851" s="66"/>
      <c r="D851" s="66">
        <f t="shared" si="412"/>
        <v>0</v>
      </c>
      <c r="E851" s="67"/>
      <c r="F851" s="58">
        <f t="shared" ref="F851:L851" si="844">SUMIFS($C851,$B851,F$7)+F850</f>
        <v>168</v>
      </c>
      <c r="G851" s="58">
        <f t="shared" si="844"/>
        <v>3</v>
      </c>
      <c r="H851" s="58">
        <f t="shared" si="844"/>
        <v>14</v>
      </c>
      <c r="I851" s="58">
        <f t="shared" si="844"/>
        <v>187</v>
      </c>
      <c r="J851" s="58">
        <f t="shared" si="844"/>
        <v>0</v>
      </c>
      <c r="K851" s="58">
        <f t="shared" si="844"/>
        <v>0</v>
      </c>
      <c r="L851" s="58">
        <f t="shared" si="844"/>
        <v>0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0" customHeight="1">
      <c r="A852" s="70"/>
      <c r="B852" s="71"/>
      <c r="C852" s="66"/>
      <c r="D852" s="66">
        <f t="shared" si="412"/>
        <v>0</v>
      </c>
      <c r="E852" s="67"/>
      <c r="F852" s="58">
        <f t="shared" ref="F852:L852" si="845">SUMIFS($C852,$B852,F$7)+F851</f>
        <v>168</v>
      </c>
      <c r="G852" s="58">
        <f t="shared" si="845"/>
        <v>3</v>
      </c>
      <c r="H852" s="58">
        <f t="shared" si="845"/>
        <v>14</v>
      </c>
      <c r="I852" s="58">
        <f t="shared" si="845"/>
        <v>187</v>
      </c>
      <c r="J852" s="58">
        <f t="shared" si="845"/>
        <v>0</v>
      </c>
      <c r="K852" s="58">
        <f t="shared" si="845"/>
        <v>0</v>
      </c>
      <c r="L852" s="58">
        <f t="shared" si="845"/>
        <v>0</v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0" customHeight="1">
      <c r="A853" s="70"/>
      <c r="B853" s="71"/>
      <c r="C853" s="66"/>
      <c r="D853" s="66">
        <f t="shared" si="412"/>
        <v>0</v>
      </c>
      <c r="E853" s="67"/>
      <c r="F853" s="58">
        <f t="shared" ref="F853:L853" si="846">SUMIFS($C853,$B853,F$7)+F852</f>
        <v>168</v>
      </c>
      <c r="G853" s="58">
        <f t="shared" si="846"/>
        <v>3</v>
      </c>
      <c r="H853" s="58">
        <f t="shared" si="846"/>
        <v>14</v>
      </c>
      <c r="I853" s="58">
        <f t="shared" si="846"/>
        <v>187</v>
      </c>
      <c r="J853" s="58">
        <f t="shared" si="846"/>
        <v>0</v>
      </c>
      <c r="K853" s="58">
        <f t="shared" si="846"/>
        <v>0</v>
      </c>
      <c r="L853" s="58">
        <f t="shared" si="846"/>
        <v>0</v>
      </c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0" customHeight="1">
      <c r="A854" s="70"/>
      <c r="B854" s="71"/>
      <c r="C854" s="66"/>
      <c r="D854" s="66">
        <f t="shared" si="412"/>
        <v>0</v>
      </c>
      <c r="E854" s="67"/>
      <c r="F854" s="58">
        <f t="shared" ref="F854:L854" si="847">SUMIFS($C854,$B854,F$7)+F853</f>
        <v>168</v>
      </c>
      <c r="G854" s="58">
        <f t="shared" si="847"/>
        <v>3</v>
      </c>
      <c r="H854" s="58">
        <f t="shared" si="847"/>
        <v>14</v>
      </c>
      <c r="I854" s="58">
        <f t="shared" si="847"/>
        <v>187</v>
      </c>
      <c r="J854" s="58">
        <f t="shared" si="847"/>
        <v>0</v>
      </c>
      <c r="K854" s="58">
        <f t="shared" si="847"/>
        <v>0</v>
      </c>
      <c r="L854" s="58">
        <f t="shared" si="847"/>
        <v>0</v>
      </c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0" customHeight="1">
      <c r="A855" s="70"/>
      <c r="B855" s="71"/>
      <c r="C855" s="66"/>
      <c r="D855" s="66">
        <f t="shared" si="412"/>
        <v>0</v>
      </c>
      <c r="E855" s="67"/>
      <c r="F855" s="58">
        <f t="shared" ref="F855:L855" si="848">SUMIFS($C855,$B855,F$7)+F854</f>
        <v>168</v>
      </c>
      <c r="G855" s="58">
        <f t="shared" si="848"/>
        <v>3</v>
      </c>
      <c r="H855" s="58">
        <f t="shared" si="848"/>
        <v>14</v>
      </c>
      <c r="I855" s="58">
        <f t="shared" si="848"/>
        <v>187</v>
      </c>
      <c r="J855" s="58">
        <f t="shared" si="848"/>
        <v>0</v>
      </c>
      <c r="K855" s="58">
        <f t="shared" si="848"/>
        <v>0</v>
      </c>
      <c r="L855" s="58">
        <f t="shared" si="848"/>
        <v>0</v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0" customHeight="1">
      <c r="A856" s="70"/>
      <c r="B856" s="71"/>
      <c r="C856" s="66"/>
      <c r="D856" s="66">
        <f t="shared" si="412"/>
        <v>0</v>
      </c>
      <c r="E856" s="67"/>
      <c r="F856" s="58">
        <f t="shared" ref="F856:L856" si="849">SUMIFS($C856,$B856,F$7)+F855</f>
        <v>168</v>
      </c>
      <c r="G856" s="58">
        <f t="shared" si="849"/>
        <v>3</v>
      </c>
      <c r="H856" s="58">
        <f t="shared" si="849"/>
        <v>14</v>
      </c>
      <c r="I856" s="58">
        <f t="shared" si="849"/>
        <v>187</v>
      </c>
      <c r="J856" s="58">
        <f t="shared" si="849"/>
        <v>0</v>
      </c>
      <c r="K856" s="58">
        <f t="shared" si="849"/>
        <v>0</v>
      </c>
      <c r="L856" s="58">
        <f t="shared" si="849"/>
        <v>0</v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0" customHeight="1">
      <c r="A857" s="70"/>
      <c r="B857" s="71"/>
      <c r="C857" s="66"/>
      <c r="D857" s="66">
        <f t="shared" si="412"/>
        <v>0</v>
      </c>
      <c r="E857" s="67"/>
      <c r="F857" s="58">
        <f t="shared" ref="F857:L857" si="850">SUMIFS($C857,$B857,F$7)+F856</f>
        <v>168</v>
      </c>
      <c r="G857" s="58">
        <f t="shared" si="850"/>
        <v>3</v>
      </c>
      <c r="H857" s="58">
        <f t="shared" si="850"/>
        <v>14</v>
      </c>
      <c r="I857" s="58">
        <f t="shared" si="850"/>
        <v>187</v>
      </c>
      <c r="J857" s="58">
        <f t="shared" si="850"/>
        <v>0</v>
      </c>
      <c r="K857" s="58">
        <f t="shared" si="850"/>
        <v>0</v>
      </c>
      <c r="L857" s="58">
        <f t="shared" si="850"/>
        <v>0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0" customHeight="1">
      <c r="A858" s="70"/>
      <c r="B858" s="71"/>
      <c r="C858" s="66"/>
      <c r="D858" s="66">
        <f t="shared" si="412"/>
        <v>0</v>
      </c>
      <c r="E858" s="67"/>
      <c r="F858" s="58">
        <f t="shared" ref="F858:L858" si="851">SUMIFS($C858,$B858,F$7)+F857</f>
        <v>168</v>
      </c>
      <c r="G858" s="58">
        <f t="shared" si="851"/>
        <v>3</v>
      </c>
      <c r="H858" s="58">
        <f t="shared" si="851"/>
        <v>14</v>
      </c>
      <c r="I858" s="58">
        <f t="shared" si="851"/>
        <v>187</v>
      </c>
      <c r="J858" s="58">
        <f t="shared" si="851"/>
        <v>0</v>
      </c>
      <c r="K858" s="58">
        <f t="shared" si="851"/>
        <v>0</v>
      </c>
      <c r="L858" s="58">
        <f t="shared" si="851"/>
        <v>0</v>
      </c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0" customHeight="1">
      <c r="A859" s="70"/>
      <c r="B859" s="71"/>
      <c r="C859" s="66"/>
      <c r="D859" s="66">
        <f t="shared" si="412"/>
        <v>0</v>
      </c>
      <c r="E859" s="67"/>
      <c r="F859" s="58">
        <f t="shared" ref="F859:L859" si="852">SUMIFS($C859,$B859,F$7)+F858</f>
        <v>168</v>
      </c>
      <c r="G859" s="58">
        <f t="shared" si="852"/>
        <v>3</v>
      </c>
      <c r="H859" s="58">
        <f t="shared" si="852"/>
        <v>14</v>
      </c>
      <c r="I859" s="58">
        <f t="shared" si="852"/>
        <v>187</v>
      </c>
      <c r="J859" s="58">
        <f t="shared" si="852"/>
        <v>0</v>
      </c>
      <c r="K859" s="58">
        <f t="shared" si="852"/>
        <v>0</v>
      </c>
      <c r="L859" s="58">
        <f t="shared" si="852"/>
        <v>0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0" customHeight="1">
      <c r="A860" s="70"/>
      <c r="B860" s="71"/>
      <c r="C860" s="66"/>
      <c r="D860" s="66">
        <f t="shared" si="412"/>
        <v>0</v>
      </c>
      <c r="E860" s="67"/>
      <c r="F860" s="58">
        <f t="shared" ref="F860:L860" si="853">SUMIFS($C860,$B860,F$7)+F859</f>
        <v>168</v>
      </c>
      <c r="G860" s="58">
        <f t="shared" si="853"/>
        <v>3</v>
      </c>
      <c r="H860" s="58">
        <f t="shared" si="853"/>
        <v>14</v>
      </c>
      <c r="I860" s="58">
        <f t="shared" si="853"/>
        <v>187</v>
      </c>
      <c r="J860" s="58">
        <f t="shared" si="853"/>
        <v>0</v>
      </c>
      <c r="K860" s="58">
        <f t="shared" si="853"/>
        <v>0</v>
      </c>
      <c r="L860" s="58">
        <f t="shared" si="853"/>
        <v>0</v>
      </c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0" customHeight="1">
      <c r="A861" s="70"/>
      <c r="B861" s="71"/>
      <c r="C861" s="66"/>
      <c r="D861" s="66">
        <f t="shared" si="412"/>
        <v>0</v>
      </c>
      <c r="E861" s="67"/>
      <c r="F861" s="58">
        <f t="shared" ref="F861:L861" si="854">SUMIFS($C861,$B861,F$7)+F860</f>
        <v>168</v>
      </c>
      <c r="G861" s="58">
        <f t="shared" si="854"/>
        <v>3</v>
      </c>
      <c r="H861" s="58">
        <f t="shared" si="854"/>
        <v>14</v>
      </c>
      <c r="I861" s="58">
        <f t="shared" si="854"/>
        <v>187</v>
      </c>
      <c r="J861" s="58">
        <f t="shared" si="854"/>
        <v>0</v>
      </c>
      <c r="K861" s="58">
        <f t="shared" si="854"/>
        <v>0</v>
      </c>
      <c r="L861" s="58">
        <f t="shared" si="854"/>
        <v>0</v>
      </c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0" customHeight="1">
      <c r="A862" s="70"/>
      <c r="B862" s="71"/>
      <c r="C862" s="66"/>
      <c r="D862" s="66">
        <f t="shared" si="412"/>
        <v>0</v>
      </c>
      <c r="E862" s="67"/>
      <c r="F862" s="58">
        <f t="shared" ref="F862:L862" si="855">SUMIFS($C862,$B862,F$7)+F861</f>
        <v>168</v>
      </c>
      <c r="G862" s="58">
        <f t="shared" si="855"/>
        <v>3</v>
      </c>
      <c r="H862" s="58">
        <f t="shared" si="855"/>
        <v>14</v>
      </c>
      <c r="I862" s="58">
        <f t="shared" si="855"/>
        <v>187</v>
      </c>
      <c r="J862" s="58">
        <f t="shared" si="855"/>
        <v>0</v>
      </c>
      <c r="K862" s="58">
        <f t="shared" si="855"/>
        <v>0</v>
      </c>
      <c r="L862" s="58">
        <f t="shared" si="855"/>
        <v>0</v>
      </c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0" customHeight="1">
      <c r="A863" s="70"/>
      <c r="B863" s="71"/>
      <c r="C863" s="66"/>
      <c r="D863" s="66">
        <f t="shared" si="412"/>
        <v>0</v>
      </c>
      <c r="E863" s="67"/>
      <c r="F863" s="58">
        <f t="shared" ref="F863:L863" si="856">SUMIFS($C863,$B863,F$7)+F862</f>
        <v>168</v>
      </c>
      <c r="G863" s="58">
        <f t="shared" si="856"/>
        <v>3</v>
      </c>
      <c r="H863" s="58">
        <f t="shared" si="856"/>
        <v>14</v>
      </c>
      <c r="I863" s="58">
        <f t="shared" si="856"/>
        <v>187</v>
      </c>
      <c r="J863" s="58">
        <f t="shared" si="856"/>
        <v>0</v>
      </c>
      <c r="K863" s="58">
        <f t="shared" si="856"/>
        <v>0</v>
      </c>
      <c r="L863" s="58">
        <f t="shared" si="856"/>
        <v>0</v>
      </c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0" customHeight="1">
      <c r="A864" s="70"/>
      <c r="B864" s="71"/>
      <c r="C864" s="66"/>
      <c r="D864" s="66">
        <f t="shared" si="412"/>
        <v>0</v>
      </c>
      <c r="E864" s="67"/>
      <c r="F864" s="58">
        <f t="shared" ref="F864:L864" si="857">SUMIFS($C864,$B864,F$7)+F863</f>
        <v>168</v>
      </c>
      <c r="G864" s="58">
        <f t="shared" si="857"/>
        <v>3</v>
      </c>
      <c r="H864" s="58">
        <f t="shared" si="857"/>
        <v>14</v>
      </c>
      <c r="I864" s="58">
        <f t="shared" si="857"/>
        <v>187</v>
      </c>
      <c r="J864" s="58">
        <f t="shared" si="857"/>
        <v>0</v>
      </c>
      <c r="K864" s="58">
        <f t="shared" si="857"/>
        <v>0</v>
      </c>
      <c r="L864" s="58">
        <f t="shared" si="857"/>
        <v>0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0" customHeight="1">
      <c r="A865" s="70"/>
      <c r="B865" s="71"/>
      <c r="C865" s="66"/>
      <c r="D865" s="66">
        <f t="shared" si="412"/>
        <v>0</v>
      </c>
      <c r="E865" s="67"/>
      <c r="F865" s="58">
        <f t="shared" ref="F865:L865" si="858">SUMIFS($C865,$B865,F$7)+F864</f>
        <v>168</v>
      </c>
      <c r="G865" s="58">
        <f t="shared" si="858"/>
        <v>3</v>
      </c>
      <c r="H865" s="58">
        <f t="shared" si="858"/>
        <v>14</v>
      </c>
      <c r="I865" s="58">
        <f t="shared" si="858"/>
        <v>187</v>
      </c>
      <c r="J865" s="58">
        <f t="shared" si="858"/>
        <v>0</v>
      </c>
      <c r="K865" s="58">
        <f t="shared" si="858"/>
        <v>0</v>
      </c>
      <c r="L865" s="58">
        <f t="shared" si="858"/>
        <v>0</v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0" customHeight="1">
      <c r="A866" s="70"/>
      <c r="B866" s="71"/>
      <c r="C866" s="66"/>
      <c r="D866" s="66">
        <f t="shared" si="412"/>
        <v>0</v>
      </c>
      <c r="E866" s="67"/>
      <c r="F866" s="58">
        <f t="shared" ref="F866:L866" si="859">SUMIFS($C866,$B866,F$7)+F865</f>
        <v>168</v>
      </c>
      <c r="G866" s="58">
        <f t="shared" si="859"/>
        <v>3</v>
      </c>
      <c r="H866" s="58">
        <f t="shared" si="859"/>
        <v>14</v>
      </c>
      <c r="I866" s="58">
        <f t="shared" si="859"/>
        <v>187</v>
      </c>
      <c r="J866" s="58">
        <f t="shared" si="859"/>
        <v>0</v>
      </c>
      <c r="K866" s="58">
        <f t="shared" si="859"/>
        <v>0</v>
      </c>
      <c r="L866" s="58">
        <f t="shared" si="859"/>
        <v>0</v>
      </c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0" customHeight="1">
      <c r="A867" s="70"/>
      <c r="B867" s="71"/>
      <c r="C867" s="66"/>
      <c r="D867" s="66">
        <f t="shared" si="412"/>
        <v>0</v>
      </c>
      <c r="E867" s="67"/>
      <c r="F867" s="58">
        <f t="shared" ref="F867:L867" si="860">SUMIFS($C867,$B867,F$7)+F866</f>
        <v>168</v>
      </c>
      <c r="G867" s="58">
        <f t="shared" si="860"/>
        <v>3</v>
      </c>
      <c r="H867" s="58">
        <f t="shared" si="860"/>
        <v>14</v>
      </c>
      <c r="I867" s="58">
        <f t="shared" si="860"/>
        <v>187</v>
      </c>
      <c r="J867" s="58">
        <f t="shared" si="860"/>
        <v>0</v>
      </c>
      <c r="K867" s="58">
        <f t="shared" si="860"/>
        <v>0</v>
      </c>
      <c r="L867" s="58">
        <f t="shared" si="860"/>
        <v>0</v>
      </c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0" customHeight="1">
      <c r="A868" s="70"/>
      <c r="B868" s="71"/>
      <c r="C868" s="66"/>
      <c r="D868" s="66">
        <f t="shared" si="412"/>
        <v>0</v>
      </c>
      <c r="E868" s="67"/>
      <c r="F868" s="58">
        <f t="shared" ref="F868:L868" si="861">SUMIFS($C868,$B868,F$7)+F867</f>
        <v>168</v>
      </c>
      <c r="G868" s="58">
        <f t="shared" si="861"/>
        <v>3</v>
      </c>
      <c r="H868" s="58">
        <f t="shared" si="861"/>
        <v>14</v>
      </c>
      <c r="I868" s="58">
        <f t="shared" si="861"/>
        <v>187</v>
      </c>
      <c r="J868" s="58">
        <f t="shared" si="861"/>
        <v>0</v>
      </c>
      <c r="K868" s="58">
        <f t="shared" si="861"/>
        <v>0</v>
      </c>
      <c r="L868" s="58">
        <f t="shared" si="861"/>
        <v>0</v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0" customHeight="1">
      <c r="A869" s="70"/>
      <c r="B869" s="71"/>
      <c r="C869" s="66"/>
      <c r="D869" s="66">
        <f t="shared" si="412"/>
        <v>0</v>
      </c>
      <c r="E869" s="67"/>
      <c r="F869" s="58">
        <f t="shared" ref="F869:L869" si="862">SUMIFS($C869,$B869,F$7)+F868</f>
        <v>168</v>
      </c>
      <c r="G869" s="58">
        <f t="shared" si="862"/>
        <v>3</v>
      </c>
      <c r="H869" s="58">
        <f t="shared" si="862"/>
        <v>14</v>
      </c>
      <c r="I869" s="58">
        <f t="shared" si="862"/>
        <v>187</v>
      </c>
      <c r="J869" s="58">
        <f t="shared" si="862"/>
        <v>0</v>
      </c>
      <c r="K869" s="58">
        <f t="shared" si="862"/>
        <v>0</v>
      </c>
      <c r="L869" s="58">
        <f t="shared" si="862"/>
        <v>0</v>
      </c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0" customHeight="1">
      <c r="A870" s="70"/>
      <c r="B870" s="71"/>
      <c r="C870" s="66"/>
      <c r="D870" s="66">
        <f t="shared" si="412"/>
        <v>0</v>
      </c>
      <c r="E870" s="67"/>
      <c r="F870" s="58">
        <f t="shared" ref="F870:L870" si="863">SUMIFS($C870,$B870,F$7)+F869</f>
        <v>168</v>
      </c>
      <c r="G870" s="58">
        <f t="shared" si="863"/>
        <v>3</v>
      </c>
      <c r="H870" s="58">
        <f t="shared" si="863"/>
        <v>14</v>
      </c>
      <c r="I870" s="58">
        <f t="shared" si="863"/>
        <v>187</v>
      </c>
      <c r="J870" s="58">
        <f t="shared" si="863"/>
        <v>0</v>
      </c>
      <c r="K870" s="58">
        <f t="shared" si="863"/>
        <v>0</v>
      </c>
      <c r="L870" s="58">
        <f t="shared" si="863"/>
        <v>0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0" customHeight="1">
      <c r="A871" s="70"/>
      <c r="B871" s="71"/>
      <c r="C871" s="66"/>
      <c r="D871" s="66">
        <f t="shared" si="412"/>
        <v>0</v>
      </c>
      <c r="E871" s="67"/>
      <c r="F871" s="58">
        <f t="shared" ref="F871:L871" si="864">SUMIFS($C871,$B871,F$7)+F870</f>
        <v>168</v>
      </c>
      <c r="G871" s="58">
        <f t="shared" si="864"/>
        <v>3</v>
      </c>
      <c r="H871" s="58">
        <f t="shared" si="864"/>
        <v>14</v>
      </c>
      <c r="I871" s="58">
        <f t="shared" si="864"/>
        <v>187</v>
      </c>
      <c r="J871" s="58">
        <f t="shared" si="864"/>
        <v>0</v>
      </c>
      <c r="K871" s="58">
        <f t="shared" si="864"/>
        <v>0</v>
      </c>
      <c r="L871" s="58">
        <f t="shared" si="864"/>
        <v>0</v>
      </c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0" customHeight="1">
      <c r="A872" s="70"/>
      <c r="B872" s="71"/>
      <c r="C872" s="66"/>
      <c r="D872" s="66">
        <f t="shared" si="412"/>
        <v>0</v>
      </c>
      <c r="E872" s="67"/>
      <c r="F872" s="58">
        <f t="shared" ref="F872:L872" si="865">SUMIFS($C872,$B872,F$7)+F871</f>
        <v>168</v>
      </c>
      <c r="G872" s="58">
        <f t="shared" si="865"/>
        <v>3</v>
      </c>
      <c r="H872" s="58">
        <f t="shared" si="865"/>
        <v>14</v>
      </c>
      <c r="I872" s="58">
        <f t="shared" si="865"/>
        <v>187</v>
      </c>
      <c r="J872" s="58">
        <f t="shared" si="865"/>
        <v>0</v>
      </c>
      <c r="K872" s="58">
        <f t="shared" si="865"/>
        <v>0</v>
      </c>
      <c r="L872" s="58">
        <f t="shared" si="865"/>
        <v>0</v>
      </c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0" customHeight="1">
      <c r="A873" s="70"/>
      <c r="B873" s="71"/>
      <c r="C873" s="66"/>
      <c r="D873" s="66">
        <f t="shared" si="412"/>
        <v>0</v>
      </c>
      <c r="E873" s="67"/>
      <c r="F873" s="58">
        <f t="shared" ref="F873:L873" si="866">SUMIFS($C873,$B873,F$7)+F872</f>
        <v>168</v>
      </c>
      <c r="G873" s="58">
        <f t="shared" si="866"/>
        <v>3</v>
      </c>
      <c r="H873" s="58">
        <f t="shared" si="866"/>
        <v>14</v>
      </c>
      <c r="I873" s="58">
        <f t="shared" si="866"/>
        <v>187</v>
      </c>
      <c r="J873" s="58">
        <f t="shared" si="866"/>
        <v>0</v>
      </c>
      <c r="K873" s="58">
        <f t="shared" si="866"/>
        <v>0</v>
      </c>
      <c r="L873" s="58">
        <f t="shared" si="866"/>
        <v>0</v>
      </c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0" customHeight="1">
      <c r="A874" s="70"/>
      <c r="B874" s="71"/>
      <c r="C874" s="66"/>
      <c r="D874" s="66">
        <f t="shared" si="412"/>
        <v>0</v>
      </c>
      <c r="E874" s="67"/>
      <c r="F874" s="58">
        <f t="shared" ref="F874:L874" si="867">SUMIFS($C874,$B874,F$7)+F873</f>
        <v>168</v>
      </c>
      <c r="G874" s="58">
        <f t="shared" si="867"/>
        <v>3</v>
      </c>
      <c r="H874" s="58">
        <f t="shared" si="867"/>
        <v>14</v>
      </c>
      <c r="I874" s="58">
        <f t="shared" si="867"/>
        <v>187</v>
      </c>
      <c r="J874" s="58">
        <f t="shared" si="867"/>
        <v>0</v>
      </c>
      <c r="K874" s="58">
        <f t="shared" si="867"/>
        <v>0</v>
      </c>
      <c r="L874" s="58">
        <f t="shared" si="867"/>
        <v>0</v>
      </c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0" customHeight="1">
      <c r="A875" s="70"/>
      <c r="B875" s="71"/>
      <c r="C875" s="66"/>
      <c r="D875" s="66">
        <f t="shared" si="412"/>
        <v>0</v>
      </c>
      <c r="E875" s="67"/>
      <c r="F875" s="58">
        <f t="shared" ref="F875:L875" si="868">SUMIFS($C875,$B875,F$7)+F874</f>
        <v>168</v>
      </c>
      <c r="G875" s="58">
        <f t="shared" si="868"/>
        <v>3</v>
      </c>
      <c r="H875" s="58">
        <f t="shared" si="868"/>
        <v>14</v>
      </c>
      <c r="I875" s="58">
        <f t="shared" si="868"/>
        <v>187</v>
      </c>
      <c r="J875" s="58">
        <f t="shared" si="868"/>
        <v>0</v>
      </c>
      <c r="K875" s="58">
        <f t="shared" si="868"/>
        <v>0</v>
      </c>
      <c r="L875" s="58">
        <f t="shared" si="868"/>
        <v>0</v>
      </c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0" customHeight="1">
      <c r="A876" s="70"/>
      <c r="B876" s="71"/>
      <c r="C876" s="66"/>
      <c r="D876" s="66">
        <f t="shared" si="412"/>
        <v>0</v>
      </c>
      <c r="E876" s="67"/>
      <c r="F876" s="58">
        <f t="shared" ref="F876:L876" si="869">SUMIFS($C876,$B876,F$7)+F875</f>
        <v>168</v>
      </c>
      <c r="G876" s="58">
        <f t="shared" si="869"/>
        <v>3</v>
      </c>
      <c r="H876" s="58">
        <f t="shared" si="869"/>
        <v>14</v>
      </c>
      <c r="I876" s="58">
        <f t="shared" si="869"/>
        <v>187</v>
      </c>
      <c r="J876" s="58">
        <f t="shared" si="869"/>
        <v>0</v>
      </c>
      <c r="K876" s="58">
        <f t="shared" si="869"/>
        <v>0</v>
      </c>
      <c r="L876" s="58">
        <f t="shared" si="869"/>
        <v>0</v>
      </c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0" customHeight="1">
      <c r="A877" s="70"/>
      <c r="B877" s="71"/>
      <c r="C877" s="66"/>
      <c r="D877" s="66">
        <f t="shared" si="412"/>
        <v>0</v>
      </c>
      <c r="E877" s="67"/>
      <c r="F877" s="58">
        <f t="shared" ref="F877:L877" si="870">SUMIFS($C877,$B877,F$7)+F876</f>
        <v>168</v>
      </c>
      <c r="G877" s="58">
        <f t="shared" si="870"/>
        <v>3</v>
      </c>
      <c r="H877" s="58">
        <f t="shared" si="870"/>
        <v>14</v>
      </c>
      <c r="I877" s="58">
        <f t="shared" si="870"/>
        <v>187</v>
      </c>
      <c r="J877" s="58">
        <f t="shared" si="870"/>
        <v>0</v>
      </c>
      <c r="K877" s="58">
        <f t="shared" si="870"/>
        <v>0</v>
      </c>
      <c r="L877" s="58">
        <f t="shared" si="870"/>
        <v>0</v>
      </c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0" customHeight="1">
      <c r="A878" s="70"/>
      <c r="B878" s="71"/>
      <c r="C878" s="66"/>
      <c r="D878" s="66">
        <f t="shared" si="412"/>
        <v>0</v>
      </c>
      <c r="E878" s="67"/>
      <c r="F878" s="58">
        <f t="shared" ref="F878:L878" si="871">SUMIFS($C878,$B878,F$7)+F877</f>
        <v>168</v>
      </c>
      <c r="G878" s="58">
        <f t="shared" si="871"/>
        <v>3</v>
      </c>
      <c r="H878" s="58">
        <f t="shared" si="871"/>
        <v>14</v>
      </c>
      <c r="I878" s="58">
        <f t="shared" si="871"/>
        <v>187</v>
      </c>
      <c r="J878" s="58">
        <f t="shared" si="871"/>
        <v>0</v>
      </c>
      <c r="K878" s="58">
        <f t="shared" si="871"/>
        <v>0</v>
      </c>
      <c r="L878" s="58">
        <f t="shared" si="871"/>
        <v>0</v>
      </c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0" customHeight="1">
      <c r="A879" s="70"/>
      <c r="B879" s="71"/>
      <c r="C879" s="66"/>
      <c r="D879" s="66">
        <f t="shared" si="412"/>
        <v>0</v>
      </c>
      <c r="E879" s="67"/>
      <c r="F879" s="58">
        <f t="shared" ref="F879:L879" si="872">SUMIFS($C879,$B879,F$7)+F878</f>
        <v>168</v>
      </c>
      <c r="G879" s="58">
        <f t="shared" si="872"/>
        <v>3</v>
      </c>
      <c r="H879" s="58">
        <f t="shared" si="872"/>
        <v>14</v>
      </c>
      <c r="I879" s="58">
        <f t="shared" si="872"/>
        <v>187</v>
      </c>
      <c r="J879" s="58">
        <f t="shared" si="872"/>
        <v>0</v>
      </c>
      <c r="K879" s="58">
        <f t="shared" si="872"/>
        <v>0</v>
      </c>
      <c r="L879" s="58">
        <f t="shared" si="872"/>
        <v>0</v>
      </c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0" customHeight="1">
      <c r="A880" s="70"/>
      <c r="B880" s="71"/>
      <c r="C880" s="66"/>
      <c r="D880" s="66">
        <f t="shared" si="412"/>
        <v>0</v>
      </c>
      <c r="E880" s="67"/>
      <c r="F880" s="58">
        <f t="shared" ref="F880:L880" si="873">SUMIFS($C880,$B880,F$7)+F879</f>
        <v>168</v>
      </c>
      <c r="G880" s="58">
        <f t="shared" si="873"/>
        <v>3</v>
      </c>
      <c r="H880" s="58">
        <f t="shared" si="873"/>
        <v>14</v>
      </c>
      <c r="I880" s="58">
        <f t="shared" si="873"/>
        <v>187</v>
      </c>
      <c r="J880" s="58">
        <f t="shared" si="873"/>
        <v>0</v>
      </c>
      <c r="K880" s="58">
        <f t="shared" si="873"/>
        <v>0</v>
      </c>
      <c r="L880" s="58">
        <f t="shared" si="873"/>
        <v>0</v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0" customHeight="1">
      <c r="A881" s="70"/>
      <c r="B881" s="71"/>
      <c r="C881" s="66"/>
      <c r="D881" s="66">
        <f t="shared" si="412"/>
        <v>0</v>
      </c>
      <c r="E881" s="67"/>
      <c r="F881" s="58">
        <f t="shared" ref="F881:L881" si="874">SUMIFS($C881,$B881,F$7)+F880</f>
        <v>168</v>
      </c>
      <c r="G881" s="58">
        <f t="shared" si="874"/>
        <v>3</v>
      </c>
      <c r="H881" s="58">
        <f t="shared" si="874"/>
        <v>14</v>
      </c>
      <c r="I881" s="58">
        <f t="shared" si="874"/>
        <v>187</v>
      </c>
      <c r="J881" s="58">
        <f t="shared" si="874"/>
        <v>0</v>
      </c>
      <c r="K881" s="58">
        <f t="shared" si="874"/>
        <v>0</v>
      </c>
      <c r="L881" s="58">
        <f t="shared" si="874"/>
        <v>0</v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0" customHeight="1">
      <c r="A882" s="70"/>
      <c r="B882" s="71"/>
      <c r="C882" s="66"/>
      <c r="D882" s="66">
        <f t="shared" si="412"/>
        <v>0</v>
      </c>
      <c r="E882" s="67"/>
      <c r="F882" s="58">
        <f t="shared" ref="F882:L882" si="875">SUMIFS($C882,$B882,F$7)+F881</f>
        <v>168</v>
      </c>
      <c r="G882" s="58">
        <f t="shared" si="875"/>
        <v>3</v>
      </c>
      <c r="H882" s="58">
        <f t="shared" si="875"/>
        <v>14</v>
      </c>
      <c r="I882" s="58">
        <f t="shared" si="875"/>
        <v>187</v>
      </c>
      <c r="J882" s="58">
        <f t="shared" si="875"/>
        <v>0</v>
      </c>
      <c r="K882" s="58">
        <f t="shared" si="875"/>
        <v>0</v>
      </c>
      <c r="L882" s="58">
        <f t="shared" si="875"/>
        <v>0</v>
      </c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0" customHeight="1">
      <c r="A883" s="70"/>
      <c r="B883" s="71"/>
      <c r="C883" s="66"/>
      <c r="D883" s="66">
        <f t="shared" si="412"/>
        <v>0</v>
      </c>
      <c r="E883" s="67"/>
      <c r="F883" s="58">
        <f t="shared" ref="F883:L883" si="876">SUMIFS($C883,$B883,F$7)+F882</f>
        <v>168</v>
      </c>
      <c r="G883" s="58">
        <f t="shared" si="876"/>
        <v>3</v>
      </c>
      <c r="H883" s="58">
        <f t="shared" si="876"/>
        <v>14</v>
      </c>
      <c r="I883" s="58">
        <f t="shared" si="876"/>
        <v>187</v>
      </c>
      <c r="J883" s="58">
        <f t="shared" si="876"/>
        <v>0</v>
      </c>
      <c r="K883" s="58">
        <f t="shared" si="876"/>
        <v>0</v>
      </c>
      <c r="L883" s="58">
        <f t="shared" si="876"/>
        <v>0</v>
      </c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0" customHeight="1">
      <c r="A884" s="70"/>
      <c r="B884" s="71"/>
      <c r="C884" s="66"/>
      <c r="D884" s="66">
        <f t="shared" si="412"/>
        <v>0</v>
      </c>
      <c r="E884" s="67"/>
      <c r="F884" s="58">
        <f t="shared" ref="F884:L884" si="877">SUMIFS($C884,$B884,F$7)+F883</f>
        <v>168</v>
      </c>
      <c r="G884" s="58">
        <f t="shared" si="877"/>
        <v>3</v>
      </c>
      <c r="H884" s="58">
        <f t="shared" si="877"/>
        <v>14</v>
      </c>
      <c r="I884" s="58">
        <f t="shared" si="877"/>
        <v>187</v>
      </c>
      <c r="J884" s="58">
        <f t="shared" si="877"/>
        <v>0</v>
      </c>
      <c r="K884" s="58">
        <f t="shared" si="877"/>
        <v>0</v>
      </c>
      <c r="L884" s="58">
        <f t="shared" si="877"/>
        <v>0</v>
      </c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0" customHeight="1">
      <c r="A885" s="70"/>
      <c r="B885" s="71"/>
      <c r="C885" s="66"/>
      <c r="D885" s="66">
        <f t="shared" si="412"/>
        <v>0</v>
      </c>
      <c r="E885" s="67"/>
      <c r="F885" s="58">
        <f t="shared" ref="F885:L885" si="878">SUMIFS($C885,$B885,F$7)+F884</f>
        <v>168</v>
      </c>
      <c r="G885" s="58">
        <f t="shared" si="878"/>
        <v>3</v>
      </c>
      <c r="H885" s="58">
        <f t="shared" si="878"/>
        <v>14</v>
      </c>
      <c r="I885" s="58">
        <f t="shared" si="878"/>
        <v>187</v>
      </c>
      <c r="J885" s="58">
        <f t="shared" si="878"/>
        <v>0</v>
      </c>
      <c r="K885" s="58">
        <f t="shared" si="878"/>
        <v>0</v>
      </c>
      <c r="L885" s="58">
        <f t="shared" si="878"/>
        <v>0</v>
      </c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0" customHeight="1">
      <c r="A886" s="70"/>
      <c r="B886" s="71"/>
      <c r="C886" s="66"/>
      <c r="D886" s="66">
        <f t="shared" si="412"/>
        <v>0</v>
      </c>
      <c r="E886" s="67"/>
      <c r="F886" s="58">
        <f t="shared" ref="F886:L886" si="879">SUMIFS($C886,$B886,F$7)+F885</f>
        <v>168</v>
      </c>
      <c r="G886" s="58">
        <f t="shared" si="879"/>
        <v>3</v>
      </c>
      <c r="H886" s="58">
        <f t="shared" si="879"/>
        <v>14</v>
      </c>
      <c r="I886" s="58">
        <f t="shared" si="879"/>
        <v>187</v>
      </c>
      <c r="J886" s="58">
        <f t="shared" si="879"/>
        <v>0</v>
      </c>
      <c r="K886" s="58">
        <f t="shared" si="879"/>
        <v>0</v>
      </c>
      <c r="L886" s="58">
        <f t="shared" si="879"/>
        <v>0</v>
      </c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0" customHeight="1">
      <c r="A887" s="70"/>
      <c r="B887" s="71"/>
      <c r="C887" s="66"/>
      <c r="D887" s="66">
        <f t="shared" si="412"/>
        <v>0</v>
      </c>
      <c r="E887" s="67"/>
      <c r="F887" s="58">
        <f t="shared" ref="F887:L887" si="880">SUMIFS($C887,$B887,F$7)+F886</f>
        <v>168</v>
      </c>
      <c r="G887" s="58">
        <f t="shared" si="880"/>
        <v>3</v>
      </c>
      <c r="H887" s="58">
        <f t="shared" si="880"/>
        <v>14</v>
      </c>
      <c r="I887" s="58">
        <f t="shared" si="880"/>
        <v>187</v>
      </c>
      <c r="J887" s="58">
        <f t="shared" si="880"/>
        <v>0</v>
      </c>
      <c r="K887" s="58">
        <f t="shared" si="880"/>
        <v>0</v>
      </c>
      <c r="L887" s="58">
        <f t="shared" si="880"/>
        <v>0</v>
      </c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0" customHeight="1">
      <c r="A888" s="70"/>
      <c r="B888" s="71"/>
      <c r="C888" s="66"/>
      <c r="D888" s="66">
        <f t="shared" si="412"/>
        <v>0</v>
      </c>
      <c r="E888" s="67"/>
      <c r="F888" s="58">
        <f t="shared" ref="F888:L888" si="881">SUMIFS($C888,$B888,F$7)+F887</f>
        <v>168</v>
      </c>
      <c r="G888" s="58">
        <f t="shared" si="881"/>
        <v>3</v>
      </c>
      <c r="H888" s="58">
        <f t="shared" si="881"/>
        <v>14</v>
      </c>
      <c r="I888" s="58">
        <f t="shared" si="881"/>
        <v>187</v>
      </c>
      <c r="J888" s="58">
        <f t="shared" si="881"/>
        <v>0</v>
      </c>
      <c r="K888" s="58">
        <f t="shared" si="881"/>
        <v>0</v>
      </c>
      <c r="L888" s="58">
        <f t="shared" si="881"/>
        <v>0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0" customHeight="1">
      <c r="A889" s="70"/>
      <c r="B889" s="71"/>
      <c r="C889" s="66"/>
      <c r="D889" s="66">
        <f t="shared" si="412"/>
        <v>0</v>
      </c>
      <c r="E889" s="67"/>
      <c r="F889" s="58">
        <f t="shared" ref="F889:L889" si="882">SUMIFS($C889,$B889,F$7)+F888</f>
        <v>168</v>
      </c>
      <c r="G889" s="58">
        <f t="shared" si="882"/>
        <v>3</v>
      </c>
      <c r="H889" s="58">
        <f t="shared" si="882"/>
        <v>14</v>
      </c>
      <c r="I889" s="58">
        <f t="shared" si="882"/>
        <v>187</v>
      </c>
      <c r="J889" s="58">
        <f t="shared" si="882"/>
        <v>0</v>
      </c>
      <c r="K889" s="58">
        <f t="shared" si="882"/>
        <v>0</v>
      </c>
      <c r="L889" s="58">
        <f t="shared" si="882"/>
        <v>0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0" customHeight="1">
      <c r="A890" s="70"/>
      <c r="B890" s="71"/>
      <c r="C890" s="66"/>
      <c r="D890" s="66">
        <f t="shared" si="412"/>
        <v>0</v>
      </c>
      <c r="E890" s="67"/>
      <c r="F890" s="58">
        <f t="shared" ref="F890:L890" si="883">SUMIFS($C890,$B890,F$7)+F889</f>
        <v>168</v>
      </c>
      <c r="G890" s="58">
        <f t="shared" si="883"/>
        <v>3</v>
      </c>
      <c r="H890" s="58">
        <f t="shared" si="883"/>
        <v>14</v>
      </c>
      <c r="I890" s="58">
        <f t="shared" si="883"/>
        <v>187</v>
      </c>
      <c r="J890" s="58">
        <f t="shared" si="883"/>
        <v>0</v>
      </c>
      <c r="K890" s="58">
        <f t="shared" si="883"/>
        <v>0</v>
      </c>
      <c r="L890" s="58">
        <f t="shared" si="883"/>
        <v>0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0" customHeight="1">
      <c r="A891" s="70"/>
      <c r="B891" s="71"/>
      <c r="C891" s="66"/>
      <c r="D891" s="66">
        <f t="shared" si="412"/>
        <v>0</v>
      </c>
      <c r="E891" s="67"/>
      <c r="F891" s="58">
        <f t="shared" ref="F891:L891" si="884">SUMIFS($C891,$B891,F$7)+F890</f>
        <v>168</v>
      </c>
      <c r="G891" s="58">
        <f t="shared" si="884"/>
        <v>3</v>
      </c>
      <c r="H891" s="58">
        <f t="shared" si="884"/>
        <v>14</v>
      </c>
      <c r="I891" s="58">
        <f t="shared" si="884"/>
        <v>187</v>
      </c>
      <c r="J891" s="58">
        <f t="shared" si="884"/>
        <v>0</v>
      </c>
      <c r="K891" s="58">
        <f t="shared" si="884"/>
        <v>0</v>
      </c>
      <c r="L891" s="58">
        <f t="shared" si="884"/>
        <v>0</v>
      </c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0" customHeight="1">
      <c r="A892" s="70"/>
      <c r="B892" s="71"/>
      <c r="C892" s="66"/>
      <c r="D892" s="66">
        <f t="shared" si="412"/>
        <v>0</v>
      </c>
      <c r="E892" s="67"/>
      <c r="F892" s="58">
        <f t="shared" ref="F892:L892" si="885">SUMIFS($C892,$B892,F$7)+F891</f>
        <v>168</v>
      </c>
      <c r="G892" s="58">
        <f t="shared" si="885"/>
        <v>3</v>
      </c>
      <c r="H892" s="58">
        <f t="shared" si="885"/>
        <v>14</v>
      </c>
      <c r="I892" s="58">
        <f t="shared" si="885"/>
        <v>187</v>
      </c>
      <c r="J892" s="58">
        <f t="shared" si="885"/>
        <v>0</v>
      </c>
      <c r="K892" s="58">
        <f t="shared" si="885"/>
        <v>0</v>
      </c>
      <c r="L892" s="58">
        <f t="shared" si="885"/>
        <v>0</v>
      </c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0" customHeight="1">
      <c r="A893" s="70"/>
      <c r="B893" s="71"/>
      <c r="C893" s="66"/>
      <c r="D893" s="66">
        <f t="shared" si="412"/>
        <v>0</v>
      </c>
      <c r="E893" s="67"/>
      <c r="F893" s="58">
        <f t="shared" ref="F893:L893" si="886">SUMIFS($C893,$B893,F$7)+F892</f>
        <v>168</v>
      </c>
      <c r="G893" s="58">
        <f t="shared" si="886"/>
        <v>3</v>
      </c>
      <c r="H893" s="58">
        <f t="shared" si="886"/>
        <v>14</v>
      </c>
      <c r="I893" s="58">
        <f t="shared" si="886"/>
        <v>187</v>
      </c>
      <c r="J893" s="58">
        <f t="shared" si="886"/>
        <v>0</v>
      </c>
      <c r="K893" s="58">
        <f t="shared" si="886"/>
        <v>0</v>
      </c>
      <c r="L893" s="58">
        <f t="shared" si="886"/>
        <v>0</v>
      </c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0" customHeight="1">
      <c r="A894" s="70"/>
      <c r="B894" s="71"/>
      <c r="C894" s="66"/>
      <c r="D894" s="66">
        <f t="shared" si="412"/>
        <v>0</v>
      </c>
      <c r="E894" s="67"/>
      <c r="F894" s="58">
        <f t="shared" ref="F894:L894" si="887">SUMIFS($C894,$B894,F$7)+F893</f>
        <v>168</v>
      </c>
      <c r="G894" s="58">
        <f t="shared" si="887"/>
        <v>3</v>
      </c>
      <c r="H894" s="58">
        <f t="shared" si="887"/>
        <v>14</v>
      </c>
      <c r="I894" s="58">
        <f t="shared" si="887"/>
        <v>187</v>
      </c>
      <c r="J894" s="58">
        <f t="shared" si="887"/>
        <v>0</v>
      </c>
      <c r="K894" s="58">
        <f t="shared" si="887"/>
        <v>0</v>
      </c>
      <c r="L894" s="58">
        <f t="shared" si="887"/>
        <v>0</v>
      </c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0" customHeight="1">
      <c r="A895" s="70"/>
      <c r="B895" s="71"/>
      <c r="C895" s="66"/>
      <c r="D895" s="66">
        <f t="shared" si="412"/>
        <v>0</v>
      </c>
      <c r="E895" s="67"/>
      <c r="F895" s="58">
        <f t="shared" ref="F895:L895" si="888">SUMIFS($C895,$B895,F$7)+F894</f>
        <v>168</v>
      </c>
      <c r="G895" s="58">
        <f t="shared" si="888"/>
        <v>3</v>
      </c>
      <c r="H895" s="58">
        <f t="shared" si="888"/>
        <v>14</v>
      </c>
      <c r="I895" s="58">
        <f t="shared" si="888"/>
        <v>187</v>
      </c>
      <c r="J895" s="58">
        <f t="shared" si="888"/>
        <v>0</v>
      </c>
      <c r="K895" s="58">
        <f t="shared" si="888"/>
        <v>0</v>
      </c>
      <c r="L895" s="58">
        <f t="shared" si="888"/>
        <v>0</v>
      </c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0" customHeight="1">
      <c r="A896" s="70"/>
      <c r="B896" s="71"/>
      <c r="C896" s="66"/>
      <c r="D896" s="66">
        <f t="shared" si="412"/>
        <v>0</v>
      </c>
      <c r="E896" s="67"/>
      <c r="F896" s="58">
        <f t="shared" ref="F896:L896" si="889">SUMIFS($C896,$B896,F$7)+F895</f>
        <v>168</v>
      </c>
      <c r="G896" s="58">
        <f t="shared" si="889"/>
        <v>3</v>
      </c>
      <c r="H896" s="58">
        <f t="shared" si="889"/>
        <v>14</v>
      </c>
      <c r="I896" s="58">
        <f t="shared" si="889"/>
        <v>187</v>
      </c>
      <c r="J896" s="58">
        <f t="shared" si="889"/>
        <v>0</v>
      </c>
      <c r="K896" s="58">
        <f t="shared" si="889"/>
        <v>0</v>
      </c>
      <c r="L896" s="58">
        <f t="shared" si="889"/>
        <v>0</v>
      </c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0" customHeight="1">
      <c r="A897" s="70"/>
      <c r="B897" s="71"/>
      <c r="C897" s="66"/>
      <c r="D897" s="66">
        <f t="shared" si="412"/>
        <v>0</v>
      </c>
      <c r="E897" s="67"/>
      <c r="F897" s="58">
        <f t="shared" ref="F897:L897" si="890">SUMIFS($C897,$B897,F$7)+F896</f>
        <v>168</v>
      </c>
      <c r="G897" s="58">
        <f t="shared" si="890"/>
        <v>3</v>
      </c>
      <c r="H897" s="58">
        <f t="shared" si="890"/>
        <v>14</v>
      </c>
      <c r="I897" s="58">
        <f t="shared" si="890"/>
        <v>187</v>
      </c>
      <c r="J897" s="58">
        <f t="shared" si="890"/>
        <v>0</v>
      </c>
      <c r="K897" s="58">
        <f t="shared" si="890"/>
        <v>0</v>
      </c>
      <c r="L897" s="58">
        <f t="shared" si="890"/>
        <v>0</v>
      </c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0" customHeight="1">
      <c r="A898" s="70"/>
      <c r="B898" s="71"/>
      <c r="C898" s="66"/>
      <c r="D898" s="66">
        <f t="shared" si="412"/>
        <v>0</v>
      </c>
      <c r="E898" s="67"/>
      <c r="F898" s="58">
        <f t="shared" ref="F898:L898" si="891">SUMIFS($C898,$B898,F$7)+F897</f>
        <v>168</v>
      </c>
      <c r="G898" s="58">
        <f t="shared" si="891"/>
        <v>3</v>
      </c>
      <c r="H898" s="58">
        <f t="shared" si="891"/>
        <v>14</v>
      </c>
      <c r="I898" s="58">
        <f t="shared" si="891"/>
        <v>187</v>
      </c>
      <c r="J898" s="58">
        <f t="shared" si="891"/>
        <v>0</v>
      </c>
      <c r="K898" s="58">
        <f t="shared" si="891"/>
        <v>0</v>
      </c>
      <c r="L898" s="58">
        <f t="shared" si="891"/>
        <v>0</v>
      </c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0" customHeight="1">
      <c r="A899" s="70"/>
      <c r="B899" s="71"/>
      <c r="C899" s="66"/>
      <c r="D899" s="66">
        <f t="shared" si="412"/>
        <v>0</v>
      </c>
      <c r="E899" s="67"/>
      <c r="F899" s="58">
        <f t="shared" ref="F899:L899" si="892">SUMIFS($C899,$B899,F$7)+F898</f>
        <v>168</v>
      </c>
      <c r="G899" s="58">
        <f t="shared" si="892"/>
        <v>3</v>
      </c>
      <c r="H899" s="58">
        <f t="shared" si="892"/>
        <v>14</v>
      </c>
      <c r="I899" s="58">
        <f t="shared" si="892"/>
        <v>187</v>
      </c>
      <c r="J899" s="58">
        <f t="shared" si="892"/>
        <v>0</v>
      </c>
      <c r="K899" s="58">
        <f t="shared" si="892"/>
        <v>0</v>
      </c>
      <c r="L899" s="58">
        <f t="shared" si="892"/>
        <v>0</v>
      </c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0" customHeight="1">
      <c r="A900" s="70"/>
      <c r="B900" s="71"/>
      <c r="C900" s="66"/>
      <c r="D900" s="66">
        <f t="shared" si="412"/>
        <v>0</v>
      </c>
      <c r="E900" s="67"/>
      <c r="F900" s="58">
        <f t="shared" ref="F900:L900" si="893">SUMIFS($C900,$B900,F$7)+F899</f>
        <v>168</v>
      </c>
      <c r="G900" s="58">
        <f t="shared" si="893"/>
        <v>3</v>
      </c>
      <c r="H900" s="58">
        <f t="shared" si="893"/>
        <v>14</v>
      </c>
      <c r="I900" s="58">
        <f t="shared" si="893"/>
        <v>187</v>
      </c>
      <c r="J900" s="58">
        <f t="shared" si="893"/>
        <v>0</v>
      </c>
      <c r="K900" s="58">
        <f t="shared" si="893"/>
        <v>0</v>
      </c>
      <c r="L900" s="58">
        <f t="shared" si="893"/>
        <v>0</v>
      </c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0" customHeight="1">
      <c r="A901" s="70"/>
      <c r="B901" s="71"/>
      <c r="C901" s="66"/>
      <c r="D901" s="66">
        <f t="shared" si="412"/>
        <v>0</v>
      </c>
      <c r="E901" s="67"/>
      <c r="F901" s="58">
        <f t="shared" ref="F901:L901" si="894">SUMIFS($C901,$B901,F$7)+F900</f>
        <v>168</v>
      </c>
      <c r="G901" s="58">
        <f t="shared" si="894"/>
        <v>3</v>
      </c>
      <c r="H901" s="58">
        <f t="shared" si="894"/>
        <v>14</v>
      </c>
      <c r="I901" s="58">
        <f t="shared" si="894"/>
        <v>187</v>
      </c>
      <c r="J901" s="58">
        <f t="shared" si="894"/>
        <v>0</v>
      </c>
      <c r="K901" s="58">
        <f t="shared" si="894"/>
        <v>0</v>
      </c>
      <c r="L901" s="58">
        <f t="shared" si="894"/>
        <v>0</v>
      </c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0" customHeight="1">
      <c r="A902" s="70"/>
      <c r="B902" s="71"/>
      <c r="C902" s="66"/>
      <c r="D902" s="66">
        <f t="shared" si="412"/>
        <v>0</v>
      </c>
      <c r="E902" s="67"/>
      <c r="F902" s="58">
        <f t="shared" ref="F902:L902" si="895">SUMIFS($C902,$B902,F$7)+F901</f>
        <v>168</v>
      </c>
      <c r="G902" s="58">
        <f t="shared" si="895"/>
        <v>3</v>
      </c>
      <c r="H902" s="58">
        <f t="shared" si="895"/>
        <v>14</v>
      </c>
      <c r="I902" s="58">
        <f t="shared" si="895"/>
        <v>187</v>
      </c>
      <c r="J902" s="58">
        <f t="shared" si="895"/>
        <v>0</v>
      </c>
      <c r="K902" s="58">
        <f t="shared" si="895"/>
        <v>0</v>
      </c>
      <c r="L902" s="58">
        <f t="shared" si="895"/>
        <v>0</v>
      </c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0" customHeight="1">
      <c r="A903" s="70"/>
      <c r="B903" s="71"/>
      <c r="C903" s="66"/>
      <c r="D903" s="66">
        <f t="shared" si="412"/>
        <v>0</v>
      </c>
      <c r="E903" s="67"/>
      <c r="F903" s="58">
        <f t="shared" ref="F903:L903" si="896">SUMIFS($C903,$B903,F$7)+F902</f>
        <v>168</v>
      </c>
      <c r="G903" s="58">
        <f t="shared" si="896"/>
        <v>3</v>
      </c>
      <c r="H903" s="58">
        <f t="shared" si="896"/>
        <v>14</v>
      </c>
      <c r="I903" s="58">
        <f t="shared" si="896"/>
        <v>187</v>
      </c>
      <c r="J903" s="58">
        <f t="shared" si="896"/>
        <v>0</v>
      </c>
      <c r="K903" s="58">
        <f t="shared" si="896"/>
        <v>0</v>
      </c>
      <c r="L903" s="58">
        <f t="shared" si="896"/>
        <v>0</v>
      </c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0" customHeight="1">
      <c r="A904" s="70"/>
      <c r="B904" s="71"/>
      <c r="C904" s="66"/>
      <c r="D904" s="66">
        <f t="shared" si="412"/>
        <v>0</v>
      </c>
      <c r="E904" s="67"/>
      <c r="F904" s="58">
        <f t="shared" ref="F904:L904" si="897">SUMIFS($C904,$B904,F$7)+F903</f>
        <v>168</v>
      </c>
      <c r="G904" s="58">
        <f t="shared" si="897"/>
        <v>3</v>
      </c>
      <c r="H904" s="58">
        <f t="shared" si="897"/>
        <v>14</v>
      </c>
      <c r="I904" s="58">
        <f t="shared" si="897"/>
        <v>187</v>
      </c>
      <c r="J904" s="58">
        <f t="shared" si="897"/>
        <v>0</v>
      </c>
      <c r="K904" s="58">
        <f t="shared" si="897"/>
        <v>0</v>
      </c>
      <c r="L904" s="58">
        <f t="shared" si="897"/>
        <v>0</v>
      </c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0" customHeight="1">
      <c r="A905" s="70"/>
      <c r="B905" s="71"/>
      <c r="C905" s="66"/>
      <c r="D905" s="66">
        <f t="shared" si="412"/>
        <v>0</v>
      </c>
      <c r="E905" s="67"/>
      <c r="F905" s="58">
        <f t="shared" ref="F905:L905" si="898">SUMIFS($C905,$B905,F$7)+F904</f>
        <v>168</v>
      </c>
      <c r="G905" s="58">
        <f t="shared" si="898"/>
        <v>3</v>
      </c>
      <c r="H905" s="58">
        <f t="shared" si="898"/>
        <v>14</v>
      </c>
      <c r="I905" s="58">
        <f t="shared" si="898"/>
        <v>187</v>
      </c>
      <c r="J905" s="58">
        <f t="shared" si="898"/>
        <v>0</v>
      </c>
      <c r="K905" s="58">
        <f t="shared" si="898"/>
        <v>0</v>
      </c>
      <c r="L905" s="58">
        <f t="shared" si="898"/>
        <v>0</v>
      </c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0" customHeight="1">
      <c r="A906" s="70"/>
      <c r="B906" s="71"/>
      <c r="C906" s="66"/>
      <c r="D906" s="66">
        <f t="shared" si="412"/>
        <v>0</v>
      </c>
      <c r="E906" s="67"/>
      <c r="F906" s="58">
        <f t="shared" ref="F906:L906" si="899">SUMIFS($C906,$B906,F$7)+F905</f>
        <v>168</v>
      </c>
      <c r="G906" s="58">
        <f t="shared" si="899"/>
        <v>3</v>
      </c>
      <c r="H906" s="58">
        <f t="shared" si="899"/>
        <v>14</v>
      </c>
      <c r="I906" s="58">
        <f t="shared" si="899"/>
        <v>187</v>
      </c>
      <c r="J906" s="58">
        <f t="shared" si="899"/>
        <v>0</v>
      </c>
      <c r="K906" s="58">
        <f t="shared" si="899"/>
        <v>0</v>
      </c>
      <c r="L906" s="58">
        <f t="shared" si="899"/>
        <v>0</v>
      </c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0" customHeight="1">
      <c r="A907" s="70"/>
      <c r="B907" s="71"/>
      <c r="C907" s="66"/>
      <c r="D907" s="66">
        <f t="shared" si="412"/>
        <v>0</v>
      </c>
      <c r="E907" s="67"/>
      <c r="F907" s="58">
        <f t="shared" ref="F907:L907" si="900">SUMIFS($C907,$B907,F$7)+F906</f>
        <v>168</v>
      </c>
      <c r="G907" s="58">
        <f t="shared" si="900"/>
        <v>3</v>
      </c>
      <c r="H907" s="58">
        <f t="shared" si="900"/>
        <v>14</v>
      </c>
      <c r="I907" s="58">
        <f t="shared" si="900"/>
        <v>187</v>
      </c>
      <c r="J907" s="58">
        <f t="shared" si="900"/>
        <v>0</v>
      </c>
      <c r="K907" s="58">
        <f t="shared" si="900"/>
        <v>0</v>
      </c>
      <c r="L907" s="58">
        <f t="shared" si="900"/>
        <v>0</v>
      </c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0" customHeight="1">
      <c r="A908" s="70"/>
      <c r="B908" s="71"/>
      <c r="C908" s="66"/>
      <c r="D908" s="66">
        <f t="shared" si="412"/>
        <v>0</v>
      </c>
      <c r="E908" s="67"/>
      <c r="F908" s="58">
        <f t="shared" ref="F908:L908" si="901">SUMIFS($C908,$B908,F$7)+F907</f>
        <v>168</v>
      </c>
      <c r="G908" s="58">
        <f t="shared" si="901"/>
        <v>3</v>
      </c>
      <c r="H908" s="58">
        <f t="shared" si="901"/>
        <v>14</v>
      </c>
      <c r="I908" s="58">
        <f t="shared" si="901"/>
        <v>187</v>
      </c>
      <c r="J908" s="58">
        <f t="shared" si="901"/>
        <v>0</v>
      </c>
      <c r="K908" s="58">
        <f t="shared" si="901"/>
        <v>0</v>
      </c>
      <c r="L908" s="58">
        <f t="shared" si="901"/>
        <v>0</v>
      </c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0" customHeight="1">
      <c r="A909" s="70"/>
      <c r="B909" s="71"/>
      <c r="C909" s="66"/>
      <c r="D909" s="66">
        <f t="shared" si="412"/>
        <v>0</v>
      </c>
      <c r="E909" s="67"/>
      <c r="F909" s="58">
        <f t="shared" ref="F909:L909" si="902">SUMIFS($C909,$B909,F$7)+F908</f>
        <v>168</v>
      </c>
      <c r="G909" s="58">
        <f t="shared" si="902"/>
        <v>3</v>
      </c>
      <c r="H909" s="58">
        <f t="shared" si="902"/>
        <v>14</v>
      </c>
      <c r="I909" s="58">
        <f t="shared" si="902"/>
        <v>187</v>
      </c>
      <c r="J909" s="58">
        <f t="shared" si="902"/>
        <v>0</v>
      </c>
      <c r="K909" s="58">
        <f t="shared" si="902"/>
        <v>0</v>
      </c>
      <c r="L909" s="58">
        <f t="shared" si="902"/>
        <v>0</v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0" customHeight="1">
      <c r="A910" s="70"/>
      <c r="B910" s="71"/>
      <c r="C910" s="66"/>
      <c r="D910" s="66">
        <f t="shared" si="412"/>
        <v>0</v>
      </c>
      <c r="E910" s="67"/>
      <c r="F910" s="58">
        <f t="shared" ref="F910:L910" si="903">SUMIFS($C910,$B910,F$7)+F909</f>
        <v>168</v>
      </c>
      <c r="G910" s="58">
        <f t="shared" si="903"/>
        <v>3</v>
      </c>
      <c r="H910" s="58">
        <f t="shared" si="903"/>
        <v>14</v>
      </c>
      <c r="I910" s="58">
        <f t="shared" si="903"/>
        <v>187</v>
      </c>
      <c r="J910" s="58">
        <f t="shared" si="903"/>
        <v>0</v>
      </c>
      <c r="K910" s="58">
        <f t="shared" si="903"/>
        <v>0</v>
      </c>
      <c r="L910" s="58">
        <f t="shared" si="903"/>
        <v>0</v>
      </c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0" customHeight="1">
      <c r="A911" s="70"/>
      <c r="B911" s="71"/>
      <c r="C911" s="66"/>
      <c r="D911" s="66">
        <f t="shared" si="412"/>
        <v>0</v>
      </c>
      <c r="E911" s="67"/>
      <c r="F911" s="58">
        <f t="shared" ref="F911:L911" si="904">SUMIFS($C911,$B911,F$7)+F910</f>
        <v>168</v>
      </c>
      <c r="G911" s="58">
        <f t="shared" si="904"/>
        <v>3</v>
      </c>
      <c r="H911" s="58">
        <f t="shared" si="904"/>
        <v>14</v>
      </c>
      <c r="I911" s="58">
        <f t="shared" si="904"/>
        <v>187</v>
      </c>
      <c r="J911" s="58">
        <f t="shared" si="904"/>
        <v>0</v>
      </c>
      <c r="K911" s="58">
        <f t="shared" si="904"/>
        <v>0</v>
      </c>
      <c r="L911" s="58">
        <f t="shared" si="904"/>
        <v>0</v>
      </c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0" customHeight="1">
      <c r="A912" s="70"/>
      <c r="B912" s="71"/>
      <c r="C912" s="66"/>
      <c r="D912" s="66">
        <f t="shared" si="412"/>
        <v>0</v>
      </c>
      <c r="E912" s="67"/>
      <c r="F912" s="58">
        <f t="shared" ref="F912:L912" si="905">SUMIFS($C912,$B912,F$7)+F911</f>
        <v>168</v>
      </c>
      <c r="G912" s="58">
        <f t="shared" si="905"/>
        <v>3</v>
      </c>
      <c r="H912" s="58">
        <f t="shared" si="905"/>
        <v>14</v>
      </c>
      <c r="I912" s="58">
        <f t="shared" si="905"/>
        <v>187</v>
      </c>
      <c r="J912" s="58">
        <f t="shared" si="905"/>
        <v>0</v>
      </c>
      <c r="K912" s="58">
        <f t="shared" si="905"/>
        <v>0</v>
      </c>
      <c r="L912" s="58">
        <f t="shared" si="905"/>
        <v>0</v>
      </c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0" customHeight="1">
      <c r="A913" s="70"/>
      <c r="B913" s="71"/>
      <c r="C913" s="66"/>
      <c r="D913" s="66">
        <f t="shared" si="412"/>
        <v>0</v>
      </c>
      <c r="E913" s="67"/>
      <c r="F913" s="58">
        <f t="shared" ref="F913:L913" si="906">SUMIFS($C913,$B913,F$7)+F912</f>
        <v>168</v>
      </c>
      <c r="G913" s="58">
        <f t="shared" si="906"/>
        <v>3</v>
      </c>
      <c r="H913" s="58">
        <f t="shared" si="906"/>
        <v>14</v>
      </c>
      <c r="I913" s="58">
        <f t="shared" si="906"/>
        <v>187</v>
      </c>
      <c r="J913" s="58">
        <f t="shared" si="906"/>
        <v>0</v>
      </c>
      <c r="K913" s="58">
        <f t="shared" si="906"/>
        <v>0</v>
      </c>
      <c r="L913" s="58">
        <f t="shared" si="906"/>
        <v>0</v>
      </c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0" customHeight="1">
      <c r="A914" s="70"/>
      <c r="B914" s="71"/>
      <c r="C914" s="66"/>
      <c r="D914" s="66">
        <f t="shared" si="412"/>
        <v>0</v>
      </c>
      <c r="E914" s="67"/>
      <c r="F914" s="58">
        <f t="shared" ref="F914:L914" si="907">SUMIFS($C914,$B914,F$7)+F913</f>
        <v>168</v>
      </c>
      <c r="G914" s="58">
        <f t="shared" si="907"/>
        <v>3</v>
      </c>
      <c r="H914" s="58">
        <f t="shared" si="907"/>
        <v>14</v>
      </c>
      <c r="I914" s="58">
        <f t="shared" si="907"/>
        <v>187</v>
      </c>
      <c r="J914" s="58">
        <f t="shared" si="907"/>
        <v>0</v>
      </c>
      <c r="K914" s="58">
        <f t="shared" si="907"/>
        <v>0</v>
      </c>
      <c r="L914" s="58">
        <f t="shared" si="907"/>
        <v>0</v>
      </c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0" customHeight="1">
      <c r="A915" s="70"/>
      <c r="B915" s="71"/>
      <c r="C915" s="66"/>
      <c r="D915" s="66">
        <f t="shared" si="412"/>
        <v>0</v>
      </c>
      <c r="E915" s="67"/>
      <c r="F915" s="58">
        <f t="shared" ref="F915:L915" si="908">SUMIFS($C915,$B915,F$7)+F914</f>
        <v>168</v>
      </c>
      <c r="G915" s="58">
        <f t="shared" si="908"/>
        <v>3</v>
      </c>
      <c r="H915" s="58">
        <f t="shared" si="908"/>
        <v>14</v>
      </c>
      <c r="I915" s="58">
        <f t="shared" si="908"/>
        <v>187</v>
      </c>
      <c r="J915" s="58">
        <f t="shared" si="908"/>
        <v>0</v>
      </c>
      <c r="K915" s="58">
        <f t="shared" si="908"/>
        <v>0</v>
      </c>
      <c r="L915" s="58">
        <f t="shared" si="908"/>
        <v>0</v>
      </c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0" customHeight="1">
      <c r="A916" s="70"/>
      <c r="B916" s="71"/>
      <c r="C916" s="66"/>
      <c r="D916" s="66">
        <f t="shared" si="412"/>
        <v>0</v>
      </c>
      <c r="E916" s="67"/>
      <c r="F916" s="58">
        <f t="shared" ref="F916:L916" si="909">SUMIFS($C916,$B916,F$7)+F915</f>
        <v>168</v>
      </c>
      <c r="G916" s="58">
        <f t="shared" si="909"/>
        <v>3</v>
      </c>
      <c r="H916" s="58">
        <f t="shared" si="909"/>
        <v>14</v>
      </c>
      <c r="I916" s="58">
        <f t="shared" si="909"/>
        <v>187</v>
      </c>
      <c r="J916" s="58">
        <f t="shared" si="909"/>
        <v>0</v>
      </c>
      <c r="K916" s="58">
        <f t="shared" si="909"/>
        <v>0</v>
      </c>
      <c r="L916" s="58">
        <f t="shared" si="909"/>
        <v>0</v>
      </c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0" customHeight="1">
      <c r="A917" s="70"/>
      <c r="B917" s="71"/>
      <c r="C917" s="66"/>
      <c r="D917" s="66">
        <f t="shared" si="412"/>
        <v>0</v>
      </c>
      <c r="E917" s="67"/>
      <c r="F917" s="58">
        <f t="shared" ref="F917:L917" si="910">SUMIFS($C917,$B917,F$7)+F916</f>
        <v>168</v>
      </c>
      <c r="G917" s="58">
        <f t="shared" si="910"/>
        <v>3</v>
      </c>
      <c r="H917" s="58">
        <f t="shared" si="910"/>
        <v>14</v>
      </c>
      <c r="I917" s="58">
        <f t="shared" si="910"/>
        <v>187</v>
      </c>
      <c r="J917" s="58">
        <f t="shared" si="910"/>
        <v>0</v>
      </c>
      <c r="K917" s="58">
        <f t="shared" si="910"/>
        <v>0</v>
      </c>
      <c r="L917" s="58">
        <f t="shared" si="910"/>
        <v>0</v>
      </c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0" customHeight="1">
      <c r="A918" s="70"/>
      <c r="B918" s="71"/>
      <c r="C918" s="66"/>
      <c r="D918" s="66">
        <f t="shared" si="412"/>
        <v>0</v>
      </c>
      <c r="E918" s="67"/>
      <c r="F918" s="58">
        <f t="shared" ref="F918:L918" si="911">SUMIFS($C918,$B918,F$7)+F917</f>
        <v>168</v>
      </c>
      <c r="G918" s="58">
        <f t="shared" si="911"/>
        <v>3</v>
      </c>
      <c r="H918" s="58">
        <f t="shared" si="911"/>
        <v>14</v>
      </c>
      <c r="I918" s="58">
        <f t="shared" si="911"/>
        <v>187</v>
      </c>
      <c r="J918" s="58">
        <f t="shared" si="911"/>
        <v>0</v>
      </c>
      <c r="K918" s="58">
        <f t="shared" si="911"/>
        <v>0</v>
      </c>
      <c r="L918" s="58">
        <f t="shared" si="911"/>
        <v>0</v>
      </c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0" customHeight="1">
      <c r="A919" s="70"/>
      <c r="B919" s="71"/>
      <c r="C919" s="66"/>
      <c r="D919" s="66">
        <f t="shared" si="412"/>
        <v>0</v>
      </c>
      <c r="E919" s="67"/>
      <c r="F919" s="58">
        <f t="shared" ref="F919:L919" si="912">SUMIFS($C919,$B919,F$7)+F918</f>
        <v>168</v>
      </c>
      <c r="G919" s="58">
        <f t="shared" si="912"/>
        <v>3</v>
      </c>
      <c r="H919" s="58">
        <f t="shared" si="912"/>
        <v>14</v>
      </c>
      <c r="I919" s="58">
        <f t="shared" si="912"/>
        <v>187</v>
      </c>
      <c r="J919" s="58">
        <f t="shared" si="912"/>
        <v>0</v>
      </c>
      <c r="K919" s="58">
        <f t="shared" si="912"/>
        <v>0</v>
      </c>
      <c r="L919" s="58">
        <f t="shared" si="912"/>
        <v>0</v>
      </c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0" customHeight="1">
      <c r="A920" s="70"/>
      <c r="B920" s="71"/>
      <c r="C920" s="66"/>
      <c r="D920" s="66">
        <f t="shared" si="412"/>
        <v>0</v>
      </c>
      <c r="E920" s="67"/>
      <c r="F920" s="58">
        <f t="shared" ref="F920:L920" si="913">SUMIFS($C920,$B920,F$7)+F919</f>
        <v>168</v>
      </c>
      <c r="G920" s="58">
        <f t="shared" si="913"/>
        <v>3</v>
      </c>
      <c r="H920" s="58">
        <f t="shared" si="913"/>
        <v>14</v>
      </c>
      <c r="I920" s="58">
        <f t="shared" si="913"/>
        <v>187</v>
      </c>
      <c r="J920" s="58">
        <f t="shared" si="913"/>
        <v>0</v>
      </c>
      <c r="K920" s="58">
        <f t="shared" si="913"/>
        <v>0</v>
      </c>
      <c r="L920" s="58">
        <f t="shared" si="913"/>
        <v>0</v>
      </c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0" customHeight="1">
      <c r="A921" s="70"/>
      <c r="B921" s="71"/>
      <c r="C921" s="66"/>
      <c r="D921" s="66">
        <f t="shared" si="412"/>
        <v>0</v>
      </c>
      <c r="E921" s="67"/>
      <c r="F921" s="58">
        <f t="shared" ref="F921:L921" si="914">SUMIFS($C921,$B921,F$7)+F920</f>
        <v>168</v>
      </c>
      <c r="G921" s="58">
        <f t="shared" si="914"/>
        <v>3</v>
      </c>
      <c r="H921" s="58">
        <f t="shared" si="914"/>
        <v>14</v>
      </c>
      <c r="I921" s="58">
        <f t="shared" si="914"/>
        <v>187</v>
      </c>
      <c r="J921" s="58">
        <f t="shared" si="914"/>
        <v>0</v>
      </c>
      <c r="K921" s="58">
        <f t="shared" si="914"/>
        <v>0</v>
      </c>
      <c r="L921" s="58">
        <f t="shared" si="914"/>
        <v>0</v>
      </c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0" customHeight="1">
      <c r="A922" s="70"/>
      <c r="B922" s="71"/>
      <c r="C922" s="66"/>
      <c r="D922" s="66">
        <f t="shared" si="412"/>
        <v>0</v>
      </c>
      <c r="E922" s="67"/>
      <c r="F922" s="58">
        <f t="shared" ref="F922:L922" si="915">SUMIFS($C922,$B922,F$7)+F921</f>
        <v>168</v>
      </c>
      <c r="G922" s="58">
        <f t="shared" si="915"/>
        <v>3</v>
      </c>
      <c r="H922" s="58">
        <f t="shared" si="915"/>
        <v>14</v>
      </c>
      <c r="I922" s="58">
        <f t="shared" si="915"/>
        <v>187</v>
      </c>
      <c r="J922" s="58">
        <f t="shared" si="915"/>
        <v>0</v>
      </c>
      <c r="K922" s="58">
        <f t="shared" si="915"/>
        <v>0</v>
      </c>
      <c r="L922" s="58">
        <f t="shared" si="915"/>
        <v>0</v>
      </c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0" customHeight="1">
      <c r="A923" s="70"/>
      <c r="B923" s="71"/>
      <c r="C923" s="66"/>
      <c r="D923" s="66">
        <f t="shared" si="412"/>
        <v>0</v>
      </c>
      <c r="E923" s="67"/>
      <c r="F923" s="58">
        <f t="shared" ref="F923:L923" si="916">SUMIFS($C923,$B923,F$7)+F922</f>
        <v>168</v>
      </c>
      <c r="G923" s="58">
        <f t="shared" si="916"/>
        <v>3</v>
      </c>
      <c r="H923" s="58">
        <f t="shared" si="916"/>
        <v>14</v>
      </c>
      <c r="I923" s="58">
        <f t="shared" si="916"/>
        <v>187</v>
      </c>
      <c r="J923" s="58">
        <f t="shared" si="916"/>
        <v>0</v>
      </c>
      <c r="K923" s="58">
        <f t="shared" si="916"/>
        <v>0</v>
      </c>
      <c r="L923" s="58">
        <f t="shared" si="916"/>
        <v>0</v>
      </c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0" customHeight="1">
      <c r="A924" s="70"/>
      <c r="B924" s="71"/>
      <c r="C924" s="66"/>
      <c r="D924" s="66">
        <f t="shared" si="412"/>
        <v>0</v>
      </c>
      <c r="E924" s="67"/>
      <c r="F924" s="58">
        <f t="shared" ref="F924:L924" si="917">SUMIFS($C924,$B924,F$7)+F923</f>
        <v>168</v>
      </c>
      <c r="G924" s="58">
        <f t="shared" si="917"/>
        <v>3</v>
      </c>
      <c r="H924" s="58">
        <f t="shared" si="917"/>
        <v>14</v>
      </c>
      <c r="I924" s="58">
        <f t="shared" si="917"/>
        <v>187</v>
      </c>
      <c r="J924" s="58">
        <f t="shared" si="917"/>
        <v>0</v>
      </c>
      <c r="K924" s="58">
        <f t="shared" si="917"/>
        <v>0</v>
      </c>
      <c r="L924" s="58">
        <f t="shared" si="917"/>
        <v>0</v>
      </c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0" customHeight="1">
      <c r="A925" s="70"/>
      <c r="B925" s="71"/>
      <c r="C925" s="66"/>
      <c r="D925" s="66">
        <f t="shared" si="412"/>
        <v>0</v>
      </c>
      <c r="E925" s="67"/>
      <c r="F925" s="58">
        <f t="shared" ref="F925:L925" si="918">SUMIFS($C925,$B925,F$7)+F924</f>
        <v>168</v>
      </c>
      <c r="G925" s="58">
        <f t="shared" si="918"/>
        <v>3</v>
      </c>
      <c r="H925" s="58">
        <f t="shared" si="918"/>
        <v>14</v>
      </c>
      <c r="I925" s="58">
        <f t="shared" si="918"/>
        <v>187</v>
      </c>
      <c r="J925" s="58">
        <f t="shared" si="918"/>
        <v>0</v>
      </c>
      <c r="K925" s="58">
        <f t="shared" si="918"/>
        <v>0</v>
      </c>
      <c r="L925" s="58">
        <f t="shared" si="918"/>
        <v>0</v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0" customHeight="1">
      <c r="A926" s="70"/>
      <c r="B926" s="71"/>
      <c r="C926" s="66"/>
      <c r="D926" s="66">
        <f t="shared" si="412"/>
        <v>0</v>
      </c>
      <c r="E926" s="67"/>
      <c r="F926" s="58">
        <f t="shared" ref="F926:L926" si="919">SUMIFS($C926,$B926,F$7)+F925</f>
        <v>168</v>
      </c>
      <c r="G926" s="58">
        <f t="shared" si="919"/>
        <v>3</v>
      </c>
      <c r="H926" s="58">
        <f t="shared" si="919"/>
        <v>14</v>
      </c>
      <c r="I926" s="58">
        <f t="shared" si="919"/>
        <v>187</v>
      </c>
      <c r="J926" s="58">
        <f t="shared" si="919"/>
        <v>0</v>
      </c>
      <c r="K926" s="58">
        <f t="shared" si="919"/>
        <v>0</v>
      </c>
      <c r="L926" s="58">
        <f t="shared" si="919"/>
        <v>0</v>
      </c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0" customHeight="1">
      <c r="A927" s="70"/>
      <c r="B927" s="71"/>
      <c r="C927" s="66"/>
      <c r="D927" s="66">
        <f t="shared" si="412"/>
        <v>0</v>
      </c>
      <c r="E927" s="67"/>
      <c r="F927" s="58">
        <f t="shared" ref="F927:L927" si="920">SUMIFS($C927,$B927,F$7)+F926</f>
        <v>168</v>
      </c>
      <c r="G927" s="58">
        <f t="shared" si="920"/>
        <v>3</v>
      </c>
      <c r="H927" s="58">
        <f t="shared" si="920"/>
        <v>14</v>
      </c>
      <c r="I927" s="58">
        <f t="shared" si="920"/>
        <v>187</v>
      </c>
      <c r="J927" s="58">
        <f t="shared" si="920"/>
        <v>0</v>
      </c>
      <c r="K927" s="58">
        <f t="shared" si="920"/>
        <v>0</v>
      </c>
      <c r="L927" s="58">
        <f t="shared" si="920"/>
        <v>0</v>
      </c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0" customHeight="1">
      <c r="A928" s="70"/>
      <c r="B928" s="71"/>
      <c r="C928" s="66"/>
      <c r="D928" s="66">
        <f t="shared" si="412"/>
        <v>0</v>
      </c>
      <c r="E928" s="67"/>
      <c r="F928" s="58">
        <f t="shared" ref="F928:L928" si="921">SUMIFS($C928,$B928,F$7)+F927</f>
        <v>168</v>
      </c>
      <c r="G928" s="58">
        <f t="shared" si="921"/>
        <v>3</v>
      </c>
      <c r="H928" s="58">
        <f t="shared" si="921"/>
        <v>14</v>
      </c>
      <c r="I928" s="58">
        <f t="shared" si="921"/>
        <v>187</v>
      </c>
      <c r="J928" s="58">
        <f t="shared" si="921"/>
        <v>0</v>
      </c>
      <c r="K928" s="58">
        <f t="shared" si="921"/>
        <v>0</v>
      </c>
      <c r="L928" s="58">
        <f t="shared" si="921"/>
        <v>0</v>
      </c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0" customHeight="1">
      <c r="A929" s="70"/>
      <c r="B929" s="71"/>
      <c r="C929" s="66"/>
      <c r="D929" s="66">
        <f t="shared" si="412"/>
        <v>0</v>
      </c>
      <c r="E929" s="67"/>
      <c r="F929" s="58">
        <f t="shared" ref="F929:L929" si="922">SUMIFS($C929,$B929,F$7)+F928</f>
        <v>168</v>
      </c>
      <c r="G929" s="58">
        <f t="shared" si="922"/>
        <v>3</v>
      </c>
      <c r="H929" s="58">
        <f t="shared" si="922"/>
        <v>14</v>
      </c>
      <c r="I929" s="58">
        <f t="shared" si="922"/>
        <v>187</v>
      </c>
      <c r="J929" s="58">
        <f t="shared" si="922"/>
        <v>0</v>
      </c>
      <c r="K929" s="58">
        <f t="shared" si="922"/>
        <v>0</v>
      </c>
      <c r="L929" s="58">
        <f t="shared" si="922"/>
        <v>0</v>
      </c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0" customHeight="1">
      <c r="A930" s="70"/>
      <c r="B930" s="71"/>
      <c r="C930" s="66"/>
      <c r="D930" s="66">
        <f t="shared" si="412"/>
        <v>0</v>
      </c>
      <c r="E930" s="67"/>
      <c r="F930" s="58">
        <f t="shared" ref="F930:L930" si="923">SUMIFS($C930,$B930,F$7)+F929</f>
        <v>168</v>
      </c>
      <c r="G930" s="58">
        <f t="shared" si="923"/>
        <v>3</v>
      </c>
      <c r="H930" s="58">
        <f t="shared" si="923"/>
        <v>14</v>
      </c>
      <c r="I930" s="58">
        <f t="shared" si="923"/>
        <v>187</v>
      </c>
      <c r="J930" s="58">
        <f t="shared" si="923"/>
        <v>0</v>
      </c>
      <c r="K930" s="58">
        <f t="shared" si="923"/>
        <v>0</v>
      </c>
      <c r="L930" s="58">
        <f t="shared" si="923"/>
        <v>0</v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0" customHeight="1">
      <c r="A931" s="70"/>
      <c r="B931" s="71"/>
      <c r="C931" s="66"/>
      <c r="D931" s="66">
        <f t="shared" si="412"/>
        <v>0</v>
      </c>
      <c r="E931" s="67"/>
      <c r="F931" s="58">
        <f t="shared" ref="F931:L931" si="924">SUMIFS($C931,$B931,F$7)+F930</f>
        <v>168</v>
      </c>
      <c r="G931" s="58">
        <f t="shared" si="924"/>
        <v>3</v>
      </c>
      <c r="H931" s="58">
        <f t="shared" si="924"/>
        <v>14</v>
      </c>
      <c r="I931" s="58">
        <f t="shared" si="924"/>
        <v>187</v>
      </c>
      <c r="J931" s="58">
        <f t="shared" si="924"/>
        <v>0</v>
      </c>
      <c r="K931" s="58">
        <f t="shared" si="924"/>
        <v>0</v>
      </c>
      <c r="L931" s="58">
        <f t="shared" si="924"/>
        <v>0</v>
      </c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0" customHeight="1">
      <c r="A932" s="70"/>
      <c r="B932" s="71"/>
      <c r="C932" s="66"/>
      <c r="D932" s="66">
        <f t="shared" si="412"/>
        <v>0</v>
      </c>
      <c r="E932" s="67"/>
      <c r="F932" s="58">
        <f t="shared" ref="F932:L932" si="925">SUMIFS($C932,$B932,F$7)+F931</f>
        <v>168</v>
      </c>
      <c r="G932" s="58">
        <f t="shared" si="925"/>
        <v>3</v>
      </c>
      <c r="H932" s="58">
        <f t="shared" si="925"/>
        <v>14</v>
      </c>
      <c r="I932" s="58">
        <f t="shared" si="925"/>
        <v>187</v>
      </c>
      <c r="J932" s="58">
        <f t="shared" si="925"/>
        <v>0</v>
      </c>
      <c r="K932" s="58">
        <f t="shared" si="925"/>
        <v>0</v>
      </c>
      <c r="L932" s="58">
        <f t="shared" si="925"/>
        <v>0</v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0" customHeight="1">
      <c r="A933" s="70"/>
      <c r="B933" s="71"/>
      <c r="C933" s="66"/>
      <c r="D933" s="66">
        <f t="shared" si="412"/>
        <v>0</v>
      </c>
      <c r="E933" s="67"/>
      <c r="F933" s="58">
        <f t="shared" ref="F933:L933" si="926">SUMIFS($C933,$B933,F$7)+F932</f>
        <v>168</v>
      </c>
      <c r="G933" s="58">
        <f t="shared" si="926"/>
        <v>3</v>
      </c>
      <c r="H933" s="58">
        <f t="shared" si="926"/>
        <v>14</v>
      </c>
      <c r="I933" s="58">
        <f t="shared" si="926"/>
        <v>187</v>
      </c>
      <c r="J933" s="58">
        <f t="shared" si="926"/>
        <v>0</v>
      </c>
      <c r="K933" s="58">
        <f t="shared" si="926"/>
        <v>0</v>
      </c>
      <c r="L933" s="58">
        <f t="shared" si="926"/>
        <v>0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0" customHeight="1">
      <c r="A934" s="70"/>
      <c r="B934" s="71"/>
      <c r="C934" s="66"/>
      <c r="D934" s="66">
        <f t="shared" si="412"/>
        <v>0</v>
      </c>
      <c r="E934" s="67"/>
      <c r="F934" s="58">
        <f t="shared" ref="F934:L934" si="927">SUMIFS($C934,$B934,F$7)+F933</f>
        <v>168</v>
      </c>
      <c r="G934" s="58">
        <f t="shared" si="927"/>
        <v>3</v>
      </c>
      <c r="H934" s="58">
        <f t="shared" si="927"/>
        <v>14</v>
      </c>
      <c r="I934" s="58">
        <f t="shared" si="927"/>
        <v>187</v>
      </c>
      <c r="J934" s="58">
        <f t="shared" si="927"/>
        <v>0</v>
      </c>
      <c r="K934" s="58">
        <f t="shared" si="927"/>
        <v>0</v>
      </c>
      <c r="L934" s="58">
        <f t="shared" si="927"/>
        <v>0</v>
      </c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0" customHeight="1">
      <c r="A935" s="70"/>
      <c r="B935" s="71"/>
      <c r="C935" s="66"/>
      <c r="D935" s="66">
        <f t="shared" si="412"/>
        <v>0</v>
      </c>
      <c r="E935" s="67"/>
      <c r="F935" s="58">
        <f t="shared" ref="F935:L935" si="928">SUMIFS($C935,$B935,F$7)+F934</f>
        <v>168</v>
      </c>
      <c r="G935" s="58">
        <f t="shared" si="928"/>
        <v>3</v>
      </c>
      <c r="H935" s="58">
        <f t="shared" si="928"/>
        <v>14</v>
      </c>
      <c r="I935" s="58">
        <f t="shared" si="928"/>
        <v>187</v>
      </c>
      <c r="J935" s="58">
        <f t="shared" si="928"/>
        <v>0</v>
      </c>
      <c r="K935" s="58">
        <f t="shared" si="928"/>
        <v>0</v>
      </c>
      <c r="L935" s="58">
        <f t="shared" si="928"/>
        <v>0</v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0" customHeight="1">
      <c r="A936" s="70"/>
      <c r="B936" s="71"/>
      <c r="C936" s="66"/>
      <c r="D936" s="66">
        <f t="shared" si="412"/>
        <v>0</v>
      </c>
      <c r="E936" s="67"/>
      <c r="F936" s="58">
        <f t="shared" ref="F936:L936" si="929">SUMIFS($C936,$B936,F$7)+F935</f>
        <v>168</v>
      </c>
      <c r="G936" s="58">
        <f t="shared" si="929"/>
        <v>3</v>
      </c>
      <c r="H936" s="58">
        <f t="shared" si="929"/>
        <v>14</v>
      </c>
      <c r="I936" s="58">
        <f t="shared" si="929"/>
        <v>187</v>
      </c>
      <c r="J936" s="58">
        <f t="shared" si="929"/>
        <v>0</v>
      </c>
      <c r="K936" s="58">
        <f t="shared" si="929"/>
        <v>0</v>
      </c>
      <c r="L936" s="58">
        <f t="shared" si="929"/>
        <v>0</v>
      </c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0" customHeight="1">
      <c r="A937" s="70"/>
      <c r="B937" s="71"/>
      <c r="C937" s="66"/>
      <c r="D937" s="66">
        <f t="shared" si="412"/>
        <v>0</v>
      </c>
      <c r="E937" s="67"/>
      <c r="F937" s="58">
        <f t="shared" ref="F937:L937" si="930">SUMIFS($C937,$B937,F$7)+F936</f>
        <v>168</v>
      </c>
      <c r="G937" s="58">
        <f t="shared" si="930"/>
        <v>3</v>
      </c>
      <c r="H937" s="58">
        <f t="shared" si="930"/>
        <v>14</v>
      </c>
      <c r="I937" s="58">
        <f t="shared" si="930"/>
        <v>187</v>
      </c>
      <c r="J937" s="58">
        <f t="shared" si="930"/>
        <v>0</v>
      </c>
      <c r="K937" s="58">
        <f t="shared" si="930"/>
        <v>0</v>
      </c>
      <c r="L937" s="58">
        <f t="shared" si="930"/>
        <v>0</v>
      </c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0" customHeight="1">
      <c r="A938" s="70"/>
      <c r="B938" s="71"/>
      <c r="C938" s="66"/>
      <c r="D938" s="66">
        <f t="shared" si="412"/>
        <v>0</v>
      </c>
      <c r="E938" s="67"/>
      <c r="F938" s="58">
        <f t="shared" ref="F938:L938" si="931">SUMIFS($C938,$B938,F$7)+F937</f>
        <v>168</v>
      </c>
      <c r="G938" s="58">
        <f t="shared" si="931"/>
        <v>3</v>
      </c>
      <c r="H938" s="58">
        <f t="shared" si="931"/>
        <v>14</v>
      </c>
      <c r="I938" s="58">
        <f t="shared" si="931"/>
        <v>187</v>
      </c>
      <c r="J938" s="58">
        <f t="shared" si="931"/>
        <v>0</v>
      </c>
      <c r="K938" s="58">
        <f t="shared" si="931"/>
        <v>0</v>
      </c>
      <c r="L938" s="58">
        <f t="shared" si="931"/>
        <v>0</v>
      </c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0" customHeight="1">
      <c r="A939" s="70"/>
      <c r="B939" s="71"/>
      <c r="C939" s="66"/>
      <c r="D939" s="66">
        <f t="shared" si="412"/>
        <v>0</v>
      </c>
      <c r="E939" s="67"/>
      <c r="F939" s="58">
        <f t="shared" ref="F939:L939" si="932">SUMIFS($C939,$B939,F$7)+F938</f>
        <v>168</v>
      </c>
      <c r="G939" s="58">
        <f t="shared" si="932"/>
        <v>3</v>
      </c>
      <c r="H939" s="58">
        <f t="shared" si="932"/>
        <v>14</v>
      </c>
      <c r="I939" s="58">
        <f t="shared" si="932"/>
        <v>187</v>
      </c>
      <c r="J939" s="58">
        <f t="shared" si="932"/>
        <v>0</v>
      </c>
      <c r="K939" s="58">
        <f t="shared" si="932"/>
        <v>0</v>
      </c>
      <c r="L939" s="58">
        <f t="shared" si="932"/>
        <v>0</v>
      </c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0" customHeight="1">
      <c r="A940" s="70"/>
      <c r="B940" s="71"/>
      <c r="C940" s="66"/>
      <c r="D940" s="66">
        <f t="shared" si="412"/>
        <v>0</v>
      </c>
      <c r="E940" s="67"/>
      <c r="F940" s="58">
        <f t="shared" ref="F940:L940" si="933">SUMIFS($C940,$B940,F$7)+F939</f>
        <v>168</v>
      </c>
      <c r="G940" s="58">
        <f t="shared" si="933"/>
        <v>3</v>
      </c>
      <c r="H940" s="58">
        <f t="shared" si="933"/>
        <v>14</v>
      </c>
      <c r="I940" s="58">
        <f t="shared" si="933"/>
        <v>187</v>
      </c>
      <c r="J940" s="58">
        <f t="shared" si="933"/>
        <v>0</v>
      </c>
      <c r="K940" s="58">
        <f t="shared" si="933"/>
        <v>0</v>
      </c>
      <c r="L940" s="58">
        <f t="shared" si="933"/>
        <v>0</v>
      </c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0" customHeight="1">
      <c r="A941" s="70"/>
      <c r="B941" s="71"/>
      <c r="C941" s="66"/>
      <c r="D941" s="66">
        <f t="shared" si="412"/>
        <v>0</v>
      </c>
      <c r="E941" s="67"/>
      <c r="F941" s="58">
        <f t="shared" ref="F941:L941" si="934">SUMIFS($C941,$B941,F$7)+F940</f>
        <v>168</v>
      </c>
      <c r="G941" s="58">
        <f t="shared" si="934"/>
        <v>3</v>
      </c>
      <c r="H941" s="58">
        <f t="shared" si="934"/>
        <v>14</v>
      </c>
      <c r="I941" s="58">
        <f t="shared" si="934"/>
        <v>187</v>
      </c>
      <c r="J941" s="58">
        <f t="shared" si="934"/>
        <v>0</v>
      </c>
      <c r="K941" s="58">
        <f t="shared" si="934"/>
        <v>0</v>
      </c>
      <c r="L941" s="58">
        <f t="shared" si="934"/>
        <v>0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0" customHeight="1">
      <c r="A942" s="70"/>
      <c r="B942" s="71"/>
      <c r="C942" s="66"/>
      <c r="D942" s="66">
        <f t="shared" si="412"/>
        <v>0</v>
      </c>
      <c r="E942" s="67"/>
      <c r="F942" s="58">
        <f t="shared" ref="F942:L942" si="935">SUMIFS($C942,$B942,F$7)+F941</f>
        <v>168</v>
      </c>
      <c r="G942" s="58">
        <f t="shared" si="935"/>
        <v>3</v>
      </c>
      <c r="H942" s="58">
        <f t="shared" si="935"/>
        <v>14</v>
      </c>
      <c r="I942" s="58">
        <f t="shared" si="935"/>
        <v>187</v>
      </c>
      <c r="J942" s="58">
        <f t="shared" si="935"/>
        <v>0</v>
      </c>
      <c r="K942" s="58">
        <f t="shared" si="935"/>
        <v>0</v>
      </c>
      <c r="L942" s="58">
        <f t="shared" si="935"/>
        <v>0</v>
      </c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0" customHeight="1">
      <c r="A943" s="70"/>
      <c r="B943" s="71"/>
      <c r="C943" s="66"/>
      <c r="D943" s="66">
        <f t="shared" si="412"/>
        <v>0</v>
      </c>
      <c r="E943" s="67"/>
      <c r="F943" s="58">
        <f t="shared" ref="F943:L943" si="936">SUMIFS($C943,$B943,F$7)+F942</f>
        <v>168</v>
      </c>
      <c r="G943" s="58">
        <f t="shared" si="936"/>
        <v>3</v>
      </c>
      <c r="H943" s="58">
        <f t="shared" si="936"/>
        <v>14</v>
      </c>
      <c r="I943" s="58">
        <f t="shared" si="936"/>
        <v>187</v>
      </c>
      <c r="J943" s="58">
        <f t="shared" si="936"/>
        <v>0</v>
      </c>
      <c r="K943" s="58">
        <f t="shared" si="936"/>
        <v>0</v>
      </c>
      <c r="L943" s="58">
        <f t="shared" si="936"/>
        <v>0</v>
      </c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0" customHeight="1">
      <c r="A944" s="70"/>
      <c r="B944" s="71"/>
      <c r="C944" s="66"/>
      <c r="D944" s="66">
        <f t="shared" si="412"/>
        <v>0</v>
      </c>
      <c r="E944" s="67"/>
      <c r="F944" s="58">
        <f t="shared" ref="F944:L944" si="937">SUMIFS($C944,$B944,F$7)+F943</f>
        <v>168</v>
      </c>
      <c r="G944" s="58">
        <f t="shared" si="937"/>
        <v>3</v>
      </c>
      <c r="H944" s="58">
        <f t="shared" si="937"/>
        <v>14</v>
      </c>
      <c r="I944" s="58">
        <f t="shared" si="937"/>
        <v>187</v>
      </c>
      <c r="J944" s="58">
        <f t="shared" si="937"/>
        <v>0</v>
      </c>
      <c r="K944" s="58">
        <f t="shared" si="937"/>
        <v>0</v>
      </c>
      <c r="L944" s="58">
        <f t="shared" si="937"/>
        <v>0</v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0" customHeight="1">
      <c r="A945" s="70"/>
      <c r="B945" s="71"/>
      <c r="C945" s="66"/>
      <c r="D945" s="66">
        <f t="shared" si="412"/>
        <v>0</v>
      </c>
      <c r="E945" s="67"/>
      <c r="F945" s="58">
        <f t="shared" ref="F945:L945" si="938">SUMIFS($C945,$B945,F$7)+F944</f>
        <v>168</v>
      </c>
      <c r="G945" s="58">
        <f t="shared" si="938"/>
        <v>3</v>
      </c>
      <c r="H945" s="58">
        <f t="shared" si="938"/>
        <v>14</v>
      </c>
      <c r="I945" s="58">
        <f t="shared" si="938"/>
        <v>187</v>
      </c>
      <c r="J945" s="58">
        <f t="shared" si="938"/>
        <v>0</v>
      </c>
      <c r="K945" s="58">
        <f t="shared" si="938"/>
        <v>0</v>
      </c>
      <c r="L945" s="58">
        <f t="shared" si="938"/>
        <v>0</v>
      </c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0" customHeight="1">
      <c r="A946" s="70"/>
      <c r="B946" s="71"/>
      <c r="C946" s="66"/>
      <c r="D946" s="66">
        <f t="shared" si="412"/>
        <v>0</v>
      </c>
      <c r="E946" s="67"/>
      <c r="F946" s="58">
        <f t="shared" ref="F946:L946" si="939">SUMIFS($C946,$B946,F$7)+F945</f>
        <v>168</v>
      </c>
      <c r="G946" s="58">
        <f t="shared" si="939"/>
        <v>3</v>
      </c>
      <c r="H946" s="58">
        <f t="shared" si="939"/>
        <v>14</v>
      </c>
      <c r="I946" s="58">
        <f t="shared" si="939"/>
        <v>187</v>
      </c>
      <c r="J946" s="58">
        <f t="shared" si="939"/>
        <v>0</v>
      </c>
      <c r="K946" s="58">
        <f t="shared" si="939"/>
        <v>0</v>
      </c>
      <c r="L946" s="58">
        <f t="shared" si="939"/>
        <v>0</v>
      </c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0" customHeight="1">
      <c r="A947" s="70"/>
      <c r="B947" s="71"/>
      <c r="C947" s="66"/>
      <c r="D947" s="66">
        <f t="shared" si="412"/>
        <v>0</v>
      </c>
      <c r="E947" s="67"/>
      <c r="F947" s="58">
        <f t="shared" ref="F947:L947" si="940">SUMIFS($C947,$B947,F$7)+F946</f>
        <v>168</v>
      </c>
      <c r="G947" s="58">
        <f t="shared" si="940"/>
        <v>3</v>
      </c>
      <c r="H947" s="58">
        <f t="shared" si="940"/>
        <v>14</v>
      </c>
      <c r="I947" s="58">
        <f t="shared" si="940"/>
        <v>187</v>
      </c>
      <c r="J947" s="58">
        <f t="shared" si="940"/>
        <v>0</v>
      </c>
      <c r="K947" s="58">
        <f t="shared" si="940"/>
        <v>0</v>
      </c>
      <c r="L947" s="58">
        <f t="shared" si="940"/>
        <v>0</v>
      </c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0" customHeight="1">
      <c r="A948" s="70"/>
      <c r="B948" s="71"/>
      <c r="C948" s="66"/>
      <c r="D948" s="66">
        <f t="shared" si="412"/>
        <v>0</v>
      </c>
      <c r="E948" s="67"/>
      <c r="F948" s="58">
        <f t="shared" ref="F948:L948" si="941">SUMIFS($C948,$B948,F$7)+F947</f>
        <v>168</v>
      </c>
      <c r="G948" s="58">
        <f t="shared" si="941"/>
        <v>3</v>
      </c>
      <c r="H948" s="58">
        <f t="shared" si="941"/>
        <v>14</v>
      </c>
      <c r="I948" s="58">
        <f t="shared" si="941"/>
        <v>187</v>
      </c>
      <c r="J948" s="58">
        <f t="shared" si="941"/>
        <v>0</v>
      </c>
      <c r="K948" s="58">
        <f t="shared" si="941"/>
        <v>0</v>
      </c>
      <c r="L948" s="58">
        <f t="shared" si="941"/>
        <v>0</v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0" customHeight="1">
      <c r="A949" s="70"/>
      <c r="B949" s="71"/>
      <c r="C949" s="66"/>
      <c r="D949" s="66">
        <f t="shared" si="412"/>
        <v>0</v>
      </c>
      <c r="E949" s="67"/>
      <c r="F949" s="58">
        <f t="shared" ref="F949:L949" si="942">SUMIFS($C949,$B949,F$7)+F948</f>
        <v>168</v>
      </c>
      <c r="G949" s="58">
        <f t="shared" si="942"/>
        <v>3</v>
      </c>
      <c r="H949" s="58">
        <f t="shared" si="942"/>
        <v>14</v>
      </c>
      <c r="I949" s="58">
        <f t="shared" si="942"/>
        <v>187</v>
      </c>
      <c r="J949" s="58">
        <f t="shared" si="942"/>
        <v>0</v>
      </c>
      <c r="K949" s="58">
        <f t="shared" si="942"/>
        <v>0</v>
      </c>
      <c r="L949" s="58">
        <f t="shared" si="942"/>
        <v>0</v>
      </c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0" customHeight="1">
      <c r="A950" s="70"/>
      <c r="B950" s="71"/>
      <c r="C950" s="66"/>
      <c r="D950" s="66">
        <f t="shared" si="412"/>
        <v>0</v>
      </c>
      <c r="E950" s="67"/>
      <c r="F950" s="58">
        <f t="shared" ref="F950:L950" si="943">SUMIFS($C950,$B950,F$7)+F949</f>
        <v>168</v>
      </c>
      <c r="G950" s="58">
        <f t="shared" si="943"/>
        <v>3</v>
      </c>
      <c r="H950" s="58">
        <f t="shared" si="943"/>
        <v>14</v>
      </c>
      <c r="I950" s="58">
        <f t="shared" si="943"/>
        <v>187</v>
      </c>
      <c r="J950" s="58">
        <f t="shared" si="943"/>
        <v>0</v>
      </c>
      <c r="K950" s="58">
        <f t="shared" si="943"/>
        <v>0</v>
      </c>
      <c r="L950" s="58">
        <f t="shared" si="943"/>
        <v>0</v>
      </c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0" customHeight="1">
      <c r="A951" s="70"/>
      <c r="B951" s="71"/>
      <c r="C951" s="66"/>
      <c r="D951" s="66">
        <f t="shared" si="412"/>
        <v>0</v>
      </c>
      <c r="E951" s="67"/>
      <c r="F951" s="58">
        <f t="shared" ref="F951:L951" si="944">SUMIFS($C951,$B951,F$7)+F950</f>
        <v>168</v>
      </c>
      <c r="G951" s="58">
        <f t="shared" si="944"/>
        <v>3</v>
      </c>
      <c r="H951" s="58">
        <f t="shared" si="944"/>
        <v>14</v>
      </c>
      <c r="I951" s="58">
        <f t="shared" si="944"/>
        <v>187</v>
      </c>
      <c r="J951" s="58">
        <f t="shared" si="944"/>
        <v>0</v>
      </c>
      <c r="K951" s="58">
        <f t="shared" si="944"/>
        <v>0</v>
      </c>
      <c r="L951" s="58">
        <f t="shared" si="944"/>
        <v>0</v>
      </c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0" customHeight="1">
      <c r="A952" s="70"/>
      <c r="B952" s="71"/>
      <c r="C952" s="66"/>
      <c r="D952" s="66">
        <f t="shared" si="412"/>
        <v>0</v>
      </c>
      <c r="E952" s="67"/>
      <c r="F952" s="58">
        <f t="shared" ref="F952:L952" si="945">SUMIFS($C952,$B952,F$7)+F951</f>
        <v>168</v>
      </c>
      <c r="G952" s="58">
        <f t="shared" si="945"/>
        <v>3</v>
      </c>
      <c r="H952" s="58">
        <f t="shared" si="945"/>
        <v>14</v>
      </c>
      <c r="I952" s="58">
        <f t="shared" si="945"/>
        <v>187</v>
      </c>
      <c r="J952" s="58">
        <f t="shared" si="945"/>
        <v>0</v>
      </c>
      <c r="K952" s="58">
        <f t="shared" si="945"/>
        <v>0</v>
      </c>
      <c r="L952" s="58">
        <f t="shared" si="945"/>
        <v>0</v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0" customHeight="1">
      <c r="A953" s="70"/>
      <c r="B953" s="71"/>
      <c r="C953" s="66"/>
      <c r="D953" s="66">
        <f t="shared" si="412"/>
        <v>0</v>
      </c>
      <c r="E953" s="67"/>
      <c r="F953" s="58">
        <f t="shared" ref="F953:L953" si="946">SUMIFS($C953,$B953,F$7)+F952</f>
        <v>168</v>
      </c>
      <c r="G953" s="58">
        <f t="shared" si="946"/>
        <v>3</v>
      </c>
      <c r="H953" s="58">
        <f t="shared" si="946"/>
        <v>14</v>
      </c>
      <c r="I953" s="58">
        <f t="shared" si="946"/>
        <v>187</v>
      </c>
      <c r="J953" s="58">
        <f t="shared" si="946"/>
        <v>0</v>
      </c>
      <c r="K953" s="58">
        <f t="shared" si="946"/>
        <v>0</v>
      </c>
      <c r="L953" s="58">
        <f t="shared" si="946"/>
        <v>0</v>
      </c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0" customHeight="1">
      <c r="A954" s="70"/>
      <c r="B954" s="71"/>
      <c r="C954" s="66"/>
      <c r="D954" s="66">
        <f t="shared" si="412"/>
        <v>0</v>
      </c>
      <c r="E954" s="67"/>
      <c r="F954" s="58">
        <f t="shared" ref="F954:L954" si="947">SUMIFS($C954,$B954,F$7)+F953</f>
        <v>168</v>
      </c>
      <c r="G954" s="58">
        <f t="shared" si="947"/>
        <v>3</v>
      </c>
      <c r="H954" s="58">
        <f t="shared" si="947"/>
        <v>14</v>
      </c>
      <c r="I954" s="58">
        <f t="shared" si="947"/>
        <v>187</v>
      </c>
      <c r="J954" s="58">
        <f t="shared" si="947"/>
        <v>0</v>
      </c>
      <c r="K954" s="58">
        <f t="shared" si="947"/>
        <v>0</v>
      </c>
      <c r="L954" s="58">
        <f t="shared" si="947"/>
        <v>0</v>
      </c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0" customHeight="1">
      <c r="A955" s="70"/>
      <c r="B955" s="71"/>
      <c r="C955" s="66"/>
      <c r="D955" s="66">
        <f t="shared" si="412"/>
        <v>0</v>
      </c>
      <c r="E955" s="67"/>
      <c r="F955" s="58">
        <f t="shared" ref="F955:L955" si="948">SUMIFS($C955,$B955,F$7)+F954</f>
        <v>168</v>
      </c>
      <c r="G955" s="58">
        <f t="shared" si="948"/>
        <v>3</v>
      </c>
      <c r="H955" s="58">
        <f t="shared" si="948"/>
        <v>14</v>
      </c>
      <c r="I955" s="58">
        <f t="shared" si="948"/>
        <v>187</v>
      </c>
      <c r="J955" s="58">
        <f t="shared" si="948"/>
        <v>0</v>
      </c>
      <c r="K955" s="58">
        <f t="shared" si="948"/>
        <v>0</v>
      </c>
      <c r="L955" s="58">
        <f t="shared" si="948"/>
        <v>0</v>
      </c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0" customHeight="1">
      <c r="A956" s="70"/>
      <c r="B956" s="71"/>
      <c r="C956" s="66"/>
      <c r="D956" s="66">
        <f t="shared" si="412"/>
        <v>0</v>
      </c>
      <c r="E956" s="67"/>
      <c r="F956" s="58">
        <f t="shared" ref="F956:L956" si="949">SUMIFS($C956,$B956,F$7)+F955</f>
        <v>168</v>
      </c>
      <c r="G956" s="58">
        <f t="shared" si="949"/>
        <v>3</v>
      </c>
      <c r="H956" s="58">
        <f t="shared" si="949"/>
        <v>14</v>
      </c>
      <c r="I956" s="58">
        <f t="shared" si="949"/>
        <v>187</v>
      </c>
      <c r="J956" s="58">
        <f t="shared" si="949"/>
        <v>0</v>
      </c>
      <c r="K956" s="58">
        <f t="shared" si="949"/>
        <v>0</v>
      </c>
      <c r="L956" s="58">
        <f t="shared" si="949"/>
        <v>0</v>
      </c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0" customHeight="1">
      <c r="A957" s="70"/>
      <c r="B957" s="71"/>
      <c r="C957" s="66"/>
      <c r="D957" s="66">
        <f t="shared" si="412"/>
        <v>0</v>
      </c>
      <c r="E957" s="67"/>
      <c r="F957" s="58">
        <f t="shared" ref="F957:L957" si="950">SUMIFS($C957,$B957,F$7)+F956</f>
        <v>168</v>
      </c>
      <c r="G957" s="58">
        <f t="shared" si="950"/>
        <v>3</v>
      </c>
      <c r="H957" s="58">
        <f t="shared" si="950"/>
        <v>14</v>
      </c>
      <c r="I957" s="58">
        <f t="shared" si="950"/>
        <v>187</v>
      </c>
      <c r="J957" s="58">
        <f t="shared" si="950"/>
        <v>0</v>
      </c>
      <c r="K957" s="58">
        <f t="shared" si="950"/>
        <v>0</v>
      </c>
      <c r="L957" s="58">
        <f t="shared" si="950"/>
        <v>0</v>
      </c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0" customHeight="1">
      <c r="A958" s="70"/>
      <c r="B958" s="71"/>
      <c r="C958" s="66"/>
      <c r="D958" s="66">
        <f t="shared" si="412"/>
        <v>0</v>
      </c>
      <c r="E958" s="67"/>
      <c r="F958" s="58">
        <f t="shared" ref="F958:L958" si="951">SUMIFS($C958,$B958,F$7)+F957</f>
        <v>168</v>
      </c>
      <c r="G958" s="58">
        <f t="shared" si="951"/>
        <v>3</v>
      </c>
      <c r="H958" s="58">
        <f t="shared" si="951"/>
        <v>14</v>
      </c>
      <c r="I958" s="58">
        <f t="shared" si="951"/>
        <v>187</v>
      </c>
      <c r="J958" s="58">
        <f t="shared" si="951"/>
        <v>0</v>
      </c>
      <c r="K958" s="58">
        <f t="shared" si="951"/>
        <v>0</v>
      </c>
      <c r="L958" s="58">
        <f t="shared" si="951"/>
        <v>0</v>
      </c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0" customHeight="1">
      <c r="A959" s="70"/>
      <c r="B959" s="71"/>
      <c r="C959" s="66"/>
      <c r="D959" s="66">
        <f t="shared" si="412"/>
        <v>0</v>
      </c>
      <c r="E959" s="67"/>
      <c r="F959" s="58">
        <f t="shared" ref="F959:L959" si="952">SUMIFS($C959,$B959,F$7)+F958</f>
        <v>168</v>
      </c>
      <c r="G959" s="58">
        <f t="shared" si="952"/>
        <v>3</v>
      </c>
      <c r="H959" s="58">
        <f t="shared" si="952"/>
        <v>14</v>
      </c>
      <c r="I959" s="58">
        <f t="shared" si="952"/>
        <v>187</v>
      </c>
      <c r="J959" s="58">
        <f t="shared" si="952"/>
        <v>0</v>
      </c>
      <c r="K959" s="58">
        <f t="shared" si="952"/>
        <v>0</v>
      </c>
      <c r="L959" s="58">
        <f t="shared" si="952"/>
        <v>0</v>
      </c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0" customHeight="1">
      <c r="A960" s="70"/>
      <c r="B960" s="71"/>
      <c r="C960" s="66"/>
      <c r="D960" s="66">
        <f t="shared" si="412"/>
        <v>0</v>
      </c>
      <c r="E960" s="67"/>
      <c r="F960" s="58">
        <f t="shared" ref="F960:L960" si="953">SUMIFS($C960,$B960,F$7)+F959</f>
        <v>168</v>
      </c>
      <c r="G960" s="58">
        <f t="shared" si="953"/>
        <v>3</v>
      </c>
      <c r="H960" s="58">
        <f t="shared" si="953"/>
        <v>14</v>
      </c>
      <c r="I960" s="58">
        <f t="shared" si="953"/>
        <v>187</v>
      </c>
      <c r="J960" s="58">
        <f t="shared" si="953"/>
        <v>0</v>
      </c>
      <c r="K960" s="58">
        <f t="shared" si="953"/>
        <v>0</v>
      </c>
      <c r="L960" s="58">
        <f t="shared" si="953"/>
        <v>0</v>
      </c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0" customHeight="1">
      <c r="A961" s="70"/>
      <c r="B961" s="71"/>
      <c r="C961" s="66"/>
      <c r="D961" s="66">
        <f t="shared" si="412"/>
        <v>0</v>
      </c>
      <c r="E961" s="67"/>
      <c r="F961" s="58">
        <f t="shared" ref="F961:L961" si="954">SUMIFS($C961,$B961,F$7)+F960</f>
        <v>168</v>
      </c>
      <c r="G961" s="58">
        <f t="shared" si="954"/>
        <v>3</v>
      </c>
      <c r="H961" s="58">
        <f t="shared" si="954"/>
        <v>14</v>
      </c>
      <c r="I961" s="58">
        <f t="shared" si="954"/>
        <v>187</v>
      </c>
      <c r="J961" s="58">
        <f t="shared" si="954"/>
        <v>0</v>
      </c>
      <c r="K961" s="58">
        <f t="shared" si="954"/>
        <v>0</v>
      </c>
      <c r="L961" s="58">
        <f t="shared" si="954"/>
        <v>0</v>
      </c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0" customHeight="1">
      <c r="A962" s="70"/>
      <c r="B962" s="71"/>
      <c r="C962" s="66"/>
      <c r="D962" s="66">
        <f t="shared" si="412"/>
        <v>0</v>
      </c>
      <c r="E962" s="67"/>
      <c r="F962" s="58">
        <f t="shared" ref="F962:L962" si="955">SUMIFS($C962,$B962,F$7)+F961</f>
        <v>168</v>
      </c>
      <c r="G962" s="58">
        <f t="shared" si="955"/>
        <v>3</v>
      </c>
      <c r="H962" s="58">
        <f t="shared" si="955"/>
        <v>14</v>
      </c>
      <c r="I962" s="58">
        <f t="shared" si="955"/>
        <v>187</v>
      </c>
      <c r="J962" s="58">
        <f t="shared" si="955"/>
        <v>0</v>
      </c>
      <c r="K962" s="58">
        <f t="shared" si="955"/>
        <v>0</v>
      </c>
      <c r="L962" s="58">
        <f t="shared" si="955"/>
        <v>0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0" customHeight="1">
      <c r="A963" s="70"/>
      <c r="B963" s="71"/>
      <c r="C963" s="66"/>
      <c r="D963" s="66">
        <f t="shared" si="412"/>
        <v>0</v>
      </c>
      <c r="E963" s="67"/>
      <c r="F963" s="58">
        <f t="shared" ref="F963:L963" si="956">SUMIFS($C963,$B963,F$7)+F962</f>
        <v>168</v>
      </c>
      <c r="G963" s="58">
        <f t="shared" si="956"/>
        <v>3</v>
      </c>
      <c r="H963" s="58">
        <f t="shared" si="956"/>
        <v>14</v>
      </c>
      <c r="I963" s="58">
        <f t="shared" si="956"/>
        <v>187</v>
      </c>
      <c r="J963" s="58">
        <f t="shared" si="956"/>
        <v>0</v>
      </c>
      <c r="K963" s="58">
        <f t="shared" si="956"/>
        <v>0</v>
      </c>
      <c r="L963" s="58">
        <f t="shared" si="956"/>
        <v>0</v>
      </c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0" customHeight="1">
      <c r="A964" s="70"/>
      <c r="B964" s="71"/>
      <c r="C964" s="66"/>
      <c r="D964" s="66">
        <f t="shared" si="412"/>
        <v>0</v>
      </c>
      <c r="E964" s="67"/>
      <c r="F964" s="58">
        <f t="shared" ref="F964:L964" si="957">SUMIFS($C964,$B964,F$7)+F963</f>
        <v>168</v>
      </c>
      <c r="G964" s="58">
        <f t="shared" si="957"/>
        <v>3</v>
      </c>
      <c r="H964" s="58">
        <f t="shared" si="957"/>
        <v>14</v>
      </c>
      <c r="I964" s="58">
        <f t="shared" si="957"/>
        <v>187</v>
      </c>
      <c r="J964" s="58">
        <f t="shared" si="957"/>
        <v>0</v>
      </c>
      <c r="K964" s="58">
        <f t="shared" si="957"/>
        <v>0</v>
      </c>
      <c r="L964" s="58">
        <f t="shared" si="957"/>
        <v>0</v>
      </c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0" customHeight="1">
      <c r="A965" s="70"/>
      <c r="B965" s="71"/>
      <c r="C965" s="66"/>
      <c r="D965" s="66">
        <f t="shared" si="412"/>
        <v>0</v>
      </c>
      <c r="E965" s="67"/>
      <c r="F965" s="58">
        <f t="shared" ref="F965:L965" si="958">SUMIFS($C965,$B965,F$7)+F964</f>
        <v>168</v>
      </c>
      <c r="G965" s="58">
        <f t="shared" si="958"/>
        <v>3</v>
      </c>
      <c r="H965" s="58">
        <f t="shared" si="958"/>
        <v>14</v>
      </c>
      <c r="I965" s="58">
        <f t="shared" si="958"/>
        <v>187</v>
      </c>
      <c r="J965" s="58">
        <f t="shared" si="958"/>
        <v>0</v>
      </c>
      <c r="K965" s="58">
        <f t="shared" si="958"/>
        <v>0</v>
      </c>
      <c r="L965" s="58">
        <f t="shared" si="958"/>
        <v>0</v>
      </c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0" customHeight="1">
      <c r="A966" s="70"/>
      <c r="B966" s="71"/>
      <c r="C966" s="66"/>
      <c r="D966" s="66">
        <f t="shared" si="412"/>
        <v>0</v>
      </c>
      <c r="E966" s="67"/>
      <c r="F966" s="58">
        <f t="shared" ref="F966:L966" si="959">SUMIFS($C966,$B966,F$7)+F965</f>
        <v>168</v>
      </c>
      <c r="G966" s="58">
        <f t="shared" si="959"/>
        <v>3</v>
      </c>
      <c r="H966" s="58">
        <f t="shared" si="959"/>
        <v>14</v>
      </c>
      <c r="I966" s="58">
        <f t="shared" si="959"/>
        <v>187</v>
      </c>
      <c r="J966" s="58">
        <f t="shared" si="959"/>
        <v>0</v>
      </c>
      <c r="K966" s="58">
        <f t="shared" si="959"/>
        <v>0</v>
      </c>
      <c r="L966" s="58">
        <f t="shared" si="959"/>
        <v>0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0" customHeight="1">
      <c r="A967" s="70"/>
      <c r="B967" s="71"/>
      <c r="C967" s="66"/>
      <c r="D967" s="66">
        <f t="shared" si="412"/>
        <v>0</v>
      </c>
      <c r="E967" s="67"/>
      <c r="F967" s="58">
        <f t="shared" ref="F967:L967" si="960">SUMIFS($C967,$B967,F$7)+F966</f>
        <v>168</v>
      </c>
      <c r="G967" s="58">
        <f t="shared" si="960"/>
        <v>3</v>
      </c>
      <c r="H967" s="58">
        <f t="shared" si="960"/>
        <v>14</v>
      </c>
      <c r="I967" s="58">
        <f t="shared" si="960"/>
        <v>187</v>
      </c>
      <c r="J967" s="58">
        <f t="shared" si="960"/>
        <v>0</v>
      </c>
      <c r="K967" s="58">
        <f t="shared" si="960"/>
        <v>0</v>
      </c>
      <c r="L967" s="58">
        <f t="shared" si="960"/>
        <v>0</v>
      </c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0" customHeight="1">
      <c r="A968" s="70"/>
      <c r="B968" s="71"/>
      <c r="C968" s="66"/>
      <c r="D968" s="66">
        <f t="shared" si="412"/>
        <v>0</v>
      </c>
      <c r="E968" s="67"/>
      <c r="F968" s="58">
        <f t="shared" ref="F968:L968" si="961">SUMIFS($C968,$B968,F$7)+F967</f>
        <v>168</v>
      </c>
      <c r="G968" s="58">
        <f t="shared" si="961"/>
        <v>3</v>
      </c>
      <c r="H968" s="58">
        <f t="shared" si="961"/>
        <v>14</v>
      </c>
      <c r="I968" s="58">
        <f t="shared" si="961"/>
        <v>187</v>
      </c>
      <c r="J968" s="58">
        <f t="shared" si="961"/>
        <v>0</v>
      </c>
      <c r="K968" s="58">
        <f t="shared" si="961"/>
        <v>0</v>
      </c>
      <c r="L968" s="58">
        <f t="shared" si="961"/>
        <v>0</v>
      </c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0" customHeight="1">
      <c r="A969" s="70"/>
      <c r="B969" s="71"/>
      <c r="C969" s="66"/>
      <c r="D969" s="66">
        <f t="shared" si="412"/>
        <v>0</v>
      </c>
      <c r="E969" s="67"/>
      <c r="F969" s="58">
        <f t="shared" ref="F969:L969" si="962">SUMIFS($C969,$B969,F$7)+F968</f>
        <v>168</v>
      </c>
      <c r="G969" s="58">
        <f t="shared" si="962"/>
        <v>3</v>
      </c>
      <c r="H969" s="58">
        <f t="shared" si="962"/>
        <v>14</v>
      </c>
      <c r="I969" s="58">
        <f t="shared" si="962"/>
        <v>187</v>
      </c>
      <c r="J969" s="58">
        <f t="shared" si="962"/>
        <v>0</v>
      </c>
      <c r="K969" s="58">
        <f t="shared" si="962"/>
        <v>0</v>
      </c>
      <c r="L969" s="58">
        <f t="shared" si="962"/>
        <v>0</v>
      </c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0" customHeight="1">
      <c r="A970" s="70"/>
      <c r="B970" s="71"/>
      <c r="C970" s="66"/>
      <c r="D970" s="66">
        <f t="shared" si="412"/>
        <v>0</v>
      </c>
      <c r="E970" s="67"/>
      <c r="F970" s="58">
        <f t="shared" ref="F970:L970" si="963">SUMIFS($C970,$B970,F$7)+F969</f>
        <v>168</v>
      </c>
      <c r="G970" s="58">
        <f t="shared" si="963"/>
        <v>3</v>
      </c>
      <c r="H970" s="58">
        <f t="shared" si="963"/>
        <v>14</v>
      </c>
      <c r="I970" s="58">
        <f t="shared" si="963"/>
        <v>187</v>
      </c>
      <c r="J970" s="58">
        <f t="shared" si="963"/>
        <v>0</v>
      </c>
      <c r="K970" s="58">
        <f t="shared" si="963"/>
        <v>0</v>
      </c>
      <c r="L970" s="58">
        <f t="shared" si="963"/>
        <v>0</v>
      </c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0" customHeight="1">
      <c r="A971" s="70"/>
      <c r="B971" s="71"/>
      <c r="C971" s="66"/>
      <c r="D971" s="66">
        <f t="shared" si="412"/>
        <v>0</v>
      </c>
      <c r="E971" s="67"/>
      <c r="F971" s="58">
        <f t="shared" ref="F971:L971" si="964">SUMIFS($C971,$B971,F$7)+F970</f>
        <v>168</v>
      </c>
      <c r="G971" s="58">
        <f t="shared" si="964"/>
        <v>3</v>
      </c>
      <c r="H971" s="58">
        <f t="shared" si="964"/>
        <v>14</v>
      </c>
      <c r="I971" s="58">
        <f t="shared" si="964"/>
        <v>187</v>
      </c>
      <c r="J971" s="58">
        <f t="shared" si="964"/>
        <v>0</v>
      </c>
      <c r="K971" s="58">
        <f t="shared" si="964"/>
        <v>0</v>
      </c>
      <c r="L971" s="58">
        <f t="shared" si="964"/>
        <v>0</v>
      </c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0" customHeight="1">
      <c r="A972" s="70"/>
      <c r="B972" s="71"/>
      <c r="C972" s="66"/>
      <c r="D972" s="66">
        <f t="shared" si="412"/>
        <v>0</v>
      </c>
      <c r="E972" s="67"/>
      <c r="F972" s="58">
        <f t="shared" ref="F972:L972" si="965">SUMIFS($C972,$B972,F$7)+F971</f>
        <v>168</v>
      </c>
      <c r="G972" s="58">
        <f t="shared" si="965"/>
        <v>3</v>
      </c>
      <c r="H972" s="58">
        <f t="shared" si="965"/>
        <v>14</v>
      </c>
      <c r="I972" s="58">
        <f t="shared" si="965"/>
        <v>187</v>
      </c>
      <c r="J972" s="58">
        <f t="shared" si="965"/>
        <v>0</v>
      </c>
      <c r="K972" s="58">
        <f t="shared" si="965"/>
        <v>0</v>
      </c>
      <c r="L972" s="58">
        <f t="shared" si="965"/>
        <v>0</v>
      </c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0" customHeight="1">
      <c r="A973" s="70"/>
      <c r="B973" s="71"/>
      <c r="C973" s="66"/>
      <c r="D973" s="66">
        <f t="shared" si="412"/>
        <v>0</v>
      </c>
      <c r="E973" s="67"/>
      <c r="F973" s="58">
        <f t="shared" ref="F973:L973" si="966">SUMIFS($C973,$B973,F$7)+F972</f>
        <v>168</v>
      </c>
      <c r="G973" s="58">
        <f t="shared" si="966"/>
        <v>3</v>
      </c>
      <c r="H973" s="58">
        <f t="shared" si="966"/>
        <v>14</v>
      </c>
      <c r="I973" s="58">
        <f t="shared" si="966"/>
        <v>187</v>
      </c>
      <c r="J973" s="58">
        <f t="shared" si="966"/>
        <v>0</v>
      </c>
      <c r="K973" s="58">
        <f t="shared" si="966"/>
        <v>0</v>
      </c>
      <c r="L973" s="58">
        <f t="shared" si="966"/>
        <v>0</v>
      </c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0" customHeight="1">
      <c r="A974" s="70"/>
      <c r="B974" s="71"/>
      <c r="C974" s="66"/>
      <c r="D974" s="66">
        <f t="shared" si="412"/>
        <v>0</v>
      </c>
      <c r="E974" s="67"/>
      <c r="F974" s="58">
        <f t="shared" ref="F974:L974" si="967">SUMIFS($C974,$B974,F$7)+F973</f>
        <v>168</v>
      </c>
      <c r="G974" s="58">
        <f t="shared" si="967"/>
        <v>3</v>
      </c>
      <c r="H974" s="58">
        <f t="shared" si="967"/>
        <v>14</v>
      </c>
      <c r="I974" s="58">
        <f t="shared" si="967"/>
        <v>187</v>
      </c>
      <c r="J974" s="58">
        <f t="shared" si="967"/>
        <v>0</v>
      </c>
      <c r="K974" s="58">
        <f t="shared" si="967"/>
        <v>0</v>
      </c>
      <c r="L974" s="58">
        <f t="shared" si="967"/>
        <v>0</v>
      </c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0" customHeight="1">
      <c r="A975" s="70"/>
      <c r="B975" s="71"/>
      <c r="C975" s="66"/>
      <c r="D975" s="66">
        <f t="shared" si="412"/>
        <v>0</v>
      </c>
      <c r="E975" s="67"/>
      <c r="F975" s="58">
        <f t="shared" ref="F975:L975" si="968">SUMIFS($C975,$B975,F$7)+F974</f>
        <v>168</v>
      </c>
      <c r="G975" s="58">
        <f t="shared" si="968"/>
        <v>3</v>
      </c>
      <c r="H975" s="58">
        <f t="shared" si="968"/>
        <v>14</v>
      </c>
      <c r="I975" s="58">
        <f t="shared" si="968"/>
        <v>187</v>
      </c>
      <c r="J975" s="58">
        <f t="shared" si="968"/>
        <v>0</v>
      </c>
      <c r="K975" s="58">
        <f t="shared" si="968"/>
        <v>0</v>
      </c>
      <c r="L975" s="58">
        <f t="shared" si="968"/>
        <v>0</v>
      </c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0" customHeight="1">
      <c r="A976" s="70"/>
      <c r="B976" s="71"/>
      <c r="C976" s="66"/>
      <c r="D976" s="66">
        <f t="shared" si="412"/>
        <v>0</v>
      </c>
      <c r="E976" s="67"/>
      <c r="F976" s="58">
        <f t="shared" ref="F976:L976" si="969">SUMIFS($C976,$B976,F$7)+F975</f>
        <v>168</v>
      </c>
      <c r="G976" s="58">
        <f t="shared" si="969"/>
        <v>3</v>
      </c>
      <c r="H976" s="58">
        <f t="shared" si="969"/>
        <v>14</v>
      </c>
      <c r="I976" s="58">
        <f t="shared" si="969"/>
        <v>187</v>
      </c>
      <c r="J976" s="58">
        <f t="shared" si="969"/>
        <v>0</v>
      </c>
      <c r="K976" s="58">
        <f t="shared" si="969"/>
        <v>0</v>
      </c>
      <c r="L976" s="58">
        <f t="shared" si="969"/>
        <v>0</v>
      </c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0" customHeight="1">
      <c r="A977" s="70"/>
      <c r="B977" s="71"/>
      <c r="C977" s="66"/>
      <c r="D977" s="66">
        <f t="shared" si="412"/>
        <v>0</v>
      </c>
      <c r="E977" s="67"/>
      <c r="F977" s="58">
        <f t="shared" ref="F977:L977" si="970">SUMIFS($C977,$B977,F$7)+F976</f>
        <v>168</v>
      </c>
      <c r="G977" s="58">
        <f t="shared" si="970"/>
        <v>3</v>
      </c>
      <c r="H977" s="58">
        <f t="shared" si="970"/>
        <v>14</v>
      </c>
      <c r="I977" s="58">
        <f t="shared" si="970"/>
        <v>187</v>
      </c>
      <c r="J977" s="58">
        <f t="shared" si="970"/>
        <v>0</v>
      </c>
      <c r="K977" s="58">
        <f t="shared" si="970"/>
        <v>0</v>
      </c>
      <c r="L977" s="58">
        <f t="shared" si="970"/>
        <v>0</v>
      </c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0" customHeight="1">
      <c r="A978" s="70"/>
      <c r="B978" s="71"/>
      <c r="C978" s="66"/>
      <c r="D978" s="66">
        <f t="shared" si="412"/>
        <v>0</v>
      </c>
      <c r="E978" s="67"/>
      <c r="F978" s="58">
        <f t="shared" ref="F978:L978" si="971">SUMIFS($C978,$B978,F$7)+F977</f>
        <v>168</v>
      </c>
      <c r="G978" s="58">
        <f t="shared" si="971"/>
        <v>3</v>
      </c>
      <c r="H978" s="58">
        <f t="shared" si="971"/>
        <v>14</v>
      </c>
      <c r="I978" s="58">
        <f t="shared" si="971"/>
        <v>187</v>
      </c>
      <c r="J978" s="58">
        <f t="shared" si="971"/>
        <v>0</v>
      </c>
      <c r="K978" s="58">
        <f t="shared" si="971"/>
        <v>0</v>
      </c>
      <c r="L978" s="58">
        <f t="shared" si="971"/>
        <v>0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0" customHeight="1">
      <c r="A979" s="70"/>
      <c r="B979" s="71"/>
      <c r="C979" s="66"/>
      <c r="D979" s="66">
        <f t="shared" si="412"/>
        <v>0</v>
      </c>
      <c r="E979" s="67"/>
      <c r="F979" s="58">
        <f t="shared" ref="F979:L979" si="972">SUMIFS($C979,$B979,F$7)+F978</f>
        <v>168</v>
      </c>
      <c r="G979" s="58">
        <f t="shared" si="972"/>
        <v>3</v>
      </c>
      <c r="H979" s="58">
        <f t="shared" si="972"/>
        <v>14</v>
      </c>
      <c r="I979" s="58">
        <f t="shared" si="972"/>
        <v>187</v>
      </c>
      <c r="J979" s="58">
        <f t="shared" si="972"/>
        <v>0</v>
      </c>
      <c r="K979" s="58">
        <f t="shared" si="972"/>
        <v>0</v>
      </c>
      <c r="L979" s="58">
        <f t="shared" si="972"/>
        <v>0</v>
      </c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0" customHeight="1">
      <c r="A980" s="70"/>
      <c r="B980" s="71"/>
      <c r="C980" s="66"/>
      <c r="D980" s="66">
        <f t="shared" si="412"/>
        <v>0</v>
      </c>
      <c r="E980" s="67"/>
      <c r="F980" s="58">
        <f t="shared" ref="F980:L980" si="973">SUMIFS($C980,$B980,F$7)+F979</f>
        <v>168</v>
      </c>
      <c r="G980" s="58">
        <f t="shared" si="973"/>
        <v>3</v>
      </c>
      <c r="H980" s="58">
        <f t="shared" si="973"/>
        <v>14</v>
      </c>
      <c r="I980" s="58">
        <f t="shared" si="973"/>
        <v>187</v>
      </c>
      <c r="J980" s="58">
        <f t="shared" si="973"/>
        <v>0</v>
      </c>
      <c r="K980" s="58">
        <f t="shared" si="973"/>
        <v>0</v>
      </c>
      <c r="L980" s="58">
        <f t="shared" si="973"/>
        <v>0</v>
      </c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0" customHeight="1">
      <c r="A981" s="70"/>
      <c r="B981" s="71"/>
      <c r="C981" s="66"/>
      <c r="D981" s="66">
        <f t="shared" si="412"/>
        <v>0</v>
      </c>
      <c r="E981" s="67"/>
      <c r="F981" s="58">
        <f t="shared" ref="F981:L981" si="974">SUMIFS($C981,$B981,F$7)+F980</f>
        <v>168</v>
      </c>
      <c r="G981" s="58">
        <f t="shared" si="974"/>
        <v>3</v>
      </c>
      <c r="H981" s="58">
        <f t="shared" si="974"/>
        <v>14</v>
      </c>
      <c r="I981" s="58">
        <f t="shared" si="974"/>
        <v>187</v>
      </c>
      <c r="J981" s="58">
        <f t="shared" si="974"/>
        <v>0</v>
      </c>
      <c r="K981" s="58">
        <f t="shared" si="974"/>
        <v>0</v>
      </c>
      <c r="L981" s="58">
        <f t="shared" si="974"/>
        <v>0</v>
      </c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0" customHeight="1">
      <c r="A982" s="70"/>
      <c r="B982" s="71"/>
      <c r="C982" s="66"/>
      <c r="D982" s="66">
        <f t="shared" si="412"/>
        <v>0</v>
      </c>
      <c r="E982" s="67"/>
      <c r="F982" s="58">
        <f t="shared" ref="F982:L982" si="975">SUMIFS($C982,$B982,F$7)+F981</f>
        <v>168</v>
      </c>
      <c r="G982" s="58">
        <f t="shared" si="975"/>
        <v>3</v>
      </c>
      <c r="H982" s="58">
        <f t="shared" si="975"/>
        <v>14</v>
      </c>
      <c r="I982" s="58">
        <f t="shared" si="975"/>
        <v>187</v>
      </c>
      <c r="J982" s="58">
        <f t="shared" si="975"/>
        <v>0</v>
      </c>
      <c r="K982" s="58">
        <f t="shared" si="975"/>
        <v>0</v>
      </c>
      <c r="L982" s="58">
        <f t="shared" si="975"/>
        <v>0</v>
      </c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0" customHeight="1">
      <c r="A983" s="70"/>
      <c r="B983" s="71"/>
      <c r="C983" s="66"/>
      <c r="D983" s="66">
        <f t="shared" si="412"/>
        <v>0</v>
      </c>
      <c r="E983" s="67"/>
      <c r="F983" s="58">
        <f t="shared" ref="F983:L983" si="976">SUMIFS($C983,$B983,F$7)+F982</f>
        <v>168</v>
      </c>
      <c r="G983" s="58">
        <f t="shared" si="976"/>
        <v>3</v>
      </c>
      <c r="H983" s="58">
        <f t="shared" si="976"/>
        <v>14</v>
      </c>
      <c r="I983" s="58">
        <f t="shared" si="976"/>
        <v>187</v>
      </c>
      <c r="J983" s="58">
        <f t="shared" si="976"/>
        <v>0</v>
      </c>
      <c r="K983" s="58">
        <f t="shared" si="976"/>
        <v>0</v>
      </c>
      <c r="L983" s="58">
        <f t="shared" si="976"/>
        <v>0</v>
      </c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0" customHeight="1">
      <c r="A984" s="70"/>
      <c r="B984" s="71"/>
      <c r="C984" s="66"/>
      <c r="D984" s="66">
        <f t="shared" si="412"/>
        <v>0</v>
      </c>
      <c r="E984" s="67"/>
      <c r="F984" s="58">
        <f t="shared" ref="F984:L984" si="977">SUMIFS($C984,$B984,F$7)+F983</f>
        <v>168</v>
      </c>
      <c r="G984" s="58">
        <f t="shared" si="977"/>
        <v>3</v>
      </c>
      <c r="H984" s="58">
        <f t="shared" si="977"/>
        <v>14</v>
      </c>
      <c r="I984" s="58">
        <f t="shared" si="977"/>
        <v>187</v>
      </c>
      <c r="J984" s="58">
        <f t="shared" si="977"/>
        <v>0</v>
      </c>
      <c r="K984" s="58">
        <f t="shared" si="977"/>
        <v>0</v>
      </c>
      <c r="L984" s="58">
        <f t="shared" si="977"/>
        <v>0</v>
      </c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0" customHeight="1">
      <c r="A985" s="70"/>
      <c r="B985" s="71"/>
      <c r="C985" s="66"/>
      <c r="D985" s="66">
        <f t="shared" si="412"/>
        <v>0</v>
      </c>
      <c r="E985" s="67"/>
      <c r="F985" s="58">
        <f t="shared" ref="F985:L985" si="978">SUMIFS($C985,$B985,F$7)+F984</f>
        <v>168</v>
      </c>
      <c r="G985" s="58">
        <f t="shared" si="978"/>
        <v>3</v>
      </c>
      <c r="H985" s="58">
        <f t="shared" si="978"/>
        <v>14</v>
      </c>
      <c r="I985" s="58">
        <f t="shared" si="978"/>
        <v>187</v>
      </c>
      <c r="J985" s="58">
        <f t="shared" si="978"/>
        <v>0</v>
      </c>
      <c r="K985" s="58">
        <f t="shared" si="978"/>
        <v>0</v>
      </c>
      <c r="L985" s="58">
        <f t="shared" si="978"/>
        <v>0</v>
      </c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0" customHeight="1">
      <c r="A986" s="70"/>
      <c r="B986" s="71"/>
      <c r="C986" s="66"/>
      <c r="D986" s="66">
        <f t="shared" si="412"/>
        <v>0</v>
      </c>
      <c r="E986" s="67"/>
      <c r="F986" s="58">
        <f t="shared" ref="F986:L986" si="979">SUMIFS($C986,$B986,F$7)+F985</f>
        <v>168</v>
      </c>
      <c r="G986" s="58">
        <f t="shared" si="979"/>
        <v>3</v>
      </c>
      <c r="H986" s="58">
        <f t="shared" si="979"/>
        <v>14</v>
      </c>
      <c r="I986" s="58">
        <f t="shared" si="979"/>
        <v>187</v>
      </c>
      <c r="J986" s="58">
        <f t="shared" si="979"/>
        <v>0</v>
      </c>
      <c r="K986" s="58">
        <f t="shared" si="979"/>
        <v>0</v>
      </c>
      <c r="L986" s="58">
        <f t="shared" si="979"/>
        <v>0</v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0" customHeight="1">
      <c r="A987" s="70"/>
      <c r="B987" s="71"/>
      <c r="C987" s="66"/>
      <c r="D987" s="66">
        <f t="shared" si="412"/>
        <v>0</v>
      </c>
      <c r="E987" s="67"/>
      <c r="F987" s="58">
        <f t="shared" ref="F987:L987" si="980">SUMIFS($C987,$B987,F$7)+F986</f>
        <v>168</v>
      </c>
      <c r="G987" s="58">
        <f t="shared" si="980"/>
        <v>3</v>
      </c>
      <c r="H987" s="58">
        <f t="shared" si="980"/>
        <v>14</v>
      </c>
      <c r="I987" s="58">
        <f t="shared" si="980"/>
        <v>187</v>
      </c>
      <c r="J987" s="58">
        <f t="shared" si="980"/>
        <v>0</v>
      </c>
      <c r="K987" s="58">
        <f t="shared" si="980"/>
        <v>0</v>
      </c>
      <c r="L987" s="58">
        <f t="shared" si="980"/>
        <v>0</v>
      </c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0" customHeight="1">
      <c r="A988" s="70"/>
      <c r="B988" s="71"/>
      <c r="C988" s="66"/>
      <c r="D988" s="66">
        <f t="shared" si="412"/>
        <v>0</v>
      </c>
      <c r="E988" s="67"/>
      <c r="F988" s="58">
        <f t="shared" ref="F988:L988" si="981">SUMIFS($C988,$B988,F$7)+F987</f>
        <v>168</v>
      </c>
      <c r="G988" s="58">
        <f t="shared" si="981"/>
        <v>3</v>
      </c>
      <c r="H988" s="58">
        <f t="shared" si="981"/>
        <v>14</v>
      </c>
      <c r="I988" s="58">
        <f t="shared" si="981"/>
        <v>187</v>
      </c>
      <c r="J988" s="58">
        <f t="shared" si="981"/>
        <v>0</v>
      </c>
      <c r="K988" s="58">
        <f t="shared" si="981"/>
        <v>0</v>
      </c>
      <c r="L988" s="58">
        <f t="shared" si="981"/>
        <v>0</v>
      </c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0" customHeight="1">
      <c r="A989" s="70"/>
      <c r="B989" s="71"/>
      <c r="C989" s="66"/>
      <c r="D989" s="66">
        <f t="shared" si="412"/>
        <v>0</v>
      </c>
      <c r="E989" s="67"/>
      <c r="F989" s="58">
        <f t="shared" ref="F989:L989" si="982">SUMIFS($C989,$B989,F$7)+F988</f>
        <v>168</v>
      </c>
      <c r="G989" s="58">
        <f t="shared" si="982"/>
        <v>3</v>
      </c>
      <c r="H989" s="58">
        <f t="shared" si="982"/>
        <v>14</v>
      </c>
      <c r="I989" s="58">
        <f t="shared" si="982"/>
        <v>187</v>
      </c>
      <c r="J989" s="58">
        <f t="shared" si="982"/>
        <v>0</v>
      </c>
      <c r="K989" s="58">
        <f t="shared" si="982"/>
        <v>0</v>
      </c>
      <c r="L989" s="58">
        <f t="shared" si="982"/>
        <v>0</v>
      </c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0" customHeight="1">
      <c r="A990" s="70"/>
      <c r="B990" s="71"/>
      <c r="C990" s="66"/>
      <c r="D990" s="66">
        <f t="shared" si="412"/>
        <v>0</v>
      </c>
      <c r="E990" s="67"/>
      <c r="F990" s="58">
        <f t="shared" ref="F990:L990" si="983">SUMIFS($C990,$B990,F$7)+F989</f>
        <v>168</v>
      </c>
      <c r="G990" s="58">
        <f t="shared" si="983"/>
        <v>3</v>
      </c>
      <c r="H990" s="58">
        <f t="shared" si="983"/>
        <v>14</v>
      </c>
      <c r="I990" s="58">
        <f t="shared" si="983"/>
        <v>187</v>
      </c>
      <c r="J990" s="58">
        <f t="shared" si="983"/>
        <v>0</v>
      </c>
      <c r="K990" s="58">
        <f t="shared" si="983"/>
        <v>0</v>
      </c>
      <c r="L990" s="58">
        <f t="shared" si="983"/>
        <v>0</v>
      </c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0" customHeight="1">
      <c r="A991" s="70"/>
      <c r="B991" s="71"/>
      <c r="C991" s="66"/>
      <c r="D991" s="66">
        <f t="shared" si="412"/>
        <v>0</v>
      </c>
      <c r="E991" s="67"/>
      <c r="F991" s="58">
        <f t="shared" ref="F991:L991" si="984">SUMIFS($C991,$B991,F$7)+F990</f>
        <v>168</v>
      </c>
      <c r="G991" s="58">
        <f t="shared" si="984"/>
        <v>3</v>
      </c>
      <c r="H991" s="58">
        <f t="shared" si="984"/>
        <v>14</v>
      </c>
      <c r="I991" s="58">
        <f t="shared" si="984"/>
        <v>187</v>
      </c>
      <c r="J991" s="58">
        <f t="shared" si="984"/>
        <v>0</v>
      </c>
      <c r="K991" s="58">
        <f t="shared" si="984"/>
        <v>0</v>
      </c>
      <c r="L991" s="58">
        <f t="shared" si="984"/>
        <v>0</v>
      </c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0" customHeight="1">
      <c r="A992" s="70"/>
      <c r="B992" s="71"/>
      <c r="C992" s="66"/>
      <c r="D992" s="66">
        <f t="shared" si="412"/>
        <v>0</v>
      </c>
      <c r="E992" s="67"/>
      <c r="F992" s="58">
        <f t="shared" ref="F992:L992" si="985">SUMIFS($C992,$B992,F$7)+F991</f>
        <v>168</v>
      </c>
      <c r="G992" s="58">
        <f t="shared" si="985"/>
        <v>3</v>
      </c>
      <c r="H992" s="58">
        <f t="shared" si="985"/>
        <v>14</v>
      </c>
      <c r="I992" s="58">
        <f t="shared" si="985"/>
        <v>187</v>
      </c>
      <c r="J992" s="58">
        <f t="shared" si="985"/>
        <v>0</v>
      </c>
      <c r="K992" s="58">
        <f t="shared" si="985"/>
        <v>0</v>
      </c>
      <c r="L992" s="58">
        <f t="shared" si="985"/>
        <v>0</v>
      </c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0" customHeight="1">
      <c r="A993" s="70"/>
      <c r="B993" s="71"/>
      <c r="C993" s="66"/>
      <c r="D993" s="66">
        <f t="shared" si="412"/>
        <v>0</v>
      </c>
      <c r="E993" s="67"/>
      <c r="F993" s="58">
        <f t="shared" ref="F993:L993" si="986">SUMIFS($C993,$B993,F$7)+F992</f>
        <v>168</v>
      </c>
      <c r="G993" s="58">
        <f t="shared" si="986"/>
        <v>3</v>
      </c>
      <c r="H993" s="58">
        <f t="shared" si="986"/>
        <v>14</v>
      </c>
      <c r="I993" s="58">
        <f t="shared" si="986"/>
        <v>187</v>
      </c>
      <c r="J993" s="58">
        <f t="shared" si="986"/>
        <v>0</v>
      </c>
      <c r="K993" s="58">
        <f t="shared" si="986"/>
        <v>0</v>
      </c>
      <c r="L993" s="58">
        <f t="shared" si="986"/>
        <v>0</v>
      </c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0" customHeight="1">
      <c r="A994" s="70"/>
      <c r="B994" s="71"/>
      <c r="C994" s="66"/>
      <c r="D994" s="66">
        <f t="shared" si="412"/>
        <v>0</v>
      </c>
      <c r="E994" s="67"/>
      <c r="F994" s="58">
        <f t="shared" ref="F994:L994" si="987">SUMIFS($C994,$B994,F$7)+F993</f>
        <v>168</v>
      </c>
      <c r="G994" s="58">
        <f t="shared" si="987"/>
        <v>3</v>
      </c>
      <c r="H994" s="58">
        <f t="shared" si="987"/>
        <v>14</v>
      </c>
      <c r="I994" s="58">
        <f t="shared" si="987"/>
        <v>187</v>
      </c>
      <c r="J994" s="58">
        <f t="shared" si="987"/>
        <v>0</v>
      </c>
      <c r="K994" s="58">
        <f t="shared" si="987"/>
        <v>0</v>
      </c>
      <c r="L994" s="58">
        <f t="shared" si="987"/>
        <v>0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0" customHeight="1">
      <c r="A995" s="70"/>
      <c r="B995" s="71"/>
      <c r="C995" s="66"/>
      <c r="D995" s="66">
        <f t="shared" si="412"/>
        <v>0</v>
      </c>
      <c r="E995" s="67"/>
      <c r="F995" s="58">
        <f t="shared" ref="F995:L995" si="988">SUMIFS($C995,$B995,F$7)+F994</f>
        <v>168</v>
      </c>
      <c r="G995" s="58">
        <f t="shared" si="988"/>
        <v>3</v>
      </c>
      <c r="H995" s="58">
        <f t="shared" si="988"/>
        <v>14</v>
      </c>
      <c r="I995" s="58">
        <f t="shared" si="988"/>
        <v>187</v>
      </c>
      <c r="J995" s="58">
        <f t="shared" si="988"/>
        <v>0</v>
      </c>
      <c r="K995" s="58">
        <f t="shared" si="988"/>
        <v>0</v>
      </c>
      <c r="L995" s="58">
        <f t="shared" si="988"/>
        <v>0</v>
      </c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0" customHeight="1">
      <c r="A996" s="70"/>
      <c r="B996" s="71"/>
      <c r="C996" s="66"/>
      <c r="D996" s="66">
        <f t="shared" si="412"/>
        <v>0</v>
      </c>
      <c r="E996" s="67"/>
      <c r="F996" s="58">
        <f t="shared" ref="F996:L996" si="989">SUMIFS($C996,$B996,F$7)+F995</f>
        <v>168</v>
      </c>
      <c r="G996" s="58">
        <f t="shared" si="989"/>
        <v>3</v>
      </c>
      <c r="H996" s="58">
        <f t="shared" si="989"/>
        <v>14</v>
      </c>
      <c r="I996" s="58">
        <f t="shared" si="989"/>
        <v>187</v>
      </c>
      <c r="J996" s="58">
        <f t="shared" si="989"/>
        <v>0</v>
      </c>
      <c r="K996" s="58">
        <f t="shared" si="989"/>
        <v>0</v>
      </c>
      <c r="L996" s="58">
        <f t="shared" si="989"/>
        <v>0</v>
      </c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0" customHeight="1">
      <c r="A997" s="70"/>
      <c r="B997" s="71"/>
      <c r="C997" s="66"/>
      <c r="D997" s="66">
        <f t="shared" si="412"/>
        <v>0</v>
      </c>
      <c r="E997" s="67"/>
      <c r="F997" s="58">
        <f t="shared" ref="F997:L997" si="990">SUMIFS($C997,$B997,F$7)+F996</f>
        <v>168</v>
      </c>
      <c r="G997" s="58">
        <f t="shared" si="990"/>
        <v>3</v>
      </c>
      <c r="H997" s="58">
        <f t="shared" si="990"/>
        <v>14</v>
      </c>
      <c r="I997" s="58">
        <f t="shared" si="990"/>
        <v>187</v>
      </c>
      <c r="J997" s="58">
        <f t="shared" si="990"/>
        <v>0</v>
      </c>
      <c r="K997" s="58">
        <f t="shared" si="990"/>
        <v>0</v>
      </c>
      <c r="L997" s="58">
        <f t="shared" si="990"/>
        <v>0</v>
      </c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0" customHeight="1">
      <c r="A998" s="70"/>
      <c r="B998" s="71"/>
      <c r="C998" s="66"/>
      <c r="D998" s="66">
        <f t="shared" si="412"/>
        <v>0</v>
      </c>
      <c r="E998" s="67"/>
      <c r="F998" s="58">
        <f t="shared" ref="F998:L998" si="991">SUMIFS($C998,$B998,F$7)+F997</f>
        <v>168</v>
      </c>
      <c r="G998" s="58">
        <f t="shared" si="991"/>
        <v>3</v>
      </c>
      <c r="H998" s="58">
        <f t="shared" si="991"/>
        <v>14</v>
      </c>
      <c r="I998" s="58">
        <f t="shared" si="991"/>
        <v>187</v>
      </c>
      <c r="J998" s="58">
        <f t="shared" si="991"/>
        <v>0</v>
      </c>
      <c r="K998" s="58">
        <f t="shared" si="991"/>
        <v>0</v>
      </c>
      <c r="L998" s="58">
        <f t="shared" si="991"/>
        <v>0</v>
      </c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0" customHeight="1">
      <c r="A999" s="70"/>
      <c r="B999" s="71"/>
      <c r="C999" s="66"/>
      <c r="D999" s="66">
        <f t="shared" si="412"/>
        <v>0</v>
      </c>
      <c r="E999" s="67"/>
      <c r="F999" s="58">
        <f t="shared" ref="F999:L999" si="992">SUMIFS($C999,$B999,F$7)+F998</f>
        <v>168</v>
      </c>
      <c r="G999" s="58">
        <f t="shared" si="992"/>
        <v>3</v>
      </c>
      <c r="H999" s="58">
        <f t="shared" si="992"/>
        <v>14</v>
      </c>
      <c r="I999" s="58">
        <f t="shared" si="992"/>
        <v>187</v>
      </c>
      <c r="J999" s="58">
        <f t="shared" si="992"/>
        <v>0</v>
      </c>
      <c r="K999" s="58">
        <f t="shared" si="992"/>
        <v>0</v>
      </c>
      <c r="L999" s="58">
        <f t="shared" si="992"/>
        <v>0</v>
      </c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0" customHeight="1">
      <c r="A1000" s="70"/>
      <c r="B1000" s="71"/>
      <c r="C1000" s="66"/>
      <c r="D1000" s="66">
        <f t="shared" si="412"/>
        <v>0</v>
      </c>
      <c r="E1000" s="67"/>
      <c r="F1000" s="58">
        <f t="shared" ref="F1000:L1000" si="993">SUMIFS($C1000,$B1000,F$7)+F999</f>
        <v>168</v>
      </c>
      <c r="G1000" s="58">
        <f t="shared" si="993"/>
        <v>3</v>
      </c>
      <c r="H1000" s="58">
        <f t="shared" si="993"/>
        <v>14</v>
      </c>
      <c r="I1000" s="58">
        <f t="shared" si="993"/>
        <v>187</v>
      </c>
      <c r="J1000" s="58">
        <f t="shared" si="993"/>
        <v>0</v>
      </c>
      <c r="K1000" s="58">
        <f t="shared" si="993"/>
        <v>0</v>
      </c>
      <c r="L1000" s="58">
        <f t="shared" si="993"/>
        <v>0</v>
      </c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ht="15.0" customHeight="1">
      <c r="A1001" s="70"/>
      <c r="B1001" s="71"/>
      <c r="C1001" s="66"/>
      <c r="D1001" s="66">
        <f t="shared" si="412"/>
        <v>0</v>
      </c>
      <c r="E1001" s="67"/>
      <c r="F1001" s="58">
        <f t="shared" ref="F1001:L1001" si="994">SUMIFS($C1001,$B1001,F$7)+F1000</f>
        <v>168</v>
      </c>
      <c r="G1001" s="58">
        <f t="shared" si="994"/>
        <v>3</v>
      </c>
      <c r="H1001" s="58">
        <f t="shared" si="994"/>
        <v>14</v>
      </c>
      <c r="I1001" s="58">
        <f t="shared" si="994"/>
        <v>187</v>
      </c>
      <c r="J1001" s="58">
        <f t="shared" si="994"/>
        <v>0</v>
      </c>
      <c r="K1001" s="58">
        <f t="shared" si="994"/>
        <v>0</v>
      </c>
      <c r="L1001" s="58">
        <f t="shared" si="994"/>
        <v>0</v>
      </c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ht="15.0" customHeight="1">
      <c r="A1002" s="70"/>
      <c r="B1002" s="71"/>
      <c r="C1002" s="66"/>
      <c r="D1002" s="66">
        <f t="shared" si="412"/>
        <v>0</v>
      </c>
      <c r="E1002" s="67"/>
      <c r="F1002" s="58">
        <f t="shared" ref="F1002:L1002" si="995">SUMIFS($C1002,$B1002,F$7)+F1001</f>
        <v>168</v>
      </c>
      <c r="G1002" s="58">
        <f t="shared" si="995"/>
        <v>3</v>
      </c>
      <c r="H1002" s="58">
        <f t="shared" si="995"/>
        <v>14</v>
      </c>
      <c r="I1002" s="58">
        <f t="shared" si="995"/>
        <v>187</v>
      </c>
      <c r="J1002" s="58">
        <f t="shared" si="995"/>
        <v>0</v>
      </c>
      <c r="K1002" s="58">
        <f t="shared" si="995"/>
        <v>0</v>
      </c>
      <c r="L1002" s="58">
        <f t="shared" si="995"/>
        <v>0</v>
      </c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ht="15.0" customHeight="1">
      <c r="A1003" s="70"/>
      <c r="B1003" s="71"/>
      <c r="C1003" s="66"/>
      <c r="D1003" s="66">
        <f t="shared" si="412"/>
        <v>0</v>
      </c>
      <c r="E1003" s="67"/>
      <c r="F1003" s="58">
        <f t="shared" ref="F1003:L1003" si="996">SUMIFS($C1003,$B1003,F$7)+F1002</f>
        <v>168</v>
      </c>
      <c r="G1003" s="58">
        <f t="shared" si="996"/>
        <v>3</v>
      </c>
      <c r="H1003" s="58">
        <f t="shared" si="996"/>
        <v>14</v>
      </c>
      <c r="I1003" s="58">
        <f t="shared" si="996"/>
        <v>187</v>
      </c>
      <c r="J1003" s="58">
        <f t="shared" si="996"/>
        <v>0</v>
      </c>
      <c r="K1003" s="58">
        <f t="shared" si="996"/>
        <v>0</v>
      </c>
      <c r="L1003" s="58">
        <f t="shared" si="996"/>
        <v>0</v>
      </c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ht="15.0" customHeight="1">
      <c r="A1004" s="70"/>
      <c r="B1004" s="71"/>
      <c r="C1004" s="66"/>
      <c r="D1004" s="66">
        <f t="shared" si="412"/>
        <v>0</v>
      </c>
      <c r="E1004" s="67"/>
      <c r="F1004" s="58">
        <f t="shared" ref="F1004:L1004" si="997">SUMIFS($C1004,$B1004,F$7)+F1003</f>
        <v>168</v>
      </c>
      <c r="G1004" s="58">
        <f t="shared" si="997"/>
        <v>3</v>
      </c>
      <c r="H1004" s="58">
        <f t="shared" si="997"/>
        <v>14</v>
      </c>
      <c r="I1004" s="58">
        <f t="shared" si="997"/>
        <v>187</v>
      </c>
      <c r="J1004" s="58">
        <f t="shared" si="997"/>
        <v>0</v>
      </c>
      <c r="K1004" s="58">
        <f t="shared" si="997"/>
        <v>0</v>
      </c>
      <c r="L1004" s="58">
        <f t="shared" si="997"/>
        <v>0</v>
      </c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ht="15.0" customHeight="1">
      <c r="A1005" s="70"/>
      <c r="B1005" s="71"/>
      <c r="C1005" s="66"/>
      <c r="D1005" s="66">
        <f t="shared" si="412"/>
        <v>0</v>
      </c>
      <c r="E1005" s="67"/>
      <c r="F1005" s="58">
        <f t="shared" ref="F1005:L1005" si="998">SUMIFS($C1005,$B1005,F$7)+F1004</f>
        <v>168</v>
      </c>
      <c r="G1005" s="58">
        <f t="shared" si="998"/>
        <v>3</v>
      </c>
      <c r="H1005" s="58">
        <f t="shared" si="998"/>
        <v>14</v>
      </c>
      <c r="I1005" s="58">
        <f t="shared" si="998"/>
        <v>187</v>
      </c>
      <c r="J1005" s="58">
        <f t="shared" si="998"/>
        <v>0</v>
      </c>
      <c r="K1005" s="58">
        <f t="shared" si="998"/>
        <v>0</v>
      </c>
      <c r="L1005" s="58">
        <f t="shared" si="998"/>
        <v>0</v>
      </c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ht="15.0" customHeight="1">
      <c r="A1006" s="70"/>
      <c r="B1006" s="71"/>
      <c r="C1006" s="66"/>
      <c r="D1006" s="66">
        <f t="shared" si="412"/>
        <v>0</v>
      </c>
      <c r="E1006" s="67"/>
      <c r="F1006" s="58">
        <f t="shared" ref="F1006:L1006" si="999">SUMIFS($C1006,$B1006,F$7)+F1005</f>
        <v>168</v>
      </c>
      <c r="G1006" s="58">
        <f t="shared" si="999"/>
        <v>3</v>
      </c>
      <c r="H1006" s="58">
        <f t="shared" si="999"/>
        <v>14</v>
      </c>
      <c r="I1006" s="58">
        <f t="shared" si="999"/>
        <v>187</v>
      </c>
      <c r="J1006" s="58">
        <f t="shared" si="999"/>
        <v>0</v>
      </c>
      <c r="K1006" s="58">
        <f t="shared" si="999"/>
        <v>0</v>
      </c>
      <c r="L1006" s="58">
        <f t="shared" si="999"/>
        <v>0</v>
      </c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ht="15.0" customHeight="1">
      <c r="A1007" s="70"/>
      <c r="B1007" s="71"/>
      <c r="C1007" s="66"/>
      <c r="D1007" s="66">
        <f t="shared" si="412"/>
        <v>0</v>
      </c>
      <c r="E1007" s="67"/>
      <c r="F1007" s="58">
        <f t="shared" ref="F1007:L1007" si="1000">SUMIFS($C1007,$B1007,F$7)+F1006</f>
        <v>168</v>
      </c>
      <c r="G1007" s="58">
        <f t="shared" si="1000"/>
        <v>3</v>
      </c>
      <c r="H1007" s="58">
        <f t="shared" si="1000"/>
        <v>14</v>
      </c>
      <c r="I1007" s="58">
        <f t="shared" si="1000"/>
        <v>187</v>
      </c>
      <c r="J1007" s="58">
        <f t="shared" si="1000"/>
        <v>0</v>
      </c>
      <c r="K1007" s="58">
        <f t="shared" si="1000"/>
        <v>0</v>
      </c>
      <c r="L1007" s="58">
        <f t="shared" si="1000"/>
        <v>0</v>
      </c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ht="15.0" customHeight="1">
      <c r="A1008" s="70"/>
      <c r="B1008" s="71"/>
      <c r="C1008" s="66"/>
      <c r="D1008" s="66">
        <f t="shared" si="412"/>
        <v>0</v>
      </c>
      <c r="E1008" s="67"/>
      <c r="F1008" s="58">
        <f t="shared" ref="F1008:L1008" si="1001">SUMIFS($C1008,$B1008,F$7)+F1007</f>
        <v>168</v>
      </c>
      <c r="G1008" s="58">
        <f t="shared" si="1001"/>
        <v>3</v>
      </c>
      <c r="H1008" s="58">
        <f t="shared" si="1001"/>
        <v>14</v>
      </c>
      <c r="I1008" s="58">
        <f t="shared" si="1001"/>
        <v>187</v>
      </c>
      <c r="J1008" s="58">
        <f t="shared" si="1001"/>
        <v>0</v>
      </c>
      <c r="K1008" s="58">
        <f t="shared" si="1001"/>
        <v>0</v>
      </c>
      <c r="L1008" s="58">
        <f t="shared" si="1001"/>
        <v>0</v>
      </c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ht="15.0" customHeight="1">
      <c r="A1009" s="70"/>
      <c r="B1009" s="71"/>
      <c r="C1009" s="66"/>
      <c r="D1009" s="66">
        <f t="shared" si="412"/>
        <v>0</v>
      </c>
      <c r="E1009" s="67"/>
      <c r="F1009" s="58">
        <f t="shared" ref="F1009:L1009" si="1002">SUMIFS($C1009,$B1009,F$7)+F1008</f>
        <v>168</v>
      </c>
      <c r="G1009" s="58">
        <f t="shared" si="1002"/>
        <v>3</v>
      </c>
      <c r="H1009" s="58">
        <f t="shared" si="1002"/>
        <v>14</v>
      </c>
      <c r="I1009" s="58">
        <f t="shared" si="1002"/>
        <v>187</v>
      </c>
      <c r="J1009" s="58">
        <f t="shared" si="1002"/>
        <v>0</v>
      </c>
      <c r="K1009" s="58">
        <f t="shared" si="1002"/>
        <v>0</v>
      </c>
      <c r="L1009" s="58">
        <f t="shared" si="1002"/>
        <v>0</v>
      </c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ht="15.0" customHeight="1">
      <c r="A1010" s="70"/>
      <c r="B1010" s="71"/>
      <c r="C1010" s="66"/>
      <c r="D1010" s="66">
        <f t="shared" si="412"/>
        <v>0</v>
      </c>
      <c r="E1010" s="67"/>
      <c r="F1010" s="58">
        <f t="shared" ref="F1010:L1010" si="1003">SUMIFS($C1010,$B1010,F$7)+F1009</f>
        <v>168</v>
      </c>
      <c r="G1010" s="58">
        <f t="shared" si="1003"/>
        <v>3</v>
      </c>
      <c r="H1010" s="58">
        <f t="shared" si="1003"/>
        <v>14</v>
      </c>
      <c r="I1010" s="58">
        <f t="shared" si="1003"/>
        <v>187</v>
      </c>
      <c r="J1010" s="58">
        <f t="shared" si="1003"/>
        <v>0</v>
      </c>
      <c r="K1010" s="58">
        <f t="shared" si="1003"/>
        <v>0</v>
      </c>
      <c r="L1010" s="58">
        <f t="shared" si="1003"/>
        <v>0</v>
      </c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ht="15.0" customHeight="1">
      <c r="A1011" s="70"/>
      <c r="B1011" s="71"/>
      <c r="C1011" s="66"/>
      <c r="D1011" s="66">
        <f t="shared" si="412"/>
        <v>0</v>
      </c>
      <c r="E1011" s="67"/>
      <c r="F1011" s="58">
        <f t="shared" ref="F1011:L1011" si="1004">SUMIFS($C1011,$B1011,F$7)+F1010</f>
        <v>168</v>
      </c>
      <c r="G1011" s="58">
        <f t="shared" si="1004"/>
        <v>3</v>
      </c>
      <c r="H1011" s="58">
        <f t="shared" si="1004"/>
        <v>14</v>
      </c>
      <c r="I1011" s="58">
        <f t="shared" si="1004"/>
        <v>187</v>
      </c>
      <c r="J1011" s="58">
        <f t="shared" si="1004"/>
        <v>0</v>
      </c>
      <c r="K1011" s="58">
        <f t="shared" si="1004"/>
        <v>0</v>
      </c>
      <c r="L1011" s="58">
        <f t="shared" si="1004"/>
        <v>0</v>
      </c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ht="15.0" customHeight="1">
      <c r="A1012" s="70"/>
      <c r="B1012" s="71"/>
      <c r="C1012" s="66"/>
      <c r="D1012" s="66">
        <f t="shared" si="412"/>
        <v>0</v>
      </c>
      <c r="E1012" s="67"/>
      <c r="F1012" s="58">
        <f t="shared" ref="F1012:L1012" si="1005">SUMIFS($C1012,$B1012,F$7)+F1011</f>
        <v>168</v>
      </c>
      <c r="G1012" s="58">
        <f t="shared" si="1005"/>
        <v>3</v>
      </c>
      <c r="H1012" s="58">
        <f t="shared" si="1005"/>
        <v>14</v>
      </c>
      <c r="I1012" s="58">
        <f t="shared" si="1005"/>
        <v>187</v>
      </c>
      <c r="J1012" s="58">
        <f t="shared" si="1005"/>
        <v>0</v>
      </c>
      <c r="K1012" s="58">
        <f t="shared" si="1005"/>
        <v>0</v>
      </c>
      <c r="L1012" s="58">
        <f t="shared" si="1005"/>
        <v>0</v>
      </c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ht="15.0" customHeight="1">
      <c r="A1013" s="70"/>
      <c r="B1013" s="71"/>
      <c r="C1013" s="66"/>
      <c r="D1013" s="66">
        <f t="shared" si="412"/>
        <v>0</v>
      </c>
      <c r="E1013" s="67"/>
      <c r="F1013" s="58">
        <f t="shared" ref="F1013:L1013" si="1006">SUMIFS($C1013,$B1013,F$7)+F1012</f>
        <v>168</v>
      </c>
      <c r="G1013" s="58">
        <f t="shared" si="1006"/>
        <v>3</v>
      </c>
      <c r="H1013" s="58">
        <f t="shared" si="1006"/>
        <v>14</v>
      </c>
      <c r="I1013" s="58">
        <f t="shared" si="1006"/>
        <v>187</v>
      </c>
      <c r="J1013" s="58">
        <f t="shared" si="1006"/>
        <v>0</v>
      </c>
      <c r="K1013" s="58">
        <f t="shared" si="1006"/>
        <v>0</v>
      </c>
      <c r="L1013" s="58">
        <f t="shared" si="1006"/>
        <v>0</v>
      </c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ht="15.0" customHeight="1">
      <c r="A1014" s="70"/>
      <c r="B1014" s="71"/>
      <c r="C1014" s="66"/>
      <c r="D1014" s="66">
        <f t="shared" si="412"/>
        <v>0</v>
      </c>
      <c r="E1014" s="67"/>
      <c r="F1014" s="58">
        <f t="shared" ref="F1014:L1014" si="1007">SUMIFS($C1014,$B1014,F$7)+F1013</f>
        <v>168</v>
      </c>
      <c r="G1014" s="58">
        <f t="shared" si="1007"/>
        <v>3</v>
      </c>
      <c r="H1014" s="58">
        <f t="shared" si="1007"/>
        <v>14</v>
      </c>
      <c r="I1014" s="58">
        <f t="shared" si="1007"/>
        <v>187</v>
      </c>
      <c r="J1014" s="58">
        <f t="shared" si="1007"/>
        <v>0</v>
      </c>
      <c r="K1014" s="58">
        <f t="shared" si="1007"/>
        <v>0</v>
      </c>
      <c r="L1014" s="58">
        <f t="shared" si="1007"/>
        <v>0</v>
      </c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</sheetData>
  <mergeCells count="3">
    <mergeCell ref="A1:L1"/>
    <mergeCell ref="F8:L8"/>
    <mergeCell ref="F10:L10"/>
  </mergeCells>
  <dataValidations>
    <dataValidation type="list" allowBlank="1" sqref="B13:B1014">
      <formula1>#REF!</formula1>
    </dataValidation>
    <dataValidation type="custom" allowBlank="1" showDropDown="1" sqref="C13:D1014 F13:F1014 I13:I1014">
      <formula1>AND(ISNUMBER(C13),(NOT(OR(NOT(ISERROR(DATEVALUE(C13))), AND(ISNUMBER(C13), LEFT(CELL("format", C13))="D")))))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4" width="9.75"/>
    <col customWidth="1" min="5" max="5" width="38.5"/>
    <col customWidth="1" min="6" max="12" width="8.75"/>
  </cols>
  <sheetData>
    <row r="1" ht="15.0" customHeight="1">
      <c r="A1" s="2" t="s">
        <v>2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0" customHeight="1">
      <c r="A2" s="4" t="s">
        <v>4</v>
      </c>
      <c r="B2" s="5" t="s">
        <v>5</v>
      </c>
      <c r="C2" s="6" t="s">
        <v>6</v>
      </c>
      <c r="D2" s="6" t="s">
        <v>7</v>
      </c>
      <c r="E2" s="7" t="s">
        <v>8</v>
      </c>
      <c r="F2" s="8"/>
      <c r="G2" s="9"/>
      <c r="H2" s="9"/>
      <c r="I2" s="8"/>
      <c r="J2" s="9"/>
      <c r="K2" s="9"/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0" customHeight="1">
      <c r="A3" s="11" t="s">
        <v>9</v>
      </c>
      <c r="B3" s="12">
        <f>F11</f>
        <v>0</v>
      </c>
      <c r="C3" s="13"/>
      <c r="D3" s="14"/>
      <c r="E3" s="15" t="s">
        <v>10</v>
      </c>
      <c r="F3" s="16"/>
      <c r="G3" s="18" t="s">
        <v>11</v>
      </c>
      <c r="H3" s="17"/>
      <c r="I3" s="16"/>
      <c r="J3" s="17"/>
      <c r="K3" s="17"/>
      <c r="L3" s="1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0" customHeight="1">
      <c r="A4" s="11" t="s">
        <v>13</v>
      </c>
      <c r="B4" s="12">
        <f>G11</f>
        <v>0</v>
      </c>
      <c r="C4" s="13"/>
      <c r="D4" s="14"/>
      <c r="E4" s="15"/>
      <c r="F4" s="16"/>
      <c r="G4" s="18" t="s">
        <v>15</v>
      </c>
      <c r="H4" s="17"/>
      <c r="J4" s="17"/>
      <c r="K4" s="17"/>
      <c r="L4" s="1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0" customHeight="1">
      <c r="A5" s="11" t="s">
        <v>16</v>
      </c>
      <c r="B5" s="12">
        <f>H11</f>
        <v>0</v>
      </c>
      <c r="C5" s="13"/>
      <c r="D5" s="14"/>
      <c r="E5" s="15"/>
      <c r="F5" s="16"/>
      <c r="G5" s="17"/>
      <c r="H5" s="17"/>
      <c r="I5" s="16"/>
      <c r="J5" s="17"/>
      <c r="K5" s="17"/>
      <c r="L5" s="1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0" customHeight="1">
      <c r="A6" s="11" t="s">
        <v>17</v>
      </c>
      <c r="B6" s="12">
        <f>I11</f>
        <v>65</v>
      </c>
      <c r="C6" s="13"/>
      <c r="D6" s="14"/>
      <c r="E6" s="15"/>
      <c r="F6" s="16"/>
      <c r="G6" s="20"/>
      <c r="H6" s="21" t="s">
        <v>19</v>
      </c>
      <c r="I6" s="22">
        <f>I11/44</f>
        <v>1.477272727</v>
      </c>
      <c r="J6" s="17"/>
      <c r="K6" s="17"/>
      <c r="L6" s="1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0" customHeight="1">
      <c r="A7" s="11" t="s">
        <v>20</v>
      </c>
      <c r="B7" s="12">
        <f>J11</f>
        <v>20</v>
      </c>
      <c r="C7" s="13"/>
      <c r="D7" s="14"/>
      <c r="E7" s="15"/>
      <c r="F7" s="23" t="s">
        <v>9</v>
      </c>
      <c r="G7" s="24" t="s">
        <v>13</v>
      </c>
      <c r="H7" s="24" t="s">
        <v>16</v>
      </c>
      <c r="I7" s="23" t="s">
        <v>17</v>
      </c>
      <c r="J7" s="24" t="s">
        <v>20</v>
      </c>
      <c r="K7" s="24" t="s">
        <v>21</v>
      </c>
      <c r="L7" s="24" t="s">
        <v>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0" customHeight="1">
      <c r="A8" s="19" t="s">
        <v>21</v>
      </c>
      <c r="B8" s="12">
        <f>K11</f>
        <v>0</v>
      </c>
      <c r="C8" s="13"/>
      <c r="D8" s="14"/>
      <c r="E8" s="15"/>
      <c r="F8" s="25" t="s">
        <v>23</v>
      </c>
      <c r="G8" s="26"/>
      <c r="H8" s="26"/>
      <c r="I8" s="26"/>
      <c r="J8" s="26"/>
      <c r="K8" s="26"/>
      <c r="L8" s="2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0" customHeight="1">
      <c r="A9" s="28" t="s">
        <v>22</v>
      </c>
      <c r="B9" s="29">
        <f>L11</f>
        <v>0</v>
      </c>
      <c r="C9" s="30"/>
      <c r="D9" s="31"/>
      <c r="E9" s="32"/>
      <c r="F9" s="33">
        <v>30.0</v>
      </c>
      <c r="G9" s="34"/>
      <c r="H9" s="34"/>
      <c r="I9" s="33">
        <v>88.0</v>
      </c>
      <c r="J9" s="33">
        <v>13.0</v>
      </c>
      <c r="K9" s="34"/>
      <c r="L9" s="34"/>
      <c r="M9" s="35" t="s">
        <v>24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0" customHeight="1">
      <c r="A10" s="36"/>
      <c r="B10" s="37"/>
      <c r="C10" s="8"/>
      <c r="D10" s="8"/>
      <c r="E10" s="38"/>
      <c r="F10" s="39" t="s">
        <v>25</v>
      </c>
      <c r="G10" s="26"/>
      <c r="H10" s="26"/>
      <c r="I10" s="26"/>
      <c r="J10" s="26"/>
      <c r="K10" s="26"/>
      <c r="L10" s="2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0" customHeight="1">
      <c r="A11" s="36"/>
      <c r="B11" s="37"/>
      <c r="C11" s="8"/>
      <c r="D11" s="8"/>
      <c r="E11" s="40"/>
      <c r="F11" s="41">
        <f t="shared" ref="F11:L11" si="1">SUMIFS($C$13:$C1021,$B$13:$B1021,F$7)+F$9</f>
        <v>0</v>
      </c>
      <c r="G11" s="41">
        <f t="shared" si="1"/>
        <v>0</v>
      </c>
      <c r="H11" s="41">
        <f t="shared" si="1"/>
        <v>0</v>
      </c>
      <c r="I11" s="41">
        <f t="shared" si="1"/>
        <v>65</v>
      </c>
      <c r="J11" s="41">
        <f t="shared" si="1"/>
        <v>20</v>
      </c>
      <c r="K11" s="41">
        <f t="shared" si="1"/>
        <v>0</v>
      </c>
      <c r="L11" s="41">
        <f t="shared" si="1"/>
        <v>0</v>
      </c>
      <c r="M11" s="42" t="s">
        <v>26</v>
      </c>
      <c r="N11" s="43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ht="24.75" customHeight="1">
      <c r="A12" s="45" t="s">
        <v>27</v>
      </c>
      <c r="B12" s="46" t="s">
        <v>4</v>
      </c>
      <c r="C12" s="47" t="s">
        <v>28</v>
      </c>
      <c r="D12" s="47" t="s">
        <v>6</v>
      </c>
      <c r="E12" s="48" t="s">
        <v>8</v>
      </c>
      <c r="F12" s="49" t="s">
        <v>9</v>
      </c>
      <c r="G12" s="49" t="s">
        <v>13</v>
      </c>
      <c r="H12" s="49" t="s">
        <v>16</v>
      </c>
      <c r="I12" s="49" t="s">
        <v>17</v>
      </c>
      <c r="J12" s="49" t="s">
        <v>20</v>
      </c>
      <c r="K12" s="49" t="s">
        <v>21</v>
      </c>
      <c r="L12" s="49" t="s">
        <v>22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</row>
    <row r="13" ht="15.0" customHeight="1">
      <c r="A13" s="52">
        <v>45918.0</v>
      </c>
      <c r="B13" s="53" t="s">
        <v>17</v>
      </c>
      <c r="C13" s="54">
        <v>-88.0</v>
      </c>
      <c r="D13" s="55">
        <f t="shared" ref="D13:D197" si="3">550*C13</f>
        <v>-48400</v>
      </c>
      <c r="E13" s="56" t="s">
        <v>29</v>
      </c>
      <c r="F13" s="58">
        <f t="shared" ref="F13:L13" si="2">SUMIFS($C13,$B13,F$7)+F9</f>
        <v>30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13</v>
      </c>
      <c r="K13" s="58">
        <f t="shared" si="2"/>
        <v>0</v>
      </c>
      <c r="L13" s="58">
        <f t="shared" si="2"/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0" customHeight="1">
      <c r="A14" s="52"/>
      <c r="B14" s="59"/>
      <c r="C14" s="54"/>
      <c r="D14" s="55">
        <f t="shared" si="3"/>
        <v>0</v>
      </c>
      <c r="E14" s="60"/>
      <c r="F14" s="58">
        <f t="shared" ref="F14:L14" si="4">SUMIFS($C14,$B14,F$7)+F13</f>
        <v>30</v>
      </c>
      <c r="G14" s="58">
        <f t="shared" si="4"/>
        <v>0</v>
      </c>
      <c r="H14" s="58">
        <f t="shared" si="4"/>
        <v>0</v>
      </c>
      <c r="I14" s="58">
        <f t="shared" si="4"/>
        <v>0</v>
      </c>
      <c r="J14" s="58">
        <f t="shared" si="4"/>
        <v>13</v>
      </c>
      <c r="K14" s="58">
        <f t="shared" si="4"/>
        <v>0</v>
      </c>
      <c r="L14" s="58">
        <f t="shared" si="4"/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0" customHeight="1">
      <c r="A15" s="52">
        <v>45943.0</v>
      </c>
      <c r="B15" s="53" t="s">
        <v>9</v>
      </c>
      <c r="C15" s="54">
        <v>32.0</v>
      </c>
      <c r="D15" s="55">
        <f t="shared" si="3"/>
        <v>17600</v>
      </c>
      <c r="E15" s="57"/>
      <c r="F15" s="58">
        <f t="shared" ref="F15:L15" si="5">SUMIFS($C15,$B15,F$7)+F14</f>
        <v>62</v>
      </c>
      <c r="G15" s="58">
        <f t="shared" si="5"/>
        <v>0</v>
      </c>
      <c r="H15" s="58">
        <f t="shared" si="5"/>
        <v>0</v>
      </c>
      <c r="I15" s="58">
        <f t="shared" si="5"/>
        <v>0</v>
      </c>
      <c r="J15" s="58">
        <f t="shared" si="5"/>
        <v>13</v>
      </c>
      <c r="K15" s="58">
        <f t="shared" si="5"/>
        <v>0</v>
      </c>
      <c r="L15" s="58">
        <f t="shared" si="5"/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0" customHeight="1">
      <c r="A16" s="52"/>
      <c r="B16" s="59"/>
      <c r="C16" s="54"/>
      <c r="D16" s="55">
        <f t="shared" si="3"/>
        <v>0</v>
      </c>
      <c r="E16" s="60"/>
      <c r="F16" s="58">
        <f t="shared" ref="F16:L16" si="6">SUMIFS($C16,$B16,F$7)+F15</f>
        <v>62</v>
      </c>
      <c r="G16" s="58">
        <f t="shared" si="6"/>
        <v>0</v>
      </c>
      <c r="H16" s="58">
        <f t="shared" si="6"/>
        <v>0</v>
      </c>
      <c r="I16" s="58">
        <f t="shared" si="6"/>
        <v>0</v>
      </c>
      <c r="J16" s="58">
        <f t="shared" si="6"/>
        <v>13</v>
      </c>
      <c r="K16" s="58">
        <f t="shared" si="6"/>
        <v>0</v>
      </c>
      <c r="L16" s="58">
        <f t="shared" si="6"/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0" customHeight="1">
      <c r="A17" s="52">
        <v>45944.0</v>
      </c>
      <c r="B17" s="53" t="s">
        <v>9</v>
      </c>
      <c r="C17" s="54">
        <v>39.0</v>
      </c>
      <c r="D17" s="55">
        <f t="shared" si="3"/>
        <v>21450</v>
      </c>
      <c r="E17" s="57"/>
      <c r="F17" s="58">
        <f t="shared" ref="F17:L17" si="7">SUMIFS($C17,$B17,F$7)+F16</f>
        <v>101</v>
      </c>
      <c r="G17" s="58">
        <f t="shared" si="7"/>
        <v>0</v>
      </c>
      <c r="H17" s="58">
        <f t="shared" si="7"/>
        <v>0</v>
      </c>
      <c r="I17" s="58">
        <f t="shared" si="7"/>
        <v>0</v>
      </c>
      <c r="J17" s="58">
        <f t="shared" si="7"/>
        <v>13</v>
      </c>
      <c r="K17" s="58">
        <f t="shared" si="7"/>
        <v>0</v>
      </c>
      <c r="L17" s="58">
        <f t="shared" si="7"/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0" customHeight="1">
      <c r="A18" s="52"/>
      <c r="B18" s="59"/>
      <c r="C18" s="54"/>
      <c r="D18" s="55">
        <f t="shared" si="3"/>
        <v>0</v>
      </c>
      <c r="E18" s="57"/>
      <c r="F18" s="58">
        <f t="shared" ref="F18:L18" si="8">SUMIFS($C18,$B18,F$7)+F17</f>
        <v>101</v>
      </c>
      <c r="G18" s="58">
        <f t="shared" si="8"/>
        <v>0</v>
      </c>
      <c r="H18" s="58">
        <f t="shared" si="8"/>
        <v>0</v>
      </c>
      <c r="I18" s="58">
        <f t="shared" si="8"/>
        <v>0</v>
      </c>
      <c r="J18" s="58">
        <f t="shared" si="8"/>
        <v>13</v>
      </c>
      <c r="K18" s="58">
        <f t="shared" si="8"/>
        <v>0</v>
      </c>
      <c r="L18" s="58">
        <f t="shared" si="8"/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0" customHeight="1">
      <c r="A19" s="52">
        <v>45945.0</v>
      </c>
      <c r="B19" s="53" t="s">
        <v>9</v>
      </c>
      <c r="C19" s="54">
        <v>32.0</v>
      </c>
      <c r="D19" s="55">
        <f t="shared" si="3"/>
        <v>17600</v>
      </c>
      <c r="E19" s="60"/>
      <c r="F19" s="58">
        <f t="shared" ref="F19:L19" si="9">SUMIFS($C19,$B19,F$7)+F18</f>
        <v>133</v>
      </c>
      <c r="G19" s="58">
        <f t="shared" si="9"/>
        <v>0</v>
      </c>
      <c r="H19" s="58">
        <f t="shared" si="9"/>
        <v>0</v>
      </c>
      <c r="I19" s="58">
        <f t="shared" si="9"/>
        <v>0</v>
      </c>
      <c r="J19" s="58">
        <f t="shared" si="9"/>
        <v>13</v>
      </c>
      <c r="K19" s="58">
        <f t="shared" si="9"/>
        <v>0</v>
      </c>
      <c r="L19" s="58">
        <f t="shared" si="9"/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0" customHeight="1">
      <c r="A20" s="52">
        <v>45945.0</v>
      </c>
      <c r="B20" s="53" t="s">
        <v>9</v>
      </c>
      <c r="C20" s="54">
        <v>-12.0</v>
      </c>
      <c r="D20" s="55">
        <f t="shared" si="3"/>
        <v>-6600</v>
      </c>
      <c r="E20" s="60" t="s">
        <v>13</v>
      </c>
      <c r="F20" s="58">
        <f t="shared" ref="F20:L20" si="10">SUMIFS($C20,$B20,F$7)+F19</f>
        <v>121</v>
      </c>
      <c r="G20" s="58">
        <f t="shared" si="10"/>
        <v>0</v>
      </c>
      <c r="H20" s="58">
        <f t="shared" si="10"/>
        <v>0</v>
      </c>
      <c r="I20" s="58">
        <f t="shared" si="10"/>
        <v>0</v>
      </c>
      <c r="J20" s="58">
        <f t="shared" si="10"/>
        <v>13</v>
      </c>
      <c r="K20" s="58">
        <f t="shared" si="10"/>
        <v>0</v>
      </c>
      <c r="L20" s="58">
        <f t="shared" si="10"/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0" customHeight="1">
      <c r="A21" s="52">
        <v>45945.0</v>
      </c>
      <c r="B21" s="53" t="s">
        <v>13</v>
      </c>
      <c r="C21" s="54">
        <v>12.0</v>
      </c>
      <c r="D21" s="55">
        <f t="shared" si="3"/>
        <v>6600</v>
      </c>
      <c r="E21" s="60"/>
      <c r="F21" s="58">
        <f t="shared" ref="F21:L21" si="11">SUMIFS($C21,$B21,F$7)+F20</f>
        <v>121</v>
      </c>
      <c r="G21" s="58">
        <f t="shared" si="11"/>
        <v>12</v>
      </c>
      <c r="H21" s="58">
        <f t="shared" si="11"/>
        <v>0</v>
      </c>
      <c r="I21" s="58">
        <f t="shared" si="11"/>
        <v>0</v>
      </c>
      <c r="J21" s="58">
        <f t="shared" si="11"/>
        <v>13</v>
      </c>
      <c r="K21" s="58">
        <f t="shared" si="11"/>
        <v>0</v>
      </c>
      <c r="L21" s="58">
        <f t="shared" si="11"/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0" customHeight="1">
      <c r="A22" s="52">
        <v>45945.0</v>
      </c>
      <c r="B22" s="53" t="s">
        <v>13</v>
      </c>
      <c r="C22" s="54">
        <v>-6.0</v>
      </c>
      <c r="D22" s="55">
        <f t="shared" si="3"/>
        <v>-3300</v>
      </c>
      <c r="E22" s="60" t="s">
        <v>16</v>
      </c>
      <c r="F22" s="58">
        <f t="shared" ref="F22:L22" si="12">SUMIFS($C22,$B22,F$7)+F21</f>
        <v>121</v>
      </c>
      <c r="G22" s="58">
        <f t="shared" si="12"/>
        <v>6</v>
      </c>
      <c r="H22" s="58">
        <f t="shared" si="12"/>
        <v>0</v>
      </c>
      <c r="I22" s="58">
        <f t="shared" si="12"/>
        <v>0</v>
      </c>
      <c r="J22" s="58">
        <f t="shared" si="12"/>
        <v>13</v>
      </c>
      <c r="K22" s="58">
        <f t="shared" si="12"/>
        <v>0</v>
      </c>
      <c r="L22" s="58">
        <f t="shared" si="12"/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0" customHeight="1">
      <c r="A23" s="52">
        <v>45945.0</v>
      </c>
      <c r="B23" s="53" t="s">
        <v>16</v>
      </c>
      <c r="C23" s="54">
        <v>6.0</v>
      </c>
      <c r="D23" s="55">
        <f t="shared" si="3"/>
        <v>3300</v>
      </c>
      <c r="E23" s="60"/>
      <c r="F23" s="58">
        <f t="shared" ref="F23:L23" si="13">SUMIFS($C23,$B23,F$7)+F22</f>
        <v>121</v>
      </c>
      <c r="G23" s="58">
        <f t="shared" si="13"/>
        <v>6</v>
      </c>
      <c r="H23" s="58">
        <f t="shared" si="13"/>
        <v>6</v>
      </c>
      <c r="I23" s="58">
        <f t="shared" si="13"/>
        <v>0</v>
      </c>
      <c r="J23" s="58">
        <f t="shared" si="13"/>
        <v>13</v>
      </c>
      <c r="K23" s="58">
        <f t="shared" si="13"/>
        <v>0</v>
      </c>
      <c r="L23" s="58">
        <f t="shared" si="13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0" customHeight="1">
      <c r="A24" s="52">
        <v>45945.0</v>
      </c>
      <c r="B24" s="53" t="s">
        <v>16</v>
      </c>
      <c r="C24" s="54">
        <v>-1.0</v>
      </c>
      <c r="D24" s="55">
        <f t="shared" si="3"/>
        <v>-550</v>
      </c>
      <c r="E24" s="60" t="s">
        <v>34</v>
      </c>
      <c r="F24" s="58">
        <f t="shared" ref="F24:L24" si="14">SUMIFS($C24,$B24,F$7)+F23</f>
        <v>121</v>
      </c>
      <c r="G24" s="58">
        <f t="shared" si="14"/>
        <v>6</v>
      </c>
      <c r="H24" s="58">
        <f t="shared" si="14"/>
        <v>5</v>
      </c>
      <c r="I24" s="58">
        <f t="shared" si="14"/>
        <v>0</v>
      </c>
      <c r="J24" s="58">
        <f t="shared" si="14"/>
        <v>13</v>
      </c>
      <c r="K24" s="58">
        <f t="shared" si="14"/>
        <v>0</v>
      </c>
      <c r="L24" s="58">
        <f t="shared" si="14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0" customHeight="1">
      <c r="A25" s="52"/>
      <c r="B25" s="53"/>
      <c r="C25" s="54"/>
      <c r="D25" s="55">
        <f t="shared" si="3"/>
        <v>0</v>
      </c>
      <c r="E25" s="57"/>
      <c r="F25" s="58">
        <f t="shared" ref="F25:L25" si="15">SUMIFS($C25,$B25,F$7)+F24</f>
        <v>121</v>
      </c>
      <c r="G25" s="58">
        <f t="shared" si="15"/>
        <v>6</v>
      </c>
      <c r="H25" s="58">
        <f t="shared" si="15"/>
        <v>5</v>
      </c>
      <c r="I25" s="58">
        <f t="shared" si="15"/>
        <v>0</v>
      </c>
      <c r="J25" s="58">
        <f t="shared" si="15"/>
        <v>13</v>
      </c>
      <c r="K25" s="58">
        <f t="shared" si="15"/>
        <v>0</v>
      </c>
      <c r="L25" s="58">
        <f t="shared" si="15"/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0" customHeight="1">
      <c r="A26" s="52">
        <v>45946.0</v>
      </c>
      <c r="B26" s="53" t="s">
        <v>9</v>
      </c>
      <c r="C26" s="54">
        <v>-10.0</v>
      </c>
      <c r="D26" s="55">
        <f t="shared" si="3"/>
        <v>-5500</v>
      </c>
      <c r="E26" s="60" t="s">
        <v>13</v>
      </c>
      <c r="F26" s="58">
        <f t="shared" ref="F26:L26" si="16">SUMIFS($C26,$B26,F$7)+F25</f>
        <v>111</v>
      </c>
      <c r="G26" s="58">
        <f t="shared" si="16"/>
        <v>6</v>
      </c>
      <c r="H26" s="58">
        <f t="shared" si="16"/>
        <v>5</v>
      </c>
      <c r="I26" s="58">
        <f t="shared" si="16"/>
        <v>0</v>
      </c>
      <c r="J26" s="58">
        <f t="shared" si="16"/>
        <v>13</v>
      </c>
      <c r="K26" s="58">
        <f t="shared" si="16"/>
        <v>0</v>
      </c>
      <c r="L26" s="58">
        <f t="shared" si="16"/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0" customHeight="1">
      <c r="A27" s="52">
        <v>45946.0</v>
      </c>
      <c r="B27" s="53" t="s">
        <v>13</v>
      </c>
      <c r="C27" s="54">
        <v>10.0</v>
      </c>
      <c r="D27" s="55">
        <f t="shared" si="3"/>
        <v>5500</v>
      </c>
      <c r="E27" s="57"/>
      <c r="F27" s="58">
        <f t="shared" ref="F27:L27" si="17">SUMIFS($C27,$B27,F$7)+F26</f>
        <v>111</v>
      </c>
      <c r="G27" s="58">
        <f t="shared" si="17"/>
        <v>16</v>
      </c>
      <c r="H27" s="58">
        <f t="shared" si="17"/>
        <v>5</v>
      </c>
      <c r="I27" s="58">
        <f t="shared" si="17"/>
        <v>0</v>
      </c>
      <c r="J27" s="58">
        <f t="shared" si="17"/>
        <v>13</v>
      </c>
      <c r="K27" s="58">
        <f t="shared" si="17"/>
        <v>0</v>
      </c>
      <c r="L27" s="58">
        <f t="shared" si="17"/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0" customHeight="1">
      <c r="A28" s="52">
        <v>45946.0</v>
      </c>
      <c r="B28" s="53" t="s">
        <v>13</v>
      </c>
      <c r="C28" s="54">
        <v>-6.0</v>
      </c>
      <c r="D28" s="55">
        <f t="shared" si="3"/>
        <v>-3300</v>
      </c>
      <c r="E28" s="60" t="s">
        <v>16</v>
      </c>
      <c r="F28" s="58">
        <f t="shared" ref="F28:L28" si="18">SUMIFS($C28,$B28,F$7)+F27</f>
        <v>111</v>
      </c>
      <c r="G28" s="58">
        <f t="shared" si="18"/>
        <v>10</v>
      </c>
      <c r="H28" s="58">
        <f t="shared" si="18"/>
        <v>5</v>
      </c>
      <c r="I28" s="58">
        <f t="shared" si="18"/>
        <v>0</v>
      </c>
      <c r="J28" s="58">
        <f t="shared" si="18"/>
        <v>13</v>
      </c>
      <c r="K28" s="58">
        <f t="shared" si="18"/>
        <v>0</v>
      </c>
      <c r="L28" s="58">
        <f t="shared" si="18"/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0" customHeight="1">
      <c r="A29" s="52">
        <v>45946.0</v>
      </c>
      <c r="B29" s="53" t="s">
        <v>16</v>
      </c>
      <c r="C29" s="54">
        <v>6.0</v>
      </c>
      <c r="D29" s="55">
        <f t="shared" si="3"/>
        <v>3300</v>
      </c>
      <c r="E29" s="57"/>
      <c r="F29" s="58">
        <f t="shared" ref="F29:L29" si="19">SUMIFS($C29,$B29,F$7)+F28</f>
        <v>111</v>
      </c>
      <c r="G29" s="58">
        <f t="shared" si="19"/>
        <v>10</v>
      </c>
      <c r="H29" s="58">
        <f t="shared" si="19"/>
        <v>11</v>
      </c>
      <c r="I29" s="58">
        <f t="shared" si="19"/>
        <v>0</v>
      </c>
      <c r="J29" s="58">
        <f t="shared" si="19"/>
        <v>13</v>
      </c>
      <c r="K29" s="58">
        <f t="shared" si="19"/>
        <v>0</v>
      </c>
      <c r="L29" s="58">
        <f t="shared" si="19"/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0" customHeight="1">
      <c r="A30" s="61"/>
      <c r="B30" s="62"/>
      <c r="C30" s="55"/>
      <c r="D30" s="55">
        <f t="shared" si="3"/>
        <v>0</v>
      </c>
      <c r="E30" s="57"/>
      <c r="F30" s="58">
        <f t="shared" ref="F30:L30" si="20">SUMIFS($C30,$B30,F$7)+F29</f>
        <v>111</v>
      </c>
      <c r="G30" s="58">
        <f t="shared" si="20"/>
        <v>10</v>
      </c>
      <c r="H30" s="58">
        <f t="shared" si="20"/>
        <v>11</v>
      </c>
      <c r="I30" s="58">
        <f t="shared" si="20"/>
        <v>0</v>
      </c>
      <c r="J30" s="58">
        <f t="shared" si="20"/>
        <v>13</v>
      </c>
      <c r="K30" s="58">
        <f t="shared" si="20"/>
        <v>0</v>
      </c>
      <c r="L30" s="58">
        <f t="shared" si="20"/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0" customHeight="1">
      <c r="A31" s="52">
        <v>45947.0</v>
      </c>
      <c r="B31" s="53" t="s">
        <v>9</v>
      </c>
      <c r="C31" s="54">
        <v>-10.0</v>
      </c>
      <c r="D31" s="55">
        <f t="shared" si="3"/>
        <v>-5500</v>
      </c>
      <c r="E31" s="60" t="s">
        <v>13</v>
      </c>
      <c r="F31" s="58">
        <f t="shared" ref="F31:L31" si="21">SUMIFS($C31,$B31,F$7)+F30</f>
        <v>101</v>
      </c>
      <c r="G31" s="58">
        <f t="shared" si="21"/>
        <v>10</v>
      </c>
      <c r="H31" s="58">
        <f t="shared" si="21"/>
        <v>11</v>
      </c>
      <c r="I31" s="58">
        <f t="shared" si="21"/>
        <v>0</v>
      </c>
      <c r="J31" s="58">
        <f t="shared" si="21"/>
        <v>13</v>
      </c>
      <c r="K31" s="58">
        <f t="shared" si="21"/>
        <v>0</v>
      </c>
      <c r="L31" s="58">
        <f t="shared" si="21"/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0" customHeight="1">
      <c r="A32" s="52">
        <v>45947.0</v>
      </c>
      <c r="B32" s="64" t="s">
        <v>16</v>
      </c>
      <c r="C32" s="65">
        <v>-2.0</v>
      </c>
      <c r="D32" s="66">
        <f t="shared" si="3"/>
        <v>-1100</v>
      </c>
      <c r="E32" s="56" t="s">
        <v>40</v>
      </c>
      <c r="F32" s="58">
        <f t="shared" ref="F32:L32" si="22">SUMIFS($C32,$B32,F$7)+F31</f>
        <v>101</v>
      </c>
      <c r="G32" s="58">
        <f t="shared" si="22"/>
        <v>10</v>
      </c>
      <c r="H32" s="58">
        <f t="shared" si="22"/>
        <v>9</v>
      </c>
      <c r="I32" s="58">
        <f t="shared" si="22"/>
        <v>0</v>
      </c>
      <c r="J32" s="58">
        <f t="shared" si="22"/>
        <v>13</v>
      </c>
      <c r="K32" s="58">
        <f t="shared" si="22"/>
        <v>0</v>
      </c>
      <c r="L32" s="58">
        <f t="shared" si="22"/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0" customHeight="1">
      <c r="A33" s="52">
        <v>45947.0</v>
      </c>
      <c r="B33" s="64" t="s">
        <v>13</v>
      </c>
      <c r="C33" s="65">
        <v>12.0</v>
      </c>
      <c r="D33" s="66">
        <f t="shared" si="3"/>
        <v>6600</v>
      </c>
      <c r="E33" s="67"/>
      <c r="F33" s="58">
        <f t="shared" ref="F33:L33" si="23">SUMIFS($C33,$B33,F$7)+F32</f>
        <v>101</v>
      </c>
      <c r="G33" s="58">
        <f t="shared" si="23"/>
        <v>22</v>
      </c>
      <c r="H33" s="58">
        <f t="shared" si="23"/>
        <v>9</v>
      </c>
      <c r="I33" s="58">
        <f t="shared" si="23"/>
        <v>0</v>
      </c>
      <c r="J33" s="58">
        <f t="shared" si="23"/>
        <v>13</v>
      </c>
      <c r="K33" s="58">
        <f t="shared" si="23"/>
        <v>0</v>
      </c>
      <c r="L33" s="58">
        <f t="shared" si="23"/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0" customHeight="1">
      <c r="A34" s="68">
        <v>45947.0</v>
      </c>
      <c r="B34" s="64" t="s">
        <v>16</v>
      </c>
      <c r="C34" s="65">
        <v>-1.0</v>
      </c>
      <c r="D34" s="66">
        <f t="shared" si="3"/>
        <v>-550</v>
      </c>
      <c r="E34" s="60" t="s">
        <v>42</v>
      </c>
      <c r="F34" s="58">
        <f t="shared" ref="F34:L34" si="24">SUMIFS($C34,$B34,F$7)+F33</f>
        <v>101</v>
      </c>
      <c r="G34" s="58">
        <f t="shared" si="24"/>
        <v>22</v>
      </c>
      <c r="H34" s="58">
        <f t="shared" si="24"/>
        <v>8</v>
      </c>
      <c r="I34" s="58">
        <f t="shared" si="24"/>
        <v>0</v>
      </c>
      <c r="J34" s="58">
        <f t="shared" si="24"/>
        <v>13</v>
      </c>
      <c r="K34" s="58">
        <f t="shared" si="24"/>
        <v>0</v>
      </c>
      <c r="L34" s="58">
        <f t="shared" si="24"/>
        <v>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0" customHeight="1">
      <c r="A35" s="68"/>
      <c r="B35" s="69"/>
      <c r="C35" s="65"/>
      <c r="D35" s="66">
        <f t="shared" si="3"/>
        <v>0</v>
      </c>
      <c r="E35" s="56"/>
      <c r="F35" s="58">
        <f t="shared" ref="F35:L35" si="25">SUMIFS($C35,$B35,F$7)+F34</f>
        <v>101</v>
      </c>
      <c r="G35" s="58">
        <f t="shared" si="25"/>
        <v>22</v>
      </c>
      <c r="H35" s="58">
        <f t="shared" si="25"/>
        <v>8</v>
      </c>
      <c r="I35" s="58">
        <f t="shared" si="25"/>
        <v>0</v>
      </c>
      <c r="J35" s="58">
        <f t="shared" si="25"/>
        <v>13</v>
      </c>
      <c r="K35" s="58">
        <f t="shared" si="25"/>
        <v>0</v>
      </c>
      <c r="L35" s="58">
        <f t="shared" si="25"/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0" customHeight="1">
      <c r="A36" s="68">
        <v>45948.0</v>
      </c>
      <c r="B36" s="64" t="s">
        <v>9</v>
      </c>
      <c r="C36" s="65">
        <v>-18.0</v>
      </c>
      <c r="D36" s="66">
        <f t="shared" si="3"/>
        <v>-9900</v>
      </c>
      <c r="E36" s="56" t="s">
        <v>13</v>
      </c>
      <c r="F36" s="58">
        <f t="shared" ref="F36:L36" si="26">SUMIFS($C36,$B36,F$7)+F35</f>
        <v>83</v>
      </c>
      <c r="G36" s="58">
        <f t="shared" si="26"/>
        <v>22</v>
      </c>
      <c r="H36" s="58">
        <f t="shared" si="26"/>
        <v>8</v>
      </c>
      <c r="I36" s="58">
        <f t="shared" si="26"/>
        <v>0</v>
      </c>
      <c r="J36" s="58">
        <f t="shared" si="26"/>
        <v>13</v>
      </c>
      <c r="K36" s="58">
        <f t="shared" si="26"/>
        <v>0</v>
      </c>
      <c r="L36" s="58">
        <f t="shared" si="26"/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0" customHeight="1">
      <c r="A37" s="68">
        <v>45948.0</v>
      </c>
      <c r="B37" s="64" t="s">
        <v>16</v>
      </c>
      <c r="C37" s="65">
        <v>-6.0</v>
      </c>
      <c r="D37" s="66">
        <f t="shared" si="3"/>
        <v>-3300</v>
      </c>
      <c r="E37" s="56" t="s">
        <v>40</v>
      </c>
      <c r="F37" s="58">
        <f t="shared" ref="F37:L37" si="27">SUMIFS($C37,$B37,F$7)+F36</f>
        <v>83</v>
      </c>
      <c r="G37" s="58">
        <f t="shared" si="27"/>
        <v>22</v>
      </c>
      <c r="H37" s="58">
        <f t="shared" si="27"/>
        <v>2</v>
      </c>
      <c r="I37" s="58">
        <f t="shared" si="27"/>
        <v>0</v>
      </c>
      <c r="J37" s="58">
        <f t="shared" si="27"/>
        <v>13</v>
      </c>
      <c r="K37" s="58">
        <f t="shared" si="27"/>
        <v>0</v>
      </c>
      <c r="L37" s="58">
        <f t="shared" si="27"/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0" customHeight="1">
      <c r="A38" s="68">
        <v>45948.0</v>
      </c>
      <c r="B38" s="64" t="s">
        <v>13</v>
      </c>
      <c r="C38" s="65">
        <v>24.0</v>
      </c>
      <c r="D38" s="66">
        <f t="shared" si="3"/>
        <v>13200</v>
      </c>
      <c r="E38" s="56"/>
      <c r="F38" s="58">
        <f t="shared" ref="F38:L38" si="28">SUMIFS($C38,$B38,F$7)+F37</f>
        <v>83</v>
      </c>
      <c r="G38" s="58">
        <f t="shared" si="28"/>
        <v>46</v>
      </c>
      <c r="H38" s="58">
        <f t="shared" si="28"/>
        <v>2</v>
      </c>
      <c r="I38" s="58">
        <f t="shared" si="28"/>
        <v>0</v>
      </c>
      <c r="J38" s="58">
        <f t="shared" si="28"/>
        <v>13</v>
      </c>
      <c r="K38" s="58">
        <f t="shared" si="28"/>
        <v>0</v>
      </c>
      <c r="L38" s="58">
        <f t="shared" si="28"/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0" customHeight="1">
      <c r="A39" s="68">
        <v>45948.0</v>
      </c>
      <c r="B39" s="64" t="s">
        <v>13</v>
      </c>
      <c r="C39" s="65">
        <v>-1.0</v>
      </c>
      <c r="D39" s="66">
        <f t="shared" si="3"/>
        <v>-550</v>
      </c>
      <c r="E39" s="56" t="s">
        <v>16</v>
      </c>
      <c r="F39" s="58">
        <f t="shared" ref="F39:L39" si="29">SUMIFS($C39,$B39,F$7)+F38</f>
        <v>83</v>
      </c>
      <c r="G39" s="58">
        <f t="shared" si="29"/>
        <v>45</v>
      </c>
      <c r="H39" s="58">
        <f t="shared" si="29"/>
        <v>2</v>
      </c>
      <c r="I39" s="58">
        <f t="shared" si="29"/>
        <v>0</v>
      </c>
      <c r="J39" s="58">
        <f t="shared" si="29"/>
        <v>13</v>
      </c>
      <c r="K39" s="58">
        <f t="shared" si="29"/>
        <v>0</v>
      </c>
      <c r="L39" s="58">
        <f t="shared" si="29"/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0" customHeight="1">
      <c r="A40" s="68">
        <v>45948.0</v>
      </c>
      <c r="B40" s="64" t="s">
        <v>16</v>
      </c>
      <c r="C40" s="65">
        <v>1.0</v>
      </c>
      <c r="D40" s="66">
        <f t="shared" si="3"/>
        <v>550</v>
      </c>
      <c r="E40" s="56"/>
      <c r="F40" s="58">
        <f t="shared" ref="F40:L40" si="30">SUMIFS($C40,$B40,F$7)+F39</f>
        <v>83</v>
      </c>
      <c r="G40" s="58">
        <f t="shared" si="30"/>
        <v>45</v>
      </c>
      <c r="H40" s="58">
        <f t="shared" si="30"/>
        <v>3</v>
      </c>
      <c r="I40" s="58">
        <f t="shared" si="30"/>
        <v>0</v>
      </c>
      <c r="J40" s="58">
        <f t="shared" si="30"/>
        <v>13</v>
      </c>
      <c r="K40" s="58">
        <f t="shared" si="30"/>
        <v>0</v>
      </c>
      <c r="L40" s="58">
        <f t="shared" si="30"/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0" customHeight="1">
      <c r="A41" s="68">
        <v>45948.0</v>
      </c>
      <c r="B41" s="64" t="s">
        <v>16</v>
      </c>
      <c r="C41" s="65">
        <v>-1.0</v>
      </c>
      <c r="D41" s="66">
        <f t="shared" si="3"/>
        <v>-550</v>
      </c>
      <c r="E41" s="60" t="s">
        <v>46</v>
      </c>
      <c r="F41" s="58">
        <f t="shared" ref="F41:L41" si="31">SUMIFS($C41,$B41,F$7)+F40</f>
        <v>83</v>
      </c>
      <c r="G41" s="58">
        <f t="shared" si="31"/>
        <v>45</v>
      </c>
      <c r="H41" s="58">
        <f t="shared" si="31"/>
        <v>2</v>
      </c>
      <c r="I41" s="58">
        <f t="shared" si="31"/>
        <v>0</v>
      </c>
      <c r="J41" s="58">
        <f t="shared" si="31"/>
        <v>13</v>
      </c>
      <c r="K41" s="58">
        <f t="shared" si="31"/>
        <v>0</v>
      </c>
      <c r="L41" s="58">
        <f t="shared" si="31"/>
        <v>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0" customHeight="1">
      <c r="A42" s="68">
        <v>45948.0</v>
      </c>
      <c r="B42" s="64" t="s">
        <v>13</v>
      </c>
      <c r="C42" s="65">
        <v>-1.0</v>
      </c>
      <c r="D42" s="66">
        <f t="shared" si="3"/>
        <v>-550</v>
      </c>
      <c r="E42" s="60" t="s">
        <v>49</v>
      </c>
      <c r="F42" s="58">
        <f t="shared" ref="F42:L42" si="32">SUMIFS($C42,$B42,F$7)+F41</f>
        <v>83</v>
      </c>
      <c r="G42" s="58">
        <f t="shared" si="32"/>
        <v>44</v>
      </c>
      <c r="H42" s="58">
        <f t="shared" si="32"/>
        <v>2</v>
      </c>
      <c r="I42" s="58">
        <f t="shared" si="32"/>
        <v>0</v>
      </c>
      <c r="J42" s="58">
        <f t="shared" si="32"/>
        <v>13</v>
      </c>
      <c r="K42" s="58">
        <f t="shared" si="32"/>
        <v>0</v>
      </c>
      <c r="L42" s="58">
        <f t="shared" si="32"/>
        <v>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0" customHeight="1">
      <c r="A43" s="68">
        <v>45948.0</v>
      </c>
      <c r="B43" s="64" t="s">
        <v>9</v>
      </c>
      <c r="C43" s="65">
        <v>-1.0</v>
      </c>
      <c r="D43" s="66">
        <f t="shared" si="3"/>
        <v>-550</v>
      </c>
      <c r="E43" s="60" t="s">
        <v>50</v>
      </c>
      <c r="F43" s="58">
        <f t="shared" ref="F43:L43" si="33">SUMIFS($C43,$B43,F$7)+F42</f>
        <v>82</v>
      </c>
      <c r="G43" s="58">
        <f t="shared" si="33"/>
        <v>44</v>
      </c>
      <c r="H43" s="58">
        <f t="shared" si="33"/>
        <v>2</v>
      </c>
      <c r="I43" s="58">
        <f t="shared" si="33"/>
        <v>0</v>
      </c>
      <c r="J43" s="58">
        <f t="shared" si="33"/>
        <v>13</v>
      </c>
      <c r="K43" s="58">
        <f t="shared" si="33"/>
        <v>0</v>
      </c>
      <c r="L43" s="58">
        <f t="shared" si="33"/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0" customHeight="1">
      <c r="A44" s="68"/>
      <c r="B44" s="69"/>
      <c r="C44" s="65"/>
      <c r="D44" s="66">
        <f t="shared" si="3"/>
        <v>0</v>
      </c>
      <c r="E44" s="67"/>
      <c r="F44" s="58">
        <f t="shared" ref="F44:L44" si="34">SUMIFS($C44,$B44,F$7)+F43</f>
        <v>82</v>
      </c>
      <c r="G44" s="58">
        <f t="shared" si="34"/>
        <v>44</v>
      </c>
      <c r="H44" s="58">
        <f t="shared" si="34"/>
        <v>2</v>
      </c>
      <c r="I44" s="58">
        <f t="shared" si="34"/>
        <v>0</v>
      </c>
      <c r="J44" s="58">
        <f t="shared" si="34"/>
        <v>13</v>
      </c>
      <c r="K44" s="58">
        <f t="shared" si="34"/>
        <v>0</v>
      </c>
      <c r="L44" s="58">
        <f t="shared" si="34"/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0" customHeight="1">
      <c r="A45" s="68">
        <v>45950.0</v>
      </c>
      <c r="B45" s="64" t="s">
        <v>9</v>
      </c>
      <c r="C45" s="65">
        <v>-24.0</v>
      </c>
      <c r="D45" s="66">
        <f t="shared" si="3"/>
        <v>-13200</v>
      </c>
      <c r="E45" s="56" t="s">
        <v>13</v>
      </c>
      <c r="F45" s="58">
        <f t="shared" ref="F45:L45" si="35">SUMIFS($C45,$B45,F$7)+F44</f>
        <v>58</v>
      </c>
      <c r="G45" s="58">
        <f t="shared" si="35"/>
        <v>44</v>
      </c>
      <c r="H45" s="58">
        <f t="shared" si="35"/>
        <v>2</v>
      </c>
      <c r="I45" s="58">
        <f t="shared" si="35"/>
        <v>0</v>
      </c>
      <c r="J45" s="58">
        <f t="shared" si="35"/>
        <v>13</v>
      </c>
      <c r="K45" s="58">
        <f t="shared" si="35"/>
        <v>0</v>
      </c>
      <c r="L45" s="58">
        <f t="shared" si="35"/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0" customHeight="1">
      <c r="A46" s="68">
        <v>45950.0</v>
      </c>
      <c r="B46" s="64" t="s">
        <v>13</v>
      </c>
      <c r="C46" s="65">
        <v>24.0</v>
      </c>
      <c r="D46" s="66">
        <f t="shared" si="3"/>
        <v>13200</v>
      </c>
      <c r="E46" s="56"/>
      <c r="F46" s="58">
        <f t="shared" ref="F46:L46" si="36">SUMIFS($C46,$B46,F$7)+F45</f>
        <v>58</v>
      </c>
      <c r="G46" s="58">
        <f t="shared" si="36"/>
        <v>68</v>
      </c>
      <c r="H46" s="58">
        <f t="shared" si="36"/>
        <v>2</v>
      </c>
      <c r="I46" s="58">
        <f t="shared" si="36"/>
        <v>0</v>
      </c>
      <c r="J46" s="58">
        <f t="shared" si="36"/>
        <v>13</v>
      </c>
      <c r="K46" s="58">
        <f t="shared" si="36"/>
        <v>0</v>
      </c>
      <c r="L46" s="58">
        <f t="shared" si="36"/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0" customHeight="1">
      <c r="A47" s="68">
        <v>45950.0</v>
      </c>
      <c r="B47" s="64" t="s">
        <v>13</v>
      </c>
      <c r="C47" s="65">
        <v>-2.0</v>
      </c>
      <c r="D47" s="66">
        <f t="shared" si="3"/>
        <v>-1100</v>
      </c>
      <c r="E47" s="56" t="s">
        <v>16</v>
      </c>
      <c r="F47" s="58">
        <f t="shared" ref="F47:L47" si="37">SUMIFS($C47,$B47,F$7)+F46</f>
        <v>58</v>
      </c>
      <c r="G47" s="58">
        <f t="shared" si="37"/>
        <v>66</v>
      </c>
      <c r="H47" s="58">
        <f t="shared" si="37"/>
        <v>2</v>
      </c>
      <c r="I47" s="58">
        <f t="shared" si="37"/>
        <v>0</v>
      </c>
      <c r="J47" s="58">
        <f t="shared" si="37"/>
        <v>13</v>
      </c>
      <c r="K47" s="58">
        <f t="shared" si="37"/>
        <v>0</v>
      </c>
      <c r="L47" s="58">
        <f t="shared" si="37"/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0" customHeight="1">
      <c r="A48" s="68">
        <v>45950.0</v>
      </c>
      <c r="B48" s="64" t="s">
        <v>16</v>
      </c>
      <c r="C48" s="65">
        <v>2.0</v>
      </c>
      <c r="D48" s="66">
        <f t="shared" si="3"/>
        <v>1100</v>
      </c>
      <c r="E48" s="67"/>
      <c r="F48" s="58">
        <f t="shared" ref="F48:L48" si="38">SUMIFS($C48,$B48,F$7)+F47</f>
        <v>58</v>
      </c>
      <c r="G48" s="58">
        <f t="shared" si="38"/>
        <v>66</v>
      </c>
      <c r="H48" s="58">
        <f t="shared" si="38"/>
        <v>4</v>
      </c>
      <c r="I48" s="58">
        <f t="shared" si="38"/>
        <v>0</v>
      </c>
      <c r="J48" s="58">
        <f t="shared" si="38"/>
        <v>13</v>
      </c>
      <c r="K48" s="58">
        <f t="shared" si="38"/>
        <v>0</v>
      </c>
      <c r="L48" s="58">
        <f t="shared" si="38"/>
        <v>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0" customHeight="1">
      <c r="A49" s="68">
        <v>45950.0</v>
      </c>
      <c r="B49" s="64" t="s">
        <v>9</v>
      </c>
      <c r="C49" s="65">
        <v>-2.0</v>
      </c>
      <c r="D49" s="66">
        <f t="shared" si="3"/>
        <v>-1100</v>
      </c>
      <c r="E49" s="60" t="s">
        <v>54</v>
      </c>
      <c r="F49" s="58">
        <f t="shared" ref="F49:L49" si="39">SUMIFS($C49,$B49,F$7)+F48</f>
        <v>56</v>
      </c>
      <c r="G49" s="58">
        <f t="shared" si="39"/>
        <v>66</v>
      </c>
      <c r="H49" s="58">
        <f t="shared" si="39"/>
        <v>4</v>
      </c>
      <c r="I49" s="58">
        <f t="shared" si="39"/>
        <v>0</v>
      </c>
      <c r="J49" s="58">
        <f t="shared" si="39"/>
        <v>13</v>
      </c>
      <c r="K49" s="58">
        <f t="shared" si="39"/>
        <v>0</v>
      </c>
      <c r="L49" s="58">
        <f t="shared" si="39"/>
        <v>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0" customHeight="1">
      <c r="A50" s="70"/>
      <c r="B50" s="71"/>
      <c r="C50" s="66"/>
      <c r="D50" s="66">
        <f t="shared" si="3"/>
        <v>0</v>
      </c>
      <c r="E50" s="67"/>
      <c r="F50" s="58">
        <f t="shared" ref="F50:L50" si="40">SUMIFS($C50,$B50,F$7)+F49</f>
        <v>56</v>
      </c>
      <c r="G50" s="58">
        <f t="shared" si="40"/>
        <v>66</v>
      </c>
      <c r="H50" s="58">
        <f t="shared" si="40"/>
        <v>4</v>
      </c>
      <c r="I50" s="58">
        <f t="shared" si="40"/>
        <v>0</v>
      </c>
      <c r="J50" s="58">
        <f t="shared" si="40"/>
        <v>13</v>
      </c>
      <c r="K50" s="58">
        <f t="shared" si="40"/>
        <v>0</v>
      </c>
      <c r="L50" s="58">
        <f t="shared" si="40"/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0" customHeight="1">
      <c r="A51" s="68">
        <v>45951.0</v>
      </c>
      <c r="B51" s="64" t="s">
        <v>9</v>
      </c>
      <c r="C51" s="65">
        <v>-24.0</v>
      </c>
      <c r="D51" s="66">
        <f t="shared" si="3"/>
        <v>-13200</v>
      </c>
      <c r="E51" s="56" t="s">
        <v>13</v>
      </c>
      <c r="F51" s="58">
        <f t="shared" ref="F51:L51" si="41">SUMIFS($C51,$B51,F$7)+F50</f>
        <v>32</v>
      </c>
      <c r="G51" s="58">
        <f t="shared" si="41"/>
        <v>66</v>
      </c>
      <c r="H51" s="58">
        <f t="shared" si="41"/>
        <v>4</v>
      </c>
      <c r="I51" s="58">
        <f t="shared" si="41"/>
        <v>0</v>
      </c>
      <c r="J51" s="58">
        <f t="shared" si="41"/>
        <v>13</v>
      </c>
      <c r="K51" s="58">
        <f t="shared" si="41"/>
        <v>0</v>
      </c>
      <c r="L51" s="58">
        <f t="shared" si="41"/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0" customHeight="1">
      <c r="A52" s="68">
        <v>45951.0</v>
      </c>
      <c r="B52" s="64" t="s">
        <v>13</v>
      </c>
      <c r="C52" s="65">
        <v>24.0</v>
      </c>
      <c r="D52" s="66">
        <f t="shared" si="3"/>
        <v>13200</v>
      </c>
      <c r="E52" s="67"/>
      <c r="F52" s="58">
        <f t="shared" ref="F52:L52" si="42">SUMIFS($C52,$B52,F$7)+F51</f>
        <v>32</v>
      </c>
      <c r="G52" s="58">
        <f t="shared" si="42"/>
        <v>90</v>
      </c>
      <c r="H52" s="58">
        <f t="shared" si="42"/>
        <v>4</v>
      </c>
      <c r="I52" s="58">
        <f t="shared" si="42"/>
        <v>0</v>
      </c>
      <c r="J52" s="58">
        <f t="shared" si="42"/>
        <v>13</v>
      </c>
      <c r="K52" s="58">
        <f t="shared" si="42"/>
        <v>0</v>
      </c>
      <c r="L52" s="58">
        <f t="shared" si="42"/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0" customHeight="1">
      <c r="A53" s="68">
        <v>45951.0</v>
      </c>
      <c r="B53" s="64" t="s">
        <v>9</v>
      </c>
      <c r="C53" s="65">
        <v>-2.0</v>
      </c>
      <c r="D53" s="66">
        <f t="shared" si="3"/>
        <v>-1100</v>
      </c>
      <c r="E53" s="60" t="s">
        <v>56</v>
      </c>
      <c r="F53" s="58">
        <f t="shared" ref="F53:L53" si="43">SUMIFS($C53,$B53,F$7)+F52</f>
        <v>30</v>
      </c>
      <c r="G53" s="58">
        <f t="shared" si="43"/>
        <v>90</v>
      </c>
      <c r="H53" s="58">
        <f t="shared" si="43"/>
        <v>4</v>
      </c>
      <c r="I53" s="58">
        <f t="shared" si="43"/>
        <v>0</v>
      </c>
      <c r="J53" s="58">
        <f t="shared" si="43"/>
        <v>13</v>
      </c>
      <c r="K53" s="58">
        <f t="shared" si="43"/>
        <v>0</v>
      </c>
      <c r="L53" s="58">
        <f t="shared" si="43"/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0" customHeight="1">
      <c r="A54" s="70"/>
      <c r="B54" s="71"/>
      <c r="C54" s="66"/>
      <c r="D54" s="66">
        <f t="shared" si="3"/>
        <v>0</v>
      </c>
      <c r="E54" s="67"/>
      <c r="F54" s="58">
        <f t="shared" ref="F54:L54" si="44">SUMIFS($C54,$B54,F$7)+F53</f>
        <v>30</v>
      </c>
      <c r="G54" s="58">
        <f t="shared" si="44"/>
        <v>90</v>
      </c>
      <c r="H54" s="58">
        <f t="shared" si="44"/>
        <v>4</v>
      </c>
      <c r="I54" s="58">
        <f t="shared" si="44"/>
        <v>0</v>
      </c>
      <c r="J54" s="58">
        <f t="shared" si="44"/>
        <v>13</v>
      </c>
      <c r="K54" s="58">
        <f t="shared" si="44"/>
        <v>0</v>
      </c>
      <c r="L54" s="58">
        <f t="shared" si="44"/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0" customHeight="1">
      <c r="A55" s="68">
        <v>45952.0</v>
      </c>
      <c r="B55" s="64" t="s">
        <v>13</v>
      </c>
      <c r="C55" s="65">
        <v>-1.0</v>
      </c>
      <c r="D55" s="66">
        <f t="shared" si="3"/>
        <v>-550</v>
      </c>
      <c r="E55" s="60" t="s">
        <v>59</v>
      </c>
      <c r="F55" s="58">
        <f t="shared" ref="F55:L55" si="45">SUMIFS($C55,$B55,F$7)+F54</f>
        <v>30</v>
      </c>
      <c r="G55" s="58">
        <f t="shared" si="45"/>
        <v>89</v>
      </c>
      <c r="H55" s="58">
        <f t="shared" si="45"/>
        <v>4</v>
      </c>
      <c r="I55" s="58">
        <f t="shared" si="45"/>
        <v>0</v>
      </c>
      <c r="J55" s="58">
        <f t="shared" si="45"/>
        <v>13</v>
      </c>
      <c r="K55" s="58">
        <f t="shared" si="45"/>
        <v>0</v>
      </c>
      <c r="L55" s="58">
        <f t="shared" si="45"/>
        <v>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0" customHeight="1">
      <c r="A56" s="70"/>
      <c r="B56" s="71"/>
      <c r="C56" s="66"/>
      <c r="D56" s="66">
        <f t="shared" si="3"/>
        <v>0</v>
      </c>
      <c r="E56" s="67"/>
      <c r="F56" s="58">
        <f t="shared" ref="F56:L56" si="46">SUMIFS($C56,$B56,F$7)+F55</f>
        <v>30</v>
      </c>
      <c r="G56" s="58">
        <f t="shared" si="46"/>
        <v>89</v>
      </c>
      <c r="H56" s="58">
        <f t="shared" si="46"/>
        <v>4</v>
      </c>
      <c r="I56" s="58">
        <f t="shared" si="46"/>
        <v>0</v>
      </c>
      <c r="J56" s="58">
        <f t="shared" si="46"/>
        <v>13</v>
      </c>
      <c r="K56" s="58">
        <f t="shared" si="46"/>
        <v>0</v>
      </c>
      <c r="L56" s="58">
        <f t="shared" si="46"/>
        <v>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0" customHeight="1">
      <c r="A57" s="68">
        <v>45954.0</v>
      </c>
      <c r="B57" s="64" t="s">
        <v>13</v>
      </c>
      <c r="C57" s="65">
        <v>-89.0</v>
      </c>
      <c r="D57" s="66">
        <f t="shared" si="3"/>
        <v>-48950</v>
      </c>
      <c r="E57" s="67"/>
      <c r="F57" s="58">
        <f t="shared" ref="F57:L57" si="47">SUMIFS($C57,$B57,F$7)+F56</f>
        <v>30</v>
      </c>
      <c r="G57" s="58">
        <f t="shared" si="47"/>
        <v>0</v>
      </c>
      <c r="H57" s="58">
        <f t="shared" si="47"/>
        <v>4</v>
      </c>
      <c r="I57" s="58">
        <f t="shared" si="47"/>
        <v>0</v>
      </c>
      <c r="J57" s="58">
        <f t="shared" si="47"/>
        <v>13</v>
      </c>
      <c r="K57" s="58">
        <f t="shared" si="47"/>
        <v>0</v>
      </c>
      <c r="L57" s="58">
        <f t="shared" si="47"/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0" customHeight="1">
      <c r="A58" s="68">
        <v>45954.0</v>
      </c>
      <c r="B58" s="64" t="s">
        <v>16</v>
      </c>
      <c r="C58" s="65">
        <v>-4.0</v>
      </c>
      <c r="D58" s="66">
        <f t="shared" si="3"/>
        <v>-2200</v>
      </c>
      <c r="E58" s="67"/>
      <c r="F58" s="58">
        <f t="shared" ref="F58:L58" si="48">SUMIFS($C58,$B58,F$7)+F57</f>
        <v>30</v>
      </c>
      <c r="G58" s="58">
        <f t="shared" si="48"/>
        <v>0</v>
      </c>
      <c r="H58" s="58">
        <f t="shared" si="48"/>
        <v>0</v>
      </c>
      <c r="I58" s="58">
        <f t="shared" si="48"/>
        <v>0</v>
      </c>
      <c r="J58" s="58">
        <f t="shared" si="48"/>
        <v>13</v>
      </c>
      <c r="K58" s="58">
        <f t="shared" si="48"/>
        <v>0</v>
      </c>
      <c r="L58" s="58">
        <f t="shared" si="48"/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0" customHeight="1">
      <c r="A59" s="68">
        <v>45954.0</v>
      </c>
      <c r="B59" s="64" t="s">
        <v>17</v>
      </c>
      <c r="C59" s="65">
        <v>93.0</v>
      </c>
      <c r="D59" s="66">
        <f t="shared" si="3"/>
        <v>51150</v>
      </c>
      <c r="E59" s="56" t="s">
        <v>62</v>
      </c>
      <c r="F59" s="58">
        <f t="shared" ref="F59:L59" si="49">SUMIFS($C59,$B59,F$7)+F58</f>
        <v>30</v>
      </c>
      <c r="G59" s="58">
        <f t="shared" si="49"/>
        <v>0</v>
      </c>
      <c r="H59" s="58">
        <f t="shared" si="49"/>
        <v>0</v>
      </c>
      <c r="I59" s="58">
        <f t="shared" si="49"/>
        <v>93</v>
      </c>
      <c r="J59" s="58">
        <f t="shared" si="49"/>
        <v>13</v>
      </c>
      <c r="K59" s="58">
        <f t="shared" si="49"/>
        <v>0</v>
      </c>
      <c r="L59" s="58">
        <f t="shared" si="49"/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0" customHeight="1">
      <c r="A60" s="70"/>
      <c r="B60" s="71"/>
      <c r="C60" s="66"/>
      <c r="D60" s="66">
        <f t="shared" si="3"/>
        <v>0</v>
      </c>
      <c r="E60" s="67"/>
      <c r="F60" s="58">
        <f t="shared" ref="F60:L60" si="50">SUMIFS($C60,$B60,F$7)+F59</f>
        <v>30</v>
      </c>
      <c r="G60" s="58">
        <f t="shared" si="50"/>
        <v>0</v>
      </c>
      <c r="H60" s="58">
        <f t="shared" si="50"/>
        <v>0</v>
      </c>
      <c r="I60" s="58">
        <f t="shared" si="50"/>
        <v>93</v>
      </c>
      <c r="J60" s="58">
        <f t="shared" si="50"/>
        <v>13</v>
      </c>
      <c r="K60" s="58">
        <f t="shared" si="50"/>
        <v>0</v>
      </c>
      <c r="L60" s="58">
        <f t="shared" si="50"/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0" customHeight="1">
      <c r="A61" s="68">
        <v>45955.0</v>
      </c>
      <c r="B61" s="64" t="s">
        <v>17</v>
      </c>
      <c r="C61" s="65">
        <v>-6.0</v>
      </c>
      <c r="D61" s="66">
        <f t="shared" si="3"/>
        <v>-3300</v>
      </c>
      <c r="E61" s="56" t="s">
        <v>16</v>
      </c>
      <c r="F61" s="58">
        <f t="shared" ref="F61:L61" si="51">SUMIFS($C61,$B61,F$7)+F60</f>
        <v>30</v>
      </c>
      <c r="G61" s="58">
        <f t="shared" si="51"/>
        <v>0</v>
      </c>
      <c r="H61" s="58">
        <f t="shared" si="51"/>
        <v>0</v>
      </c>
      <c r="I61" s="58">
        <f t="shared" si="51"/>
        <v>87</v>
      </c>
      <c r="J61" s="58">
        <f t="shared" si="51"/>
        <v>13</v>
      </c>
      <c r="K61" s="58">
        <f t="shared" si="51"/>
        <v>0</v>
      </c>
      <c r="L61" s="58">
        <f t="shared" si="51"/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0" customHeight="1">
      <c r="A62" s="68">
        <v>45955.0</v>
      </c>
      <c r="B62" s="64" t="s">
        <v>16</v>
      </c>
      <c r="C62" s="65">
        <v>6.0</v>
      </c>
      <c r="D62" s="66">
        <f t="shared" si="3"/>
        <v>3300</v>
      </c>
      <c r="E62" s="67"/>
      <c r="F62" s="58">
        <f t="shared" ref="F62:L62" si="52">SUMIFS($C62,$B62,F$7)+F61</f>
        <v>30</v>
      </c>
      <c r="G62" s="58">
        <f t="shared" si="52"/>
        <v>0</v>
      </c>
      <c r="H62" s="58">
        <f t="shared" si="52"/>
        <v>6</v>
      </c>
      <c r="I62" s="58">
        <f t="shared" si="52"/>
        <v>87</v>
      </c>
      <c r="J62" s="58">
        <f t="shared" si="52"/>
        <v>13</v>
      </c>
      <c r="K62" s="58">
        <f t="shared" si="52"/>
        <v>0</v>
      </c>
      <c r="L62" s="58">
        <f t="shared" si="52"/>
        <v>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0" customHeight="1">
      <c r="A63" s="70"/>
      <c r="B63" s="71"/>
      <c r="C63" s="66"/>
      <c r="D63" s="66">
        <f t="shared" si="3"/>
        <v>0</v>
      </c>
      <c r="E63" s="67"/>
      <c r="F63" s="58">
        <f t="shared" ref="F63:L63" si="53">SUMIFS($C63,$B63,F$7)+F62</f>
        <v>30</v>
      </c>
      <c r="G63" s="58">
        <f t="shared" si="53"/>
        <v>0</v>
      </c>
      <c r="H63" s="58">
        <f t="shared" si="53"/>
        <v>6</v>
      </c>
      <c r="I63" s="58">
        <f t="shared" si="53"/>
        <v>87</v>
      </c>
      <c r="J63" s="58">
        <f t="shared" si="53"/>
        <v>13</v>
      </c>
      <c r="K63" s="58">
        <f t="shared" si="53"/>
        <v>0</v>
      </c>
      <c r="L63" s="58">
        <f t="shared" si="53"/>
        <v>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0" customHeight="1">
      <c r="A64" s="68">
        <v>45957.0</v>
      </c>
      <c r="B64" s="64" t="s">
        <v>17</v>
      </c>
      <c r="C64" s="65">
        <v>-6.0</v>
      </c>
      <c r="D64" s="66">
        <f t="shared" si="3"/>
        <v>-3300</v>
      </c>
      <c r="E64" s="56" t="s">
        <v>16</v>
      </c>
      <c r="F64" s="58">
        <f t="shared" ref="F64:L64" si="54">SUMIFS($C64,$B64,F$7)+F63</f>
        <v>30</v>
      </c>
      <c r="G64" s="58">
        <f t="shared" si="54"/>
        <v>0</v>
      </c>
      <c r="H64" s="58">
        <f t="shared" si="54"/>
        <v>6</v>
      </c>
      <c r="I64" s="58">
        <f t="shared" si="54"/>
        <v>81</v>
      </c>
      <c r="J64" s="58">
        <f t="shared" si="54"/>
        <v>13</v>
      </c>
      <c r="K64" s="58">
        <f t="shared" si="54"/>
        <v>0</v>
      </c>
      <c r="L64" s="58">
        <f t="shared" si="54"/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0" customHeight="1">
      <c r="A65" s="68">
        <v>45957.0</v>
      </c>
      <c r="B65" s="64" t="s">
        <v>16</v>
      </c>
      <c r="C65" s="65">
        <v>6.0</v>
      </c>
      <c r="D65" s="66">
        <f t="shared" si="3"/>
        <v>3300</v>
      </c>
      <c r="E65" s="67"/>
      <c r="F65" s="58">
        <f t="shared" ref="F65:L65" si="55">SUMIFS($C65,$B65,F$7)+F64</f>
        <v>30</v>
      </c>
      <c r="G65" s="58">
        <f t="shared" si="55"/>
        <v>0</v>
      </c>
      <c r="H65" s="58">
        <f t="shared" si="55"/>
        <v>12</v>
      </c>
      <c r="I65" s="58">
        <f t="shared" si="55"/>
        <v>81</v>
      </c>
      <c r="J65" s="58">
        <f t="shared" si="55"/>
        <v>13</v>
      </c>
      <c r="K65" s="58">
        <f t="shared" si="55"/>
        <v>0</v>
      </c>
      <c r="L65" s="58">
        <f t="shared" si="55"/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0" customHeight="1">
      <c r="A66" s="70"/>
      <c r="B66" s="71"/>
      <c r="C66" s="66"/>
      <c r="D66" s="66">
        <f t="shared" si="3"/>
        <v>0</v>
      </c>
      <c r="E66" s="67"/>
      <c r="F66" s="58">
        <f t="shared" ref="F66:L66" si="56">SUMIFS($C66,$B66,F$7)+F65</f>
        <v>30</v>
      </c>
      <c r="G66" s="58">
        <f t="shared" si="56"/>
        <v>0</v>
      </c>
      <c r="H66" s="58">
        <f t="shared" si="56"/>
        <v>12</v>
      </c>
      <c r="I66" s="58">
        <f t="shared" si="56"/>
        <v>81</v>
      </c>
      <c r="J66" s="58">
        <f t="shared" si="56"/>
        <v>13</v>
      </c>
      <c r="K66" s="58">
        <f t="shared" si="56"/>
        <v>0</v>
      </c>
      <c r="L66" s="58">
        <f t="shared" si="56"/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0" customHeight="1">
      <c r="A67" s="68">
        <v>45958.0</v>
      </c>
      <c r="B67" s="64" t="s">
        <v>17</v>
      </c>
      <c r="C67" s="65">
        <v>-6.0</v>
      </c>
      <c r="D67" s="66">
        <f t="shared" si="3"/>
        <v>-3300</v>
      </c>
      <c r="E67" s="56" t="s">
        <v>16</v>
      </c>
      <c r="F67" s="58">
        <f t="shared" ref="F67:L67" si="57">SUMIFS($C67,$B67,F$7)+F66</f>
        <v>30</v>
      </c>
      <c r="G67" s="58">
        <f t="shared" si="57"/>
        <v>0</v>
      </c>
      <c r="H67" s="58">
        <f t="shared" si="57"/>
        <v>12</v>
      </c>
      <c r="I67" s="58">
        <f t="shared" si="57"/>
        <v>75</v>
      </c>
      <c r="J67" s="58">
        <f t="shared" si="57"/>
        <v>13</v>
      </c>
      <c r="K67" s="58">
        <f t="shared" si="57"/>
        <v>0</v>
      </c>
      <c r="L67" s="58">
        <f t="shared" si="57"/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0" customHeight="1">
      <c r="A68" s="68">
        <v>45958.0</v>
      </c>
      <c r="B68" s="64" t="s">
        <v>16</v>
      </c>
      <c r="C68" s="65">
        <v>6.0</v>
      </c>
      <c r="D68" s="66">
        <f t="shared" si="3"/>
        <v>3300</v>
      </c>
      <c r="E68" s="67"/>
      <c r="F68" s="58">
        <f t="shared" ref="F68:L68" si="58">SUMIFS($C68,$B68,F$7)+F67</f>
        <v>30</v>
      </c>
      <c r="G68" s="58">
        <f t="shared" si="58"/>
        <v>0</v>
      </c>
      <c r="H68" s="58">
        <f t="shared" si="58"/>
        <v>18</v>
      </c>
      <c r="I68" s="58">
        <f t="shared" si="58"/>
        <v>75</v>
      </c>
      <c r="J68" s="58">
        <f t="shared" si="58"/>
        <v>13</v>
      </c>
      <c r="K68" s="58">
        <f t="shared" si="58"/>
        <v>0</v>
      </c>
      <c r="L68" s="58">
        <f t="shared" si="58"/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0" customHeight="1">
      <c r="A69" s="70"/>
      <c r="B69" s="71"/>
      <c r="C69" s="66"/>
      <c r="D69" s="66">
        <f t="shared" si="3"/>
        <v>0</v>
      </c>
      <c r="E69" s="67"/>
      <c r="F69" s="58">
        <f t="shared" ref="F69:L69" si="59">SUMIFS($C69,$B69,F$7)+F68</f>
        <v>30</v>
      </c>
      <c r="G69" s="58">
        <f t="shared" si="59"/>
        <v>0</v>
      </c>
      <c r="H69" s="58">
        <f t="shared" si="59"/>
        <v>18</v>
      </c>
      <c r="I69" s="58">
        <f t="shared" si="59"/>
        <v>75</v>
      </c>
      <c r="J69" s="58">
        <f t="shared" si="59"/>
        <v>13</v>
      </c>
      <c r="K69" s="58">
        <f t="shared" si="59"/>
        <v>0</v>
      </c>
      <c r="L69" s="58">
        <f t="shared" si="59"/>
        <v>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0" customHeight="1">
      <c r="A70" s="68">
        <v>45959.0</v>
      </c>
      <c r="B70" s="64" t="s">
        <v>17</v>
      </c>
      <c r="C70" s="65">
        <v>-7.0</v>
      </c>
      <c r="D70" s="66">
        <f t="shared" si="3"/>
        <v>-3850</v>
      </c>
      <c r="E70" s="56" t="s">
        <v>16</v>
      </c>
      <c r="F70" s="58">
        <f t="shared" ref="F70:L70" si="60">SUMIFS($C70,$B70,F$7)+F69</f>
        <v>30</v>
      </c>
      <c r="G70" s="58">
        <f t="shared" si="60"/>
        <v>0</v>
      </c>
      <c r="H70" s="58">
        <f t="shared" si="60"/>
        <v>18</v>
      </c>
      <c r="I70" s="58">
        <f t="shared" si="60"/>
        <v>68</v>
      </c>
      <c r="J70" s="58">
        <f t="shared" si="60"/>
        <v>13</v>
      </c>
      <c r="K70" s="58">
        <f t="shared" si="60"/>
        <v>0</v>
      </c>
      <c r="L70" s="58">
        <f t="shared" si="60"/>
        <v>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0" customHeight="1">
      <c r="A71" s="68">
        <v>45959.0</v>
      </c>
      <c r="B71" s="64" t="s">
        <v>16</v>
      </c>
      <c r="C71" s="65">
        <v>7.0</v>
      </c>
      <c r="D71" s="66">
        <f t="shared" si="3"/>
        <v>3850</v>
      </c>
      <c r="E71" s="67"/>
      <c r="F71" s="58">
        <f t="shared" ref="F71:L71" si="61">SUMIFS($C71,$B71,F$7)+F70</f>
        <v>30</v>
      </c>
      <c r="G71" s="58">
        <f t="shared" si="61"/>
        <v>0</v>
      </c>
      <c r="H71" s="58">
        <f t="shared" si="61"/>
        <v>25</v>
      </c>
      <c r="I71" s="58">
        <f t="shared" si="61"/>
        <v>68</v>
      </c>
      <c r="J71" s="58">
        <f t="shared" si="61"/>
        <v>13</v>
      </c>
      <c r="K71" s="58">
        <f t="shared" si="61"/>
        <v>0</v>
      </c>
      <c r="L71" s="58">
        <f t="shared" si="61"/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0" customHeight="1">
      <c r="A72" s="68">
        <v>45959.0</v>
      </c>
      <c r="B72" s="64" t="s">
        <v>16</v>
      </c>
      <c r="C72" s="65">
        <v>-25.0</v>
      </c>
      <c r="D72" s="66">
        <f t="shared" si="3"/>
        <v>-13750</v>
      </c>
      <c r="E72" s="67"/>
      <c r="F72" s="58">
        <f t="shared" ref="F72:L72" si="62">SUMIFS($C72,$B72,F$7)+F71</f>
        <v>30</v>
      </c>
      <c r="G72" s="58">
        <f t="shared" si="62"/>
        <v>0</v>
      </c>
      <c r="H72" s="58">
        <f t="shared" si="62"/>
        <v>0</v>
      </c>
      <c r="I72" s="58">
        <f t="shared" si="62"/>
        <v>68</v>
      </c>
      <c r="J72" s="58">
        <f t="shared" si="62"/>
        <v>13</v>
      </c>
      <c r="K72" s="58">
        <f t="shared" si="62"/>
        <v>0</v>
      </c>
      <c r="L72" s="58">
        <f t="shared" si="62"/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0" customHeight="1">
      <c r="A73" s="68">
        <v>45959.0</v>
      </c>
      <c r="B73" s="64" t="s">
        <v>17</v>
      </c>
      <c r="C73" s="65">
        <v>25.0</v>
      </c>
      <c r="D73" s="66">
        <f t="shared" si="3"/>
        <v>13750</v>
      </c>
      <c r="E73" s="56" t="s">
        <v>73</v>
      </c>
      <c r="F73" s="58">
        <f t="shared" ref="F73:L73" si="63">SUMIFS($C73,$B73,F$7)+F72</f>
        <v>30</v>
      </c>
      <c r="G73" s="58">
        <f t="shared" si="63"/>
        <v>0</v>
      </c>
      <c r="H73" s="58">
        <f t="shared" si="63"/>
        <v>0</v>
      </c>
      <c r="I73" s="58">
        <f t="shared" si="63"/>
        <v>93</v>
      </c>
      <c r="J73" s="58">
        <f t="shared" si="63"/>
        <v>13</v>
      </c>
      <c r="K73" s="58">
        <f t="shared" si="63"/>
        <v>0</v>
      </c>
      <c r="L73" s="58">
        <f t="shared" si="63"/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0" customHeight="1">
      <c r="A74" s="70"/>
      <c r="B74" s="71"/>
      <c r="C74" s="66"/>
      <c r="D74" s="66">
        <f t="shared" si="3"/>
        <v>0</v>
      </c>
      <c r="E74" s="67"/>
      <c r="F74" s="58">
        <f t="shared" ref="F74:L74" si="64">SUMIFS($C74,$B74,F$7)+F73</f>
        <v>30</v>
      </c>
      <c r="G74" s="58">
        <f t="shared" si="64"/>
        <v>0</v>
      </c>
      <c r="H74" s="58">
        <f t="shared" si="64"/>
        <v>0</v>
      </c>
      <c r="I74" s="58">
        <f t="shared" si="64"/>
        <v>93</v>
      </c>
      <c r="J74" s="58">
        <f t="shared" si="64"/>
        <v>13</v>
      </c>
      <c r="K74" s="58">
        <f t="shared" si="64"/>
        <v>0</v>
      </c>
      <c r="L74" s="58">
        <f t="shared" si="64"/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0" customHeight="1">
      <c r="A75" s="68">
        <v>45996.0</v>
      </c>
      <c r="B75" s="64" t="s">
        <v>17</v>
      </c>
      <c r="C75" s="65">
        <v>-88.0</v>
      </c>
      <c r="D75" s="66">
        <f t="shared" si="3"/>
        <v>-48400</v>
      </c>
      <c r="E75" s="56" t="s">
        <v>75</v>
      </c>
      <c r="F75" s="58">
        <f t="shared" ref="F75:L75" si="65">SUMIFS($C75,$B75,F$7)+F74</f>
        <v>30</v>
      </c>
      <c r="G75" s="58">
        <f t="shared" si="65"/>
        <v>0</v>
      </c>
      <c r="H75" s="58">
        <f t="shared" si="65"/>
        <v>0</v>
      </c>
      <c r="I75" s="58">
        <f t="shared" si="65"/>
        <v>5</v>
      </c>
      <c r="J75" s="58">
        <f t="shared" si="65"/>
        <v>13</v>
      </c>
      <c r="K75" s="58">
        <f t="shared" si="65"/>
        <v>0</v>
      </c>
      <c r="L75" s="58">
        <f t="shared" si="65"/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0" customHeight="1">
      <c r="A76" s="70"/>
      <c r="B76" s="71"/>
      <c r="C76" s="66"/>
      <c r="D76" s="66">
        <f t="shared" si="3"/>
        <v>0</v>
      </c>
      <c r="E76" s="67"/>
      <c r="F76" s="58">
        <f t="shared" ref="F76:L76" si="66">SUMIFS($C76,$B76,F$7)+F75</f>
        <v>30</v>
      </c>
      <c r="G76" s="58">
        <f t="shared" si="66"/>
        <v>0</v>
      </c>
      <c r="H76" s="58">
        <f t="shared" si="66"/>
        <v>0</v>
      </c>
      <c r="I76" s="58">
        <f t="shared" si="66"/>
        <v>5</v>
      </c>
      <c r="J76" s="58">
        <f t="shared" si="66"/>
        <v>13</v>
      </c>
      <c r="K76" s="58">
        <f t="shared" si="66"/>
        <v>0</v>
      </c>
      <c r="L76" s="58">
        <f t="shared" si="66"/>
        <v>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0" customHeight="1">
      <c r="A77" s="68">
        <v>46055.0</v>
      </c>
      <c r="B77" s="64" t="s">
        <v>9</v>
      </c>
      <c r="C77" s="65">
        <v>7.0</v>
      </c>
      <c r="D77" s="66">
        <f t="shared" si="3"/>
        <v>3850</v>
      </c>
      <c r="E77" s="67"/>
      <c r="F77" s="58">
        <f t="shared" ref="F77:L77" si="67">SUMIFS($C77,$B77,F$7)+F76</f>
        <v>37</v>
      </c>
      <c r="G77" s="58">
        <f t="shared" si="67"/>
        <v>0</v>
      </c>
      <c r="H77" s="58">
        <f t="shared" si="67"/>
        <v>0</v>
      </c>
      <c r="I77" s="58">
        <f t="shared" si="67"/>
        <v>5</v>
      </c>
      <c r="J77" s="58">
        <f t="shared" si="67"/>
        <v>13</v>
      </c>
      <c r="K77" s="58">
        <f t="shared" si="67"/>
        <v>0</v>
      </c>
      <c r="L77" s="58">
        <f t="shared" si="67"/>
        <v>0</v>
      </c>
      <c r="M77" s="3"/>
      <c r="N77" s="73" t="s">
        <v>77</v>
      </c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0" customHeight="1">
      <c r="A78" s="70"/>
      <c r="B78" s="71"/>
      <c r="C78" s="66"/>
      <c r="D78" s="66">
        <f t="shared" si="3"/>
        <v>0</v>
      </c>
      <c r="E78" s="67"/>
      <c r="F78" s="58">
        <f t="shared" ref="F78:L78" si="68">SUMIFS($C78,$B78,F$7)+F77</f>
        <v>37</v>
      </c>
      <c r="G78" s="58">
        <f t="shared" si="68"/>
        <v>0</v>
      </c>
      <c r="H78" s="58">
        <f t="shared" si="68"/>
        <v>0</v>
      </c>
      <c r="I78" s="58">
        <f t="shared" si="68"/>
        <v>5</v>
      </c>
      <c r="J78" s="58">
        <f t="shared" si="68"/>
        <v>13</v>
      </c>
      <c r="K78" s="58">
        <f t="shared" si="68"/>
        <v>0</v>
      </c>
      <c r="L78" s="58">
        <f t="shared" si="68"/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0" customHeight="1">
      <c r="A79" s="68">
        <v>46056.0</v>
      </c>
      <c r="B79" s="64" t="s">
        <v>9</v>
      </c>
      <c r="C79" s="65">
        <v>31.0</v>
      </c>
      <c r="D79" s="66">
        <f t="shared" si="3"/>
        <v>17050</v>
      </c>
      <c r="E79" s="67"/>
      <c r="F79" s="58">
        <f t="shared" ref="F79:L79" si="69">SUMIFS($C79,$B79,F$7)+F78</f>
        <v>68</v>
      </c>
      <c r="G79" s="58">
        <f t="shared" si="69"/>
        <v>0</v>
      </c>
      <c r="H79" s="58">
        <f t="shared" si="69"/>
        <v>0</v>
      </c>
      <c r="I79" s="58">
        <f t="shared" si="69"/>
        <v>5</v>
      </c>
      <c r="J79" s="58">
        <f t="shared" si="69"/>
        <v>13</v>
      </c>
      <c r="K79" s="58">
        <f t="shared" si="69"/>
        <v>0</v>
      </c>
      <c r="L79" s="58">
        <f t="shared" si="69"/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0" customHeight="1">
      <c r="A80" s="70"/>
      <c r="B80" s="71"/>
      <c r="C80" s="66"/>
      <c r="D80" s="66">
        <f t="shared" si="3"/>
        <v>0</v>
      </c>
      <c r="E80" s="67"/>
      <c r="F80" s="58">
        <f t="shared" ref="F80:L80" si="70">SUMIFS($C80,$B80,F$7)+F79</f>
        <v>68</v>
      </c>
      <c r="G80" s="58">
        <f t="shared" si="70"/>
        <v>0</v>
      </c>
      <c r="H80" s="58">
        <f t="shared" si="70"/>
        <v>0</v>
      </c>
      <c r="I80" s="58">
        <f t="shared" si="70"/>
        <v>5</v>
      </c>
      <c r="J80" s="58">
        <f t="shared" si="70"/>
        <v>13</v>
      </c>
      <c r="K80" s="58">
        <f t="shared" si="70"/>
        <v>0</v>
      </c>
      <c r="L80" s="58">
        <f t="shared" si="70"/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0" customHeight="1">
      <c r="A81" s="68">
        <v>46057.0</v>
      </c>
      <c r="B81" s="64" t="s">
        <v>9</v>
      </c>
      <c r="C81" s="65">
        <v>27.0</v>
      </c>
      <c r="D81" s="66">
        <f t="shared" si="3"/>
        <v>14850</v>
      </c>
      <c r="E81" s="67"/>
      <c r="F81" s="58">
        <f t="shared" ref="F81:L81" si="71">SUMIFS($C81,$B81,F$7)+F80</f>
        <v>95</v>
      </c>
      <c r="G81" s="58">
        <f t="shared" si="71"/>
        <v>0</v>
      </c>
      <c r="H81" s="58">
        <f t="shared" si="71"/>
        <v>0</v>
      </c>
      <c r="I81" s="58">
        <f t="shared" si="71"/>
        <v>5</v>
      </c>
      <c r="J81" s="58">
        <f t="shared" si="71"/>
        <v>13</v>
      </c>
      <c r="K81" s="58">
        <f t="shared" si="71"/>
        <v>0</v>
      </c>
      <c r="L81" s="58">
        <f t="shared" si="71"/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0" customHeight="1">
      <c r="A82" s="70"/>
      <c r="B82" s="71"/>
      <c r="C82" s="66"/>
      <c r="D82" s="66">
        <f t="shared" si="3"/>
        <v>0</v>
      </c>
      <c r="E82" s="67"/>
      <c r="F82" s="58">
        <f t="shared" ref="F82:L82" si="72">SUMIFS($C82,$B82,F$7)+F81</f>
        <v>95</v>
      </c>
      <c r="G82" s="58">
        <f t="shared" si="72"/>
        <v>0</v>
      </c>
      <c r="H82" s="58">
        <f t="shared" si="72"/>
        <v>0</v>
      </c>
      <c r="I82" s="58">
        <f t="shared" si="72"/>
        <v>5</v>
      </c>
      <c r="J82" s="58">
        <f t="shared" si="72"/>
        <v>13</v>
      </c>
      <c r="K82" s="58">
        <f t="shared" si="72"/>
        <v>0</v>
      </c>
      <c r="L82" s="58">
        <f t="shared" si="72"/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0" customHeight="1">
      <c r="A83" s="68">
        <v>46058.0</v>
      </c>
      <c r="B83" s="64" t="s">
        <v>9</v>
      </c>
      <c r="C83" s="65">
        <v>24.0</v>
      </c>
      <c r="D83" s="66">
        <f t="shared" si="3"/>
        <v>13200</v>
      </c>
      <c r="E83" s="67"/>
      <c r="F83" s="58">
        <f t="shared" ref="F83:L83" si="73">SUMIFS($C83,$B83,F$7)+F82</f>
        <v>119</v>
      </c>
      <c r="G83" s="58">
        <f t="shared" si="73"/>
        <v>0</v>
      </c>
      <c r="H83" s="58">
        <f t="shared" si="73"/>
        <v>0</v>
      </c>
      <c r="I83" s="58">
        <f t="shared" si="73"/>
        <v>5</v>
      </c>
      <c r="J83" s="58">
        <f t="shared" si="73"/>
        <v>13</v>
      </c>
      <c r="K83" s="58">
        <f t="shared" si="73"/>
        <v>0</v>
      </c>
      <c r="L83" s="58">
        <f t="shared" si="73"/>
        <v>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0" customHeight="1">
      <c r="A84" s="70"/>
      <c r="B84" s="64" t="s">
        <v>13</v>
      </c>
      <c r="C84" s="65">
        <v>5.0</v>
      </c>
      <c r="D84" s="66">
        <f t="shared" si="3"/>
        <v>2750</v>
      </c>
      <c r="E84" s="56" t="s">
        <v>84</v>
      </c>
      <c r="F84" s="58">
        <f t="shared" ref="F84:L84" si="74">SUMIFS($C84,$B84,F$7)+F83</f>
        <v>119</v>
      </c>
      <c r="G84" s="58">
        <f t="shared" si="74"/>
        <v>5</v>
      </c>
      <c r="H84" s="58">
        <f t="shared" si="74"/>
        <v>0</v>
      </c>
      <c r="I84" s="58">
        <f t="shared" si="74"/>
        <v>5</v>
      </c>
      <c r="J84" s="58">
        <f t="shared" si="74"/>
        <v>13</v>
      </c>
      <c r="K84" s="58">
        <f t="shared" si="74"/>
        <v>0</v>
      </c>
      <c r="L84" s="58">
        <f t="shared" si="74"/>
        <v>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0" customHeight="1">
      <c r="A85" s="70"/>
      <c r="B85" s="64" t="s">
        <v>9</v>
      </c>
      <c r="C85" s="65">
        <v>-5.0</v>
      </c>
      <c r="D85" s="66">
        <f t="shared" si="3"/>
        <v>-2750</v>
      </c>
      <c r="E85" s="56" t="s">
        <v>85</v>
      </c>
      <c r="F85" s="58">
        <f t="shared" ref="F85:L85" si="75">SUMIFS($C85,$B85,F$7)+F84</f>
        <v>114</v>
      </c>
      <c r="G85" s="58">
        <f t="shared" si="75"/>
        <v>5</v>
      </c>
      <c r="H85" s="58">
        <f t="shared" si="75"/>
        <v>0</v>
      </c>
      <c r="I85" s="58">
        <f t="shared" si="75"/>
        <v>5</v>
      </c>
      <c r="J85" s="58">
        <f t="shared" si="75"/>
        <v>13</v>
      </c>
      <c r="K85" s="58">
        <f t="shared" si="75"/>
        <v>0</v>
      </c>
      <c r="L85" s="58">
        <f t="shared" si="75"/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0" customHeight="1">
      <c r="A86" s="70"/>
      <c r="B86" s="71"/>
      <c r="C86" s="66"/>
      <c r="D86" s="66">
        <f t="shared" si="3"/>
        <v>0</v>
      </c>
      <c r="E86" s="67"/>
      <c r="F86" s="58">
        <f t="shared" ref="F86:L86" si="76">SUMIFS($C86,$B86,F$7)+F85</f>
        <v>114</v>
      </c>
      <c r="G86" s="58">
        <f t="shared" si="76"/>
        <v>5</v>
      </c>
      <c r="H86" s="58">
        <f t="shared" si="76"/>
        <v>0</v>
      </c>
      <c r="I86" s="58">
        <f t="shared" si="76"/>
        <v>5</v>
      </c>
      <c r="J86" s="58">
        <f t="shared" si="76"/>
        <v>13</v>
      </c>
      <c r="K86" s="58">
        <f t="shared" si="76"/>
        <v>0</v>
      </c>
      <c r="L86" s="58">
        <f t="shared" si="76"/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0" customHeight="1">
      <c r="A87" s="68">
        <v>46059.0</v>
      </c>
      <c r="B87" s="64" t="s">
        <v>9</v>
      </c>
      <c r="C87" s="65">
        <v>10.0</v>
      </c>
      <c r="D87" s="66">
        <f t="shared" si="3"/>
        <v>5500</v>
      </c>
      <c r="E87" s="67"/>
      <c r="F87" s="58">
        <f t="shared" ref="F87:L87" si="77">SUMIFS($C87,$B87,F$7)+F86</f>
        <v>124</v>
      </c>
      <c r="G87" s="58">
        <f t="shared" si="77"/>
        <v>5</v>
      </c>
      <c r="H87" s="58">
        <f t="shared" si="77"/>
        <v>0</v>
      </c>
      <c r="I87" s="58">
        <f t="shared" si="77"/>
        <v>5</v>
      </c>
      <c r="J87" s="58">
        <f t="shared" si="77"/>
        <v>13</v>
      </c>
      <c r="K87" s="58">
        <f t="shared" si="77"/>
        <v>0</v>
      </c>
      <c r="L87" s="58">
        <f t="shared" si="77"/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0" customHeight="1">
      <c r="A88" s="70"/>
      <c r="B88" s="64" t="s">
        <v>13</v>
      </c>
      <c r="C88" s="65">
        <v>8.0</v>
      </c>
      <c r="D88" s="66">
        <f t="shared" si="3"/>
        <v>4400</v>
      </c>
      <c r="E88" s="56" t="s">
        <v>86</v>
      </c>
      <c r="F88" s="58">
        <f t="shared" ref="F88:L88" si="78">SUMIFS($C88,$B88,F$7)+F87</f>
        <v>124</v>
      </c>
      <c r="G88" s="58">
        <f t="shared" si="78"/>
        <v>13</v>
      </c>
      <c r="H88" s="58">
        <f t="shared" si="78"/>
        <v>0</v>
      </c>
      <c r="I88" s="58">
        <f t="shared" si="78"/>
        <v>5</v>
      </c>
      <c r="J88" s="58">
        <f t="shared" si="78"/>
        <v>13</v>
      </c>
      <c r="K88" s="58">
        <f t="shared" si="78"/>
        <v>0</v>
      </c>
      <c r="L88" s="58">
        <f t="shared" si="78"/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0" customHeight="1">
      <c r="A89" s="70"/>
      <c r="B89" s="64" t="s">
        <v>9</v>
      </c>
      <c r="C89" s="65">
        <v>-8.0</v>
      </c>
      <c r="D89" s="66">
        <f t="shared" si="3"/>
        <v>-4400</v>
      </c>
      <c r="E89" s="67"/>
      <c r="F89" s="58">
        <f t="shared" ref="F89:L89" si="79">SUMIFS($C89,$B89,F$7)+F88</f>
        <v>116</v>
      </c>
      <c r="G89" s="58">
        <f t="shared" si="79"/>
        <v>13</v>
      </c>
      <c r="H89" s="58">
        <f t="shared" si="79"/>
        <v>0</v>
      </c>
      <c r="I89" s="58">
        <f t="shared" si="79"/>
        <v>5</v>
      </c>
      <c r="J89" s="58">
        <f t="shared" si="79"/>
        <v>13</v>
      </c>
      <c r="K89" s="58">
        <f t="shared" si="79"/>
        <v>0</v>
      </c>
      <c r="L89" s="58">
        <f t="shared" si="79"/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0" customHeight="1">
      <c r="A90" s="70"/>
      <c r="B90" s="64" t="s">
        <v>16</v>
      </c>
      <c r="C90" s="65">
        <v>3.0</v>
      </c>
      <c r="D90" s="66">
        <f t="shared" si="3"/>
        <v>1650</v>
      </c>
      <c r="E90" s="56" t="s">
        <v>89</v>
      </c>
      <c r="F90" s="58">
        <f t="shared" ref="F90:L90" si="80">SUMIFS($C90,$B90,F$7)+F89</f>
        <v>116</v>
      </c>
      <c r="G90" s="58">
        <f t="shared" si="80"/>
        <v>13</v>
      </c>
      <c r="H90" s="58">
        <f t="shared" si="80"/>
        <v>3</v>
      </c>
      <c r="I90" s="58">
        <f t="shared" si="80"/>
        <v>5</v>
      </c>
      <c r="J90" s="58">
        <f t="shared" si="80"/>
        <v>13</v>
      </c>
      <c r="K90" s="58">
        <f t="shared" si="80"/>
        <v>0</v>
      </c>
      <c r="L90" s="58">
        <f t="shared" si="80"/>
        <v>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0" customHeight="1">
      <c r="A91" s="70"/>
      <c r="B91" s="64" t="s">
        <v>9</v>
      </c>
      <c r="C91" s="65">
        <v>-3.0</v>
      </c>
      <c r="D91" s="66">
        <f t="shared" si="3"/>
        <v>-1650</v>
      </c>
      <c r="E91" s="67"/>
      <c r="F91" s="58">
        <f t="shared" ref="F91:L91" si="81">SUMIFS($C91,$B91,F$7)+F90</f>
        <v>113</v>
      </c>
      <c r="G91" s="58">
        <f t="shared" si="81"/>
        <v>13</v>
      </c>
      <c r="H91" s="58">
        <f t="shared" si="81"/>
        <v>3</v>
      </c>
      <c r="I91" s="58">
        <f t="shared" si="81"/>
        <v>5</v>
      </c>
      <c r="J91" s="58">
        <f t="shared" si="81"/>
        <v>13</v>
      </c>
      <c r="K91" s="58">
        <f t="shared" si="81"/>
        <v>0</v>
      </c>
      <c r="L91" s="58">
        <f t="shared" si="81"/>
        <v>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0" customHeight="1">
      <c r="A92" s="70"/>
      <c r="B92" s="71"/>
      <c r="C92" s="66"/>
      <c r="D92" s="66">
        <f t="shared" si="3"/>
        <v>0</v>
      </c>
      <c r="E92" s="67"/>
      <c r="F92" s="58">
        <f t="shared" ref="F92:L92" si="82">SUMIFS($C92,$B92,F$7)+F91</f>
        <v>113</v>
      </c>
      <c r="G92" s="58">
        <f t="shared" si="82"/>
        <v>13</v>
      </c>
      <c r="H92" s="58">
        <f t="shared" si="82"/>
        <v>3</v>
      </c>
      <c r="I92" s="58">
        <f t="shared" si="82"/>
        <v>5</v>
      </c>
      <c r="J92" s="58">
        <f t="shared" si="82"/>
        <v>13</v>
      </c>
      <c r="K92" s="58">
        <f t="shared" si="82"/>
        <v>0</v>
      </c>
      <c r="L92" s="58">
        <f t="shared" si="82"/>
        <v>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0" customHeight="1">
      <c r="A93" s="68">
        <v>46060.0</v>
      </c>
      <c r="B93" s="64" t="s">
        <v>16</v>
      </c>
      <c r="C93" s="65">
        <v>6.0</v>
      </c>
      <c r="D93" s="66">
        <f t="shared" si="3"/>
        <v>3300</v>
      </c>
      <c r="E93" s="56" t="s">
        <v>92</v>
      </c>
      <c r="F93" s="58">
        <f t="shared" ref="F93:L93" si="83">SUMIFS($C93,$B93,F$7)+F92</f>
        <v>113</v>
      </c>
      <c r="G93" s="58">
        <f t="shared" si="83"/>
        <v>13</v>
      </c>
      <c r="H93" s="58">
        <f t="shared" si="83"/>
        <v>9</v>
      </c>
      <c r="I93" s="58">
        <f t="shared" si="83"/>
        <v>5</v>
      </c>
      <c r="J93" s="58">
        <f t="shared" si="83"/>
        <v>13</v>
      </c>
      <c r="K93" s="58">
        <f t="shared" si="83"/>
        <v>0</v>
      </c>
      <c r="L93" s="58">
        <f t="shared" si="83"/>
        <v>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0" customHeight="1">
      <c r="A94" s="70"/>
      <c r="B94" s="64" t="s">
        <v>9</v>
      </c>
      <c r="C94" s="65">
        <v>-6.0</v>
      </c>
      <c r="D94" s="66">
        <f t="shared" si="3"/>
        <v>-3300</v>
      </c>
      <c r="E94" s="56" t="s">
        <v>45</v>
      </c>
      <c r="F94" s="58">
        <f t="shared" ref="F94:L94" si="84">SUMIFS($C94,$B94,F$7)+F93</f>
        <v>107</v>
      </c>
      <c r="G94" s="58">
        <f t="shared" si="84"/>
        <v>13</v>
      </c>
      <c r="H94" s="58">
        <f t="shared" si="84"/>
        <v>9</v>
      </c>
      <c r="I94" s="58">
        <f t="shared" si="84"/>
        <v>5</v>
      </c>
      <c r="J94" s="58">
        <f t="shared" si="84"/>
        <v>13</v>
      </c>
      <c r="K94" s="58">
        <f t="shared" si="84"/>
        <v>0</v>
      </c>
      <c r="L94" s="58">
        <f t="shared" si="84"/>
        <v>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0" customHeight="1">
      <c r="A95" s="70"/>
      <c r="B95" s="64" t="s">
        <v>13</v>
      </c>
      <c r="C95" s="65">
        <v>6.0</v>
      </c>
      <c r="D95" s="66">
        <f t="shared" si="3"/>
        <v>3300</v>
      </c>
      <c r="E95" s="56" t="s">
        <v>93</v>
      </c>
      <c r="F95" s="58">
        <f t="shared" ref="F95:L95" si="85">SUMIFS($C95,$B95,F$7)+F94</f>
        <v>107</v>
      </c>
      <c r="G95" s="58">
        <f t="shared" si="85"/>
        <v>19</v>
      </c>
      <c r="H95" s="58">
        <f t="shared" si="85"/>
        <v>9</v>
      </c>
      <c r="I95" s="58">
        <f t="shared" si="85"/>
        <v>5</v>
      </c>
      <c r="J95" s="58">
        <f t="shared" si="85"/>
        <v>13</v>
      </c>
      <c r="K95" s="58">
        <f t="shared" si="85"/>
        <v>0</v>
      </c>
      <c r="L95" s="58">
        <f t="shared" si="85"/>
        <v>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0" customHeight="1">
      <c r="A96" s="70"/>
      <c r="B96" s="64" t="s">
        <v>9</v>
      </c>
      <c r="C96" s="65">
        <v>-6.0</v>
      </c>
      <c r="D96" s="66">
        <f t="shared" si="3"/>
        <v>-3300</v>
      </c>
      <c r="E96" s="56" t="s">
        <v>52</v>
      </c>
      <c r="F96" s="58">
        <f t="shared" ref="F96:L96" si="86">SUMIFS($C96,$B96,F$7)+F95</f>
        <v>101</v>
      </c>
      <c r="G96" s="58">
        <f t="shared" si="86"/>
        <v>19</v>
      </c>
      <c r="H96" s="58">
        <f t="shared" si="86"/>
        <v>9</v>
      </c>
      <c r="I96" s="58">
        <f t="shared" si="86"/>
        <v>5</v>
      </c>
      <c r="J96" s="58">
        <f t="shared" si="86"/>
        <v>13</v>
      </c>
      <c r="K96" s="58">
        <f t="shared" si="86"/>
        <v>0</v>
      </c>
      <c r="L96" s="58">
        <f t="shared" si="86"/>
        <v>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0" customHeight="1">
      <c r="A97" s="70"/>
      <c r="B97" s="64" t="s">
        <v>9</v>
      </c>
      <c r="C97" s="65">
        <v>-1.0</v>
      </c>
      <c r="D97" s="66">
        <f t="shared" si="3"/>
        <v>-550</v>
      </c>
      <c r="E97" s="74" t="s">
        <v>38</v>
      </c>
      <c r="F97" s="58">
        <f t="shared" ref="F97:L97" si="87">SUMIFS($C97,$B97,F$7)+F95</f>
        <v>106</v>
      </c>
      <c r="G97" s="58">
        <f t="shared" si="87"/>
        <v>19</v>
      </c>
      <c r="H97" s="58">
        <f t="shared" si="87"/>
        <v>9</v>
      </c>
      <c r="I97" s="58">
        <f t="shared" si="87"/>
        <v>5</v>
      </c>
      <c r="J97" s="58">
        <f t="shared" si="87"/>
        <v>13</v>
      </c>
      <c r="K97" s="58">
        <f t="shared" si="87"/>
        <v>0</v>
      </c>
      <c r="L97" s="58">
        <f t="shared" si="87"/>
        <v>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0" customHeight="1">
      <c r="A98" s="70"/>
      <c r="B98" s="71"/>
      <c r="C98" s="66"/>
      <c r="D98" s="66">
        <f t="shared" si="3"/>
        <v>0</v>
      </c>
      <c r="E98" s="67"/>
      <c r="F98" s="58">
        <f t="shared" ref="F98:L98" si="88">SUMIFS($C98,$B98,F$7)+F96</f>
        <v>101</v>
      </c>
      <c r="G98" s="58">
        <f t="shared" si="88"/>
        <v>19</v>
      </c>
      <c r="H98" s="58">
        <f t="shared" si="88"/>
        <v>9</v>
      </c>
      <c r="I98" s="58">
        <f t="shared" si="88"/>
        <v>5</v>
      </c>
      <c r="J98" s="58">
        <f t="shared" si="88"/>
        <v>13</v>
      </c>
      <c r="K98" s="58">
        <f t="shared" si="88"/>
        <v>0</v>
      </c>
      <c r="L98" s="58">
        <f t="shared" si="88"/>
        <v>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0" customHeight="1">
      <c r="A99" s="68">
        <v>46062.0</v>
      </c>
      <c r="B99" s="64" t="s">
        <v>16</v>
      </c>
      <c r="C99" s="65">
        <v>6.0</v>
      </c>
      <c r="D99" s="66">
        <f t="shared" si="3"/>
        <v>3300</v>
      </c>
      <c r="E99" s="56" t="s">
        <v>95</v>
      </c>
      <c r="F99" s="58">
        <f t="shared" ref="F99:L99" si="89">SUMIFS($C99,$B99,F$7)+F98</f>
        <v>101</v>
      </c>
      <c r="G99" s="58">
        <f t="shared" si="89"/>
        <v>19</v>
      </c>
      <c r="H99" s="58">
        <f t="shared" si="89"/>
        <v>15</v>
      </c>
      <c r="I99" s="58">
        <f t="shared" si="89"/>
        <v>5</v>
      </c>
      <c r="J99" s="58">
        <f t="shared" si="89"/>
        <v>13</v>
      </c>
      <c r="K99" s="58">
        <f t="shared" si="89"/>
        <v>0</v>
      </c>
      <c r="L99" s="58">
        <f t="shared" si="89"/>
        <v>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0" customHeight="1">
      <c r="A100" s="70"/>
      <c r="B100" s="64" t="s">
        <v>9</v>
      </c>
      <c r="C100" s="65">
        <v>-6.0</v>
      </c>
      <c r="D100" s="66">
        <f t="shared" si="3"/>
        <v>-3300</v>
      </c>
      <c r="E100" s="56" t="s">
        <v>45</v>
      </c>
      <c r="F100" s="58">
        <f t="shared" ref="F100:L100" si="90">SUMIFS($C100,$B100,F$7)+F99</f>
        <v>95</v>
      </c>
      <c r="G100" s="58">
        <f t="shared" si="90"/>
        <v>19</v>
      </c>
      <c r="H100" s="58">
        <f t="shared" si="90"/>
        <v>15</v>
      </c>
      <c r="I100" s="58">
        <f t="shared" si="90"/>
        <v>5</v>
      </c>
      <c r="J100" s="58">
        <f t="shared" si="90"/>
        <v>13</v>
      </c>
      <c r="K100" s="58">
        <f t="shared" si="90"/>
        <v>0</v>
      </c>
      <c r="L100" s="58">
        <f t="shared" si="90"/>
        <v>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0" customHeight="1">
      <c r="A101" s="70"/>
      <c r="B101" s="64" t="s">
        <v>13</v>
      </c>
      <c r="C101" s="65">
        <v>3.0</v>
      </c>
      <c r="D101" s="66">
        <f t="shared" si="3"/>
        <v>1650</v>
      </c>
      <c r="E101" s="67"/>
      <c r="F101" s="58">
        <f t="shared" ref="F101:L101" si="91">SUMIFS($C101,$B101,F$7)+F100</f>
        <v>95</v>
      </c>
      <c r="G101" s="58">
        <f t="shared" si="91"/>
        <v>22</v>
      </c>
      <c r="H101" s="58">
        <f t="shared" si="91"/>
        <v>15</v>
      </c>
      <c r="I101" s="58">
        <f t="shared" si="91"/>
        <v>5</v>
      </c>
      <c r="J101" s="58">
        <f t="shared" si="91"/>
        <v>13</v>
      </c>
      <c r="K101" s="58">
        <f t="shared" si="91"/>
        <v>0</v>
      </c>
      <c r="L101" s="58">
        <f t="shared" si="91"/>
        <v>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0" customHeight="1">
      <c r="A102" s="70"/>
      <c r="B102" s="64" t="s">
        <v>9</v>
      </c>
      <c r="C102" s="65">
        <v>-3.0</v>
      </c>
      <c r="D102" s="66">
        <f t="shared" si="3"/>
        <v>-1650</v>
      </c>
      <c r="E102" s="56" t="s">
        <v>35</v>
      </c>
      <c r="F102" s="58">
        <f t="shared" ref="F102:L102" si="92">SUMIFS($C102,$B102,F$7)+F101</f>
        <v>92</v>
      </c>
      <c r="G102" s="58">
        <f t="shared" si="92"/>
        <v>22</v>
      </c>
      <c r="H102" s="58">
        <f t="shared" si="92"/>
        <v>15</v>
      </c>
      <c r="I102" s="58">
        <f t="shared" si="92"/>
        <v>5</v>
      </c>
      <c r="J102" s="58">
        <f t="shared" si="92"/>
        <v>13</v>
      </c>
      <c r="K102" s="58">
        <f t="shared" si="92"/>
        <v>0</v>
      </c>
      <c r="L102" s="58">
        <f t="shared" si="92"/>
        <v>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0" customHeight="1">
      <c r="A103" s="70"/>
      <c r="B103" s="71"/>
      <c r="C103" s="66"/>
      <c r="D103" s="66">
        <f t="shared" si="3"/>
        <v>0</v>
      </c>
      <c r="E103" s="67"/>
      <c r="F103" s="58">
        <f t="shared" ref="F103:L103" si="93">SUMIFS($C103,$B103,F$7)+F102</f>
        <v>92</v>
      </c>
      <c r="G103" s="58">
        <f t="shared" si="93"/>
        <v>22</v>
      </c>
      <c r="H103" s="58">
        <f t="shared" si="93"/>
        <v>15</v>
      </c>
      <c r="I103" s="58">
        <f t="shared" si="93"/>
        <v>5</v>
      </c>
      <c r="J103" s="58">
        <f t="shared" si="93"/>
        <v>13</v>
      </c>
      <c r="K103" s="58">
        <f t="shared" si="93"/>
        <v>0</v>
      </c>
      <c r="L103" s="58">
        <f t="shared" si="93"/>
        <v>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0" customHeight="1">
      <c r="A104" s="68">
        <v>46063.0</v>
      </c>
      <c r="B104" s="64" t="s">
        <v>16</v>
      </c>
      <c r="C104" s="65">
        <v>6.0</v>
      </c>
      <c r="D104" s="66">
        <f t="shared" si="3"/>
        <v>3300</v>
      </c>
      <c r="E104" s="56" t="s">
        <v>99</v>
      </c>
      <c r="F104" s="58">
        <f t="shared" ref="F104:L104" si="94">SUMIFS($C104,$B104,F$7)+F103</f>
        <v>92</v>
      </c>
      <c r="G104" s="58">
        <f t="shared" si="94"/>
        <v>22</v>
      </c>
      <c r="H104" s="58">
        <f t="shared" si="94"/>
        <v>21</v>
      </c>
      <c r="I104" s="58">
        <f t="shared" si="94"/>
        <v>5</v>
      </c>
      <c r="J104" s="58">
        <f t="shared" si="94"/>
        <v>13</v>
      </c>
      <c r="K104" s="58">
        <f t="shared" si="94"/>
        <v>0</v>
      </c>
      <c r="L104" s="58">
        <f t="shared" si="94"/>
        <v>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0" customHeight="1">
      <c r="A105" s="70"/>
      <c r="B105" s="64" t="s">
        <v>9</v>
      </c>
      <c r="C105" s="65">
        <v>-6.0</v>
      </c>
      <c r="D105" s="66">
        <f t="shared" si="3"/>
        <v>-3300</v>
      </c>
      <c r="E105" s="56" t="s">
        <v>45</v>
      </c>
      <c r="F105" s="58">
        <f t="shared" ref="F105:L105" si="95">SUMIFS($C105,$B105,F$7)+F104</f>
        <v>86</v>
      </c>
      <c r="G105" s="58">
        <f t="shared" si="95"/>
        <v>22</v>
      </c>
      <c r="H105" s="58">
        <f t="shared" si="95"/>
        <v>21</v>
      </c>
      <c r="I105" s="58">
        <f t="shared" si="95"/>
        <v>5</v>
      </c>
      <c r="J105" s="58">
        <f t="shared" si="95"/>
        <v>13</v>
      </c>
      <c r="K105" s="58">
        <f t="shared" si="95"/>
        <v>0</v>
      </c>
      <c r="L105" s="58">
        <f t="shared" si="95"/>
        <v>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0" customHeight="1">
      <c r="A106" s="70"/>
      <c r="B106" s="71"/>
      <c r="C106" s="66"/>
      <c r="D106" s="66">
        <f t="shared" si="3"/>
        <v>0</v>
      </c>
      <c r="E106" s="67"/>
      <c r="F106" s="58">
        <f t="shared" ref="F106:L106" si="96">SUMIFS($C106,$B106,F$7)+F105</f>
        <v>86</v>
      </c>
      <c r="G106" s="58">
        <f t="shared" si="96"/>
        <v>22</v>
      </c>
      <c r="H106" s="58">
        <f t="shared" si="96"/>
        <v>21</v>
      </c>
      <c r="I106" s="58">
        <f t="shared" si="96"/>
        <v>5</v>
      </c>
      <c r="J106" s="58">
        <f t="shared" si="96"/>
        <v>13</v>
      </c>
      <c r="K106" s="58">
        <f t="shared" si="96"/>
        <v>0</v>
      </c>
      <c r="L106" s="58">
        <f t="shared" si="96"/>
        <v>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0" customHeight="1">
      <c r="A107" s="68">
        <v>46064.0</v>
      </c>
      <c r="B107" s="64" t="s">
        <v>16</v>
      </c>
      <c r="C107" s="65">
        <v>6.0</v>
      </c>
      <c r="D107" s="66">
        <f t="shared" si="3"/>
        <v>3300</v>
      </c>
      <c r="E107" s="56" t="s">
        <v>101</v>
      </c>
      <c r="F107" s="58">
        <f t="shared" ref="F107:L107" si="97">SUMIFS($C107,$B107,F$7)+F106</f>
        <v>86</v>
      </c>
      <c r="G107" s="58">
        <f t="shared" si="97"/>
        <v>22</v>
      </c>
      <c r="H107" s="58">
        <f t="shared" si="97"/>
        <v>27</v>
      </c>
      <c r="I107" s="58">
        <f t="shared" si="97"/>
        <v>5</v>
      </c>
      <c r="J107" s="58">
        <f t="shared" si="97"/>
        <v>13</v>
      </c>
      <c r="K107" s="58">
        <f t="shared" si="97"/>
        <v>0</v>
      </c>
      <c r="L107" s="58">
        <f t="shared" si="97"/>
        <v>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0" customHeight="1">
      <c r="A108" s="70"/>
      <c r="B108" s="64" t="s">
        <v>9</v>
      </c>
      <c r="C108" s="65">
        <v>-6.0</v>
      </c>
      <c r="D108" s="66">
        <f t="shared" si="3"/>
        <v>-3300</v>
      </c>
      <c r="E108" s="56" t="s">
        <v>45</v>
      </c>
      <c r="F108" s="58">
        <f t="shared" ref="F108:L108" si="98">SUMIFS($C108,$B108,F$7)+F107</f>
        <v>80</v>
      </c>
      <c r="G108" s="58">
        <f t="shared" si="98"/>
        <v>22</v>
      </c>
      <c r="H108" s="58">
        <f t="shared" si="98"/>
        <v>27</v>
      </c>
      <c r="I108" s="58">
        <f t="shared" si="98"/>
        <v>5</v>
      </c>
      <c r="J108" s="58">
        <f t="shared" si="98"/>
        <v>13</v>
      </c>
      <c r="K108" s="58">
        <f t="shared" si="98"/>
        <v>0</v>
      </c>
      <c r="L108" s="58">
        <f t="shared" si="98"/>
        <v>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0" customHeight="1">
      <c r="A109" s="70"/>
      <c r="B109" s="71"/>
      <c r="C109" s="66"/>
      <c r="D109" s="66">
        <f t="shared" si="3"/>
        <v>0</v>
      </c>
      <c r="E109" s="67"/>
      <c r="F109" s="58">
        <f t="shared" ref="F109:L109" si="99">SUMIFS($C109,$B109,F$7)+F108</f>
        <v>80</v>
      </c>
      <c r="G109" s="58">
        <f t="shared" si="99"/>
        <v>22</v>
      </c>
      <c r="H109" s="58">
        <f t="shared" si="99"/>
        <v>27</v>
      </c>
      <c r="I109" s="58">
        <f t="shared" si="99"/>
        <v>5</v>
      </c>
      <c r="J109" s="58">
        <f t="shared" si="99"/>
        <v>13</v>
      </c>
      <c r="K109" s="58">
        <f t="shared" si="99"/>
        <v>0</v>
      </c>
      <c r="L109" s="58">
        <f t="shared" si="99"/>
        <v>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0" customHeight="1">
      <c r="A110" s="68">
        <v>46065.0</v>
      </c>
      <c r="B110" s="64" t="s">
        <v>16</v>
      </c>
      <c r="C110" s="65">
        <v>6.0</v>
      </c>
      <c r="D110" s="66">
        <f t="shared" si="3"/>
        <v>3300</v>
      </c>
      <c r="E110" s="56" t="s">
        <v>104</v>
      </c>
      <c r="F110" s="58">
        <f t="shared" ref="F110:L110" si="100">SUMIFS($C110,$B110,F$7)+F109</f>
        <v>80</v>
      </c>
      <c r="G110" s="58">
        <f t="shared" si="100"/>
        <v>22</v>
      </c>
      <c r="H110" s="58">
        <f t="shared" si="100"/>
        <v>33</v>
      </c>
      <c r="I110" s="58">
        <f t="shared" si="100"/>
        <v>5</v>
      </c>
      <c r="J110" s="58">
        <f t="shared" si="100"/>
        <v>13</v>
      </c>
      <c r="K110" s="58">
        <f t="shared" si="100"/>
        <v>0</v>
      </c>
      <c r="L110" s="58">
        <f t="shared" si="100"/>
        <v>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0" customHeight="1">
      <c r="A111" s="70"/>
      <c r="B111" s="64" t="s">
        <v>9</v>
      </c>
      <c r="C111" s="65">
        <v>-6.0</v>
      </c>
      <c r="D111" s="66">
        <f t="shared" si="3"/>
        <v>-3300</v>
      </c>
      <c r="E111" s="56" t="s">
        <v>45</v>
      </c>
      <c r="F111" s="58">
        <f t="shared" ref="F111:L111" si="101">SUMIFS($C111,$B111,F$7)+F110</f>
        <v>74</v>
      </c>
      <c r="G111" s="58">
        <f t="shared" si="101"/>
        <v>22</v>
      </c>
      <c r="H111" s="58">
        <f t="shared" si="101"/>
        <v>33</v>
      </c>
      <c r="I111" s="58">
        <f t="shared" si="101"/>
        <v>5</v>
      </c>
      <c r="J111" s="58">
        <f t="shared" si="101"/>
        <v>13</v>
      </c>
      <c r="K111" s="58">
        <f t="shared" si="101"/>
        <v>0</v>
      </c>
      <c r="L111" s="58">
        <f t="shared" si="101"/>
        <v>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0" customHeight="1">
      <c r="A112" s="70"/>
      <c r="B112" s="71"/>
      <c r="C112" s="66"/>
      <c r="D112" s="66">
        <f t="shared" si="3"/>
        <v>0</v>
      </c>
      <c r="E112" s="67"/>
      <c r="F112" s="58">
        <f t="shared" ref="F112:L112" si="102">SUMIFS($C112,$B112,F$7)+F111</f>
        <v>74</v>
      </c>
      <c r="G112" s="58">
        <f t="shared" si="102"/>
        <v>22</v>
      </c>
      <c r="H112" s="58">
        <f t="shared" si="102"/>
        <v>33</v>
      </c>
      <c r="I112" s="58">
        <f t="shared" si="102"/>
        <v>5</v>
      </c>
      <c r="J112" s="58">
        <f t="shared" si="102"/>
        <v>13</v>
      </c>
      <c r="K112" s="58">
        <f t="shared" si="102"/>
        <v>0</v>
      </c>
      <c r="L112" s="58">
        <f t="shared" si="102"/>
        <v>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0" customHeight="1">
      <c r="A113" s="68">
        <v>46067.0</v>
      </c>
      <c r="B113" s="64" t="s">
        <v>16</v>
      </c>
      <c r="C113" s="65">
        <v>2.0</v>
      </c>
      <c r="D113" s="66">
        <f t="shared" si="3"/>
        <v>1100</v>
      </c>
      <c r="E113" s="56" t="s">
        <v>105</v>
      </c>
      <c r="F113" s="58">
        <f t="shared" ref="F113:L113" si="103">SUMIFS($C113,$B113,F$7)+F112</f>
        <v>74</v>
      </c>
      <c r="G113" s="58">
        <f t="shared" si="103"/>
        <v>22</v>
      </c>
      <c r="H113" s="58">
        <f t="shared" si="103"/>
        <v>35</v>
      </c>
      <c r="I113" s="58">
        <f t="shared" si="103"/>
        <v>5</v>
      </c>
      <c r="J113" s="58">
        <f t="shared" si="103"/>
        <v>13</v>
      </c>
      <c r="K113" s="58">
        <f t="shared" si="103"/>
        <v>0</v>
      </c>
      <c r="L113" s="58">
        <f t="shared" si="103"/>
        <v>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0" customHeight="1">
      <c r="A114" s="70"/>
      <c r="B114" s="64" t="s">
        <v>9</v>
      </c>
      <c r="C114" s="65">
        <v>-2.0</v>
      </c>
      <c r="D114" s="66">
        <f t="shared" si="3"/>
        <v>-1100</v>
      </c>
      <c r="E114" s="56" t="s">
        <v>107</v>
      </c>
      <c r="F114" s="58">
        <f t="shared" ref="F114:L114" si="104">SUMIFS($C114,$B114,F$7)+F113</f>
        <v>72</v>
      </c>
      <c r="G114" s="58">
        <f t="shared" si="104"/>
        <v>22</v>
      </c>
      <c r="H114" s="58">
        <f t="shared" si="104"/>
        <v>35</v>
      </c>
      <c r="I114" s="58">
        <f t="shared" si="104"/>
        <v>5</v>
      </c>
      <c r="J114" s="58">
        <f t="shared" si="104"/>
        <v>13</v>
      </c>
      <c r="K114" s="58">
        <f t="shared" si="104"/>
        <v>0</v>
      </c>
      <c r="L114" s="58">
        <f t="shared" si="104"/>
        <v>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0" customHeight="1">
      <c r="A115" s="70"/>
      <c r="B115" s="71"/>
      <c r="C115" s="66"/>
      <c r="D115" s="66">
        <f t="shared" si="3"/>
        <v>0</v>
      </c>
      <c r="E115" s="67"/>
      <c r="F115" s="58">
        <f t="shared" ref="F115:L115" si="105">SUMIFS($C115,$B115,F$7)+F114</f>
        <v>72</v>
      </c>
      <c r="G115" s="58">
        <f t="shared" si="105"/>
        <v>22</v>
      </c>
      <c r="H115" s="58">
        <f t="shared" si="105"/>
        <v>35</v>
      </c>
      <c r="I115" s="58">
        <f t="shared" si="105"/>
        <v>5</v>
      </c>
      <c r="J115" s="58">
        <f t="shared" si="105"/>
        <v>13</v>
      </c>
      <c r="K115" s="58">
        <f t="shared" si="105"/>
        <v>0</v>
      </c>
      <c r="L115" s="58">
        <f t="shared" si="105"/>
        <v>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0" customHeight="1">
      <c r="A116" s="68">
        <v>46070.0</v>
      </c>
      <c r="B116" s="64" t="s">
        <v>9</v>
      </c>
      <c r="C116" s="65">
        <v>-39.0</v>
      </c>
      <c r="D116" s="66">
        <f t="shared" si="3"/>
        <v>-21450</v>
      </c>
      <c r="E116" s="67"/>
      <c r="F116" s="58">
        <f t="shared" ref="F116:L116" si="106">SUMIFS($C116,$B116,F$7)+F115</f>
        <v>33</v>
      </c>
      <c r="G116" s="58">
        <f t="shared" si="106"/>
        <v>22</v>
      </c>
      <c r="H116" s="58">
        <f t="shared" si="106"/>
        <v>35</v>
      </c>
      <c r="I116" s="58">
        <f t="shared" si="106"/>
        <v>5</v>
      </c>
      <c r="J116" s="58">
        <f t="shared" si="106"/>
        <v>13</v>
      </c>
      <c r="K116" s="58">
        <f t="shared" si="106"/>
        <v>0</v>
      </c>
      <c r="L116" s="58">
        <f t="shared" si="106"/>
        <v>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0" customHeight="1">
      <c r="A117" s="70"/>
      <c r="B117" s="64" t="s">
        <v>17</v>
      </c>
      <c r="C117" s="65">
        <v>39.0</v>
      </c>
      <c r="D117" s="66">
        <f t="shared" si="3"/>
        <v>21450</v>
      </c>
      <c r="E117" s="56" t="s">
        <v>108</v>
      </c>
      <c r="F117" s="58">
        <f t="shared" ref="F117:L117" si="107">SUMIFS($C117,$B117,F$7)+F116</f>
        <v>33</v>
      </c>
      <c r="G117" s="58">
        <f t="shared" si="107"/>
        <v>22</v>
      </c>
      <c r="H117" s="58">
        <f t="shared" si="107"/>
        <v>35</v>
      </c>
      <c r="I117" s="58">
        <f t="shared" si="107"/>
        <v>44</v>
      </c>
      <c r="J117" s="58">
        <f t="shared" si="107"/>
        <v>13</v>
      </c>
      <c r="K117" s="58">
        <f t="shared" si="107"/>
        <v>0</v>
      </c>
      <c r="L117" s="58">
        <f t="shared" si="107"/>
        <v>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0" customHeight="1">
      <c r="A118" s="70"/>
      <c r="B118" s="64" t="s">
        <v>13</v>
      </c>
      <c r="C118" s="65">
        <v>-22.0</v>
      </c>
      <c r="D118" s="66">
        <f t="shared" si="3"/>
        <v>-12100</v>
      </c>
      <c r="E118" s="67"/>
      <c r="F118" s="58">
        <f t="shared" ref="F118:L118" si="108">SUMIFS($C118,$B118,F$7)+F117</f>
        <v>33</v>
      </c>
      <c r="G118" s="58">
        <f t="shared" si="108"/>
        <v>0</v>
      </c>
      <c r="H118" s="58">
        <f t="shared" si="108"/>
        <v>35</v>
      </c>
      <c r="I118" s="58">
        <f t="shared" si="108"/>
        <v>44</v>
      </c>
      <c r="J118" s="58">
        <f t="shared" si="108"/>
        <v>13</v>
      </c>
      <c r="K118" s="58">
        <f t="shared" si="108"/>
        <v>0</v>
      </c>
      <c r="L118" s="58">
        <f t="shared" si="108"/>
        <v>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0" customHeight="1">
      <c r="A119" s="70"/>
      <c r="B119" s="64" t="s">
        <v>17</v>
      </c>
      <c r="C119" s="65">
        <v>22.0</v>
      </c>
      <c r="D119" s="66">
        <f t="shared" si="3"/>
        <v>12100</v>
      </c>
      <c r="E119" s="56" t="s">
        <v>110</v>
      </c>
      <c r="F119" s="58">
        <f t="shared" ref="F119:L119" si="109">SUMIFS($C119,$B119,F$7)+F118</f>
        <v>33</v>
      </c>
      <c r="G119" s="58">
        <f t="shared" si="109"/>
        <v>0</v>
      </c>
      <c r="H119" s="58">
        <f t="shared" si="109"/>
        <v>35</v>
      </c>
      <c r="I119" s="58">
        <f t="shared" si="109"/>
        <v>66</v>
      </c>
      <c r="J119" s="58">
        <f t="shared" si="109"/>
        <v>13</v>
      </c>
      <c r="K119" s="58">
        <f t="shared" si="109"/>
        <v>0</v>
      </c>
      <c r="L119" s="58">
        <f t="shared" si="109"/>
        <v>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0" customHeight="1">
      <c r="A120" s="70"/>
      <c r="B120" s="64" t="s">
        <v>16</v>
      </c>
      <c r="C120" s="65">
        <v>-37.0</v>
      </c>
      <c r="D120" s="66">
        <f t="shared" si="3"/>
        <v>-20350</v>
      </c>
      <c r="E120" s="67"/>
      <c r="F120" s="58">
        <f t="shared" ref="F120:L120" si="110">SUMIFS($C120,$B120,F$7)+F119</f>
        <v>33</v>
      </c>
      <c r="G120" s="58">
        <f t="shared" si="110"/>
        <v>0</v>
      </c>
      <c r="H120" s="58">
        <f t="shared" si="110"/>
        <v>-2</v>
      </c>
      <c r="I120" s="58">
        <f t="shared" si="110"/>
        <v>66</v>
      </c>
      <c r="J120" s="58">
        <f t="shared" si="110"/>
        <v>13</v>
      </c>
      <c r="K120" s="58">
        <f t="shared" si="110"/>
        <v>0</v>
      </c>
      <c r="L120" s="58">
        <f t="shared" si="110"/>
        <v>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0" customHeight="1">
      <c r="A121" s="70"/>
      <c r="B121" s="64" t="s">
        <v>17</v>
      </c>
      <c r="C121" s="65">
        <v>37.0</v>
      </c>
      <c r="D121" s="66">
        <f t="shared" si="3"/>
        <v>20350</v>
      </c>
      <c r="E121" s="56" t="s">
        <v>111</v>
      </c>
      <c r="F121" s="58">
        <f t="shared" ref="F121:L121" si="111">SUMIFS($C121,$B121,F$7)+F120</f>
        <v>33</v>
      </c>
      <c r="G121" s="58">
        <f t="shared" si="111"/>
        <v>0</v>
      </c>
      <c r="H121" s="58">
        <f t="shared" si="111"/>
        <v>-2</v>
      </c>
      <c r="I121" s="58">
        <f t="shared" si="111"/>
        <v>103</v>
      </c>
      <c r="J121" s="58">
        <f t="shared" si="111"/>
        <v>13</v>
      </c>
      <c r="K121" s="58">
        <f t="shared" si="111"/>
        <v>0</v>
      </c>
      <c r="L121" s="58">
        <f t="shared" si="111"/>
        <v>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0" customHeight="1">
      <c r="A122" s="70"/>
      <c r="B122" s="71"/>
      <c r="C122" s="66"/>
      <c r="D122" s="66">
        <f t="shared" si="3"/>
        <v>0</v>
      </c>
      <c r="E122" s="67"/>
      <c r="F122" s="58">
        <f t="shared" ref="F122:L122" si="112">SUMIFS($C122,$B122,F$7)+F121</f>
        <v>33</v>
      </c>
      <c r="G122" s="58">
        <f t="shared" si="112"/>
        <v>0</v>
      </c>
      <c r="H122" s="58">
        <f t="shared" si="112"/>
        <v>-2</v>
      </c>
      <c r="I122" s="58">
        <f t="shared" si="112"/>
        <v>103</v>
      </c>
      <c r="J122" s="58">
        <f t="shared" si="112"/>
        <v>13</v>
      </c>
      <c r="K122" s="58">
        <f t="shared" si="112"/>
        <v>0</v>
      </c>
      <c r="L122" s="58">
        <f t="shared" si="112"/>
        <v>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0" customHeight="1">
      <c r="A123" s="68">
        <v>46071.0</v>
      </c>
      <c r="B123" s="64" t="s">
        <v>9</v>
      </c>
      <c r="C123" s="65">
        <v>-2.0</v>
      </c>
      <c r="D123" s="66">
        <f t="shared" si="3"/>
        <v>-1100</v>
      </c>
      <c r="E123" s="67"/>
      <c r="F123" s="58">
        <f t="shared" ref="F123:L123" si="113">SUMIFS($C123,$B123,F$7)+F122</f>
        <v>31</v>
      </c>
      <c r="G123" s="58">
        <f t="shared" si="113"/>
        <v>0</v>
      </c>
      <c r="H123" s="58">
        <f t="shared" si="113"/>
        <v>-2</v>
      </c>
      <c r="I123" s="58">
        <f t="shared" si="113"/>
        <v>103</v>
      </c>
      <c r="J123" s="58">
        <f t="shared" si="113"/>
        <v>13</v>
      </c>
      <c r="K123" s="58">
        <f t="shared" si="113"/>
        <v>0</v>
      </c>
      <c r="L123" s="58">
        <f t="shared" si="113"/>
        <v>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0" customHeight="1">
      <c r="A124" s="70"/>
      <c r="B124" s="64" t="s">
        <v>16</v>
      </c>
      <c r="C124" s="65">
        <v>2.0</v>
      </c>
      <c r="D124" s="66">
        <f t="shared" si="3"/>
        <v>1100</v>
      </c>
      <c r="E124" s="56" t="s">
        <v>113</v>
      </c>
      <c r="F124" s="58">
        <f t="shared" ref="F124:L124" si="114">SUMIFS($C124,$B124,F$7)+F123</f>
        <v>31</v>
      </c>
      <c r="G124" s="58">
        <f t="shared" si="114"/>
        <v>0</v>
      </c>
      <c r="H124" s="58">
        <f t="shared" si="114"/>
        <v>0</v>
      </c>
      <c r="I124" s="58">
        <f t="shared" si="114"/>
        <v>103</v>
      </c>
      <c r="J124" s="58">
        <f t="shared" si="114"/>
        <v>13</v>
      </c>
      <c r="K124" s="58">
        <f t="shared" si="114"/>
        <v>0</v>
      </c>
      <c r="L124" s="58">
        <f t="shared" si="114"/>
        <v>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0" customHeight="1">
      <c r="A125" s="70"/>
      <c r="B125" s="71"/>
      <c r="C125" s="66"/>
      <c r="D125" s="66">
        <f t="shared" si="3"/>
        <v>0</v>
      </c>
      <c r="E125" s="67"/>
      <c r="F125" s="58">
        <f t="shared" ref="F125:L125" si="115">SUMIFS($C125,$B125,F$7)+F124</f>
        <v>31</v>
      </c>
      <c r="G125" s="58">
        <f t="shared" si="115"/>
        <v>0</v>
      </c>
      <c r="H125" s="58">
        <f t="shared" si="115"/>
        <v>0</v>
      </c>
      <c r="I125" s="58">
        <f t="shared" si="115"/>
        <v>103</v>
      </c>
      <c r="J125" s="58">
        <f t="shared" si="115"/>
        <v>13</v>
      </c>
      <c r="K125" s="58">
        <f t="shared" si="115"/>
        <v>0</v>
      </c>
      <c r="L125" s="58">
        <f t="shared" si="115"/>
        <v>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0" customHeight="1">
      <c r="A126" s="68">
        <v>46076.0</v>
      </c>
      <c r="B126" s="64" t="s">
        <v>9</v>
      </c>
      <c r="C126" s="65">
        <v>-1.0</v>
      </c>
      <c r="D126" s="66">
        <f t="shared" si="3"/>
        <v>-550</v>
      </c>
      <c r="E126" s="56" t="s">
        <v>116</v>
      </c>
      <c r="F126" s="58">
        <f t="shared" ref="F126:L126" si="116">SUMIFS($C126,$B126,F$7)+F125</f>
        <v>30</v>
      </c>
      <c r="G126" s="58">
        <f t="shared" si="116"/>
        <v>0</v>
      </c>
      <c r="H126" s="58">
        <f t="shared" si="116"/>
        <v>0</v>
      </c>
      <c r="I126" s="58">
        <f t="shared" si="116"/>
        <v>103</v>
      </c>
      <c r="J126" s="58">
        <f t="shared" si="116"/>
        <v>13</v>
      </c>
      <c r="K126" s="58">
        <f t="shared" si="116"/>
        <v>0</v>
      </c>
      <c r="L126" s="58">
        <f t="shared" si="116"/>
        <v>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0" customHeight="1">
      <c r="A127" s="70"/>
      <c r="B127" s="71"/>
      <c r="C127" s="66"/>
      <c r="D127" s="66">
        <f t="shared" si="3"/>
        <v>0</v>
      </c>
      <c r="E127" s="67"/>
      <c r="F127" s="58">
        <f t="shared" ref="F127:L127" si="117">SUMIFS($C127,$B127,F$7)+F126</f>
        <v>30</v>
      </c>
      <c r="G127" s="58">
        <f t="shared" si="117"/>
        <v>0</v>
      </c>
      <c r="H127" s="58">
        <f t="shared" si="117"/>
        <v>0</v>
      </c>
      <c r="I127" s="58">
        <f t="shared" si="117"/>
        <v>103</v>
      </c>
      <c r="J127" s="58">
        <f t="shared" si="117"/>
        <v>13</v>
      </c>
      <c r="K127" s="58">
        <f t="shared" si="117"/>
        <v>0</v>
      </c>
      <c r="L127" s="58">
        <f t="shared" si="117"/>
        <v>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0" customHeight="1">
      <c r="A128" s="68">
        <v>46077.0</v>
      </c>
      <c r="B128" s="64" t="s">
        <v>9</v>
      </c>
      <c r="C128" s="65">
        <v>-1.0</v>
      </c>
      <c r="D128" s="66">
        <f t="shared" si="3"/>
        <v>-550</v>
      </c>
      <c r="E128" s="56" t="s">
        <v>116</v>
      </c>
      <c r="F128" s="58">
        <f t="shared" ref="F128:L128" si="118">SUMIFS($C128,$B128,F$7)+F127</f>
        <v>29</v>
      </c>
      <c r="G128" s="58">
        <f t="shared" si="118"/>
        <v>0</v>
      </c>
      <c r="H128" s="58">
        <f t="shared" si="118"/>
        <v>0</v>
      </c>
      <c r="I128" s="58">
        <f t="shared" si="118"/>
        <v>103</v>
      </c>
      <c r="J128" s="58">
        <f t="shared" si="118"/>
        <v>13</v>
      </c>
      <c r="K128" s="58">
        <f t="shared" si="118"/>
        <v>0</v>
      </c>
      <c r="L128" s="58">
        <f t="shared" si="118"/>
        <v>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0" customHeight="1">
      <c r="A129" s="70"/>
      <c r="B129" s="71"/>
      <c r="C129" s="66"/>
      <c r="D129" s="66">
        <f t="shared" si="3"/>
        <v>0</v>
      </c>
      <c r="E129" s="67"/>
      <c r="F129" s="58">
        <f t="shared" ref="F129:L129" si="119">SUMIFS($C129,$B129,F$7)+F128</f>
        <v>29</v>
      </c>
      <c r="G129" s="58">
        <f t="shared" si="119"/>
        <v>0</v>
      </c>
      <c r="H129" s="58">
        <f t="shared" si="119"/>
        <v>0</v>
      </c>
      <c r="I129" s="58">
        <f t="shared" si="119"/>
        <v>103</v>
      </c>
      <c r="J129" s="58">
        <f t="shared" si="119"/>
        <v>13</v>
      </c>
      <c r="K129" s="58">
        <f t="shared" si="119"/>
        <v>0</v>
      </c>
      <c r="L129" s="58">
        <f t="shared" si="119"/>
        <v>0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0" customHeight="1">
      <c r="A130" s="68">
        <v>46078.0</v>
      </c>
      <c r="B130" s="64" t="s">
        <v>9</v>
      </c>
      <c r="C130" s="65">
        <v>-1.0</v>
      </c>
      <c r="D130" s="66">
        <f t="shared" si="3"/>
        <v>-550</v>
      </c>
      <c r="E130" s="56" t="s">
        <v>116</v>
      </c>
      <c r="F130" s="58">
        <f t="shared" ref="F130:L130" si="120">SUMIFS($C130,$B130,F$7)+F129</f>
        <v>28</v>
      </c>
      <c r="G130" s="58">
        <f t="shared" si="120"/>
        <v>0</v>
      </c>
      <c r="H130" s="58">
        <f t="shared" si="120"/>
        <v>0</v>
      </c>
      <c r="I130" s="58">
        <f t="shared" si="120"/>
        <v>103</v>
      </c>
      <c r="J130" s="58">
        <f t="shared" si="120"/>
        <v>13</v>
      </c>
      <c r="K130" s="58">
        <f t="shared" si="120"/>
        <v>0</v>
      </c>
      <c r="L130" s="58">
        <f t="shared" si="120"/>
        <v>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0" customHeight="1">
      <c r="A131" s="70"/>
      <c r="B131" s="71"/>
      <c r="C131" s="66"/>
      <c r="D131" s="66">
        <f t="shared" si="3"/>
        <v>0</v>
      </c>
      <c r="E131" s="67"/>
      <c r="F131" s="58">
        <f t="shared" ref="F131:L131" si="121">SUMIFS($C131,$B131,F$7)+F130</f>
        <v>28</v>
      </c>
      <c r="G131" s="58">
        <f t="shared" si="121"/>
        <v>0</v>
      </c>
      <c r="H131" s="58">
        <f t="shared" si="121"/>
        <v>0</v>
      </c>
      <c r="I131" s="58">
        <f t="shared" si="121"/>
        <v>103</v>
      </c>
      <c r="J131" s="58">
        <f t="shared" si="121"/>
        <v>13</v>
      </c>
      <c r="K131" s="58">
        <f t="shared" si="121"/>
        <v>0</v>
      </c>
      <c r="L131" s="58">
        <f t="shared" si="121"/>
        <v>0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0" customHeight="1">
      <c r="A132" s="68">
        <v>46079.0</v>
      </c>
      <c r="B132" s="64" t="s">
        <v>9</v>
      </c>
      <c r="C132" s="65">
        <v>-1.0</v>
      </c>
      <c r="D132" s="66">
        <f t="shared" si="3"/>
        <v>-550</v>
      </c>
      <c r="E132" s="56" t="s">
        <v>116</v>
      </c>
      <c r="F132" s="58">
        <f t="shared" ref="F132:L132" si="122">SUMIFS($C132,$B132,F$7)+F131</f>
        <v>27</v>
      </c>
      <c r="G132" s="58">
        <f t="shared" si="122"/>
        <v>0</v>
      </c>
      <c r="H132" s="58">
        <f t="shared" si="122"/>
        <v>0</v>
      </c>
      <c r="I132" s="58">
        <f t="shared" si="122"/>
        <v>103</v>
      </c>
      <c r="J132" s="58">
        <f t="shared" si="122"/>
        <v>13</v>
      </c>
      <c r="K132" s="58">
        <f t="shared" si="122"/>
        <v>0</v>
      </c>
      <c r="L132" s="58">
        <f t="shared" si="122"/>
        <v>0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0" customHeight="1">
      <c r="A133" s="70"/>
      <c r="B133" s="71"/>
      <c r="C133" s="66"/>
      <c r="D133" s="66">
        <f t="shared" si="3"/>
        <v>0</v>
      </c>
      <c r="E133" s="67"/>
      <c r="F133" s="58">
        <f t="shared" ref="F133:L133" si="123">SUMIFS($C133,$B133,F$7)+F132</f>
        <v>27</v>
      </c>
      <c r="G133" s="58">
        <f t="shared" si="123"/>
        <v>0</v>
      </c>
      <c r="H133" s="58">
        <f t="shared" si="123"/>
        <v>0</v>
      </c>
      <c r="I133" s="58">
        <f t="shared" si="123"/>
        <v>103</v>
      </c>
      <c r="J133" s="58">
        <f t="shared" si="123"/>
        <v>13</v>
      </c>
      <c r="K133" s="58">
        <f t="shared" si="123"/>
        <v>0</v>
      </c>
      <c r="L133" s="58">
        <f t="shared" si="123"/>
        <v>0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0" customHeight="1">
      <c r="A134" s="68">
        <v>46081.0</v>
      </c>
      <c r="B134" s="64" t="s">
        <v>9</v>
      </c>
      <c r="C134" s="65">
        <v>-1.0</v>
      </c>
      <c r="D134" s="66">
        <f t="shared" si="3"/>
        <v>-550</v>
      </c>
      <c r="E134" s="56" t="s">
        <v>116</v>
      </c>
      <c r="F134" s="58">
        <f t="shared" ref="F134:L134" si="124">SUMIFS($C134,$B134,F$7)+F133</f>
        <v>26</v>
      </c>
      <c r="G134" s="58">
        <f t="shared" si="124"/>
        <v>0</v>
      </c>
      <c r="H134" s="58">
        <f t="shared" si="124"/>
        <v>0</v>
      </c>
      <c r="I134" s="58">
        <f t="shared" si="124"/>
        <v>103</v>
      </c>
      <c r="J134" s="58">
        <f t="shared" si="124"/>
        <v>13</v>
      </c>
      <c r="K134" s="58">
        <f t="shared" si="124"/>
        <v>0</v>
      </c>
      <c r="L134" s="58">
        <f t="shared" si="124"/>
        <v>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0" customHeight="1">
      <c r="A135" s="70"/>
      <c r="B135" s="71"/>
      <c r="C135" s="66"/>
      <c r="D135" s="66">
        <f t="shared" si="3"/>
        <v>0</v>
      </c>
      <c r="E135" s="67"/>
      <c r="F135" s="58">
        <f t="shared" ref="F135:L135" si="125">SUMIFS($C135,$B135,F$7)+F134</f>
        <v>26</v>
      </c>
      <c r="G135" s="58">
        <f t="shared" si="125"/>
        <v>0</v>
      </c>
      <c r="H135" s="58">
        <f t="shared" si="125"/>
        <v>0</v>
      </c>
      <c r="I135" s="58">
        <f t="shared" si="125"/>
        <v>103</v>
      </c>
      <c r="J135" s="58">
        <f t="shared" si="125"/>
        <v>13</v>
      </c>
      <c r="K135" s="58">
        <f t="shared" si="125"/>
        <v>0</v>
      </c>
      <c r="L135" s="58">
        <f t="shared" si="125"/>
        <v>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0" customHeight="1">
      <c r="A136" s="68">
        <v>46083.0</v>
      </c>
      <c r="B136" s="64" t="s">
        <v>9</v>
      </c>
      <c r="C136" s="65">
        <v>-1.0</v>
      </c>
      <c r="D136" s="66">
        <f t="shared" si="3"/>
        <v>-550</v>
      </c>
      <c r="E136" s="56" t="s">
        <v>116</v>
      </c>
      <c r="F136" s="58">
        <f t="shared" ref="F136:L136" si="126">SUMIFS($C136,$B136,F$7)+F135</f>
        <v>25</v>
      </c>
      <c r="G136" s="58">
        <f t="shared" si="126"/>
        <v>0</v>
      </c>
      <c r="H136" s="58">
        <f t="shared" si="126"/>
        <v>0</v>
      </c>
      <c r="I136" s="58">
        <f t="shared" si="126"/>
        <v>103</v>
      </c>
      <c r="J136" s="58">
        <f t="shared" si="126"/>
        <v>13</v>
      </c>
      <c r="K136" s="58">
        <f t="shared" si="126"/>
        <v>0</v>
      </c>
      <c r="L136" s="58">
        <f t="shared" si="126"/>
        <v>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0" customHeight="1">
      <c r="A137" s="70"/>
      <c r="B137" s="71"/>
      <c r="C137" s="66"/>
      <c r="D137" s="66">
        <f t="shared" si="3"/>
        <v>0</v>
      </c>
      <c r="E137" s="67"/>
      <c r="F137" s="58">
        <f t="shared" ref="F137:L137" si="127">SUMIFS($C137,$B137,F$7)+F136</f>
        <v>25</v>
      </c>
      <c r="G137" s="58">
        <f t="shared" si="127"/>
        <v>0</v>
      </c>
      <c r="H137" s="58">
        <f t="shared" si="127"/>
        <v>0</v>
      </c>
      <c r="I137" s="58">
        <f t="shared" si="127"/>
        <v>103</v>
      </c>
      <c r="J137" s="58">
        <f t="shared" si="127"/>
        <v>13</v>
      </c>
      <c r="K137" s="58">
        <f t="shared" si="127"/>
        <v>0</v>
      </c>
      <c r="L137" s="58">
        <f t="shared" si="127"/>
        <v>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0" customHeight="1">
      <c r="A138" s="68">
        <v>46084.0</v>
      </c>
      <c r="B138" s="64" t="s">
        <v>9</v>
      </c>
      <c r="C138" s="65">
        <v>-1.0</v>
      </c>
      <c r="D138" s="66">
        <f t="shared" si="3"/>
        <v>-550</v>
      </c>
      <c r="E138" s="56" t="s">
        <v>116</v>
      </c>
      <c r="F138" s="58">
        <f t="shared" ref="F138:L138" si="128">SUMIFS($C138,$B138,F$7)+F137</f>
        <v>24</v>
      </c>
      <c r="G138" s="58">
        <f t="shared" si="128"/>
        <v>0</v>
      </c>
      <c r="H138" s="58">
        <f t="shared" si="128"/>
        <v>0</v>
      </c>
      <c r="I138" s="58">
        <f t="shared" si="128"/>
        <v>103</v>
      </c>
      <c r="J138" s="58">
        <f t="shared" si="128"/>
        <v>13</v>
      </c>
      <c r="K138" s="58">
        <f t="shared" si="128"/>
        <v>0</v>
      </c>
      <c r="L138" s="58">
        <f t="shared" si="128"/>
        <v>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0" customHeight="1">
      <c r="A139" s="70"/>
      <c r="B139" s="71"/>
      <c r="C139" s="66"/>
      <c r="D139" s="66">
        <f t="shared" si="3"/>
        <v>0</v>
      </c>
      <c r="E139" s="67"/>
      <c r="F139" s="58">
        <f t="shared" ref="F139:L139" si="129">SUMIFS($C139,$B139,F$7)+F138</f>
        <v>24</v>
      </c>
      <c r="G139" s="58">
        <f t="shared" si="129"/>
        <v>0</v>
      </c>
      <c r="H139" s="58">
        <f t="shared" si="129"/>
        <v>0</v>
      </c>
      <c r="I139" s="58">
        <f t="shared" si="129"/>
        <v>103</v>
      </c>
      <c r="J139" s="58">
        <f t="shared" si="129"/>
        <v>13</v>
      </c>
      <c r="K139" s="58">
        <f t="shared" si="129"/>
        <v>0</v>
      </c>
      <c r="L139" s="58">
        <f t="shared" si="129"/>
        <v>0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0" customHeight="1">
      <c r="A140" s="68">
        <v>46085.0</v>
      </c>
      <c r="B140" s="64" t="s">
        <v>9</v>
      </c>
      <c r="C140" s="65">
        <v>-1.0</v>
      </c>
      <c r="D140" s="66">
        <f t="shared" si="3"/>
        <v>-550</v>
      </c>
      <c r="E140" s="56" t="s">
        <v>116</v>
      </c>
      <c r="F140" s="58">
        <f t="shared" ref="F140:L140" si="130">SUMIFS($C140,$B140,F$7)+F139</f>
        <v>23</v>
      </c>
      <c r="G140" s="58">
        <f t="shared" si="130"/>
        <v>0</v>
      </c>
      <c r="H140" s="58">
        <f t="shared" si="130"/>
        <v>0</v>
      </c>
      <c r="I140" s="58">
        <f t="shared" si="130"/>
        <v>103</v>
      </c>
      <c r="J140" s="58">
        <f t="shared" si="130"/>
        <v>13</v>
      </c>
      <c r="K140" s="58">
        <f t="shared" si="130"/>
        <v>0</v>
      </c>
      <c r="L140" s="58">
        <f t="shared" si="130"/>
        <v>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0" customHeight="1">
      <c r="A141" s="70"/>
      <c r="B141" s="71"/>
      <c r="C141" s="66"/>
      <c r="D141" s="66">
        <f t="shared" si="3"/>
        <v>0</v>
      </c>
      <c r="E141" s="67"/>
      <c r="F141" s="58">
        <f t="shared" ref="F141:L141" si="131">SUMIFS($C141,$B141,F$7)+F140</f>
        <v>23</v>
      </c>
      <c r="G141" s="58">
        <f t="shared" si="131"/>
        <v>0</v>
      </c>
      <c r="H141" s="58">
        <f t="shared" si="131"/>
        <v>0</v>
      </c>
      <c r="I141" s="58">
        <f t="shared" si="131"/>
        <v>103</v>
      </c>
      <c r="J141" s="58">
        <f t="shared" si="131"/>
        <v>13</v>
      </c>
      <c r="K141" s="58">
        <f t="shared" si="131"/>
        <v>0</v>
      </c>
      <c r="L141" s="58">
        <f t="shared" si="131"/>
        <v>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0" customHeight="1">
      <c r="A142" s="68">
        <v>46086.0</v>
      </c>
      <c r="B142" s="64" t="s">
        <v>9</v>
      </c>
      <c r="C142" s="65">
        <v>-1.0</v>
      </c>
      <c r="D142" s="66">
        <f t="shared" si="3"/>
        <v>-550</v>
      </c>
      <c r="E142" s="56" t="s">
        <v>116</v>
      </c>
      <c r="F142" s="58">
        <f t="shared" ref="F142:L142" si="132">SUMIFS($C142,$B142,F$7)+F141</f>
        <v>22</v>
      </c>
      <c r="G142" s="58">
        <f t="shared" si="132"/>
        <v>0</v>
      </c>
      <c r="H142" s="58">
        <f t="shared" si="132"/>
        <v>0</v>
      </c>
      <c r="I142" s="58">
        <f t="shared" si="132"/>
        <v>103</v>
      </c>
      <c r="J142" s="58">
        <f t="shared" si="132"/>
        <v>13</v>
      </c>
      <c r="K142" s="58">
        <f t="shared" si="132"/>
        <v>0</v>
      </c>
      <c r="L142" s="58">
        <f t="shared" si="132"/>
        <v>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0" customHeight="1">
      <c r="A143" s="70"/>
      <c r="B143" s="71"/>
      <c r="C143" s="66"/>
      <c r="D143" s="66">
        <f t="shared" si="3"/>
        <v>0</v>
      </c>
      <c r="E143" s="67"/>
      <c r="F143" s="58">
        <f t="shared" ref="F143:L143" si="133">SUMIFS($C143,$B143,F$7)+F142</f>
        <v>22</v>
      </c>
      <c r="G143" s="58">
        <f t="shared" si="133"/>
        <v>0</v>
      </c>
      <c r="H143" s="58">
        <f t="shared" si="133"/>
        <v>0</v>
      </c>
      <c r="I143" s="58">
        <f t="shared" si="133"/>
        <v>103</v>
      </c>
      <c r="J143" s="58">
        <f t="shared" si="133"/>
        <v>13</v>
      </c>
      <c r="K143" s="58">
        <f t="shared" si="133"/>
        <v>0</v>
      </c>
      <c r="L143" s="58">
        <f t="shared" si="133"/>
        <v>0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0" customHeight="1">
      <c r="A144" s="68">
        <v>46087.0</v>
      </c>
      <c r="B144" s="64" t="s">
        <v>9</v>
      </c>
      <c r="C144" s="65">
        <v>-1.0</v>
      </c>
      <c r="D144" s="66">
        <f t="shared" si="3"/>
        <v>-550</v>
      </c>
      <c r="E144" s="56" t="s">
        <v>116</v>
      </c>
      <c r="F144" s="58">
        <f t="shared" ref="F144:L144" si="134">SUMIFS($C144,$B144,F$7)+F143</f>
        <v>21</v>
      </c>
      <c r="G144" s="58">
        <f t="shared" si="134"/>
        <v>0</v>
      </c>
      <c r="H144" s="58">
        <f t="shared" si="134"/>
        <v>0</v>
      </c>
      <c r="I144" s="58">
        <f t="shared" si="134"/>
        <v>103</v>
      </c>
      <c r="J144" s="58">
        <f t="shared" si="134"/>
        <v>13</v>
      </c>
      <c r="K144" s="58">
        <f t="shared" si="134"/>
        <v>0</v>
      </c>
      <c r="L144" s="58">
        <f t="shared" si="134"/>
        <v>0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0" customHeight="1">
      <c r="A145" s="70"/>
      <c r="B145" s="71"/>
      <c r="C145" s="66"/>
      <c r="D145" s="66">
        <f t="shared" si="3"/>
        <v>0</v>
      </c>
      <c r="E145" s="67"/>
      <c r="F145" s="58">
        <f t="shared" ref="F145:L145" si="135">SUMIFS($C145,$B145,F$7)+F144</f>
        <v>21</v>
      </c>
      <c r="G145" s="58">
        <f t="shared" si="135"/>
        <v>0</v>
      </c>
      <c r="H145" s="58">
        <f t="shared" si="135"/>
        <v>0</v>
      </c>
      <c r="I145" s="58">
        <f t="shared" si="135"/>
        <v>103</v>
      </c>
      <c r="J145" s="58">
        <f t="shared" si="135"/>
        <v>13</v>
      </c>
      <c r="K145" s="58">
        <f t="shared" si="135"/>
        <v>0</v>
      </c>
      <c r="L145" s="58">
        <f t="shared" si="135"/>
        <v>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0" customHeight="1">
      <c r="A146" s="68">
        <v>46088.0</v>
      </c>
      <c r="B146" s="64" t="s">
        <v>9</v>
      </c>
      <c r="C146" s="65">
        <v>-1.0</v>
      </c>
      <c r="D146" s="66">
        <f t="shared" si="3"/>
        <v>-550</v>
      </c>
      <c r="E146" s="56" t="s">
        <v>124</v>
      </c>
      <c r="F146" s="58">
        <f t="shared" ref="F146:L146" si="136">SUMIFS($C146,$B146,F$7)+F145</f>
        <v>20</v>
      </c>
      <c r="G146" s="58">
        <f t="shared" si="136"/>
        <v>0</v>
      </c>
      <c r="H146" s="58">
        <f t="shared" si="136"/>
        <v>0</v>
      </c>
      <c r="I146" s="58">
        <f t="shared" si="136"/>
        <v>103</v>
      </c>
      <c r="J146" s="58">
        <f t="shared" si="136"/>
        <v>13</v>
      </c>
      <c r="K146" s="58">
        <f t="shared" si="136"/>
        <v>0</v>
      </c>
      <c r="L146" s="58">
        <f t="shared" si="136"/>
        <v>0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0" customHeight="1">
      <c r="A147" s="70"/>
      <c r="B147" s="71"/>
      <c r="C147" s="66"/>
      <c r="D147" s="66">
        <f t="shared" si="3"/>
        <v>0</v>
      </c>
      <c r="E147" s="67"/>
      <c r="F147" s="58">
        <f t="shared" ref="F147:L147" si="137">SUMIFS($C147,$B147,F$7)+F146</f>
        <v>20</v>
      </c>
      <c r="G147" s="58">
        <f t="shared" si="137"/>
        <v>0</v>
      </c>
      <c r="H147" s="58">
        <f t="shared" si="137"/>
        <v>0</v>
      </c>
      <c r="I147" s="58">
        <f t="shared" si="137"/>
        <v>103</v>
      </c>
      <c r="J147" s="58">
        <f t="shared" si="137"/>
        <v>13</v>
      </c>
      <c r="K147" s="58">
        <f t="shared" si="137"/>
        <v>0</v>
      </c>
      <c r="L147" s="58">
        <f t="shared" si="137"/>
        <v>0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0" customHeight="1">
      <c r="A148" s="68">
        <v>46090.0</v>
      </c>
      <c r="B148" s="64" t="s">
        <v>9</v>
      </c>
      <c r="C148" s="65">
        <v>-1.0</v>
      </c>
      <c r="D148" s="66">
        <f t="shared" si="3"/>
        <v>-550</v>
      </c>
      <c r="E148" s="56" t="s">
        <v>124</v>
      </c>
      <c r="F148" s="58">
        <f t="shared" ref="F148:L148" si="138">SUMIFS($C148,$B148,F$7)+F147</f>
        <v>19</v>
      </c>
      <c r="G148" s="58">
        <f t="shared" si="138"/>
        <v>0</v>
      </c>
      <c r="H148" s="58">
        <f t="shared" si="138"/>
        <v>0</v>
      </c>
      <c r="I148" s="58">
        <f t="shared" si="138"/>
        <v>103</v>
      </c>
      <c r="J148" s="58">
        <f t="shared" si="138"/>
        <v>13</v>
      </c>
      <c r="K148" s="58">
        <f t="shared" si="138"/>
        <v>0</v>
      </c>
      <c r="L148" s="58">
        <f t="shared" si="138"/>
        <v>0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0" customHeight="1">
      <c r="A149" s="70"/>
      <c r="B149" s="71"/>
      <c r="C149" s="66"/>
      <c r="D149" s="66">
        <f t="shared" si="3"/>
        <v>0</v>
      </c>
      <c r="E149" s="67"/>
      <c r="F149" s="58">
        <f t="shared" ref="F149:L149" si="139">SUMIFS($C149,$B149,F$7)+F148</f>
        <v>19</v>
      </c>
      <c r="G149" s="58">
        <f t="shared" si="139"/>
        <v>0</v>
      </c>
      <c r="H149" s="58">
        <f t="shared" si="139"/>
        <v>0</v>
      </c>
      <c r="I149" s="58">
        <f t="shared" si="139"/>
        <v>103</v>
      </c>
      <c r="J149" s="58">
        <f t="shared" si="139"/>
        <v>13</v>
      </c>
      <c r="K149" s="58">
        <f t="shared" si="139"/>
        <v>0</v>
      </c>
      <c r="L149" s="58">
        <f t="shared" si="139"/>
        <v>0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0" customHeight="1">
      <c r="A150" s="68">
        <v>46091.0</v>
      </c>
      <c r="B150" s="64" t="s">
        <v>9</v>
      </c>
      <c r="C150" s="65">
        <v>-2.0</v>
      </c>
      <c r="D150" s="66">
        <f t="shared" si="3"/>
        <v>-1100</v>
      </c>
      <c r="E150" s="56" t="s">
        <v>116</v>
      </c>
      <c r="F150" s="58">
        <f t="shared" ref="F150:L150" si="140">SUMIFS($C150,$B150,F$7)+F149</f>
        <v>17</v>
      </c>
      <c r="G150" s="58">
        <f t="shared" si="140"/>
        <v>0</v>
      </c>
      <c r="H150" s="58">
        <f t="shared" si="140"/>
        <v>0</v>
      </c>
      <c r="I150" s="58">
        <f t="shared" si="140"/>
        <v>103</v>
      </c>
      <c r="J150" s="58">
        <f t="shared" si="140"/>
        <v>13</v>
      </c>
      <c r="K150" s="58">
        <f t="shared" si="140"/>
        <v>0</v>
      </c>
      <c r="L150" s="58">
        <f t="shared" si="140"/>
        <v>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0" customHeight="1">
      <c r="A151" s="70"/>
      <c r="B151" s="71"/>
      <c r="C151" s="66"/>
      <c r="D151" s="66">
        <f t="shared" si="3"/>
        <v>0</v>
      </c>
      <c r="E151" s="67"/>
      <c r="F151" s="58">
        <f t="shared" ref="F151:L151" si="141">SUMIFS($C151,$B151,F$7)+F150</f>
        <v>17</v>
      </c>
      <c r="G151" s="58">
        <f t="shared" si="141"/>
        <v>0</v>
      </c>
      <c r="H151" s="58">
        <f t="shared" si="141"/>
        <v>0</v>
      </c>
      <c r="I151" s="58">
        <f t="shared" si="141"/>
        <v>103</v>
      </c>
      <c r="J151" s="58">
        <f t="shared" si="141"/>
        <v>13</v>
      </c>
      <c r="K151" s="58">
        <f t="shared" si="141"/>
        <v>0</v>
      </c>
      <c r="L151" s="58">
        <f t="shared" si="141"/>
        <v>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0" customHeight="1">
      <c r="A152" s="68">
        <v>46092.0</v>
      </c>
      <c r="B152" s="64" t="s">
        <v>9</v>
      </c>
      <c r="C152" s="65">
        <v>-2.0</v>
      </c>
      <c r="D152" s="66">
        <f t="shared" si="3"/>
        <v>-1100</v>
      </c>
      <c r="E152" s="56" t="s">
        <v>116</v>
      </c>
      <c r="F152" s="58">
        <f t="shared" ref="F152:L152" si="142">SUMIFS($C152,$B152,F$7)+F151</f>
        <v>15</v>
      </c>
      <c r="G152" s="58">
        <f t="shared" si="142"/>
        <v>0</v>
      </c>
      <c r="H152" s="58">
        <f t="shared" si="142"/>
        <v>0</v>
      </c>
      <c r="I152" s="58">
        <f t="shared" si="142"/>
        <v>103</v>
      </c>
      <c r="J152" s="58">
        <f t="shared" si="142"/>
        <v>13</v>
      </c>
      <c r="K152" s="58">
        <f t="shared" si="142"/>
        <v>0</v>
      </c>
      <c r="L152" s="58">
        <f t="shared" si="142"/>
        <v>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0" customHeight="1">
      <c r="A153" s="70"/>
      <c r="B153" s="71"/>
      <c r="C153" s="66"/>
      <c r="D153" s="66">
        <f t="shared" si="3"/>
        <v>0</v>
      </c>
      <c r="E153" s="67"/>
      <c r="F153" s="58">
        <f t="shared" ref="F153:L153" si="143">SUMIFS($C153,$B153,F$7)+F152</f>
        <v>15</v>
      </c>
      <c r="G153" s="58">
        <f t="shared" si="143"/>
        <v>0</v>
      </c>
      <c r="H153" s="58">
        <f t="shared" si="143"/>
        <v>0</v>
      </c>
      <c r="I153" s="58">
        <f t="shared" si="143"/>
        <v>103</v>
      </c>
      <c r="J153" s="58">
        <f t="shared" si="143"/>
        <v>13</v>
      </c>
      <c r="K153" s="58">
        <f t="shared" si="143"/>
        <v>0</v>
      </c>
      <c r="L153" s="58">
        <f t="shared" si="143"/>
        <v>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0" customHeight="1">
      <c r="A154" s="68">
        <v>46093.0</v>
      </c>
      <c r="B154" s="64" t="s">
        <v>9</v>
      </c>
      <c r="C154" s="65">
        <v>-1.0</v>
      </c>
      <c r="D154" s="66">
        <f t="shared" si="3"/>
        <v>-550</v>
      </c>
      <c r="E154" s="56" t="s">
        <v>116</v>
      </c>
      <c r="F154" s="58">
        <f t="shared" ref="F154:L154" si="144">SUMIFS($C154,$B154,F$7)+F153</f>
        <v>14</v>
      </c>
      <c r="G154" s="58">
        <f t="shared" si="144"/>
        <v>0</v>
      </c>
      <c r="H154" s="58">
        <f t="shared" si="144"/>
        <v>0</v>
      </c>
      <c r="I154" s="58">
        <f t="shared" si="144"/>
        <v>103</v>
      </c>
      <c r="J154" s="58">
        <f t="shared" si="144"/>
        <v>13</v>
      </c>
      <c r="K154" s="58">
        <f t="shared" si="144"/>
        <v>0</v>
      </c>
      <c r="L154" s="58">
        <f t="shared" si="144"/>
        <v>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0" customHeight="1">
      <c r="A155" s="70"/>
      <c r="B155" s="71"/>
      <c r="C155" s="66"/>
      <c r="D155" s="66">
        <f t="shared" si="3"/>
        <v>0</v>
      </c>
      <c r="E155" s="67"/>
      <c r="F155" s="58">
        <f t="shared" ref="F155:L155" si="145">SUMIFS($C155,$B155,F$7)+F154</f>
        <v>14</v>
      </c>
      <c r="G155" s="58">
        <f t="shared" si="145"/>
        <v>0</v>
      </c>
      <c r="H155" s="58">
        <f t="shared" si="145"/>
        <v>0</v>
      </c>
      <c r="I155" s="58">
        <f t="shared" si="145"/>
        <v>103</v>
      </c>
      <c r="J155" s="58">
        <f t="shared" si="145"/>
        <v>13</v>
      </c>
      <c r="K155" s="58">
        <f t="shared" si="145"/>
        <v>0</v>
      </c>
      <c r="L155" s="58">
        <f t="shared" si="145"/>
        <v>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0" customHeight="1">
      <c r="A156" s="68">
        <v>46094.0</v>
      </c>
      <c r="B156" s="64" t="s">
        <v>9</v>
      </c>
      <c r="C156" s="65">
        <v>-1.0</v>
      </c>
      <c r="D156" s="66">
        <f t="shared" si="3"/>
        <v>-550</v>
      </c>
      <c r="E156" s="56" t="s">
        <v>116</v>
      </c>
      <c r="F156" s="58">
        <f t="shared" ref="F156:L156" si="146">SUMIFS($C156,$B156,F$7)+F155</f>
        <v>13</v>
      </c>
      <c r="G156" s="58">
        <f t="shared" si="146"/>
        <v>0</v>
      </c>
      <c r="H156" s="58">
        <f t="shared" si="146"/>
        <v>0</v>
      </c>
      <c r="I156" s="58">
        <f t="shared" si="146"/>
        <v>103</v>
      </c>
      <c r="J156" s="58">
        <f t="shared" si="146"/>
        <v>13</v>
      </c>
      <c r="K156" s="58">
        <f t="shared" si="146"/>
        <v>0</v>
      </c>
      <c r="L156" s="58">
        <f t="shared" si="146"/>
        <v>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0" customHeight="1">
      <c r="A157" s="70"/>
      <c r="B157" s="71"/>
      <c r="C157" s="66"/>
      <c r="D157" s="66">
        <f t="shared" si="3"/>
        <v>0</v>
      </c>
      <c r="E157" s="67"/>
      <c r="F157" s="58">
        <f t="shared" ref="F157:L157" si="147">SUMIFS($C157,$B157,F$7)+F156</f>
        <v>13</v>
      </c>
      <c r="G157" s="58">
        <f t="shared" si="147"/>
        <v>0</v>
      </c>
      <c r="H157" s="58">
        <f t="shared" si="147"/>
        <v>0</v>
      </c>
      <c r="I157" s="58">
        <f t="shared" si="147"/>
        <v>103</v>
      </c>
      <c r="J157" s="58">
        <f t="shared" si="147"/>
        <v>13</v>
      </c>
      <c r="K157" s="58">
        <f t="shared" si="147"/>
        <v>0</v>
      </c>
      <c r="L157" s="58">
        <f t="shared" si="147"/>
        <v>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0" customHeight="1">
      <c r="A158" s="68">
        <v>46095.0</v>
      </c>
      <c r="B158" s="64" t="s">
        <v>9</v>
      </c>
      <c r="C158" s="65">
        <v>-1.0</v>
      </c>
      <c r="D158" s="66">
        <f t="shared" si="3"/>
        <v>-550</v>
      </c>
      <c r="E158" s="56" t="s">
        <v>116</v>
      </c>
      <c r="F158" s="58">
        <f t="shared" ref="F158:L158" si="148">SUMIFS($C158,$B158,F$7)+F157</f>
        <v>12</v>
      </c>
      <c r="G158" s="58">
        <f t="shared" si="148"/>
        <v>0</v>
      </c>
      <c r="H158" s="58">
        <f t="shared" si="148"/>
        <v>0</v>
      </c>
      <c r="I158" s="58">
        <f t="shared" si="148"/>
        <v>103</v>
      </c>
      <c r="J158" s="58">
        <f t="shared" si="148"/>
        <v>13</v>
      </c>
      <c r="K158" s="58">
        <f t="shared" si="148"/>
        <v>0</v>
      </c>
      <c r="L158" s="58">
        <f t="shared" si="148"/>
        <v>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0" customHeight="1">
      <c r="A159" s="70"/>
      <c r="B159" s="71"/>
      <c r="C159" s="66"/>
      <c r="D159" s="66">
        <f t="shared" si="3"/>
        <v>0</v>
      </c>
      <c r="E159" s="67"/>
      <c r="F159" s="58">
        <f t="shared" ref="F159:L159" si="149">SUMIFS($C159,$B159,F$7)+F158</f>
        <v>12</v>
      </c>
      <c r="G159" s="58">
        <f t="shared" si="149"/>
        <v>0</v>
      </c>
      <c r="H159" s="58">
        <f t="shared" si="149"/>
        <v>0</v>
      </c>
      <c r="I159" s="58">
        <f t="shared" si="149"/>
        <v>103</v>
      </c>
      <c r="J159" s="58">
        <f t="shared" si="149"/>
        <v>13</v>
      </c>
      <c r="K159" s="58">
        <f t="shared" si="149"/>
        <v>0</v>
      </c>
      <c r="L159" s="58">
        <f t="shared" si="149"/>
        <v>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0" customHeight="1">
      <c r="A160" s="68">
        <v>46098.0</v>
      </c>
      <c r="B160" s="64" t="s">
        <v>9</v>
      </c>
      <c r="C160" s="65">
        <v>-1.0</v>
      </c>
      <c r="D160" s="66">
        <f t="shared" si="3"/>
        <v>-550</v>
      </c>
      <c r="E160" s="56" t="s">
        <v>116</v>
      </c>
      <c r="F160" s="58">
        <f t="shared" ref="F160:L160" si="150">SUMIFS($C160,$B160,F$7)+F159</f>
        <v>11</v>
      </c>
      <c r="G160" s="58">
        <f t="shared" si="150"/>
        <v>0</v>
      </c>
      <c r="H160" s="58">
        <f t="shared" si="150"/>
        <v>0</v>
      </c>
      <c r="I160" s="58">
        <f t="shared" si="150"/>
        <v>103</v>
      </c>
      <c r="J160" s="58">
        <f t="shared" si="150"/>
        <v>13</v>
      </c>
      <c r="K160" s="58">
        <f t="shared" si="150"/>
        <v>0</v>
      </c>
      <c r="L160" s="58">
        <f t="shared" si="150"/>
        <v>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0" customHeight="1">
      <c r="A161" s="70"/>
      <c r="B161" s="71"/>
      <c r="C161" s="66"/>
      <c r="D161" s="66">
        <f t="shared" si="3"/>
        <v>0</v>
      </c>
      <c r="E161" s="67"/>
      <c r="F161" s="58">
        <f t="shared" ref="F161:L161" si="151">SUMIFS($C161,$B161,F$7)+F160</f>
        <v>11</v>
      </c>
      <c r="G161" s="58">
        <f t="shared" si="151"/>
        <v>0</v>
      </c>
      <c r="H161" s="58">
        <f t="shared" si="151"/>
        <v>0</v>
      </c>
      <c r="I161" s="58">
        <f t="shared" si="151"/>
        <v>103</v>
      </c>
      <c r="J161" s="58">
        <f t="shared" si="151"/>
        <v>13</v>
      </c>
      <c r="K161" s="58">
        <f t="shared" si="151"/>
        <v>0</v>
      </c>
      <c r="L161" s="58">
        <f t="shared" si="151"/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0" customHeight="1">
      <c r="A162" s="68">
        <v>46099.0</v>
      </c>
      <c r="B162" s="64" t="s">
        <v>9</v>
      </c>
      <c r="C162" s="65">
        <v>-1.0</v>
      </c>
      <c r="D162" s="66">
        <f t="shared" si="3"/>
        <v>-550</v>
      </c>
      <c r="E162" s="56" t="s">
        <v>116</v>
      </c>
      <c r="F162" s="58">
        <f t="shared" ref="F162:L162" si="152">SUMIFS($C162,$B162,F$7)+F161</f>
        <v>10</v>
      </c>
      <c r="G162" s="58">
        <f t="shared" si="152"/>
        <v>0</v>
      </c>
      <c r="H162" s="58">
        <f t="shared" si="152"/>
        <v>0</v>
      </c>
      <c r="I162" s="58">
        <f t="shared" si="152"/>
        <v>103</v>
      </c>
      <c r="J162" s="58">
        <f t="shared" si="152"/>
        <v>13</v>
      </c>
      <c r="K162" s="58">
        <f t="shared" si="152"/>
        <v>0</v>
      </c>
      <c r="L162" s="58">
        <f t="shared" si="152"/>
        <v>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0" customHeight="1">
      <c r="A163" s="70"/>
      <c r="B163" s="71"/>
      <c r="C163" s="66"/>
      <c r="D163" s="66">
        <f t="shared" si="3"/>
        <v>0</v>
      </c>
      <c r="E163" s="67"/>
      <c r="F163" s="58">
        <f t="shared" ref="F163:L163" si="153">SUMIFS($C163,$B163,F$7)+F162</f>
        <v>10</v>
      </c>
      <c r="G163" s="58">
        <f t="shared" si="153"/>
        <v>0</v>
      </c>
      <c r="H163" s="58">
        <f t="shared" si="153"/>
        <v>0</v>
      </c>
      <c r="I163" s="58">
        <f t="shared" si="153"/>
        <v>103</v>
      </c>
      <c r="J163" s="58">
        <f t="shared" si="153"/>
        <v>13</v>
      </c>
      <c r="K163" s="58">
        <f t="shared" si="153"/>
        <v>0</v>
      </c>
      <c r="L163" s="58">
        <f t="shared" si="153"/>
        <v>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0" customHeight="1">
      <c r="A164" s="68">
        <v>46100.0</v>
      </c>
      <c r="B164" s="64" t="s">
        <v>9</v>
      </c>
      <c r="C164" s="65">
        <v>-1.0</v>
      </c>
      <c r="D164" s="66">
        <f t="shared" si="3"/>
        <v>-550</v>
      </c>
      <c r="E164" s="56" t="s">
        <v>116</v>
      </c>
      <c r="F164" s="58">
        <f t="shared" ref="F164:L164" si="154">SUMIFS($C164,$B164,F$7)+F163</f>
        <v>9</v>
      </c>
      <c r="G164" s="58">
        <f t="shared" si="154"/>
        <v>0</v>
      </c>
      <c r="H164" s="58">
        <f t="shared" si="154"/>
        <v>0</v>
      </c>
      <c r="I164" s="58">
        <f t="shared" si="154"/>
        <v>103</v>
      </c>
      <c r="J164" s="58">
        <f t="shared" si="154"/>
        <v>13</v>
      </c>
      <c r="K164" s="58">
        <f t="shared" si="154"/>
        <v>0</v>
      </c>
      <c r="L164" s="58">
        <f t="shared" si="154"/>
        <v>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0" customHeight="1">
      <c r="A165" s="70"/>
      <c r="B165" s="71"/>
      <c r="C165" s="66"/>
      <c r="D165" s="66">
        <f t="shared" si="3"/>
        <v>0</v>
      </c>
      <c r="E165" s="67"/>
      <c r="F165" s="58">
        <f t="shared" ref="F165:L165" si="155">SUMIFS($C165,$B165,F$7)+F164</f>
        <v>9</v>
      </c>
      <c r="G165" s="58">
        <f t="shared" si="155"/>
        <v>0</v>
      </c>
      <c r="H165" s="58">
        <f t="shared" si="155"/>
        <v>0</v>
      </c>
      <c r="I165" s="58">
        <f t="shared" si="155"/>
        <v>103</v>
      </c>
      <c r="J165" s="58">
        <f t="shared" si="155"/>
        <v>13</v>
      </c>
      <c r="K165" s="58">
        <f t="shared" si="155"/>
        <v>0</v>
      </c>
      <c r="L165" s="58">
        <f t="shared" si="155"/>
        <v>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0" customHeight="1">
      <c r="A166" s="68">
        <v>46101.0</v>
      </c>
      <c r="B166" s="64" t="s">
        <v>9</v>
      </c>
      <c r="C166" s="65">
        <v>-1.0</v>
      </c>
      <c r="D166" s="66">
        <f t="shared" si="3"/>
        <v>-550</v>
      </c>
      <c r="E166" s="56" t="s">
        <v>116</v>
      </c>
      <c r="F166" s="58">
        <f t="shared" ref="F166:L166" si="156">SUMIFS($C166,$B166,F$7)+F165</f>
        <v>8</v>
      </c>
      <c r="G166" s="58">
        <f t="shared" si="156"/>
        <v>0</v>
      </c>
      <c r="H166" s="58">
        <f t="shared" si="156"/>
        <v>0</v>
      </c>
      <c r="I166" s="58">
        <f t="shared" si="156"/>
        <v>103</v>
      </c>
      <c r="J166" s="58">
        <f t="shared" si="156"/>
        <v>13</v>
      </c>
      <c r="K166" s="58">
        <f t="shared" si="156"/>
        <v>0</v>
      </c>
      <c r="L166" s="58">
        <f t="shared" si="156"/>
        <v>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0" customHeight="1">
      <c r="A167" s="70"/>
      <c r="B167" s="71"/>
      <c r="C167" s="66"/>
      <c r="D167" s="66">
        <f t="shared" si="3"/>
        <v>0</v>
      </c>
      <c r="E167" s="67"/>
      <c r="F167" s="58">
        <f t="shared" ref="F167:L167" si="157">SUMIFS($C167,$B167,F$7)+F166</f>
        <v>8</v>
      </c>
      <c r="G167" s="58">
        <f t="shared" si="157"/>
        <v>0</v>
      </c>
      <c r="H167" s="58">
        <f t="shared" si="157"/>
        <v>0</v>
      </c>
      <c r="I167" s="58">
        <f t="shared" si="157"/>
        <v>103</v>
      </c>
      <c r="J167" s="58">
        <f t="shared" si="157"/>
        <v>13</v>
      </c>
      <c r="K167" s="58">
        <f t="shared" si="157"/>
        <v>0</v>
      </c>
      <c r="L167" s="58">
        <f t="shared" si="157"/>
        <v>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0" customHeight="1">
      <c r="A168" s="68">
        <v>46104.0</v>
      </c>
      <c r="B168" s="64" t="s">
        <v>9</v>
      </c>
      <c r="C168" s="65">
        <v>-2.0</v>
      </c>
      <c r="D168" s="66">
        <f t="shared" si="3"/>
        <v>-1100</v>
      </c>
      <c r="E168" s="56" t="s">
        <v>116</v>
      </c>
      <c r="F168" s="58">
        <f t="shared" ref="F168:L168" si="158">SUMIFS($C168,$B168,F$7)+F167</f>
        <v>6</v>
      </c>
      <c r="G168" s="58">
        <f t="shared" si="158"/>
        <v>0</v>
      </c>
      <c r="H168" s="58">
        <f t="shared" si="158"/>
        <v>0</v>
      </c>
      <c r="I168" s="58">
        <f t="shared" si="158"/>
        <v>103</v>
      </c>
      <c r="J168" s="58">
        <f t="shared" si="158"/>
        <v>13</v>
      </c>
      <c r="K168" s="58">
        <f t="shared" si="158"/>
        <v>0</v>
      </c>
      <c r="L168" s="58">
        <f t="shared" si="158"/>
        <v>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0" customHeight="1">
      <c r="A169" s="70"/>
      <c r="B169" s="71"/>
      <c r="C169" s="66"/>
      <c r="D169" s="66">
        <f t="shared" si="3"/>
        <v>0</v>
      </c>
      <c r="E169" s="67"/>
      <c r="F169" s="58">
        <f t="shared" ref="F169:L169" si="159">SUMIFS($C169,$B169,F$7)+F168</f>
        <v>6</v>
      </c>
      <c r="G169" s="58">
        <f t="shared" si="159"/>
        <v>0</v>
      </c>
      <c r="H169" s="58">
        <f t="shared" si="159"/>
        <v>0</v>
      </c>
      <c r="I169" s="58">
        <f t="shared" si="159"/>
        <v>103</v>
      </c>
      <c r="J169" s="58">
        <f t="shared" si="159"/>
        <v>13</v>
      </c>
      <c r="K169" s="58">
        <f t="shared" si="159"/>
        <v>0</v>
      </c>
      <c r="L169" s="58">
        <f t="shared" si="159"/>
        <v>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0" customHeight="1">
      <c r="A170" s="68">
        <v>46105.0</v>
      </c>
      <c r="B170" s="64" t="s">
        <v>9</v>
      </c>
      <c r="C170" s="65">
        <v>-2.0</v>
      </c>
      <c r="D170" s="66">
        <f t="shared" si="3"/>
        <v>-1100</v>
      </c>
      <c r="E170" s="56" t="s">
        <v>116</v>
      </c>
      <c r="F170" s="58">
        <f t="shared" ref="F170:L170" si="160">SUMIFS($C170,$B170,F$7)+F169</f>
        <v>4</v>
      </c>
      <c r="G170" s="58">
        <f t="shared" si="160"/>
        <v>0</v>
      </c>
      <c r="H170" s="58">
        <f t="shared" si="160"/>
        <v>0</v>
      </c>
      <c r="I170" s="58">
        <f t="shared" si="160"/>
        <v>103</v>
      </c>
      <c r="J170" s="58">
        <f t="shared" si="160"/>
        <v>13</v>
      </c>
      <c r="K170" s="58">
        <f t="shared" si="160"/>
        <v>0</v>
      </c>
      <c r="L170" s="58">
        <f t="shared" si="160"/>
        <v>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0" customHeight="1">
      <c r="A171" s="70"/>
      <c r="B171" s="71"/>
      <c r="C171" s="66"/>
      <c r="D171" s="66">
        <f t="shared" si="3"/>
        <v>0</v>
      </c>
      <c r="E171" s="67"/>
      <c r="F171" s="58">
        <f t="shared" ref="F171:L171" si="161">SUMIFS($C171,$B171,F$7)+F170</f>
        <v>4</v>
      </c>
      <c r="G171" s="58">
        <f t="shared" si="161"/>
        <v>0</v>
      </c>
      <c r="H171" s="58">
        <f t="shared" si="161"/>
        <v>0</v>
      </c>
      <c r="I171" s="58">
        <f t="shared" si="161"/>
        <v>103</v>
      </c>
      <c r="J171" s="58">
        <f t="shared" si="161"/>
        <v>13</v>
      </c>
      <c r="K171" s="58">
        <f t="shared" si="161"/>
        <v>0</v>
      </c>
      <c r="L171" s="58">
        <f t="shared" si="161"/>
        <v>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0" customHeight="1">
      <c r="A172" s="68">
        <v>46106.0</v>
      </c>
      <c r="B172" s="64" t="s">
        <v>9</v>
      </c>
      <c r="C172" s="65">
        <v>-2.0</v>
      </c>
      <c r="D172" s="66">
        <f t="shared" si="3"/>
        <v>-1100</v>
      </c>
      <c r="E172" s="56" t="s">
        <v>116</v>
      </c>
      <c r="F172" s="58">
        <f t="shared" ref="F172:L172" si="162">SUMIFS($C172,$B172,F$7)+F171</f>
        <v>2</v>
      </c>
      <c r="G172" s="58">
        <f t="shared" si="162"/>
        <v>0</v>
      </c>
      <c r="H172" s="58">
        <f t="shared" si="162"/>
        <v>0</v>
      </c>
      <c r="I172" s="58">
        <f t="shared" si="162"/>
        <v>103</v>
      </c>
      <c r="J172" s="58">
        <f t="shared" si="162"/>
        <v>13</v>
      </c>
      <c r="K172" s="58">
        <f t="shared" si="162"/>
        <v>0</v>
      </c>
      <c r="L172" s="58">
        <f t="shared" si="162"/>
        <v>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0" customHeight="1">
      <c r="A173" s="70"/>
      <c r="B173" s="71"/>
      <c r="C173" s="66"/>
      <c r="D173" s="66">
        <f t="shared" si="3"/>
        <v>0</v>
      </c>
      <c r="E173" s="67"/>
      <c r="F173" s="58">
        <f t="shared" ref="F173:L173" si="163">SUMIFS($C173,$B173,F$7)+F172</f>
        <v>2</v>
      </c>
      <c r="G173" s="58">
        <f t="shared" si="163"/>
        <v>0</v>
      </c>
      <c r="H173" s="58">
        <f t="shared" si="163"/>
        <v>0</v>
      </c>
      <c r="I173" s="58">
        <f t="shared" si="163"/>
        <v>103</v>
      </c>
      <c r="J173" s="58">
        <f t="shared" si="163"/>
        <v>13</v>
      </c>
      <c r="K173" s="58">
        <f t="shared" si="163"/>
        <v>0</v>
      </c>
      <c r="L173" s="58">
        <f t="shared" si="163"/>
        <v>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0" customHeight="1">
      <c r="A174" s="68">
        <v>46107.0</v>
      </c>
      <c r="B174" s="64" t="s">
        <v>9</v>
      </c>
      <c r="C174" s="65">
        <v>-1.0</v>
      </c>
      <c r="D174" s="66">
        <f t="shared" si="3"/>
        <v>-550</v>
      </c>
      <c r="E174" s="56" t="s">
        <v>116</v>
      </c>
      <c r="F174" s="58">
        <f t="shared" ref="F174:L174" si="164">SUMIFS($C174,$B174,F$7)+F173</f>
        <v>1</v>
      </c>
      <c r="G174" s="58">
        <f t="shared" si="164"/>
        <v>0</v>
      </c>
      <c r="H174" s="58">
        <f t="shared" si="164"/>
        <v>0</v>
      </c>
      <c r="I174" s="58">
        <f t="shared" si="164"/>
        <v>103</v>
      </c>
      <c r="J174" s="58">
        <f t="shared" si="164"/>
        <v>13</v>
      </c>
      <c r="K174" s="58">
        <f t="shared" si="164"/>
        <v>0</v>
      </c>
      <c r="L174" s="58">
        <f t="shared" si="164"/>
        <v>0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0" customHeight="1">
      <c r="A175" s="70"/>
      <c r="B175" s="64" t="s">
        <v>20</v>
      </c>
      <c r="C175" s="65">
        <v>-1.0</v>
      </c>
      <c r="D175" s="66">
        <f t="shared" si="3"/>
        <v>-550</v>
      </c>
      <c r="E175" s="56" t="s">
        <v>116</v>
      </c>
      <c r="F175" s="58">
        <f t="shared" ref="F175:L175" si="165">SUMIFS($C175,$B175,F$7)+F174</f>
        <v>1</v>
      </c>
      <c r="G175" s="58">
        <f t="shared" si="165"/>
        <v>0</v>
      </c>
      <c r="H175" s="58">
        <f t="shared" si="165"/>
        <v>0</v>
      </c>
      <c r="I175" s="58">
        <f t="shared" si="165"/>
        <v>103</v>
      </c>
      <c r="J175" s="58">
        <f t="shared" si="165"/>
        <v>12</v>
      </c>
      <c r="K175" s="58">
        <f t="shared" si="165"/>
        <v>0</v>
      </c>
      <c r="L175" s="58">
        <f t="shared" si="165"/>
        <v>0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0" customHeight="1">
      <c r="A176" s="70"/>
      <c r="B176" s="71"/>
      <c r="C176" s="66"/>
      <c r="D176" s="66">
        <f t="shared" si="3"/>
        <v>0</v>
      </c>
      <c r="E176" s="67"/>
      <c r="F176" s="58">
        <f t="shared" ref="F176:L176" si="166">SUMIFS($C176,$B176,F$7)+F175</f>
        <v>1</v>
      </c>
      <c r="G176" s="58">
        <f t="shared" si="166"/>
        <v>0</v>
      </c>
      <c r="H176" s="58">
        <f t="shared" si="166"/>
        <v>0</v>
      </c>
      <c r="I176" s="58">
        <f t="shared" si="166"/>
        <v>103</v>
      </c>
      <c r="J176" s="58">
        <f t="shared" si="166"/>
        <v>12</v>
      </c>
      <c r="K176" s="58">
        <f t="shared" si="166"/>
        <v>0</v>
      </c>
      <c r="L176" s="58">
        <f t="shared" si="166"/>
        <v>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0" customHeight="1">
      <c r="A177" s="68">
        <v>46108.0</v>
      </c>
      <c r="B177" s="64" t="s">
        <v>20</v>
      </c>
      <c r="C177" s="65">
        <v>-2.0</v>
      </c>
      <c r="D177" s="66">
        <f t="shared" si="3"/>
        <v>-1100</v>
      </c>
      <c r="E177" s="56" t="s">
        <v>116</v>
      </c>
      <c r="F177" s="58">
        <f t="shared" ref="F177:L177" si="167">SUMIFS($C177,$B177,F$7)+F176</f>
        <v>1</v>
      </c>
      <c r="G177" s="58">
        <f t="shared" si="167"/>
        <v>0</v>
      </c>
      <c r="H177" s="58">
        <f t="shared" si="167"/>
        <v>0</v>
      </c>
      <c r="I177" s="58">
        <f t="shared" si="167"/>
        <v>103</v>
      </c>
      <c r="J177" s="58">
        <f t="shared" si="167"/>
        <v>10</v>
      </c>
      <c r="K177" s="58">
        <f t="shared" si="167"/>
        <v>0</v>
      </c>
      <c r="L177" s="58">
        <f t="shared" si="167"/>
        <v>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0" customHeight="1">
      <c r="A178" s="70"/>
      <c r="B178" s="71"/>
      <c r="C178" s="66"/>
      <c r="D178" s="66">
        <f t="shared" si="3"/>
        <v>0</v>
      </c>
      <c r="E178" s="67"/>
      <c r="F178" s="58">
        <f t="shared" ref="F178:L178" si="168">SUMIFS($C178,$B178,F$7)+F177</f>
        <v>1</v>
      </c>
      <c r="G178" s="58">
        <f t="shared" si="168"/>
        <v>0</v>
      </c>
      <c r="H178" s="58">
        <f t="shared" si="168"/>
        <v>0</v>
      </c>
      <c r="I178" s="58">
        <f t="shared" si="168"/>
        <v>103</v>
      </c>
      <c r="J178" s="58">
        <f t="shared" si="168"/>
        <v>10</v>
      </c>
      <c r="K178" s="58">
        <f t="shared" si="168"/>
        <v>0</v>
      </c>
      <c r="L178" s="58">
        <f t="shared" si="168"/>
        <v>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0" customHeight="1">
      <c r="A179" s="68">
        <v>46109.0</v>
      </c>
      <c r="B179" s="64" t="s">
        <v>20</v>
      </c>
      <c r="C179" s="65">
        <v>-2.0</v>
      </c>
      <c r="D179" s="66">
        <f t="shared" si="3"/>
        <v>-1100</v>
      </c>
      <c r="E179" s="56" t="s">
        <v>116</v>
      </c>
      <c r="F179" s="58">
        <f t="shared" ref="F179:L179" si="169">SUMIFS($C179,$B179,F$7)+F178</f>
        <v>1</v>
      </c>
      <c r="G179" s="58">
        <f t="shared" si="169"/>
        <v>0</v>
      </c>
      <c r="H179" s="58">
        <f t="shared" si="169"/>
        <v>0</v>
      </c>
      <c r="I179" s="58">
        <f t="shared" si="169"/>
        <v>103</v>
      </c>
      <c r="J179" s="58">
        <f t="shared" si="169"/>
        <v>8</v>
      </c>
      <c r="K179" s="58">
        <f t="shared" si="169"/>
        <v>0</v>
      </c>
      <c r="L179" s="58">
        <f t="shared" si="169"/>
        <v>0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0" customHeight="1">
      <c r="A180" s="70"/>
      <c r="B180" s="71"/>
      <c r="C180" s="66"/>
      <c r="D180" s="66">
        <f t="shared" si="3"/>
        <v>0</v>
      </c>
      <c r="E180" s="67"/>
      <c r="F180" s="58">
        <f t="shared" ref="F180:L180" si="170">SUMIFS($C180,$B180,F$7)+F179</f>
        <v>1</v>
      </c>
      <c r="G180" s="58">
        <f t="shared" si="170"/>
        <v>0</v>
      </c>
      <c r="H180" s="58">
        <f t="shared" si="170"/>
        <v>0</v>
      </c>
      <c r="I180" s="58">
        <f t="shared" si="170"/>
        <v>103</v>
      </c>
      <c r="J180" s="58">
        <f t="shared" si="170"/>
        <v>8</v>
      </c>
      <c r="K180" s="58">
        <f t="shared" si="170"/>
        <v>0</v>
      </c>
      <c r="L180" s="58">
        <f t="shared" si="170"/>
        <v>0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0" customHeight="1">
      <c r="A181" s="68">
        <v>46111.0</v>
      </c>
      <c r="B181" s="64" t="s">
        <v>20</v>
      </c>
      <c r="C181" s="65">
        <v>-1.0</v>
      </c>
      <c r="D181" s="66">
        <f t="shared" si="3"/>
        <v>-550</v>
      </c>
      <c r="E181" s="56" t="s">
        <v>116</v>
      </c>
      <c r="F181" s="58">
        <f t="shared" ref="F181:L181" si="171">SUMIFS($C181,$B181,F$7)+F180</f>
        <v>1</v>
      </c>
      <c r="G181" s="58">
        <f t="shared" si="171"/>
        <v>0</v>
      </c>
      <c r="H181" s="58">
        <f t="shared" si="171"/>
        <v>0</v>
      </c>
      <c r="I181" s="58">
        <f t="shared" si="171"/>
        <v>103</v>
      </c>
      <c r="J181" s="58">
        <f t="shared" si="171"/>
        <v>7</v>
      </c>
      <c r="K181" s="58">
        <f t="shared" si="171"/>
        <v>0</v>
      </c>
      <c r="L181" s="58">
        <f t="shared" si="171"/>
        <v>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0" customHeight="1">
      <c r="A182" s="70"/>
      <c r="B182" s="71"/>
      <c r="C182" s="66"/>
      <c r="D182" s="66">
        <f t="shared" si="3"/>
        <v>0</v>
      </c>
      <c r="E182" s="67"/>
      <c r="F182" s="58">
        <f t="shared" ref="F182:L182" si="172">SUMIFS($C182,$B182,F$7)+F181</f>
        <v>1</v>
      </c>
      <c r="G182" s="58">
        <f t="shared" si="172"/>
        <v>0</v>
      </c>
      <c r="H182" s="58">
        <f t="shared" si="172"/>
        <v>0</v>
      </c>
      <c r="I182" s="58">
        <f t="shared" si="172"/>
        <v>103</v>
      </c>
      <c r="J182" s="58">
        <f t="shared" si="172"/>
        <v>7</v>
      </c>
      <c r="K182" s="58">
        <f t="shared" si="172"/>
        <v>0</v>
      </c>
      <c r="L182" s="58">
        <f t="shared" si="172"/>
        <v>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0" customHeight="1">
      <c r="A183" s="68">
        <v>46129.0</v>
      </c>
      <c r="B183" s="64" t="s">
        <v>17</v>
      </c>
      <c r="C183" s="65">
        <v>-88.0</v>
      </c>
      <c r="D183" s="66">
        <f t="shared" si="3"/>
        <v>-48400</v>
      </c>
      <c r="E183" s="56" t="s">
        <v>139</v>
      </c>
      <c r="F183" s="58">
        <f t="shared" ref="F183:L183" si="173">SUMIFS($C183,$B183,F$7)+F182</f>
        <v>1</v>
      </c>
      <c r="G183" s="58">
        <f t="shared" si="173"/>
        <v>0</v>
      </c>
      <c r="H183" s="58">
        <f t="shared" si="173"/>
        <v>0</v>
      </c>
      <c r="I183" s="58">
        <f t="shared" si="173"/>
        <v>15</v>
      </c>
      <c r="J183" s="58">
        <f t="shared" si="173"/>
        <v>7</v>
      </c>
      <c r="K183" s="58">
        <f t="shared" si="173"/>
        <v>0</v>
      </c>
      <c r="L183" s="58">
        <f t="shared" si="173"/>
        <v>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0" customHeight="1">
      <c r="A184" s="70"/>
      <c r="B184" s="64" t="s">
        <v>20</v>
      </c>
      <c r="C184" s="65">
        <v>-1.0</v>
      </c>
      <c r="D184" s="66">
        <f t="shared" si="3"/>
        <v>-550</v>
      </c>
      <c r="E184" s="56" t="s">
        <v>116</v>
      </c>
      <c r="F184" s="58">
        <f t="shared" ref="F184:L184" si="174">SUMIFS($C184,$B184,F$7)+F183</f>
        <v>1</v>
      </c>
      <c r="G184" s="58">
        <f t="shared" si="174"/>
        <v>0</v>
      </c>
      <c r="H184" s="58">
        <f t="shared" si="174"/>
        <v>0</v>
      </c>
      <c r="I184" s="58">
        <f t="shared" si="174"/>
        <v>15</v>
      </c>
      <c r="J184" s="58">
        <f t="shared" si="174"/>
        <v>6</v>
      </c>
      <c r="K184" s="58">
        <f t="shared" si="174"/>
        <v>0</v>
      </c>
      <c r="L184" s="58">
        <f t="shared" si="174"/>
        <v>0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0" customHeight="1">
      <c r="A185" s="70"/>
      <c r="B185" s="71"/>
      <c r="C185" s="66"/>
      <c r="D185" s="66">
        <f t="shared" si="3"/>
        <v>0</v>
      </c>
      <c r="E185" s="67"/>
      <c r="F185" s="58">
        <f t="shared" ref="F185:L185" si="175">SUMIFS($C185,$B185,F$7)+F184</f>
        <v>1</v>
      </c>
      <c r="G185" s="58">
        <f t="shared" si="175"/>
        <v>0</v>
      </c>
      <c r="H185" s="58">
        <f t="shared" si="175"/>
        <v>0</v>
      </c>
      <c r="I185" s="58">
        <f t="shared" si="175"/>
        <v>15</v>
      </c>
      <c r="J185" s="58">
        <f t="shared" si="175"/>
        <v>6</v>
      </c>
      <c r="K185" s="58">
        <f t="shared" si="175"/>
        <v>0</v>
      </c>
      <c r="L185" s="58">
        <f t="shared" si="175"/>
        <v>0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0" customHeight="1">
      <c r="A186" s="68">
        <v>46130.0</v>
      </c>
      <c r="B186" s="64" t="s">
        <v>20</v>
      </c>
      <c r="C186" s="65">
        <v>-1.0</v>
      </c>
      <c r="D186" s="66">
        <f t="shared" si="3"/>
        <v>-550</v>
      </c>
      <c r="E186" s="56" t="s">
        <v>116</v>
      </c>
      <c r="F186" s="58">
        <f t="shared" ref="F186:L186" si="176">SUMIFS($C186,$B186,F$7)+F185</f>
        <v>1</v>
      </c>
      <c r="G186" s="58">
        <f t="shared" si="176"/>
        <v>0</v>
      </c>
      <c r="H186" s="58">
        <f t="shared" si="176"/>
        <v>0</v>
      </c>
      <c r="I186" s="58">
        <f t="shared" si="176"/>
        <v>15</v>
      </c>
      <c r="J186" s="58">
        <f t="shared" si="176"/>
        <v>5</v>
      </c>
      <c r="K186" s="58">
        <f t="shared" si="176"/>
        <v>0</v>
      </c>
      <c r="L186" s="58">
        <f t="shared" si="176"/>
        <v>0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0" customHeight="1">
      <c r="A187" s="70"/>
      <c r="B187" s="71"/>
      <c r="C187" s="66"/>
      <c r="D187" s="66">
        <f t="shared" si="3"/>
        <v>0</v>
      </c>
      <c r="E187" s="67"/>
      <c r="F187" s="58">
        <f t="shared" ref="F187:L187" si="177">SUMIFS($C187,$B187,F$7)+F186</f>
        <v>1</v>
      </c>
      <c r="G187" s="58">
        <f t="shared" si="177"/>
        <v>0</v>
      </c>
      <c r="H187" s="58">
        <f t="shared" si="177"/>
        <v>0</v>
      </c>
      <c r="I187" s="58">
        <f t="shared" si="177"/>
        <v>15</v>
      </c>
      <c r="J187" s="58">
        <f t="shared" si="177"/>
        <v>5</v>
      </c>
      <c r="K187" s="58">
        <f t="shared" si="177"/>
        <v>0</v>
      </c>
      <c r="L187" s="58">
        <f t="shared" si="177"/>
        <v>0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0" customHeight="1">
      <c r="A188" s="68">
        <v>46132.0</v>
      </c>
      <c r="B188" s="64" t="s">
        <v>20</v>
      </c>
      <c r="C188" s="65">
        <v>-1.0</v>
      </c>
      <c r="D188" s="66">
        <f t="shared" si="3"/>
        <v>-550</v>
      </c>
      <c r="E188" s="56" t="s">
        <v>116</v>
      </c>
      <c r="F188" s="58">
        <f t="shared" ref="F188:L188" si="178">SUMIFS($C188,$B188,F$7)+F187</f>
        <v>1</v>
      </c>
      <c r="G188" s="58">
        <f t="shared" si="178"/>
        <v>0</v>
      </c>
      <c r="H188" s="58">
        <f t="shared" si="178"/>
        <v>0</v>
      </c>
      <c r="I188" s="58">
        <f t="shared" si="178"/>
        <v>15</v>
      </c>
      <c r="J188" s="58">
        <f t="shared" si="178"/>
        <v>4</v>
      </c>
      <c r="K188" s="58">
        <f t="shared" si="178"/>
        <v>0</v>
      </c>
      <c r="L188" s="58">
        <f t="shared" si="178"/>
        <v>0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0" customHeight="1">
      <c r="A189" s="70"/>
      <c r="B189" s="71"/>
      <c r="C189" s="66"/>
      <c r="D189" s="66">
        <f t="shared" si="3"/>
        <v>0</v>
      </c>
      <c r="E189" s="67"/>
      <c r="F189" s="58">
        <f t="shared" ref="F189:L189" si="179">SUMIFS($C189,$B189,F$7)+F188</f>
        <v>1</v>
      </c>
      <c r="G189" s="58">
        <f t="shared" si="179"/>
        <v>0</v>
      </c>
      <c r="H189" s="58">
        <f t="shared" si="179"/>
        <v>0</v>
      </c>
      <c r="I189" s="58">
        <f t="shared" si="179"/>
        <v>15</v>
      </c>
      <c r="J189" s="58">
        <f t="shared" si="179"/>
        <v>4</v>
      </c>
      <c r="K189" s="58">
        <f t="shared" si="179"/>
        <v>0</v>
      </c>
      <c r="L189" s="58">
        <f t="shared" si="179"/>
        <v>0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0" customHeight="1">
      <c r="A190" s="68">
        <v>46133.0</v>
      </c>
      <c r="B190" s="64" t="s">
        <v>20</v>
      </c>
      <c r="C190" s="65">
        <v>-1.0</v>
      </c>
      <c r="D190" s="66">
        <f t="shared" si="3"/>
        <v>-550</v>
      </c>
      <c r="E190" s="56" t="s">
        <v>116</v>
      </c>
      <c r="F190" s="58">
        <f t="shared" ref="F190:L190" si="180">SUMIFS($C190,$B190,F$7)+F189</f>
        <v>1</v>
      </c>
      <c r="G190" s="58">
        <f t="shared" si="180"/>
        <v>0</v>
      </c>
      <c r="H190" s="58">
        <f t="shared" si="180"/>
        <v>0</v>
      </c>
      <c r="I190" s="58">
        <f t="shared" si="180"/>
        <v>15</v>
      </c>
      <c r="J190" s="58">
        <f t="shared" si="180"/>
        <v>3</v>
      </c>
      <c r="K190" s="58">
        <f t="shared" si="180"/>
        <v>0</v>
      </c>
      <c r="L190" s="58">
        <f t="shared" si="180"/>
        <v>0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0" customHeight="1">
      <c r="A191" s="70"/>
      <c r="B191" s="71"/>
      <c r="C191" s="66"/>
      <c r="D191" s="66">
        <f t="shared" si="3"/>
        <v>0</v>
      </c>
      <c r="E191" s="67"/>
      <c r="F191" s="58">
        <f t="shared" ref="F191:L191" si="181">SUMIFS($C191,$B191,F$7)+F190</f>
        <v>1</v>
      </c>
      <c r="G191" s="58">
        <f t="shared" si="181"/>
        <v>0</v>
      </c>
      <c r="H191" s="58">
        <f t="shared" si="181"/>
        <v>0</v>
      </c>
      <c r="I191" s="58">
        <f t="shared" si="181"/>
        <v>15</v>
      </c>
      <c r="J191" s="58">
        <f t="shared" si="181"/>
        <v>3</v>
      </c>
      <c r="K191" s="58">
        <f t="shared" si="181"/>
        <v>0</v>
      </c>
      <c r="L191" s="58">
        <f t="shared" si="181"/>
        <v>0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0" customHeight="1">
      <c r="A192" s="68">
        <v>46134.0</v>
      </c>
      <c r="B192" s="64" t="s">
        <v>20</v>
      </c>
      <c r="C192" s="65">
        <v>-1.0</v>
      </c>
      <c r="D192" s="66">
        <f t="shared" si="3"/>
        <v>-550</v>
      </c>
      <c r="E192" s="56" t="s">
        <v>116</v>
      </c>
      <c r="F192" s="58">
        <f t="shared" ref="F192:L192" si="182">SUMIFS($C192,$B192,F$7)+F191</f>
        <v>1</v>
      </c>
      <c r="G192" s="58">
        <f t="shared" si="182"/>
        <v>0</v>
      </c>
      <c r="H192" s="58">
        <f t="shared" si="182"/>
        <v>0</v>
      </c>
      <c r="I192" s="58">
        <f t="shared" si="182"/>
        <v>15</v>
      </c>
      <c r="J192" s="58">
        <f t="shared" si="182"/>
        <v>2</v>
      </c>
      <c r="K192" s="58">
        <f t="shared" si="182"/>
        <v>0</v>
      </c>
      <c r="L192" s="58">
        <f t="shared" si="182"/>
        <v>0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0" customHeight="1">
      <c r="A193" s="70"/>
      <c r="B193" s="71"/>
      <c r="C193" s="66"/>
      <c r="D193" s="66">
        <f t="shared" si="3"/>
        <v>0</v>
      </c>
      <c r="E193" s="67"/>
      <c r="F193" s="58">
        <f t="shared" ref="F193:L193" si="183">SUMIFS($C193,$B193,F$7)+F192</f>
        <v>1</v>
      </c>
      <c r="G193" s="58">
        <f t="shared" si="183"/>
        <v>0</v>
      </c>
      <c r="H193" s="58">
        <f t="shared" si="183"/>
        <v>0</v>
      </c>
      <c r="I193" s="58">
        <f t="shared" si="183"/>
        <v>15</v>
      </c>
      <c r="J193" s="58">
        <f t="shared" si="183"/>
        <v>2</v>
      </c>
      <c r="K193" s="58">
        <f t="shared" si="183"/>
        <v>0</v>
      </c>
      <c r="L193" s="58">
        <f t="shared" si="183"/>
        <v>0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0" customHeight="1">
      <c r="A194" s="68">
        <v>46135.0</v>
      </c>
      <c r="B194" s="64" t="s">
        <v>20</v>
      </c>
      <c r="C194" s="65">
        <v>-1.0</v>
      </c>
      <c r="D194" s="66">
        <f t="shared" si="3"/>
        <v>-550</v>
      </c>
      <c r="E194" s="56" t="s">
        <v>116</v>
      </c>
      <c r="F194" s="58">
        <f t="shared" ref="F194:L194" si="184">SUMIFS($C194,$B194,F$7)+F193</f>
        <v>1</v>
      </c>
      <c r="G194" s="58">
        <f t="shared" si="184"/>
        <v>0</v>
      </c>
      <c r="H194" s="58">
        <f t="shared" si="184"/>
        <v>0</v>
      </c>
      <c r="I194" s="58">
        <f t="shared" si="184"/>
        <v>15</v>
      </c>
      <c r="J194" s="58">
        <f t="shared" si="184"/>
        <v>1</v>
      </c>
      <c r="K194" s="58">
        <f t="shared" si="184"/>
        <v>0</v>
      </c>
      <c r="L194" s="58">
        <f t="shared" si="184"/>
        <v>0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0" customHeight="1">
      <c r="A195" s="70"/>
      <c r="B195" s="71"/>
      <c r="C195" s="66"/>
      <c r="D195" s="66">
        <f t="shared" si="3"/>
        <v>0</v>
      </c>
      <c r="E195" s="67"/>
      <c r="F195" s="58">
        <f t="shared" ref="F195:L195" si="185">SUMIFS($C195,$B195,F$7)+F194</f>
        <v>1</v>
      </c>
      <c r="G195" s="58">
        <f t="shared" si="185"/>
        <v>0</v>
      </c>
      <c r="H195" s="58">
        <f t="shared" si="185"/>
        <v>0</v>
      </c>
      <c r="I195" s="58">
        <f t="shared" si="185"/>
        <v>15</v>
      </c>
      <c r="J195" s="58">
        <f t="shared" si="185"/>
        <v>1</v>
      </c>
      <c r="K195" s="58">
        <f t="shared" si="185"/>
        <v>0</v>
      </c>
      <c r="L195" s="58">
        <f t="shared" si="185"/>
        <v>0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0" customHeight="1">
      <c r="A196" s="68">
        <v>46136.0</v>
      </c>
      <c r="B196" s="64" t="s">
        <v>20</v>
      </c>
      <c r="C196" s="65">
        <v>-1.0</v>
      </c>
      <c r="D196" s="66">
        <f t="shared" si="3"/>
        <v>-550</v>
      </c>
      <c r="E196" s="56" t="s">
        <v>116</v>
      </c>
      <c r="F196" s="58">
        <f t="shared" ref="F196:L196" si="186">SUMIFS($C196,$B196,F$7)+F195</f>
        <v>1</v>
      </c>
      <c r="G196" s="58">
        <f t="shared" si="186"/>
        <v>0</v>
      </c>
      <c r="H196" s="58">
        <f t="shared" si="186"/>
        <v>0</v>
      </c>
      <c r="I196" s="58">
        <f t="shared" si="186"/>
        <v>15</v>
      </c>
      <c r="J196" s="58">
        <f t="shared" si="186"/>
        <v>0</v>
      </c>
      <c r="K196" s="58">
        <f t="shared" si="186"/>
        <v>0</v>
      </c>
      <c r="L196" s="58">
        <f t="shared" si="186"/>
        <v>0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0" customHeight="1">
      <c r="A197" s="70"/>
      <c r="B197" s="71"/>
      <c r="C197" s="66"/>
      <c r="D197" s="66">
        <f t="shared" si="3"/>
        <v>0</v>
      </c>
      <c r="E197" s="67"/>
      <c r="F197" s="58">
        <f t="shared" ref="F197:L197" si="187">SUMIFS($C197,$B197,F$7)+F196</f>
        <v>1</v>
      </c>
      <c r="G197" s="58">
        <f t="shared" si="187"/>
        <v>0</v>
      </c>
      <c r="H197" s="58">
        <f t="shared" si="187"/>
        <v>0</v>
      </c>
      <c r="I197" s="58">
        <f t="shared" si="187"/>
        <v>15</v>
      </c>
      <c r="J197" s="58">
        <f t="shared" si="187"/>
        <v>0</v>
      </c>
      <c r="K197" s="58">
        <f t="shared" si="187"/>
        <v>0</v>
      </c>
      <c r="L197" s="58">
        <f t="shared" si="187"/>
        <v>0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0" customHeight="1">
      <c r="A198" s="68">
        <v>46223.0</v>
      </c>
      <c r="B198" s="64" t="s">
        <v>20</v>
      </c>
      <c r="C198" s="65">
        <v>2.0</v>
      </c>
      <c r="D198" s="66">
        <f>570*C198</f>
        <v>1140</v>
      </c>
      <c r="E198" s="56" t="s">
        <v>140</v>
      </c>
      <c r="F198" s="58">
        <f t="shared" ref="F198:L198" si="188">SUMIFS($C198,$B198,F$7)+F202</f>
        <v>1</v>
      </c>
      <c r="G198" s="58">
        <f t="shared" si="188"/>
        <v>0</v>
      </c>
      <c r="H198" s="58">
        <f t="shared" si="188"/>
        <v>0</v>
      </c>
      <c r="I198" s="58">
        <f t="shared" si="188"/>
        <v>14</v>
      </c>
      <c r="J198" s="58">
        <f t="shared" si="188"/>
        <v>9</v>
      </c>
      <c r="K198" s="58">
        <f t="shared" si="188"/>
        <v>0</v>
      </c>
      <c r="L198" s="58">
        <f t="shared" si="188"/>
        <v>0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0" customHeight="1">
      <c r="A199" s="70"/>
      <c r="B199" s="71"/>
      <c r="C199" s="66"/>
      <c r="D199" s="66">
        <f>550*C199</f>
        <v>0</v>
      </c>
      <c r="E199" s="67"/>
      <c r="F199" s="58">
        <f t="shared" ref="F199:L199" si="189">SUMIFS($C199,$B199,F$7)+F203</f>
        <v>1</v>
      </c>
      <c r="G199" s="58">
        <f t="shared" si="189"/>
        <v>0</v>
      </c>
      <c r="H199" s="58">
        <f t="shared" si="189"/>
        <v>0</v>
      </c>
      <c r="I199" s="58">
        <f t="shared" si="189"/>
        <v>14</v>
      </c>
      <c r="J199" s="58">
        <f t="shared" si="189"/>
        <v>0</v>
      </c>
      <c r="K199" s="58">
        <f t="shared" si="189"/>
        <v>0</v>
      </c>
      <c r="L199" s="58">
        <f t="shared" si="189"/>
        <v>0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0" customHeight="1">
      <c r="A200" s="68">
        <v>46224.0</v>
      </c>
      <c r="B200" s="64" t="s">
        <v>20</v>
      </c>
      <c r="C200" s="65">
        <v>7.0</v>
      </c>
      <c r="D200" s="66">
        <f>570*C200</f>
        <v>3990</v>
      </c>
      <c r="E200" s="56" t="s">
        <v>141</v>
      </c>
      <c r="F200" s="58">
        <f t="shared" ref="F200:L200" si="190">SUMIFS($C200,$B200,F$7)+F199</f>
        <v>1</v>
      </c>
      <c r="G200" s="58">
        <f t="shared" si="190"/>
        <v>0</v>
      </c>
      <c r="H200" s="58">
        <f t="shared" si="190"/>
        <v>0</v>
      </c>
      <c r="I200" s="58">
        <f t="shared" si="190"/>
        <v>14</v>
      </c>
      <c r="J200" s="58">
        <f t="shared" si="190"/>
        <v>7</v>
      </c>
      <c r="K200" s="58">
        <f t="shared" si="190"/>
        <v>0</v>
      </c>
      <c r="L200" s="58">
        <f t="shared" si="190"/>
        <v>0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0" customHeight="1">
      <c r="A201" s="70"/>
      <c r="B201" s="64" t="s">
        <v>20</v>
      </c>
      <c r="C201" s="65">
        <v>-1.0</v>
      </c>
      <c r="D201" s="66">
        <f t="shared" ref="D201:D203" si="192">550*C201</f>
        <v>-550</v>
      </c>
      <c r="E201" s="76" t="s">
        <v>142</v>
      </c>
      <c r="F201" s="58">
        <f t="shared" ref="F201:L201" si="191">SUMIFS($C201,$B201,F$7)+F199</f>
        <v>1</v>
      </c>
      <c r="G201" s="58">
        <f t="shared" si="191"/>
        <v>0</v>
      </c>
      <c r="H201" s="58">
        <f t="shared" si="191"/>
        <v>0</v>
      </c>
      <c r="I201" s="58">
        <f t="shared" si="191"/>
        <v>14</v>
      </c>
      <c r="J201" s="58">
        <f t="shared" si="191"/>
        <v>-1</v>
      </c>
      <c r="K201" s="58">
        <f t="shared" si="191"/>
        <v>0</v>
      </c>
      <c r="L201" s="58">
        <f t="shared" si="191"/>
        <v>0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0" customHeight="1">
      <c r="A202" s="70"/>
      <c r="B202" s="71"/>
      <c r="C202" s="66"/>
      <c r="D202" s="66">
        <f t="shared" si="192"/>
        <v>0</v>
      </c>
      <c r="E202" s="76" t="s">
        <v>144</v>
      </c>
      <c r="F202" s="58">
        <f t="shared" ref="F202:L202" si="193">SUMIFS($C202,$B202,F$7)+F200</f>
        <v>1</v>
      </c>
      <c r="G202" s="58">
        <f t="shared" si="193"/>
        <v>0</v>
      </c>
      <c r="H202" s="58">
        <f t="shared" si="193"/>
        <v>0</v>
      </c>
      <c r="I202" s="58">
        <f t="shared" si="193"/>
        <v>14</v>
      </c>
      <c r="J202" s="58">
        <f t="shared" si="193"/>
        <v>7</v>
      </c>
      <c r="K202" s="58">
        <f t="shared" si="193"/>
        <v>0</v>
      </c>
      <c r="L202" s="58">
        <f t="shared" si="193"/>
        <v>0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0" customHeight="1">
      <c r="A203" s="68">
        <v>46225.0</v>
      </c>
      <c r="B203" s="64" t="s">
        <v>17</v>
      </c>
      <c r="C203" s="65">
        <v>-1.0</v>
      </c>
      <c r="D203" s="66">
        <f t="shared" si="192"/>
        <v>-550</v>
      </c>
      <c r="E203" s="56" t="s">
        <v>146</v>
      </c>
      <c r="F203" s="58">
        <f t="shared" ref="F203:L203" si="194">SUMIFS($C203,$B203,F$7)+F197</f>
        <v>1</v>
      </c>
      <c r="G203" s="58">
        <f t="shared" si="194"/>
        <v>0</v>
      </c>
      <c r="H203" s="58">
        <f t="shared" si="194"/>
        <v>0</v>
      </c>
      <c r="I203" s="58">
        <f t="shared" si="194"/>
        <v>14</v>
      </c>
      <c r="J203" s="58">
        <f t="shared" si="194"/>
        <v>0</v>
      </c>
      <c r="K203" s="58">
        <f t="shared" si="194"/>
        <v>0</v>
      </c>
      <c r="L203" s="58">
        <f t="shared" si="194"/>
        <v>0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0" customHeight="1">
      <c r="A204" s="70"/>
      <c r="B204" s="64" t="s">
        <v>9</v>
      </c>
      <c r="C204" s="65">
        <v>22.0</v>
      </c>
      <c r="D204" s="66">
        <f t="shared" ref="D204:D206" si="196">570*C204</f>
        <v>12540</v>
      </c>
      <c r="E204" s="56" t="s">
        <v>147</v>
      </c>
      <c r="F204" s="58">
        <f t="shared" ref="F204:L204" si="195">SUMIFS($C204,$B204,F$7)+F202</f>
        <v>23</v>
      </c>
      <c r="G204" s="58">
        <f t="shared" si="195"/>
        <v>0</v>
      </c>
      <c r="H204" s="58">
        <f t="shared" si="195"/>
        <v>0</v>
      </c>
      <c r="I204" s="58">
        <f t="shared" si="195"/>
        <v>14</v>
      </c>
      <c r="J204" s="58">
        <f t="shared" si="195"/>
        <v>7</v>
      </c>
      <c r="K204" s="58">
        <f t="shared" si="195"/>
        <v>0</v>
      </c>
      <c r="L204" s="58">
        <f t="shared" si="195"/>
        <v>0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0" customHeight="1">
      <c r="A205" s="70"/>
      <c r="B205" s="64" t="s">
        <v>20</v>
      </c>
      <c r="C205" s="65">
        <v>14.0</v>
      </c>
      <c r="D205" s="66">
        <f t="shared" si="196"/>
        <v>7980</v>
      </c>
      <c r="E205" s="56" t="s">
        <v>140</v>
      </c>
      <c r="F205" s="58">
        <f t="shared" ref="F205:L205" si="197">SUMIFS($C205,$B205,F$7)+F204</f>
        <v>23</v>
      </c>
      <c r="G205" s="58">
        <f t="shared" si="197"/>
        <v>0</v>
      </c>
      <c r="H205" s="58">
        <f t="shared" si="197"/>
        <v>0</v>
      </c>
      <c r="I205" s="58">
        <f t="shared" si="197"/>
        <v>14</v>
      </c>
      <c r="J205" s="58">
        <f t="shared" si="197"/>
        <v>21</v>
      </c>
      <c r="K205" s="58">
        <f t="shared" si="197"/>
        <v>0</v>
      </c>
      <c r="L205" s="58">
        <f t="shared" si="197"/>
        <v>0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0" customHeight="1">
      <c r="A206" s="70"/>
      <c r="B206" s="71"/>
      <c r="C206" s="66"/>
      <c r="D206" s="66">
        <f t="shared" si="196"/>
        <v>0</v>
      </c>
      <c r="E206" s="67"/>
      <c r="F206" s="58">
        <f t="shared" ref="F206:L206" si="198">SUMIFS($C206,$B206,F$7)+F205</f>
        <v>23</v>
      </c>
      <c r="G206" s="58">
        <f t="shared" si="198"/>
        <v>0</v>
      </c>
      <c r="H206" s="58">
        <f t="shared" si="198"/>
        <v>0</v>
      </c>
      <c r="I206" s="58">
        <f t="shared" si="198"/>
        <v>14</v>
      </c>
      <c r="J206" s="58">
        <f t="shared" si="198"/>
        <v>21</v>
      </c>
      <c r="K206" s="58">
        <f t="shared" si="198"/>
        <v>0</v>
      </c>
      <c r="L206" s="58">
        <f t="shared" si="198"/>
        <v>0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0" customHeight="1">
      <c r="A207" s="68">
        <v>46226.0</v>
      </c>
      <c r="B207" s="64" t="s">
        <v>17</v>
      </c>
      <c r="C207" s="65">
        <v>-1.0</v>
      </c>
      <c r="D207" s="66">
        <f>550*C207</f>
        <v>-550</v>
      </c>
      <c r="E207" s="56" t="s">
        <v>149</v>
      </c>
      <c r="F207" s="58">
        <f t="shared" ref="F207:L207" si="199">SUMIFS($C207,$B207,F$7)+F206</f>
        <v>23</v>
      </c>
      <c r="G207" s="58">
        <f t="shared" si="199"/>
        <v>0</v>
      </c>
      <c r="H207" s="58">
        <f t="shared" si="199"/>
        <v>0</v>
      </c>
      <c r="I207" s="58">
        <f t="shared" si="199"/>
        <v>13</v>
      </c>
      <c r="J207" s="58">
        <f t="shared" si="199"/>
        <v>21</v>
      </c>
      <c r="K207" s="58">
        <f t="shared" si="199"/>
        <v>0</v>
      </c>
      <c r="L207" s="58">
        <f t="shared" si="199"/>
        <v>0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0" customHeight="1">
      <c r="A208" s="70"/>
      <c r="B208" s="64" t="s">
        <v>9</v>
      </c>
      <c r="C208" s="65">
        <v>24.0</v>
      </c>
      <c r="D208" s="66">
        <f t="shared" ref="D208:D210" si="201">570*C208</f>
        <v>13680</v>
      </c>
      <c r="E208" s="56" t="s">
        <v>151</v>
      </c>
      <c r="F208" s="58">
        <f t="shared" ref="F208:L208" si="200">SUMIFS($C208,$B208,F$7)+F207</f>
        <v>47</v>
      </c>
      <c r="G208" s="58">
        <f t="shared" si="200"/>
        <v>0</v>
      </c>
      <c r="H208" s="58">
        <f t="shared" si="200"/>
        <v>0</v>
      </c>
      <c r="I208" s="58">
        <f t="shared" si="200"/>
        <v>13</v>
      </c>
      <c r="J208" s="58">
        <f t="shared" si="200"/>
        <v>21</v>
      </c>
      <c r="K208" s="58">
        <f t="shared" si="200"/>
        <v>0</v>
      </c>
      <c r="L208" s="58">
        <f t="shared" si="200"/>
        <v>0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0" customHeight="1">
      <c r="A209" s="70"/>
      <c r="B209" s="64" t="s">
        <v>20</v>
      </c>
      <c r="C209" s="65">
        <v>14.0</v>
      </c>
      <c r="D209" s="66">
        <f t="shared" si="201"/>
        <v>7980</v>
      </c>
      <c r="E209" s="56" t="s">
        <v>140</v>
      </c>
      <c r="F209" s="58">
        <f t="shared" ref="F209:L209" si="202">SUMIFS($C209,$B209,F$7)+F208</f>
        <v>47</v>
      </c>
      <c r="G209" s="58">
        <f t="shared" si="202"/>
        <v>0</v>
      </c>
      <c r="H209" s="58">
        <f t="shared" si="202"/>
        <v>0</v>
      </c>
      <c r="I209" s="58">
        <f t="shared" si="202"/>
        <v>13</v>
      </c>
      <c r="J209" s="58">
        <f t="shared" si="202"/>
        <v>35</v>
      </c>
      <c r="K209" s="58">
        <f t="shared" si="202"/>
        <v>0</v>
      </c>
      <c r="L209" s="58">
        <f t="shared" si="202"/>
        <v>0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0" customHeight="1">
      <c r="A210" s="70"/>
      <c r="B210" s="71"/>
      <c r="C210" s="66"/>
      <c r="D210" s="66">
        <f t="shared" si="201"/>
        <v>0</v>
      </c>
      <c r="E210" s="67"/>
      <c r="F210" s="58">
        <f t="shared" ref="F210:L210" si="203">SUMIFS($C210,$B210,F$7)+F209</f>
        <v>47</v>
      </c>
      <c r="G210" s="58">
        <f t="shared" si="203"/>
        <v>0</v>
      </c>
      <c r="H210" s="58">
        <f t="shared" si="203"/>
        <v>0</v>
      </c>
      <c r="I210" s="58">
        <f t="shared" si="203"/>
        <v>13</v>
      </c>
      <c r="J210" s="58">
        <f t="shared" si="203"/>
        <v>35</v>
      </c>
      <c r="K210" s="58">
        <f t="shared" si="203"/>
        <v>0</v>
      </c>
      <c r="L210" s="58">
        <f t="shared" si="203"/>
        <v>0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0" customHeight="1">
      <c r="A211" s="68">
        <v>46227.0</v>
      </c>
      <c r="B211" s="64" t="s">
        <v>17</v>
      </c>
      <c r="C211" s="65">
        <v>-2.0</v>
      </c>
      <c r="D211" s="66">
        <f>550*C211</f>
        <v>-1100</v>
      </c>
      <c r="E211" s="56" t="s">
        <v>154</v>
      </c>
      <c r="F211" s="58">
        <f t="shared" ref="F211:L211" si="204">SUMIFS($C211,$B211,F$7)+F210</f>
        <v>47</v>
      </c>
      <c r="G211" s="58">
        <f t="shared" si="204"/>
        <v>0</v>
      </c>
      <c r="H211" s="58">
        <f t="shared" si="204"/>
        <v>0</v>
      </c>
      <c r="I211" s="58">
        <f t="shared" si="204"/>
        <v>11</v>
      </c>
      <c r="J211" s="58">
        <f t="shared" si="204"/>
        <v>35</v>
      </c>
      <c r="K211" s="58">
        <f t="shared" si="204"/>
        <v>0</v>
      </c>
      <c r="L211" s="58">
        <f t="shared" si="204"/>
        <v>0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0" customHeight="1">
      <c r="A212" s="70"/>
      <c r="B212" s="64" t="s">
        <v>9</v>
      </c>
      <c r="C212" s="65">
        <v>29.0</v>
      </c>
      <c r="D212" s="66">
        <f t="shared" ref="D212:D214" si="206">570*C212</f>
        <v>16530</v>
      </c>
      <c r="E212" s="56" t="s">
        <v>156</v>
      </c>
      <c r="F212" s="58">
        <f t="shared" ref="F212:L212" si="205">SUMIFS($C212,$B212,F$7)+F211</f>
        <v>76</v>
      </c>
      <c r="G212" s="58">
        <f t="shared" si="205"/>
        <v>0</v>
      </c>
      <c r="H212" s="58">
        <f t="shared" si="205"/>
        <v>0</v>
      </c>
      <c r="I212" s="58">
        <f t="shared" si="205"/>
        <v>11</v>
      </c>
      <c r="J212" s="58">
        <f t="shared" si="205"/>
        <v>35</v>
      </c>
      <c r="K212" s="58">
        <f t="shared" si="205"/>
        <v>0</v>
      </c>
      <c r="L212" s="58">
        <f t="shared" si="205"/>
        <v>0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0" customHeight="1">
      <c r="A213" s="70"/>
      <c r="B213" s="64" t="s">
        <v>20</v>
      </c>
      <c r="C213" s="65">
        <v>15.0</v>
      </c>
      <c r="D213" s="66">
        <f t="shared" si="206"/>
        <v>8550</v>
      </c>
      <c r="E213" s="56" t="s">
        <v>140</v>
      </c>
      <c r="F213" s="58">
        <f t="shared" ref="F213:L213" si="207">SUMIFS($C213,$B213,F$7)+F212</f>
        <v>76</v>
      </c>
      <c r="G213" s="58">
        <f t="shared" si="207"/>
        <v>0</v>
      </c>
      <c r="H213" s="58">
        <f t="shared" si="207"/>
        <v>0</v>
      </c>
      <c r="I213" s="58">
        <f t="shared" si="207"/>
        <v>11</v>
      </c>
      <c r="J213" s="58">
        <f t="shared" si="207"/>
        <v>50</v>
      </c>
      <c r="K213" s="58">
        <f t="shared" si="207"/>
        <v>0</v>
      </c>
      <c r="L213" s="58">
        <f t="shared" si="207"/>
        <v>0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0" customHeight="1">
      <c r="A214" s="70"/>
      <c r="B214" s="71"/>
      <c r="C214" s="66"/>
      <c r="D214" s="66">
        <f t="shared" si="206"/>
        <v>0</v>
      </c>
      <c r="E214" s="67"/>
      <c r="F214" s="58">
        <f t="shared" ref="F214:L214" si="208">SUMIFS($C214,$B214,F$7)+F213</f>
        <v>76</v>
      </c>
      <c r="G214" s="58">
        <f t="shared" si="208"/>
        <v>0</v>
      </c>
      <c r="H214" s="58">
        <f t="shared" si="208"/>
        <v>0</v>
      </c>
      <c r="I214" s="58">
        <f t="shared" si="208"/>
        <v>11</v>
      </c>
      <c r="J214" s="58">
        <f t="shared" si="208"/>
        <v>50</v>
      </c>
      <c r="K214" s="58">
        <f t="shared" si="208"/>
        <v>0</v>
      </c>
      <c r="L214" s="58">
        <f t="shared" si="208"/>
        <v>0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0" customHeight="1">
      <c r="A215" s="68">
        <v>46228.0</v>
      </c>
      <c r="B215" s="64" t="s">
        <v>17</v>
      </c>
      <c r="C215" s="65">
        <v>-2.0</v>
      </c>
      <c r="D215" s="66">
        <f>550*C215</f>
        <v>-1100</v>
      </c>
      <c r="E215" s="67"/>
      <c r="F215" s="58">
        <f t="shared" ref="F215:L215" si="209">SUMIFS($C215,$B215,F$7)+F214</f>
        <v>76</v>
      </c>
      <c r="G215" s="58">
        <f t="shared" si="209"/>
        <v>0</v>
      </c>
      <c r="H215" s="58">
        <f t="shared" si="209"/>
        <v>0</v>
      </c>
      <c r="I215" s="58">
        <f t="shared" si="209"/>
        <v>9</v>
      </c>
      <c r="J215" s="58">
        <f t="shared" si="209"/>
        <v>50</v>
      </c>
      <c r="K215" s="58">
        <f t="shared" si="209"/>
        <v>0</v>
      </c>
      <c r="L215" s="58">
        <f t="shared" si="209"/>
        <v>0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0" customHeight="1">
      <c r="A216" s="70"/>
      <c r="B216" s="64" t="s">
        <v>9</v>
      </c>
      <c r="C216" s="65">
        <v>29.0</v>
      </c>
      <c r="D216" s="66">
        <f t="shared" ref="D216:D251" si="211">570*C216</f>
        <v>16530</v>
      </c>
      <c r="E216" s="67"/>
      <c r="F216" s="58">
        <f t="shared" ref="F216:L216" si="210">SUMIFS($C216,$B216,F$7)+F215</f>
        <v>105</v>
      </c>
      <c r="G216" s="58">
        <f t="shared" si="210"/>
        <v>0</v>
      </c>
      <c r="H216" s="58">
        <f t="shared" si="210"/>
        <v>0</v>
      </c>
      <c r="I216" s="58">
        <f t="shared" si="210"/>
        <v>9</v>
      </c>
      <c r="J216" s="58">
        <f t="shared" si="210"/>
        <v>50</v>
      </c>
      <c r="K216" s="58">
        <f t="shared" si="210"/>
        <v>0</v>
      </c>
      <c r="L216" s="58">
        <f t="shared" si="210"/>
        <v>0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0" customHeight="1">
      <c r="A217" s="70"/>
      <c r="B217" s="64" t="s">
        <v>20</v>
      </c>
      <c r="C217" s="65">
        <v>14.0</v>
      </c>
      <c r="D217" s="66">
        <f t="shared" si="211"/>
        <v>7980</v>
      </c>
      <c r="E217" s="56" t="s">
        <v>140</v>
      </c>
      <c r="F217" s="58">
        <f t="shared" ref="F217:L217" si="212">SUMIFS($C217,$B217,F$7)+F216</f>
        <v>105</v>
      </c>
      <c r="G217" s="58">
        <f t="shared" si="212"/>
        <v>0</v>
      </c>
      <c r="H217" s="58">
        <f t="shared" si="212"/>
        <v>0</v>
      </c>
      <c r="I217" s="58">
        <f t="shared" si="212"/>
        <v>9</v>
      </c>
      <c r="J217" s="58">
        <f t="shared" si="212"/>
        <v>64</v>
      </c>
      <c r="K217" s="58">
        <f t="shared" si="212"/>
        <v>0</v>
      </c>
      <c r="L217" s="58">
        <f t="shared" si="212"/>
        <v>0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0" customHeight="1">
      <c r="A218" s="70"/>
      <c r="B218" s="71"/>
      <c r="C218" s="66"/>
      <c r="D218" s="66">
        <f t="shared" si="211"/>
        <v>0</v>
      </c>
      <c r="E218" s="67"/>
      <c r="F218" s="58">
        <f t="shared" ref="F218:L218" si="213">SUMIFS($C218,$B218,F$7)+F217</f>
        <v>105</v>
      </c>
      <c r="G218" s="58">
        <f t="shared" si="213"/>
        <v>0</v>
      </c>
      <c r="H218" s="58">
        <f t="shared" si="213"/>
        <v>0</v>
      </c>
      <c r="I218" s="58">
        <f t="shared" si="213"/>
        <v>9</v>
      </c>
      <c r="J218" s="58">
        <f t="shared" si="213"/>
        <v>64</v>
      </c>
      <c r="K218" s="58">
        <f t="shared" si="213"/>
        <v>0</v>
      </c>
      <c r="L218" s="58">
        <f t="shared" si="213"/>
        <v>0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0" customHeight="1">
      <c r="A219" s="68">
        <v>46230.0</v>
      </c>
      <c r="B219" s="64" t="s">
        <v>9</v>
      </c>
      <c r="C219" s="65">
        <v>24.0</v>
      </c>
      <c r="D219" s="66">
        <f t="shared" si="211"/>
        <v>13680</v>
      </c>
      <c r="E219" s="67"/>
      <c r="F219" s="58">
        <f t="shared" ref="F219:L219" si="214">SUMIFS($C219,$B219,F$7)+F218</f>
        <v>129</v>
      </c>
      <c r="G219" s="58">
        <f t="shared" si="214"/>
        <v>0</v>
      </c>
      <c r="H219" s="58">
        <f t="shared" si="214"/>
        <v>0</v>
      </c>
      <c r="I219" s="58">
        <f t="shared" si="214"/>
        <v>9</v>
      </c>
      <c r="J219" s="58">
        <f t="shared" si="214"/>
        <v>64</v>
      </c>
      <c r="K219" s="58">
        <f t="shared" si="214"/>
        <v>0</v>
      </c>
      <c r="L219" s="58">
        <f t="shared" si="214"/>
        <v>0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0" customHeight="1">
      <c r="A220" s="70"/>
      <c r="B220" s="64" t="s">
        <v>20</v>
      </c>
      <c r="C220" s="65">
        <v>-3.0</v>
      </c>
      <c r="D220" s="66">
        <f t="shared" si="211"/>
        <v>-1710</v>
      </c>
      <c r="E220" s="56" t="s">
        <v>163</v>
      </c>
      <c r="F220" s="58">
        <f t="shared" ref="F220:L220" si="215">SUMIFS($C220,$B220,F$7)+F219</f>
        <v>129</v>
      </c>
      <c r="G220" s="58">
        <f t="shared" si="215"/>
        <v>0</v>
      </c>
      <c r="H220" s="58">
        <f t="shared" si="215"/>
        <v>0</v>
      </c>
      <c r="I220" s="58">
        <f t="shared" si="215"/>
        <v>9</v>
      </c>
      <c r="J220" s="58">
        <f t="shared" si="215"/>
        <v>61</v>
      </c>
      <c r="K220" s="58">
        <f t="shared" si="215"/>
        <v>0</v>
      </c>
      <c r="L220" s="58">
        <f t="shared" si="215"/>
        <v>0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0" customHeight="1">
      <c r="A221" s="70"/>
      <c r="B221" s="64" t="s">
        <v>9</v>
      </c>
      <c r="C221" s="65">
        <v>-6.0</v>
      </c>
      <c r="D221" s="66">
        <f t="shared" si="211"/>
        <v>-3420</v>
      </c>
      <c r="E221" s="67"/>
      <c r="F221" s="58">
        <f t="shared" ref="F221:L221" si="216">SUMIFS($C221,$B221,F$7)+F219</f>
        <v>123</v>
      </c>
      <c r="G221" s="58">
        <f t="shared" si="216"/>
        <v>0</v>
      </c>
      <c r="H221" s="58">
        <f t="shared" si="216"/>
        <v>0</v>
      </c>
      <c r="I221" s="58">
        <f t="shared" si="216"/>
        <v>9</v>
      </c>
      <c r="J221" s="58">
        <f t="shared" si="216"/>
        <v>64</v>
      </c>
      <c r="K221" s="58">
        <f t="shared" si="216"/>
        <v>0</v>
      </c>
      <c r="L221" s="58">
        <f t="shared" si="216"/>
        <v>0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0" customHeight="1">
      <c r="A222" s="70"/>
      <c r="B222" s="64" t="s">
        <v>22</v>
      </c>
      <c r="C222" s="65">
        <v>9.0</v>
      </c>
      <c r="D222" s="66">
        <f t="shared" si="211"/>
        <v>5130</v>
      </c>
      <c r="E222" s="67"/>
      <c r="F222" s="58">
        <f t="shared" ref="F222:L222" si="217">SUMIFS($C222,$B222,F$7)+F219</f>
        <v>129</v>
      </c>
      <c r="G222" s="58">
        <f t="shared" si="217"/>
        <v>0</v>
      </c>
      <c r="H222" s="58">
        <f t="shared" si="217"/>
        <v>0</v>
      </c>
      <c r="I222" s="58">
        <f t="shared" si="217"/>
        <v>9</v>
      </c>
      <c r="J222" s="58">
        <f t="shared" si="217"/>
        <v>64</v>
      </c>
      <c r="K222" s="58">
        <f t="shared" si="217"/>
        <v>0</v>
      </c>
      <c r="L222" s="58">
        <f t="shared" si="217"/>
        <v>9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0" customHeight="1">
      <c r="A223" s="70"/>
      <c r="B223" s="71"/>
      <c r="C223" s="66"/>
      <c r="D223" s="66">
        <f t="shared" si="211"/>
        <v>0</v>
      </c>
      <c r="E223" s="67"/>
      <c r="F223" s="58">
        <f t="shared" ref="F223:L223" si="218">SUMIFS($C223,$B223,F$7)+F220</f>
        <v>129</v>
      </c>
      <c r="G223" s="58">
        <f t="shared" si="218"/>
        <v>0</v>
      </c>
      <c r="H223" s="58">
        <f t="shared" si="218"/>
        <v>0</v>
      </c>
      <c r="I223" s="58">
        <f t="shared" si="218"/>
        <v>9</v>
      </c>
      <c r="J223" s="58">
        <f t="shared" si="218"/>
        <v>61</v>
      </c>
      <c r="K223" s="58">
        <f t="shared" si="218"/>
        <v>0</v>
      </c>
      <c r="L223" s="58">
        <f t="shared" si="218"/>
        <v>0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0" customHeight="1">
      <c r="A224" s="68">
        <v>46231.0</v>
      </c>
      <c r="B224" s="64" t="s">
        <v>9</v>
      </c>
      <c r="C224" s="65">
        <v>24.0</v>
      </c>
      <c r="D224" s="66">
        <f t="shared" si="211"/>
        <v>13680</v>
      </c>
      <c r="E224" s="67"/>
      <c r="F224" s="58">
        <f t="shared" ref="F224:L224" si="219">SUMIFS($C224,$B224,F$7)+F223</f>
        <v>153</v>
      </c>
      <c r="G224" s="58">
        <f t="shared" si="219"/>
        <v>0</v>
      </c>
      <c r="H224" s="58">
        <f t="shared" si="219"/>
        <v>0</v>
      </c>
      <c r="I224" s="58">
        <f t="shared" si="219"/>
        <v>9</v>
      </c>
      <c r="J224" s="58">
        <f t="shared" si="219"/>
        <v>61</v>
      </c>
      <c r="K224" s="58">
        <f t="shared" si="219"/>
        <v>0</v>
      </c>
      <c r="L224" s="58">
        <f t="shared" si="219"/>
        <v>0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0" customHeight="1">
      <c r="A225" s="70"/>
      <c r="B225" s="64" t="s">
        <v>20</v>
      </c>
      <c r="C225" s="65">
        <v>-4.0</v>
      </c>
      <c r="D225" s="66">
        <f t="shared" si="211"/>
        <v>-2280</v>
      </c>
      <c r="E225" s="56" t="s">
        <v>163</v>
      </c>
      <c r="F225" s="58">
        <f t="shared" ref="F225:L225" si="220">SUMIFS($C225,$B225,F$7)+F224</f>
        <v>153</v>
      </c>
      <c r="G225" s="58">
        <f t="shared" si="220"/>
        <v>0</v>
      </c>
      <c r="H225" s="58">
        <f t="shared" si="220"/>
        <v>0</v>
      </c>
      <c r="I225" s="58">
        <f t="shared" si="220"/>
        <v>9</v>
      </c>
      <c r="J225" s="58">
        <f t="shared" si="220"/>
        <v>57</v>
      </c>
      <c r="K225" s="58">
        <f t="shared" si="220"/>
        <v>0</v>
      </c>
      <c r="L225" s="58">
        <f t="shared" si="220"/>
        <v>0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0" customHeight="1">
      <c r="A226" s="70"/>
      <c r="B226" s="64" t="s">
        <v>9</v>
      </c>
      <c r="C226" s="65">
        <v>-8.0</v>
      </c>
      <c r="D226" s="66">
        <f t="shared" si="211"/>
        <v>-4560</v>
      </c>
      <c r="E226" s="67"/>
      <c r="F226" s="58">
        <f t="shared" ref="F226:L226" si="221">SUMIFS($C226,$B226,F$7)+F224</f>
        <v>145</v>
      </c>
      <c r="G226" s="58">
        <f t="shared" si="221"/>
        <v>0</v>
      </c>
      <c r="H226" s="58">
        <f t="shared" si="221"/>
        <v>0</v>
      </c>
      <c r="I226" s="58">
        <f t="shared" si="221"/>
        <v>9</v>
      </c>
      <c r="J226" s="58">
        <f t="shared" si="221"/>
        <v>61</v>
      </c>
      <c r="K226" s="58">
        <f t="shared" si="221"/>
        <v>0</v>
      </c>
      <c r="L226" s="58">
        <f t="shared" si="221"/>
        <v>0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0" customHeight="1">
      <c r="A227" s="70"/>
      <c r="B227" s="64" t="s">
        <v>22</v>
      </c>
      <c r="C227" s="65">
        <v>12.0</v>
      </c>
      <c r="D227" s="66">
        <f t="shared" si="211"/>
        <v>6840</v>
      </c>
      <c r="E227" s="67"/>
      <c r="F227" s="58">
        <f t="shared" ref="F227:L227" si="222">SUMIFS($C227,$B227,F$7)+F224</f>
        <v>153</v>
      </c>
      <c r="G227" s="58">
        <f t="shared" si="222"/>
        <v>0</v>
      </c>
      <c r="H227" s="58">
        <f t="shared" si="222"/>
        <v>0</v>
      </c>
      <c r="I227" s="58">
        <f t="shared" si="222"/>
        <v>9</v>
      </c>
      <c r="J227" s="58">
        <f t="shared" si="222"/>
        <v>61</v>
      </c>
      <c r="K227" s="58">
        <f t="shared" si="222"/>
        <v>0</v>
      </c>
      <c r="L227" s="58">
        <f t="shared" si="222"/>
        <v>12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0" customHeight="1">
      <c r="A228" s="70"/>
      <c r="B228" s="71"/>
      <c r="C228" s="66"/>
      <c r="D228" s="66">
        <f t="shared" si="211"/>
        <v>0</v>
      </c>
      <c r="E228" s="67"/>
      <c r="F228" s="58">
        <f t="shared" ref="F228:L228" si="223">SUMIFS($C228,$B228,F$7)+F225</f>
        <v>153</v>
      </c>
      <c r="G228" s="58">
        <f t="shared" si="223"/>
        <v>0</v>
      </c>
      <c r="H228" s="58">
        <f t="shared" si="223"/>
        <v>0</v>
      </c>
      <c r="I228" s="58">
        <f t="shared" si="223"/>
        <v>9</v>
      </c>
      <c r="J228" s="58">
        <f t="shared" si="223"/>
        <v>57</v>
      </c>
      <c r="K228" s="58">
        <f t="shared" si="223"/>
        <v>0</v>
      </c>
      <c r="L228" s="58">
        <f t="shared" si="223"/>
        <v>0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0" customHeight="1">
      <c r="A229" s="68">
        <v>45867.0</v>
      </c>
      <c r="B229" s="64" t="s">
        <v>9</v>
      </c>
      <c r="C229" s="65">
        <v>8.0</v>
      </c>
      <c r="D229" s="66">
        <f t="shared" si="211"/>
        <v>4560</v>
      </c>
      <c r="E229" s="67"/>
      <c r="F229" s="58">
        <f t="shared" ref="F229:L229" si="224">SUMIFS($C229,$B229,F$7)+F228</f>
        <v>161</v>
      </c>
      <c r="G229" s="58">
        <f t="shared" si="224"/>
        <v>0</v>
      </c>
      <c r="H229" s="58">
        <f t="shared" si="224"/>
        <v>0</v>
      </c>
      <c r="I229" s="58">
        <f t="shared" si="224"/>
        <v>9</v>
      </c>
      <c r="J229" s="58">
        <f t="shared" si="224"/>
        <v>57</v>
      </c>
      <c r="K229" s="58">
        <f t="shared" si="224"/>
        <v>0</v>
      </c>
      <c r="L229" s="58">
        <f t="shared" si="224"/>
        <v>0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0" customHeight="1">
      <c r="A230" s="70"/>
      <c r="B230" s="64" t="s">
        <v>20</v>
      </c>
      <c r="C230" s="65">
        <v>-4.0</v>
      </c>
      <c r="D230" s="66">
        <f t="shared" si="211"/>
        <v>-2280</v>
      </c>
      <c r="E230" s="56" t="s">
        <v>168</v>
      </c>
      <c r="F230" s="58">
        <f t="shared" ref="F230:L230" si="225">SUMIFS($C230,$B230,F$7)+F229</f>
        <v>161</v>
      </c>
      <c r="G230" s="58">
        <f t="shared" si="225"/>
        <v>0</v>
      </c>
      <c r="H230" s="58">
        <f t="shared" si="225"/>
        <v>0</v>
      </c>
      <c r="I230" s="58">
        <f t="shared" si="225"/>
        <v>9</v>
      </c>
      <c r="J230" s="58">
        <f t="shared" si="225"/>
        <v>53</v>
      </c>
      <c r="K230" s="58">
        <f t="shared" si="225"/>
        <v>0</v>
      </c>
      <c r="L230" s="58">
        <f t="shared" si="225"/>
        <v>0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0" customHeight="1">
      <c r="A231" s="70"/>
      <c r="B231" s="64" t="s">
        <v>9</v>
      </c>
      <c r="C231" s="65">
        <v>-10.0</v>
      </c>
      <c r="D231" s="66">
        <f t="shared" si="211"/>
        <v>-5700</v>
      </c>
      <c r="E231" s="56" t="s">
        <v>168</v>
      </c>
      <c r="F231" s="58">
        <f t="shared" ref="F231:L231" si="226">SUMIFS($C231,$B231,F$7)+F228</f>
        <v>143</v>
      </c>
      <c r="G231" s="58">
        <f t="shared" si="226"/>
        <v>0</v>
      </c>
      <c r="H231" s="58">
        <f t="shared" si="226"/>
        <v>0</v>
      </c>
      <c r="I231" s="58">
        <f t="shared" si="226"/>
        <v>9</v>
      </c>
      <c r="J231" s="58">
        <f t="shared" si="226"/>
        <v>57</v>
      </c>
      <c r="K231" s="58">
        <f t="shared" si="226"/>
        <v>0</v>
      </c>
      <c r="L231" s="58">
        <f t="shared" si="226"/>
        <v>0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0" customHeight="1">
      <c r="A232" s="70"/>
      <c r="B232" s="64" t="s">
        <v>22</v>
      </c>
      <c r="C232" s="65">
        <v>14.0</v>
      </c>
      <c r="D232" s="66">
        <f t="shared" si="211"/>
        <v>7980</v>
      </c>
      <c r="E232" s="67"/>
      <c r="F232" s="58">
        <f t="shared" ref="F232:L232" si="227">SUMIFS($C232,$B232,F$7)+F229</f>
        <v>161</v>
      </c>
      <c r="G232" s="58">
        <f t="shared" si="227"/>
        <v>0</v>
      </c>
      <c r="H232" s="58">
        <f t="shared" si="227"/>
        <v>0</v>
      </c>
      <c r="I232" s="58">
        <f t="shared" si="227"/>
        <v>9</v>
      </c>
      <c r="J232" s="58">
        <f t="shared" si="227"/>
        <v>57</v>
      </c>
      <c r="K232" s="58">
        <f t="shared" si="227"/>
        <v>0</v>
      </c>
      <c r="L232" s="58">
        <f t="shared" si="227"/>
        <v>14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0" customHeight="1">
      <c r="A233" s="70"/>
      <c r="B233" s="71"/>
      <c r="C233" s="66"/>
      <c r="D233" s="66">
        <f t="shared" si="211"/>
        <v>0</v>
      </c>
      <c r="E233" s="67"/>
      <c r="F233" s="58">
        <f t="shared" ref="F233:L233" si="228">SUMIFS($C233,$B233,F$7)+F230</f>
        <v>161</v>
      </c>
      <c r="G233" s="58">
        <f t="shared" si="228"/>
        <v>0</v>
      </c>
      <c r="H233" s="58">
        <f t="shared" si="228"/>
        <v>0</v>
      </c>
      <c r="I233" s="58">
        <f t="shared" si="228"/>
        <v>9</v>
      </c>
      <c r="J233" s="58">
        <f t="shared" si="228"/>
        <v>53</v>
      </c>
      <c r="K233" s="58">
        <f t="shared" si="228"/>
        <v>0</v>
      </c>
      <c r="L233" s="58">
        <f t="shared" si="228"/>
        <v>0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0" customHeight="1">
      <c r="A234" s="68">
        <v>46233.0</v>
      </c>
      <c r="B234" s="64" t="s">
        <v>9</v>
      </c>
      <c r="C234" s="65">
        <v>22.0</v>
      </c>
      <c r="D234" s="66">
        <f t="shared" si="211"/>
        <v>12540</v>
      </c>
      <c r="E234" s="67"/>
      <c r="F234" s="58">
        <f t="shared" ref="F234:L234" si="229">SUMIFS($C234,$B234,F$7)+F233</f>
        <v>183</v>
      </c>
      <c r="G234" s="58">
        <f t="shared" si="229"/>
        <v>0</v>
      </c>
      <c r="H234" s="58">
        <f t="shared" si="229"/>
        <v>0</v>
      </c>
      <c r="I234" s="58">
        <f t="shared" si="229"/>
        <v>9</v>
      </c>
      <c r="J234" s="58">
        <f t="shared" si="229"/>
        <v>53</v>
      </c>
      <c r="K234" s="58">
        <f t="shared" si="229"/>
        <v>0</v>
      </c>
      <c r="L234" s="58">
        <f t="shared" si="229"/>
        <v>0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0" customHeight="1">
      <c r="A235" s="70"/>
      <c r="B235" s="64" t="s">
        <v>20</v>
      </c>
      <c r="C235" s="65">
        <v>-2.0</v>
      </c>
      <c r="D235" s="66">
        <f t="shared" si="211"/>
        <v>-1140</v>
      </c>
      <c r="E235" s="56" t="s">
        <v>168</v>
      </c>
      <c r="F235" s="58">
        <f t="shared" ref="F235:L235" si="230">SUMIFS($C235,$B235,F$7)+F234</f>
        <v>183</v>
      </c>
      <c r="G235" s="58">
        <f t="shared" si="230"/>
        <v>0</v>
      </c>
      <c r="H235" s="58">
        <f t="shared" si="230"/>
        <v>0</v>
      </c>
      <c r="I235" s="58">
        <f t="shared" si="230"/>
        <v>9</v>
      </c>
      <c r="J235" s="58">
        <f t="shared" si="230"/>
        <v>51</v>
      </c>
      <c r="K235" s="58">
        <f t="shared" si="230"/>
        <v>0</v>
      </c>
      <c r="L235" s="58">
        <f t="shared" si="230"/>
        <v>0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0" customHeight="1">
      <c r="A236" s="70"/>
      <c r="B236" s="64" t="s">
        <v>9</v>
      </c>
      <c r="C236" s="65">
        <v>-6.0</v>
      </c>
      <c r="D236" s="66">
        <f t="shared" si="211"/>
        <v>-3420</v>
      </c>
      <c r="E236" s="56" t="s">
        <v>168</v>
      </c>
      <c r="F236" s="58">
        <f t="shared" ref="F236:L236" si="231">SUMIFS($C236,$B236,F$7)+F235</f>
        <v>177</v>
      </c>
      <c r="G236" s="58">
        <f t="shared" si="231"/>
        <v>0</v>
      </c>
      <c r="H236" s="58">
        <f t="shared" si="231"/>
        <v>0</v>
      </c>
      <c r="I236" s="58">
        <f t="shared" si="231"/>
        <v>9</v>
      </c>
      <c r="J236" s="58">
        <f t="shared" si="231"/>
        <v>51</v>
      </c>
      <c r="K236" s="58">
        <f t="shared" si="231"/>
        <v>0</v>
      </c>
      <c r="L236" s="58">
        <f t="shared" si="231"/>
        <v>0</v>
      </c>
      <c r="M236" s="3"/>
      <c r="N236" s="42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0" customHeight="1">
      <c r="A237" s="70"/>
      <c r="B237" s="64" t="s">
        <v>22</v>
      </c>
      <c r="C237" s="65">
        <v>8.0</v>
      </c>
      <c r="D237" s="66">
        <f t="shared" si="211"/>
        <v>4560</v>
      </c>
      <c r="E237" s="67"/>
      <c r="F237" s="58">
        <f t="shared" ref="F237:L237" si="232">SUMIFS($C237,$B237,F$7)+F236</f>
        <v>177</v>
      </c>
      <c r="G237" s="58">
        <f t="shared" si="232"/>
        <v>0</v>
      </c>
      <c r="H237" s="58">
        <f t="shared" si="232"/>
        <v>0</v>
      </c>
      <c r="I237" s="58">
        <f t="shared" si="232"/>
        <v>9</v>
      </c>
      <c r="J237" s="58">
        <f t="shared" si="232"/>
        <v>51</v>
      </c>
      <c r="K237" s="58">
        <f t="shared" si="232"/>
        <v>0</v>
      </c>
      <c r="L237" s="58">
        <f t="shared" si="232"/>
        <v>8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0" customHeight="1">
      <c r="A238" s="70"/>
      <c r="B238" s="71"/>
      <c r="C238" s="66"/>
      <c r="D238" s="66">
        <f t="shared" si="211"/>
        <v>0</v>
      </c>
      <c r="E238" s="67"/>
      <c r="F238" s="58">
        <f t="shared" ref="F238:L238" si="233">SUMIFS($C238,$B238,F$7)+F237</f>
        <v>177</v>
      </c>
      <c r="G238" s="58">
        <f t="shared" si="233"/>
        <v>0</v>
      </c>
      <c r="H238" s="58">
        <f t="shared" si="233"/>
        <v>0</v>
      </c>
      <c r="I238" s="58">
        <f t="shared" si="233"/>
        <v>9</v>
      </c>
      <c r="J238" s="58">
        <f t="shared" si="233"/>
        <v>51</v>
      </c>
      <c r="K238" s="58">
        <f t="shared" si="233"/>
        <v>0</v>
      </c>
      <c r="L238" s="58">
        <f t="shared" si="233"/>
        <v>8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0" customHeight="1">
      <c r="A239" s="68">
        <v>46234.0</v>
      </c>
      <c r="B239" s="64" t="s">
        <v>9</v>
      </c>
      <c r="C239" s="65">
        <v>4.0</v>
      </c>
      <c r="D239" s="66">
        <f t="shared" si="211"/>
        <v>2280</v>
      </c>
      <c r="E239" s="67"/>
      <c r="F239" s="58">
        <f t="shared" ref="F239:L239" si="234">SUMIFS($C239,$B239,F$7)+F238</f>
        <v>181</v>
      </c>
      <c r="G239" s="58">
        <f t="shared" si="234"/>
        <v>0</v>
      </c>
      <c r="H239" s="58">
        <f t="shared" si="234"/>
        <v>0</v>
      </c>
      <c r="I239" s="58">
        <f t="shared" si="234"/>
        <v>9</v>
      </c>
      <c r="J239" s="58">
        <f t="shared" si="234"/>
        <v>51</v>
      </c>
      <c r="K239" s="58">
        <f t="shared" si="234"/>
        <v>0</v>
      </c>
      <c r="L239" s="58">
        <f t="shared" si="234"/>
        <v>8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0" customHeight="1">
      <c r="A240" s="70"/>
      <c r="B240" s="64" t="s">
        <v>20</v>
      </c>
      <c r="C240" s="65">
        <v>-2.0</v>
      </c>
      <c r="D240" s="66">
        <f t="shared" si="211"/>
        <v>-1140</v>
      </c>
      <c r="E240" s="56" t="s">
        <v>168</v>
      </c>
      <c r="F240" s="58">
        <f t="shared" ref="F240:L240" si="235">SUMIFS($C240,$B240,F$7)+F239</f>
        <v>181</v>
      </c>
      <c r="G240" s="58">
        <f t="shared" si="235"/>
        <v>0</v>
      </c>
      <c r="H240" s="58">
        <f t="shared" si="235"/>
        <v>0</v>
      </c>
      <c r="I240" s="58">
        <f t="shared" si="235"/>
        <v>9</v>
      </c>
      <c r="J240" s="58">
        <f t="shared" si="235"/>
        <v>49</v>
      </c>
      <c r="K240" s="58">
        <f t="shared" si="235"/>
        <v>0</v>
      </c>
      <c r="L240" s="58">
        <f t="shared" si="235"/>
        <v>8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0" customHeight="1">
      <c r="A241" s="70"/>
      <c r="B241" s="64" t="s">
        <v>9</v>
      </c>
      <c r="C241" s="65">
        <v>-6.0</v>
      </c>
      <c r="D241" s="66">
        <f t="shared" si="211"/>
        <v>-3420</v>
      </c>
      <c r="E241" s="56" t="s">
        <v>168</v>
      </c>
      <c r="F241" s="58">
        <f t="shared" ref="F241:L241" si="236">SUMIFS($C241,$B241,F$7)+F240</f>
        <v>175</v>
      </c>
      <c r="G241" s="58">
        <f t="shared" si="236"/>
        <v>0</v>
      </c>
      <c r="H241" s="58">
        <f t="shared" si="236"/>
        <v>0</v>
      </c>
      <c r="I241" s="58">
        <f t="shared" si="236"/>
        <v>9</v>
      </c>
      <c r="J241" s="58">
        <f t="shared" si="236"/>
        <v>49</v>
      </c>
      <c r="K241" s="58">
        <f t="shared" si="236"/>
        <v>0</v>
      </c>
      <c r="L241" s="58">
        <f t="shared" si="236"/>
        <v>8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0" customHeight="1">
      <c r="A242" s="70"/>
      <c r="B242" s="64" t="s">
        <v>22</v>
      </c>
      <c r="C242" s="65">
        <v>8.0</v>
      </c>
      <c r="D242" s="66">
        <f t="shared" si="211"/>
        <v>4560</v>
      </c>
      <c r="E242" s="67"/>
      <c r="F242" s="58">
        <f t="shared" ref="F242:L242" si="237">SUMIFS($C242,$B242,F$7)+F241</f>
        <v>175</v>
      </c>
      <c r="G242" s="58">
        <f t="shared" si="237"/>
        <v>0</v>
      </c>
      <c r="H242" s="58">
        <f t="shared" si="237"/>
        <v>0</v>
      </c>
      <c r="I242" s="58">
        <f t="shared" si="237"/>
        <v>9</v>
      </c>
      <c r="J242" s="58">
        <f t="shared" si="237"/>
        <v>49</v>
      </c>
      <c r="K242" s="58">
        <f t="shared" si="237"/>
        <v>0</v>
      </c>
      <c r="L242" s="58">
        <f t="shared" si="237"/>
        <v>16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0" customHeight="1">
      <c r="A243" s="77"/>
      <c r="B243" s="71"/>
      <c r="C243" s="66"/>
      <c r="D243" s="66">
        <f t="shared" si="211"/>
        <v>0</v>
      </c>
      <c r="E243" s="67"/>
      <c r="F243" s="58">
        <f t="shared" ref="F243:L243" si="238">SUMIFS($C243,$B243,F$7)+F242</f>
        <v>175</v>
      </c>
      <c r="G243" s="58">
        <f t="shared" si="238"/>
        <v>0</v>
      </c>
      <c r="H243" s="58">
        <f t="shared" si="238"/>
        <v>0</v>
      </c>
      <c r="I243" s="58">
        <f t="shared" si="238"/>
        <v>9</v>
      </c>
      <c r="J243" s="58">
        <f t="shared" si="238"/>
        <v>49</v>
      </c>
      <c r="K243" s="58">
        <f t="shared" si="238"/>
        <v>0</v>
      </c>
      <c r="L243" s="58">
        <f t="shared" si="238"/>
        <v>16</v>
      </c>
      <c r="M243" s="3"/>
      <c r="N243" s="42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0" customHeight="1">
      <c r="A244" s="68">
        <v>46235.0</v>
      </c>
      <c r="B244" s="64" t="s">
        <v>9</v>
      </c>
      <c r="C244" s="65">
        <v>2.0</v>
      </c>
      <c r="D244" s="66">
        <f t="shared" si="211"/>
        <v>1140</v>
      </c>
      <c r="E244" s="67"/>
      <c r="F244" s="58">
        <f t="shared" ref="F244:L244" si="239">SUMIFS($C244,$B244,F$7)+F243</f>
        <v>177</v>
      </c>
      <c r="G244" s="58">
        <f t="shared" si="239"/>
        <v>0</v>
      </c>
      <c r="H244" s="58">
        <f t="shared" si="239"/>
        <v>0</v>
      </c>
      <c r="I244" s="58">
        <f t="shared" si="239"/>
        <v>9</v>
      </c>
      <c r="J244" s="58">
        <f t="shared" si="239"/>
        <v>49</v>
      </c>
      <c r="K244" s="58">
        <f t="shared" si="239"/>
        <v>0</v>
      </c>
      <c r="L244" s="58">
        <f t="shared" si="239"/>
        <v>16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0" customHeight="1">
      <c r="A245" s="70"/>
      <c r="B245" s="64" t="s">
        <v>20</v>
      </c>
      <c r="C245" s="65">
        <v>-4.0</v>
      </c>
      <c r="D245" s="66">
        <f t="shared" si="211"/>
        <v>-2280</v>
      </c>
      <c r="E245" s="56" t="s">
        <v>168</v>
      </c>
      <c r="F245" s="58">
        <f t="shared" ref="F245:L245" si="240">SUMIFS($C245,$B245,F$7)+F244</f>
        <v>177</v>
      </c>
      <c r="G245" s="58">
        <f t="shared" si="240"/>
        <v>0</v>
      </c>
      <c r="H245" s="58">
        <f t="shared" si="240"/>
        <v>0</v>
      </c>
      <c r="I245" s="58">
        <f t="shared" si="240"/>
        <v>9</v>
      </c>
      <c r="J245" s="58">
        <f t="shared" si="240"/>
        <v>45</v>
      </c>
      <c r="K245" s="58">
        <f t="shared" si="240"/>
        <v>0</v>
      </c>
      <c r="L245" s="58">
        <f t="shared" si="240"/>
        <v>16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0" customHeight="1">
      <c r="A246" s="70"/>
      <c r="B246" s="64" t="s">
        <v>9</v>
      </c>
      <c r="C246" s="65">
        <v>-12.0</v>
      </c>
      <c r="D246" s="66">
        <f t="shared" si="211"/>
        <v>-6840</v>
      </c>
      <c r="E246" s="56" t="s">
        <v>168</v>
      </c>
      <c r="F246" s="58">
        <f t="shared" ref="F246:L246" si="241">SUMIFS($C246,$B246,F$7)+F245</f>
        <v>165</v>
      </c>
      <c r="G246" s="58">
        <f t="shared" si="241"/>
        <v>0</v>
      </c>
      <c r="H246" s="58">
        <f t="shared" si="241"/>
        <v>0</v>
      </c>
      <c r="I246" s="58">
        <f t="shared" si="241"/>
        <v>9</v>
      </c>
      <c r="J246" s="58">
        <f t="shared" si="241"/>
        <v>45</v>
      </c>
      <c r="K246" s="58">
        <f t="shared" si="241"/>
        <v>0</v>
      </c>
      <c r="L246" s="58">
        <f t="shared" si="241"/>
        <v>16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0" customHeight="1">
      <c r="A247" s="70"/>
      <c r="B247" s="64" t="s">
        <v>22</v>
      </c>
      <c r="C247" s="65">
        <v>16.0</v>
      </c>
      <c r="D247" s="66">
        <f t="shared" si="211"/>
        <v>9120</v>
      </c>
      <c r="E247" s="67"/>
      <c r="F247" s="58">
        <f t="shared" ref="F247:L247" si="242">SUMIFS($C247,$B247,F$7)+F246</f>
        <v>165</v>
      </c>
      <c r="G247" s="58">
        <f t="shared" si="242"/>
        <v>0</v>
      </c>
      <c r="H247" s="58">
        <f t="shared" si="242"/>
        <v>0</v>
      </c>
      <c r="I247" s="58">
        <f t="shared" si="242"/>
        <v>9</v>
      </c>
      <c r="J247" s="58">
        <f t="shared" si="242"/>
        <v>45</v>
      </c>
      <c r="K247" s="58">
        <f t="shared" si="242"/>
        <v>0</v>
      </c>
      <c r="L247" s="58">
        <f t="shared" si="242"/>
        <v>32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0" customHeight="1">
      <c r="A248" s="70"/>
      <c r="B248" s="71"/>
      <c r="C248" s="66"/>
      <c r="D248" s="66">
        <f t="shared" si="211"/>
        <v>0</v>
      </c>
      <c r="E248" s="67"/>
      <c r="F248" s="58">
        <f t="shared" ref="F248:L248" si="243">SUMIFS($C248,$B248,F$7)+F247</f>
        <v>165</v>
      </c>
      <c r="G248" s="58">
        <f t="shared" si="243"/>
        <v>0</v>
      </c>
      <c r="H248" s="58">
        <f t="shared" si="243"/>
        <v>0</v>
      </c>
      <c r="I248" s="58">
        <f t="shared" si="243"/>
        <v>9</v>
      </c>
      <c r="J248" s="58">
        <f t="shared" si="243"/>
        <v>45</v>
      </c>
      <c r="K248" s="58">
        <f t="shared" si="243"/>
        <v>0</v>
      </c>
      <c r="L248" s="58">
        <f t="shared" si="243"/>
        <v>32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0" customHeight="1">
      <c r="A249" s="68">
        <v>46237.0</v>
      </c>
      <c r="B249" s="64" t="s">
        <v>20</v>
      </c>
      <c r="C249" s="65">
        <v>-4.0</v>
      </c>
      <c r="D249" s="66">
        <f t="shared" si="211"/>
        <v>-2280</v>
      </c>
      <c r="E249" s="56" t="s">
        <v>168</v>
      </c>
      <c r="F249" s="58">
        <f t="shared" ref="F249:L249" si="244">SUMIFS($C249,$B249,F$7)+F248</f>
        <v>165</v>
      </c>
      <c r="G249" s="58">
        <f t="shared" si="244"/>
        <v>0</v>
      </c>
      <c r="H249" s="58">
        <f t="shared" si="244"/>
        <v>0</v>
      </c>
      <c r="I249" s="58">
        <f t="shared" si="244"/>
        <v>9</v>
      </c>
      <c r="J249" s="58">
        <f t="shared" si="244"/>
        <v>41</v>
      </c>
      <c r="K249" s="58">
        <f t="shared" si="244"/>
        <v>0</v>
      </c>
      <c r="L249" s="58">
        <f t="shared" si="244"/>
        <v>32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0" customHeight="1">
      <c r="A250" s="70"/>
      <c r="B250" s="64" t="s">
        <v>9</v>
      </c>
      <c r="C250" s="65">
        <v>-12.0</v>
      </c>
      <c r="D250" s="66">
        <f t="shared" si="211"/>
        <v>-6840</v>
      </c>
      <c r="E250" s="56" t="s">
        <v>168</v>
      </c>
      <c r="F250" s="58">
        <f t="shared" ref="F250:L250" si="245">SUMIFS($C250,$B250,F$7)+F249</f>
        <v>153</v>
      </c>
      <c r="G250" s="58">
        <f t="shared" si="245"/>
        <v>0</v>
      </c>
      <c r="H250" s="58">
        <f t="shared" si="245"/>
        <v>0</v>
      </c>
      <c r="I250" s="58">
        <f t="shared" si="245"/>
        <v>9</v>
      </c>
      <c r="J250" s="58">
        <f t="shared" si="245"/>
        <v>41</v>
      </c>
      <c r="K250" s="58">
        <f t="shared" si="245"/>
        <v>0</v>
      </c>
      <c r="L250" s="58">
        <f t="shared" si="245"/>
        <v>32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0" customHeight="1">
      <c r="A251" s="70"/>
      <c r="B251" s="64" t="s">
        <v>22</v>
      </c>
      <c r="C251" s="65">
        <v>16.0</v>
      </c>
      <c r="D251" s="66">
        <f t="shared" si="211"/>
        <v>9120</v>
      </c>
      <c r="E251" s="67"/>
      <c r="F251" s="58">
        <f t="shared" ref="F251:L251" si="246">SUMIFS($C251,$B251,F$7)+F250</f>
        <v>153</v>
      </c>
      <c r="G251" s="58">
        <f t="shared" si="246"/>
        <v>0</v>
      </c>
      <c r="H251" s="58">
        <f t="shared" si="246"/>
        <v>0</v>
      </c>
      <c r="I251" s="58">
        <f t="shared" si="246"/>
        <v>9</v>
      </c>
      <c r="J251" s="58">
        <f t="shared" si="246"/>
        <v>41</v>
      </c>
      <c r="K251" s="58">
        <f t="shared" si="246"/>
        <v>0</v>
      </c>
      <c r="L251" s="58">
        <f t="shared" si="246"/>
        <v>48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0" customHeight="1">
      <c r="A252" s="70"/>
      <c r="B252" s="64" t="s">
        <v>17</v>
      </c>
      <c r="C252" s="65">
        <v>-1.0</v>
      </c>
      <c r="D252" s="66">
        <f>550*C252</f>
        <v>-550</v>
      </c>
      <c r="E252" s="56" t="s">
        <v>174</v>
      </c>
      <c r="F252" s="58">
        <f t="shared" ref="F252:L252" si="247">SUMIFS($C252,$B252,F$7)+F251</f>
        <v>153</v>
      </c>
      <c r="G252" s="58">
        <f t="shared" si="247"/>
        <v>0</v>
      </c>
      <c r="H252" s="58">
        <f t="shared" si="247"/>
        <v>0</v>
      </c>
      <c r="I252" s="58">
        <f t="shared" si="247"/>
        <v>8</v>
      </c>
      <c r="J252" s="58">
        <f t="shared" si="247"/>
        <v>41</v>
      </c>
      <c r="K252" s="58">
        <f t="shared" si="247"/>
        <v>0</v>
      </c>
      <c r="L252" s="58">
        <f t="shared" si="247"/>
        <v>48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0" customHeight="1">
      <c r="A253" s="70"/>
      <c r="B253" s="71"/>
      <c r="C253" s="66"/>
      <c r="D253" s="66">
        <f t="shared" ref="D253:D265" si="249">570*C253</f>
        <v>0</v>
      </c>
      <c r="E253" s="67"/>
      <c r="F253" s="58">
        <f t="shared" ref="F253:L253" si="248">SUMIFS($C253,$B253,F$7)+F252</f>
        <v>153</v>
      </c>
      <c r="G253" s="58">
        <f t="shared" si="248"/>
        <v>0</v>
      </c>
      <c r="H253" s="58">
        <f t="shared" si="248"/>
        <v>0</v>
      </c>
      <c r="I253" s="58">
        <f t="shared" si="248"/>
        <v>8</v>
      </c>
      <c r="J253" s="58">
        <f t="shared" si="248"/>
        <v>41</v>
      </c>
      <c r="K253" s="58">
        <f t="shared" si="248"/>
        <v>0</v>
      </c>
      <c r="L253" s="58">
        <f t="shared" si="248"/>
        <v>48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0" customHeight="1">
      <c r="A254" s="68">
        <v>46238.0</v>
      </c>
      <c r="B254" s="64" t="s">
        <v>20</v>
      </c>
      <c r="C254" s="65">
        <v>-5.0</v>
      </c>
      <c r="D254" s="66">
        <f t="shared" si="249"/>
        <v>-2850</v>
      </c>
      <c r="E254" s="56" t="s">
        <v>168</v>
      </c>
      <c r="F254" s="58">
        <f t="shared" ref="F254:L254" si="250">SUMIFS($C254,$B254,F$7)+F253</f>
        <v>153</v>
      </c>
      <c r="G254" s="58">
        <f t="shared" si="250"/>
        <v>0</v>
      </c>
      <c r="H254" s="58">
        <f t="shared" si="250"/>
        <v>0</v>
      </c>
      <c r="I254" s="58">
        <f t="shared" si="250"/>
        <v>8</v>
      </c>
      <c r="J254" s="58">
        <f t="shared" si="250"/>
        <v>36</v>
      </c>
      <c r="K254" s="58">
        <f t="shared" si="250"/>
        <v>0</v>
      </c>
      <c r="L254" s="58">
        <f t="shared" si="250"/>
        <v>48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0" customHeight="1">
      <c r="A255" s="70"/>
      <c r="B255" s="64" t="s">
        <v>9</v>
      </c>
      <c r="C255" s="65">
        <v>-15.0</v>
      </c>
      <c r="D255" s="66">
        <f t="shared" si="249"/>
        <v>-8550</v>
      </c>
      <c r="E255" s="56" t="s">
        <v>168</v>
      </c>
      <c r="F255" s="58">
        <f t="shared" ref="F255:L255" si="251">SUMIFS($C255,$B255,F$7)+F254</f>
        <v>138</v>
      </c>
      <c r="G255" s="58">
        <f t="shared" si="251"/>
        <v>0</v>
      </c>
      <c r="H255" s="58">
        <f t="shared" si="251"/>
        <v>0</v>
      </c>
      <c r="I255" s="58">
        <f t="shared" si="251"/>
        <v>8</v>
      </c>
      <c r="J255" s="58">
        <f t="shared" si="251"/>
        <v>36</v>
      </c>
      <c r="K255" s="58">
        <f t="shared" si="251"/>
        <v>0</v>
      </c>
      <c r="L255" s="58">
        <f t="shared" si="251"/>
        <v>48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0" customHeight="1">
      <c r="A256" s="70"/>
      <c r="B256" s="64" t="s">
        <v>22</v>
      </c>
      <c r="C256" s="65">
        <v>20.0</v>
      </c>
      <c r="D256" s="66">
        <f t="shared" si="249"/>
        <v>11400</v>
      </c>
      <c r="E256" s="67"/>
      <c r="F256" s="58">
        <f t="shared" ref="F256:L256" si="252">SUMIFS($C256,$B256,F$7)+F255</f>
        <v>138</v>
      </c>
      <c r="G256" s="58">
        <f t="shared" si="252"/>
        <v>0</v>
      </c>
      <c r="H256" s="58">
        <f t="shared" si="252"/>
        <v>0</v>
      </c>
      <c r="I256" s="58">
        <f t="shared" si="252"/>
        <v>8</v>
      </c>
      <c r="J256" s="58">
        <f t="shared" si="252"/>
        <v>36</v>
      </c>
      <c r="K256" s="58">
        <f t="shared" si="252"/>
        <v>0</v>
      </c>
      <c r="L256" s="58">
        <f t="shared" si="252"/>
        <v>68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0" customHeight="1">
      <c r="A257" s="70"/>
      <c r="B257" s="71"/>
      <c r="C257" s="66"/>
      <c r="D257" s="66">
        <f t="shared" si="249"/>
        <v>0</v>
      </c>
      <c r="E257" s="67"/>
      <c r="F257" s="58">
        <f t="shared" ref="F257:L257" si="253">SUMIFS($C257,$B257,F$7)+F256</f>
        <v>138</v>
      </c>
      <c r="G257" s="58">
        <f t="shared" si="253"/>
        <v>0</v>
      </c>
      <c r="H257" s="58">
        <f t="shared" si="253"/>
        <v>0</v>
      </c>
      <c r="I257" s="58">
        <f t="shared" si="253"/>
        <v>8</v>
      </c>
      <c r="J257" s="58">
        <f t="shared" si="253"/>
        <v>36</v>
      </c>
      <c r="K257" s="58">
        <f t="shared" si="253"/>
        <v>0</v>
      </c>
      <c r="L257" s="58">
        <f t="shared" si="253"/>
        <v>68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0" customHeight="1">
      <c r="A258" s="68">
        <v>46239.0</v>
      </c>
      <c r="B258" s="64" t="s">
        <v>20</v>
      </c>
      <c r="C258" s="65">
        <v>-6.0</v>
      </c>
      <c r="D258" s="66">
        <f t="shared" si="249"/>
        <v>-3420</v>
      </c>
      <c r="E258" s="56" t="s">
        <v>168</v>
      </c>
      <c r="F258" s="58">
        <f t="shared" ref="F258:L258" si="254">SUMIFS($C258,$B258,F$7)+F257</f>
        <v>138</v>
      </c>
      <c r="G258" s="58">
        <f t="shared" si="254"/>
        <v>0</v>
      </c>
      <c r="H258" s="58">
        <f t="shared" si="254"/>
        <v>0</v>
      </c>
      <c r="I258" s="58">
        <f t="shared" si="254"/>
        <v>8</v>
      </c>
      <c r="J258" s="58">
        <f t="shared" si="254"/>
        <v>30</v>
      </c>
      <c r="K258" s="58">
        <f t="shared" si="254"/>
        <v>0</v>
      </c>
      <c r="L258" s="58">
        <f t="shared" si="254"/>
        <v>68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0" customHeight="1">
      <c r="A259" s="70"/>
      <c r="B259" s="64" t="s">
        <v>9</v>
      </c>
      <c r="C259" s="65">
        <v>-18.0</v>
      </c>
      <c r="D259" s="66">
        <f t="shared" si="249"/>
        <v>-10260</v>
      </c>
      <c r="E259" s="56" t="s">
        <v>168</v>
      </c>
      <c r="F259" s="58">
        <f t="shared" ref="F259:L259" si="255">SUMIFS($C259,$B259,F$7)+F258</f>
        <v>120</v>
      </c>
      <c r="G259" s="58">
        <f t="shared" si="255"/>
        <v>0</v>
      </c>
      <c r="H259" s="58">
        <f t="shared" si="255"/>
        <v>0</v>
      </c>
      <c r="I259" s="58">
        <f t="shared" si="255"/>
        <v>8</v>
      </c>
      <c r="J259" s="58">
        <f t="shared" si="255"/>
        <v>30</v>
      </c>
      <c r="K259" s="58">
        <f t="shared" si="255"/>
        <v>0</v>
      </c>
      <c r="L259" s="58">
        <f t="shared" si="255"/>
        <v>68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0" customHeight="1">
      <c r="A260" s="70"/>
      <c r="B260" s="64" t="s">
        <v>22</v>
      </c>
      <c r="C260" s="65">
        <v>24.0</v>
      </c>
      <c r="D260" s="66">
        <f t="shared" si="249"/>
        <v>13680</v>
      </c>
      <c r="E260" s="67"/>
      <c r="F260" s="58">
        <f t="shared" ref="F260:L260" si="256">SUMIFS($C260,$B260,F$7)+F259</f>
        <v>120</v>
      </c>
      <c r="G260" s="58">
        <f t="shared" si="256"/>
        <v>0</v>
      </c>
      <c r="H260" s="58">
        <f t="shared" si="256"/>
        <v>0</v>
      </c>
      <c r="I260" s="58">
        <f t="shared" si="256"/>
        <v>8</v>
      </c>
      <c r="J260" s="58">
        <f t="shared" si="256"/>
        <v>30</v>
      </c>
      <c r="K260" s="58">
        <f t="shared" si="256"/>
        <v>0</v>
      </c>
      <c r="L260" s="58">
        <f t="shared" si="256"/>
        <v>92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0" customHeight="1">
      <c r="A261" s="70"/>
      <c r="B261" s="71"/>
      <c r="C261" s="66"/>
      <c r="D261" s="66">
        <f t="shared" si="249"/>
        <v>0</v>
      </c>
      <c r="E261" s="67"/>
      <c r="F261" s="58">
        <f t="shared" ref="F261:L261" si="257">SUMIFS($C261,$B261,F$7)+F260</f>
        <v>120</v>
      </c>
      <c r="G261" s="58">
        <f t="shared" si="257"/>
        <v>0</v>
      </c>
      <c r="H261" s="58">
        <f t="shared" si="257"/>
        <v>0</v>
      </c>
      <c r="I261" s="58">
        <f t="shared" si="257"/>
        <v>8</v>
      </c>
      <c r="J261" s="58">
        <f t="shared" si="257"/>
        <v>30</v>
      </c>
      <c r="K261" s="58">
        <f t="shared" si="257"/>
        <v>0</v>
      </c>
      <c r="L261" s="58">
        <f t="shared" si="257"/>
        <v>92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0" customHeight="1">
      <c r="A262" s="68">
        <v>46240.0</v>
      </c>
      <c r="B262" s="64" t="s">
        <v>20</v>
      </c>
      <c r="C262" s="65">
        <v>-6.0</v>
      </c>
      <c r="D262" s="66">
        <f t="shared" si="249"/>
        <v>-3420</v>
      </c>
      <c r="E262" s="56" t="s">
        <v>168</v>
      </c>
      <c r="F262" s="58">
        <f t="shared" ref="F262:L262" si="258">SUMIFS($C262,$B262,F$7)+F261</f>
        <v>120</v>
      </c>
      <c r="G262" s="58">
        <f t="shared" si="258"/>
        <v>0</v>
      </c>
      <c r="H262" s="58">
        <f t="shared" si="258"/>
        <v>0</v>
      </c>
      <c r="I262" s="58">
        <f t="shared" si="258"/>
        <v>8</v>
      </c>
      <c r="J262" s="58">
        <f t="shared" si="258"/>
        <v>24</v>
      </c>
      <c r="K262" s="58">
        <f t="shared" si="258"/>
        <v>0</v>
      </c>
      <c r="L262" s="58">
        <f t="shared" si="258"/>
        <v>92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0" customHeight="1">
      <c r="A263" s="70"/>
      <c r="B263" s="64" t="s">
        <v>9</v>
      </c>
      <c r="C263" s="65">
        <v>-18.0</v>
      </c>
      <c r="D263" s="66">
        <f t="shared" si="249"/>
        <v>-10260</v>
      </c>
      <c r="E263" s="56" t="s">
        <v>168</v>
      </c>
      <c r="F263" s="58">
        <f t="shared" ref="F263:L263" si="259">SUMIFS($C263,$B263,F$7)+F262</f>
        <v>102</v>
      </c>
      <c r="G263" s="58">
        <f t="shared" si="259"/>
        <v>0</v>
      </c>
      <c r="H263" s="58">
        <f t="shared" si="259"/>
        <v>0</v>
      </c>
      <c r="I263" s="58">
        <f t="shared" si="259"/>
        <v>8</v>
      </c>
      <c r="J263" s="58">
        <f t="shared" si="259"/>
        <v>24</v>
      </c>
      <c r="K263" s="58">
        <f t="shared" si="259"/>
        <v>0</v>
      </c>
      <c r="L263" s="58">
        <f t="shared" si="259"/>
        <v>92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0" customHeight="1">
      <c r="A264" s="70"/>
      <c r="B264" s="64" t="s">
        <v>22</v>
      </c>
      <c r="C264" s="65">
        <v>24.0</v>
      </c>
      <c r="D264" s="66">
        <f t="shared" si="249"/>
        <v>13680</v>
      </c>
      <c r="E264" s="67"/>
      <c r="F264" s="58">
        <f t="shared" ref="F264:L264" si="260">SUMIFS($C264,$B264,F$7)+F263</f>
        <v>102</v>
      </c>
      <c r="G264" s="58">
        <f t="shared" si="260"/>
        <v>0</v>
      </c>
      <c r="H264" s="58">
        <f t="shared" si="260"/>
        <v>0</v>
      </c>
      <c r="I264" s="58">
        <f t="shared" si="260"/>
        <v>8</v>
      </c>
      <c r="J264" s="58">
        <f t="shared" si="260"/>
        <v>24</v>
      </c>
      <c r="K264" s="58">
        <f t="shared" si="260"/>
        <v>0</v>
      </c>
      <c r="L264" s="58">
        <f t="shared" si="260"/>
        <v>116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0" customHeight="1">
      <c r="A265" s="70"/>
      <c r="B265" s="71"/>
      <c r="C265" s="66"/>
      <c r="D265" s="66">
        <f t="shared" si="249"/>
        <v>0</v>
      </c>
      <c r="E265" s="67"/>
      <c r="F265" s="58">
        <f t="shared" ref="F265:L265" si="261">SUMIFS($C265,$B265,F$7)+F264</f>
        <v>102</v>
      </c>
      <c r="G265" s="58">
        <f t="shared" si="261"/>
        <v>0</v>
      </c>
      <c r="H265" s="58">
        <f t="shared" si="261"/>
        <v>0</v>
      </c>
      <c r="I265" s="58">
        <f t="shared" si="261"/>
        <v>8</v>
      </c>
      <c r="J265" s="58">
        <f t="shared" si="261"/>
        <v>24</v>
      </c>
      <c r="K265" s="58">
        <f t="shared" si="261"/>
        <v>0</v>
      </c>
      <c r="L265" s="58">
        <f t="shared" si="261"/>
        <v>116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0" customHeight="1">
      <c r="A266" s="68">
        <v>46241.0</v>
      </c>
      <c r="B266" s="64" t="s">
        <v>20</v>
      </c>
      <c r="C266" s="65">
        <v>-5.0</v>
      </c>
      <c r="D266" s="66">
        <f>570*C264</f>
        <v>13680</v>
      </c>
      <c r="E266" s="56" t="s">
        <v>168</v>
      </c>
      <c r="F266" s="58">
        <f t="shared" ref="F266:L266" si="262">SUMIFS($C266,$B266,F$7)+F265</f>
        <v>102</v>
      </c>
      <c r="G266" s="58">
        <f t="shared" si="262"/>
        <v>0</v>
      </c>
      <c r="H266" s="58">
        <f t="shared" si="262"/>
        <v>0</v>
      </c>
      <c r="I266" s="58">
        <f t="shared" si="262"/>
        <v>8</v>
      </c>
      <c r="J266" s="58">
        <f t="shared" si="262"/>
        <v>19</v>
      </c>
      <c r="K266" s="58">
        <f t="shared" si="262"/>
        <v>0</v>
      </c>
      <c r="L266" s="58">
        <f t="shared" si="262"/>
        <v>116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0" customHeight="1">
      <c r="A267" s="70"/>
      <c r="B267" s="64" t="s">
        <v>9</v>
      </c>
      <c r="C267" s="65">
        <v>-15.0</v>
      </c>
      <c r="D267" s="66">
        <f t="shared" ref="D267:D268" si="264">570*C267</f>
        <v>-8550</v>
      </c>
      <c r="E267" s="56" t="s">
        <v>168</v>
      </c>
      <c r="F267" s="58">
        <f t="shared" ref="F267:L267" si="263">SUMIFS($C267,$B267,F$7)+F266</f>
        <v>87</v>
      </c>
      <c r="G267" s="58">
        <f t="shared" si="263"/>
        <v>0</v>
      </c>
      <c r="H267" s="58">
        <f t="shared" si="263"/>
        <v>0</v>
      </c>
      <c r="I267" s="58">
        <f t="shared" si="263"/>
        <v>8</v>
      </c>
      <c r="J267" s="58">
        <f t="shared" si="263"/>
        <v>19</v>
      </c>
      <c r="K267" s="58">
        <f t="shared" si="263"/>
        <v>0</v>
      </c>
      <c r="L267" s="58">
        <f t="shared" si="263"/>
        <v>116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0" customHeight="1">
      <c r="A268" s="70"/>
      <c r="B268" s="64" t="s">
        <v>22</v>
      </c>
      <c r="C268" s="65">
        <v>20.0</v>
      </c>
      <c r="D268" s="66">
        <f t="shared" si="264"/>
        <v>11400</v>
      </c>
      <c r="E268" s="67"/>
      <c r="F268" s="58">
        <f t="shared" ref="F268:L268" si="265">SUMIFS($C268,$B268,F$7)+F267</f>
        <v>87</v>
      </c>
      <c r="G268" s="58">
        <f t="shared" si="265"/>
        <v>0</v>
      </c>
      <c r="H268" s="58">
        <f t="shared" si="265"/>
        <v>0</v>
      </c>
      <c r="I268" s="58">
        <f t="shared" si="265"/>
        <v>8</v>
      </c>
      <c r="J268" s="58">
        <f t="shared" si="265"/>
        <v>19</v>
      </c>
      <c r="K268" s="58">
        <f t="shared" si="265"/>
        <v>0</v>
      </c>
      <c r="L268" s="58">
        <f t="shared" si="265"/>
        <v>136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0" customHeight="1">
      <c r="A269" s="70"/>
      <c r="B269" s="64"/>
      <c r="C269" s="65"/>
      <c r="D269" s="66"/>
      <c r="E269" s="67"/>
      <c r="F269" s="58">
        <f t="shared" ref="F269:L269" si="266">SUMIFS($C269,$B269,F$7)+F268</f>
        <v>87</v>
      </c>
      <c r="G269" s="58">
        <f t="shared" si="266"/>
        <v>0</v>
      </c>
      <c r="H269" s="58">
        <f t="shared" si="266"/>
        <v>0</v>
      </c>
      <c r="I269" s="58">
        <f t="shared" si="266"/>
        <v>8</v>
      </c>
      <c r="J269" s="58">
        <f t="shared" si="266"/>
        <v>19</v>
      </c>
      <c r="K269" s="58">
        <f t="shared" si="266"/>
        <v>0</v>
      </c>
      <c r="L269" s="58">
        <f t="shared" si="266"/>
        <v>136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0" customHeight="1">
      <c r="A270" s="68">
        <v>46242.0</v>
      </c>
      <c r="B270" s="64" t="s">
        <v>22</v>
      </c>
      <c r="C270" s="65">
        <v>-6.0</v>
      </c>
      <c r="D270" s="66">
        <f t="shared" ref="D270:D285" si="268">570*C270</f>
        <v>-3420</v>
      </c>
      <c r="E270" s="56" t="s">
        <v>181</v>
      </c>
      <c r="F270" s="58">
        <f t="shared" ref="F270:L270" si="267">SUMIFS($C270,$B270,F$7)+F269</f>
        <v>87</v>
      </c>
      <c r="G270" s="58">
        <f t="shared" si="267"/>
        <v>0</v>
      </c>
      <c r="H270" s="58">
        <f t="shared" si="267"/>
        <v>0</v>
      </c>
      <c r="I270" s="58">
        <f t="shared" si="267"/>
        <v>8</v>
      </c>
      <c r="J270" s="58">
        <f t="shared" si="267"/>
        <v>19</v>
      </c>
      <c r="K270" s="58">
        <f t="shared" si="267"/>
        <v>0</v>
      </c>
      <c r="L270" s="58">
        <f t="shared" si="267"/>
        <v>130</v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0" customHeight="1">
      <c r="A271" s="68"/>
      <c r="B271" s="64" t="s">
        <v>9</v>
      </c>
      <c r="C271" s="65">
        <v>-18.0</v>
      </c>
      <c r="D271" s="66">
        <f t="shared" si="268"/>
        <v>-10260</v>
      </c>
      <c r="E271" s="56" t="s">
        <v>168</v>
      </c>
      <c r="F271" s="58">
        <f t="shared" ref="F271:L271" si="269">SUMIFS($C271,$B271,F$7)+F270</f>
        <v>69</v>
      </c>
      <c r="G271" s="58">
        <f t="shared" si="269"/>
        <v>0</v>
      </c>
      <c r="H271" s="58">
        <f t="shared" si="269"/>
        <v>0</v>
      </c>
      <c r="I271" s="58">
        <f t="shared" si="269"/>
        <v>8</v>
      </c>
      <c r="J271" s="58">
        <f t="shared" si="269"/>
        <v>19</v>
      </c>
      <c r="K271" s="58">
        <f t="shared" si="269"/>
        <v>0</v>
      </c>
      <c r="L271" s="58">
        <f t="shared" si="269"/>
        <v>130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0" customHeight="1">
      <c r="A272" s="70"/>
      <c r="B272" s="64" t="s">
        <v>22</v>
      </c>
      <c r="C272" s="65">
        <v>24.0</v>
      </c>
      <c r="D272" s="66">
        <f t="shared" si="268"/>
        <v>13680</v>
      </c>
      <c r="E272" s="67"/>
      <c r="F272" s="58">
        <f t="shared" ref="F272:L272" si="270">SUMIFS($C272,$B272,F$7)+F271</f>
        <v>69</v>
      </c>
      <c r="G272" s="58">
        <f t="shared" si="270"/>
        <v>0</v>
      </c>
      <c r="H272" s="58">
        <f t="shared" si="270"/>
        <v>0</v>
      </c>
      <c r="I272" s="58">
        <f t="shared" si="270"/>
        <v>8</v>
      </c>
      <c r="J272" s="58">
        <f t="shared" si="270"/>
        <v>19</v>
      </c>
      <c r="K272" s="58">
        <f t="shared" si="270"/>
        <v>0</v>
      </c>
      <c r="L272" s="58">
        <f t="shared" si="270"/>
        <v>154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0" customHeight="1">
      <c r="A273" s="70"/>
      <c r="B273" s="71"/>
      <c r="C273" s="66"/>
      <c r="D273" s="66">
        <f t="shared" si="268"/>
        <v>0</v>
      </c>
      <c r="E273" s="67"/>
      <c r="F273" s="58">
        <f t="shared" ref="F273:L273" si="271">SUMIFS($C273,$B273,F$7)+F272</f>
        <v>69</v>
      </c>
      <c r="G273" s="58">
        <f t="shared" si="271"/>
        <v>0</v>
      </c>
      <c r="H273" s="58">
        <f t="shared" si="271"/>
        <v>0</v>
      </c>
      <c r="I273" s="58">
        <f t="shared" si="271"/>
        <v>8</v>
      </c>
      <c r="J273" s="58">
        <f t="shared" si="271"/>
        <v>19</v>
      </c>
      <c r="K273" s="58">
        <f t="shared" si="271"/>
        <v>0</v>
      </c>
      <c r="L273" s="58">
        <f t="shared" si="271"/>
        <v>154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0" customHeight="1">
      <c r="A274" s="68">
        <v>46244.0</v>
      </c>
      <c r="B274" s="64" t="s">
        <v>22</v>
      </c>
      <c r="C274" s="65">
        <v>-1.0</v>
      </c>
      <c r="D274" s="66">
        <f t="shared" si="268"/>
        <v>-570</v>
      </c>
      <c r="E274" s="67"/>
      <c r="F274" s="58">
        <f t="shared" ref="F274:L274" si="272">SUMIFS($C274,$B274,F$7)+F273</f>
        <v>69</v>
      </c>
      <c r="G274" s="58">
        <f t="shared" si="272"/>
        <v>0</v>
      </c>
      <c r="H274" s="58">
        <f t="shared" si="272"/>
        <v>0</v>
      </c>
      <c r="I274" s="58">
        <f t="shared" si="272"/>
        <v>8</v>
      </c>
      <c r="J274" s="58">
        <f t="shared" si="272"/>
        <v>19</v>
      </c>
      <c r="K274" s="58">
        <f t="shared" si="272"/>
        <v>0</v>
      </c>
      <c r="L274" s="58">
        <f t="shared" si="272"/>
        <v>153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0" customHeight="1">
      <c r="A275" s="70"/>
      <c r="B275" s="64" t="s">
        <v>9</v>
      </c>
      <c r="C275" s="65">
        <v>-3.0</v>
      </c>
      <c r="D275" s="66">
        <f t="shared" si="268"/>
        <v>-1710</v>
      </c>
      <c r="E275" s="67"/>
      <c r="F275" s="58">
        <f t="shared" ref="F275:L275" si="273">SUMIFS($C275,$B275,F$7)+F274</f>
        <v>66</v>
      </c>
      <c r="G275" s="58">
        <f t="shared" si="273"/>
        <v>0</v>
      </c>
      <c r="H275" s="58">
        <f t="shared" si="273"/>
        <v>0</v>
      </c>
      <c r="I275" s="58">
        <f t="shared" si="273"/>
        <v>8</v>
      </c>
      <c r="J275" s="58">
        <f t="shared" si="273"/>
        <v>19</v>
      </c>
      <c r="K275" s="58">
        <f t="shared" si="273"/>
        <v>0</v>
      </c>
      <c r="L275" s="58">
        <f t="shared" si="273"/>
        <v>153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0" customHeight="1">
      <c r="A276" s="70"/>
      <c r="B276" s="64" t="s">
        <v>22</v>
      </c>
      <c r="C276" s="65">
        <v>4.0</v>
      </c>
      <c r="D276" s="66">
        <f t="shared" si="268"/>
        <v>2280</v>
      </c>
      <c r="E276" s="67"/>
      <c r="F276" s="58">
        <f t="shared" ref="F276:L276" si="274">SUMIFS($C276,$B276,F$7)+F275</f>
        <v>66</v>
      </c>
      <c r="G276" s="58">
        <f t="shared" si="274"/>
        <v>0</v>
      </c>
      <c r="H276" s="58">
        <f t="shared" si="274"/>
        <v>0</v>
      </c>
      <c r="I276" s="58">
        <f t="shared" si="274"/>
        <v>8</v>
      </c>
      <c r="J276" s="58">
        <f t="shared" si="274"/>
        <v>19</v>
      </c>
      <c r="K276" s="58">
        <f t="shared" si="274"/>
        <v>0</v>
      </c>
      <c r="L276" s="58">
        <f t="shared" si="274"/>
        <v>157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0" customHeight="1">
      <c r="A277" s="70"/>
      <c r="B277" s="71"/>
      <c r="C277" s="66"/>
      <c r="D277" s="66">
        <f t="shared" si="268"/>
        <v>0</v>
      </c>
      <c r="E277" s="74" t="s">
        <v>185</v>
      </c>
      <c r="F277" s="58">
        <f t="shared" ref="F277:L277" si="275">SUMIFS($C277,$B277,F$7)+F276</f>
        <v>66</v>
      </c>
      <c r="G277" s="58">
        <f t="shared" si="275"/>
        <v>0</v>
      </c>
      <c r="H277" s="58">
        <f t="shared" si="275"/>
        <v>0</v>
      </c>
      <c r="I277" s="58">
        <f t="shared" si="275"/>
        <v>8</v>
      </c>
      <c r="J277" s="58">
        <f t="shared" si="275"/>
        <v>19</v>
      </c>
      <c r="K277" s="58">
        <f t="shared" si="275"/>
        <v>0</v>
      </c>
      <c r="L277" s="58">
        <f t="shared" si="275"/>
        <v>157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0" customHeight="1">
      <c r="A278" s="68">
        <v>46239.0</v>
      </c>
      <c r="B278" s="64" t="s">
        <v>22</v>
      </c>
      <c r="C278" s="65">
        <v>-4.0</v>
      </c>
      <c r="D278" s="66">
        <f t="shared" si="268"/>
        <v>-2280</v>
      </c>
      <c r="E278" s="56" t="s">
        <v>187</v>
      </c>
      <c r="F278" s="58">
        <f t="shared" ref="F278:L278" si="276">SUMIFS($C278,$B278,F$7)+F277</f>
        <v>66</v>
      </c>
      <c r="G278" s="58">
        <f t="shared" si="276"/>
        <v>0</v>
      </c>
      <c r="H278" s="58">
        <f t="shared" si="276"/>
        <v>0</v>
      </c>
      <c r="I278" s="58">
        <f t="shared" si="276"/>
        <v>8</v>
      </c>
      <c r="J278" s="58">
        <f t="shared" si="276"/>
        <v>19</v>
      </c>
      <c r="K278" s="58">
        <f t="shared" si="276"/>
        <v>0</v>
      </c>
      <c r="L278" s="58">
        <f t="shared" si="276"/>
        <v>153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0" customHeight="1">
      <c r="A279" s="68"/>
      <c r="B279" s="64" t="s">
        <v>17</v>
      </c>
      <c r="C279" s="65">
        <v>4.0</v>
      </c>
      <c r="D279" s="66">
        <f t="shared" si="268"/>
        <v>2280</v>
      </c>
      <c r="E279" s="67"/>
      <c r="F279" s="58">
        <f t="shared" ref="F279:L279" si="277">SUMIFS($C279,$B279,F$7)+F277</f>
        <v>66</v>
      </c>
      <c r="G279" s="58">
        <f t="shared" si="277"/>
        <v>0</v>
      </c>
      <c r="H279" s="58">
        <f t="shared" si="277"/>
        <v>0</v>
      </c>
      <c r="I279" s="58">
        <f t="shared" si="277"/>
        <v>12</v>
      </c>
      <c r="J279" s="58">
        <f t="shared" si="277"/>
        <v>19</v>
      </c>
      <c r="K279" s="58">
        <f t="shared" si="277"/>
        <v>0</v>
      </c>
      <c r="L279" s="58">
        <f t="shared" si="277"/>
        <v>157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0" customHeight="1">
      <c r="A280" s="68"/>
      <c r="B280" s="71"/>
      <c r="C280" s="66"/>
      <c r="D280" s="66">
        <f t="shared" si="268"/>
        <v>0</v>
      </c>
      <c r="E280" s="67"/>
      <c r="F280" s="58">
        <f t="shared" ref="F280:L280" si="278">SUMIFS($C280,$B280,F$7)+F277</f>
        <v>66</v>
      </c>
      <c r="G280" s="58">
        <f t="shared" si="278"/>
        <v>0</v>
      </c>
      <c r="H280" s="58">
        <f t="shared" si="278"/>
        <v>0</v>
      </c>
      <c r="I280" s="58">
        <f t="shared" si="278"/>
        <v>8</v>
      </c>
      <c r="J280" s="58">
        <f t="shared" si="278"/>
        <v>19</v>
      </c>
      <c r="K280" s="58">
        <f t="shared" si="278"/>
        <v>0</v>
      </c>
      <c r="L280" s="58">
        <f t="shared" si="278"/>
        <v>157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0" customHeight="1">
      <c r="A281" s="68">
        <v>46241.0</v>
      </c>
      <c r="B281" s="64" t="s">
        <v>22</v>
      </c>
      <c r="C281" s="65">
        <v>-4.0</v>
      </c>
      <c r="D281" s="66">
        <f t="shared" si="268"/>
        <v>-2280</v>
      </c>
      <c r="E281" s="56" t="s">
        <v>187</v>
      </c>
      <c r="F281" s="58">
        <f t="shared" ref="F281:L281" si="279">SUMIFS($C281,$B281,F$7)+F278</f>
        <v>66</v>
      </c>
      <c r="G281" s="58">
        <f t="shared" si="279"/>
        <v>0</v>
      </c>
      <c r="H281" s="58">
        <f t="shared" si="279"/>
        <v>0</v>
      </c>
      <c r="I281" s="58">
        <f t="shared" si="279"/>
        <v>8</v>
      </c>
      <c r="J281" s="58">
        <f t="shared" si="279"/>
        <v>19</v>
      </c>
      <c r="K281" s="58">
        <f t="shared" si="279"/>
        <v>0</v>
      </c>
      <c r="L281" s="58">
        <f t="shared" si="279"/>
        <v>149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0" customHeight="1">
      <c r="A282" s="68"/>
      <c r="B282" s="64" t="s">
        <v>17</v>
      </c>
      <c r="C282" s="65">
        <v>4.0</v>
      </c>
      <c r="D282" s="66">
        <f t="shared" si="268"/>
        <v>2280</v>
      </c>
      <c r="E282" s="67"/>
      <c r="F282" s="58">
        <f t="shared" ref="F282:L282" si="280">SUMIFS($C282,$B282,F$7)+F279</f>
        <v>66</v>
      </c>
      <c r="G282" s="58">
        <f t="shared" si="280"/>
        <v>0</v>
      </c>
      <c r="H282" s="58">
        <f t="shared" si="280"/>
        <v>0</v>
      </c>
      <c r="I282" s="58">
        <f t="shared" si="280"/>
        <v>16</v>
      </c>
      <c r="J282" s="58">
        <f t="shared" si="280"/>
        <v>19</v>
      </c>
      <c r="K282" s="58">
        <f t="shared" si="280"/>
        <v>0</v>
      </c>
      <c r="L282" s="58">
        <f t="shared" si="280"/>
        <v>157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0" customHeight="1">
      <c r="A283" s="68"/>
      <c r="B283" s="71"/>
      <c r="C283" s="66"/>
      <c r="D283" s="66">
        <f t="shared" si="268"/>
        <v>0</v>
      </c>
      <c r="E283" s="67"/>
      <c r="F283" s="58">
        <f t="shared" ref="F283:L283" si="281">SUMIFS($C283,$B283,F$7)+F280</f>
        <v>66</v>
      </c>
      <c r="G283" s="58">
        <f t="shared" si="281"/>
        <v>0</v>
      </c>
      <c r="H283" s="58">
        <f t="shared" si="281"/>
        <v>0</v>
      </c>
      <c r="I283" s="58">
        <f t="shared" si="281"/>
        <v>8</v>
      </c>
      <c r="J283" s="58">
        <f t="shared" si="281"/>
        <v>19</v>
      </c>
      <c r="K283" s="58">
        <f t="shared" si="281"/>
        <v>0</v>
      </c>
      <c r="L283" s="58">
        <f t="shared" si="281"/>
        <v>157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0" customHeight="1">
      <c r="A284" s="68">
        <v>46244.0</v>
      </c>
      <c r="B284" s="64" t="s">
        <v>22</v>
      </c>
      <c r="C284" s="65">
        <v>-16.0</v>
      </c>
      <c r="D284" s="66">
        <f t="shared" si="268"/>
        <v>-9120</v>
      </c>
      <c r="E284" s="56" t="s">
        <v>189</v>
      </c>
      <c r="F284" s="58">
        <f t="shared" ref="F284:L284" si="282">SUMIFS($C284,$B284,F$7)+F281</f>
        <v>66</v>
      </c>
      <c r="G284" s="58">
        <f t="shared" si="282"/>
        <v>0</v>
      </c>
      <c r="H284" s="58">
        <f t="shared" si="282"/>
        <v>0</v>
      </c>
      <c r="I284" s="58">
        <f t="shared" si="282"/>
        <v>8</v>
      </c>
      <c r="J284" s="58">
        <f t="shared" si="282"/>
        <v>19</v>
      </c>
      <c r="K284" s="58">
        <f t="shared" si="282"/>
        <v>0</v>
      </c>
      <c r="L284" s="58">
        <f t="shared" si="282"/>
        <v>133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0" customHeight="1">
      <c r="A285" s="70"/>
      <c r="B285" s="64" t="s">
        <v>17</v>
      </c>
      <c r="C285" s="65">
        <v>16.0</v>
      </c>
      <c r="D285" s="66">
        <f t="shared" si="268"/>
        <v>9120</v>
      </c>
      <c r="E285" s="67"/>
      <c r="F285" s="58">
        <f t="shared" ref="F285:L285" si="283">SUMIFS($C285,$B285,F$7)+F284</f>
        <v>66</v>
      </c>
      <c r="G285" s="58">
        <f t="shared" si="283"/>
        <v>0</v>
      </c>
      <c r="H285" s="58">
        <f t="shared" si="283"/>
        <v>0</v>
      </c>
      <c r="I285" s="58">
        <f t="shared" si="283"/>
        <v>24</v>
      </c>
      <c r="J285" s="58">
        <f t="shared" si="283"/>
        <v>19</v>
      </c>
      <c r="K285" s="58">
        <f t="shared" si="283"/>
        <v>0</v>
      </c>
      <c r="L285" s="58">
        <f t="shared" si="283"/>
        <v>133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0" customHeight="1">
      <c r="A286" s="70"/>
      <c r="B286" s="71"/>
      <c r="C286" s="66"/>
      <c r="D286" s="66">
        <f>550*C286</f>
        <v>0</v>
      </c>
      <c r="E286" s="67"/>
      <c r="F286" s="58">
        <f t="shared" ref="F286:L286" si="284">SUMIFS($C286,$B286,F$7)+F285</f>
        <v>66</v>
      </c>
      <c r="G286" s="58">
        <f t="shared" si="284"/>
        <v>0</v>
      </c>
      <c r="H286" s="58">
        <f t="shared" si="284"/>
        <v>0</v>
      </c>
      <c r="I286" s="58">
        <f t="shared" si="284"/>
        <v>24</v>
      </c>
      <c r="J286" s="58">
        <f t="shared" si="284"/>
        <v>19</v>
      </c>
      <c r="K286" s="58">
        <f t="shared" si="284"/>
        <v>0</v>
      </c>
      <c r="L286" s="58">
        <f t="shared" si="284"/>
        <v>133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0" customHeight="1">
      <c r="A287" s="68">
        <v>46245.0</v>
      </c>
      <c r="B287" s="64" t="s">
        <v>22</v>
      </c>
      <c r="C287" s="65">
        <v>-40.0</v>
      </c>
      <c r="D287" s="66">
        <f t="shared" ref="D287:D291" si="286">570*C287</f>
        <v>-22800</v>
      </c>
      <c r="E287" s="56" t="s">
        <v>191</v>
      </c>
      <c r="F287" s="58">
        <f t="shared" ref="F287:L287" si="285">SUMIFS($C287,$B287,F$7)+F286</f>
        <v>66</v>
      </c>
      <c r="G287" s="58">
        <f t="shared" si="285"/>
        <v>0</v>
      </c>
      <c r="H287" s="58">
        <f t="shared" si="285"/>
        <v>0</v>
      </c>
      <c r="I287" s="58">
        <f t="shared" si="285"/>
        <v>24</v>
      </c>
      <c r="J287" s="58">
        <f t="shared" si="285"/>
        <v>19</v>
      </c>
      <c r="K287" s="58">
        <f t="shared" si="285"/>
        <v>0</v>
      </c>
      <c r="L287" s="58">
        <f t="shared" si="285"/>
        <v>93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0" customHeight="1">
      <c r="A288" s="70"/>
      <c r="B288" s="64" t="s">
        <v>17</v>
      </c>
      <c r="C288" s="65">
        <v>40.0</v>
      </c>
      <c r="D288" s="66">
        <f t="shared" si="286"/>
        <v>22800</v>
      </c>
      <c r="E288" s="67"/>
      <c r="F288" s="58">
        <f t="shared" ref="F288:L288" si="287">SUMIFS($C288,$B288,F$7)+F287</f>
        <v>66</v>
      </c>
      <c r="G288" s="58">
        <f t="shared" si="287"/>
        <v>0</v>
      </c>
      <c r="H288" s="58">
        <f t="shared" si="287"/>
        <v>0</v>
      </c>
      <c r="I288" s="58">
        <f t="shared" si="287"/>
        <v>64</v>
      </c>
      <c r="J288" s="58">
        <f t="shared" si="287"/>
        <v>19</v>
      </c>
      <c r="K288" s="58">
        <f t="shared" si="287"/>
        <v>0</v>
      </c>
      <c r="L288" s="58">
        <f t="shared" si="287"/>
        <v>93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0" customHeight="1">
      <c r="A289" s="70"/>
      <c r="B289" s="71"/>
      <c r="C289" s="66"/>
      <c r="D289" s="66">
        <f t="shared" si="286"/>
        <v>0</v>
      </c>
      <c r="E289" s="67"/>
      <c r="F289" s="58">
        <f t="shared" ref="F289:L289" si="288">SUMIFS($C289,$B289,F$7)+F288</f>
        <v>66</v>
      </c>
      <c r="G289" s="58">
        <f t="shared" si="288"/>
        <v>0</v>
      </c>
      <c r="H289" s="58">
        <f t="shared" si="288"/>
        <v>0</v>
      </c>
      <c r="I289" s="58">
        <f t="shared" si="288"/>
        <v>64</v>
      </c>
      <c r="J289" s="58">
        <f t="shared" si="288"/>
        <v>19</v>
      </c>
      <c r="K289" s="58">
        <f t="shared" si="288"/>
        <v>0</v>
      </c>
      <c r="L289" s="58">
        <f t="shared" si="288"/>
        <v>93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0" customHeight="1">
      <c r="A290" s="68">
        <v>46246.0</v>
      </c>
      <c r="B290" s="64" t="s">
        <v>22</v>
      </c>
      <c r="C290" s="65">
        <v>-41.0</v>
      </c>
      <c r="D290" s="66">
        <f t="shared" si="286"/>
        <v>-23370</v>
      </c>
      <c r="E290" s="67"/>
      <c r="F290" s="58">
        <f t="shared" ref="F290:L290" si="289">SUMIFS($C290,$B290,F$7)+F289</f>
        <v>66</v>
      </c>
      <c r="G290" s="58">
        <f t="shared" si="289"/>
        <v>0</v>
      </c>
      <c r="H290" s="58">
        <f t="shared" si="289"/>
        <v>0</v>
      </c>
      <c r="I290" s="58">
        <f t="shared" si="289"/>
        <v>64</v>
      </c>
      <c r="J290" s="58">
        <f t="shared" si="289"/>
        <v>19</v>
      </c>
      <c r="K290" s="58">
        <f t="shared" si="289"/>
        <v>0</v>
      </c>
      <c r="L290" s="58">
        <f t="shared" si="289"/>
        <v>52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0" customHeight="1">
      <c r="A291" s="70"/>
      <c r="B291" s="64" t="s">
        <v>17</v>
      </c>
      <c r="C291" s="65">
        <v>41.0</v>
      </c>
      <c r="D291" s="66">
        <f t="shared" si="286"/>
        <v>23370</v>
      </c>
      <c r="E291" s="67"/>
      <c r="F291" s="58">
        <f t="shared" ref="F291:L291" si="290">SUMIFS($C291,$B291,F$7)+F290</f>
        <v>66</v>
      </c>
      <c r="G291" s="58">
        <f t="shared" si="290"/>
        <v>0</v>
      </c>
      <c r="H291" s="58">
        <f t="shared" si="290"/>
        <v>0</v>
      </c>
      <c r="I291" s="58">
        <f t="shared" si="290"/>
        <v>105</v>
      </c>
      <c r="J291" s="58">
        <f t="shared" si="290"/>
        <v>19</v>
      </c>
      <c r="K291" s="58">
        <f t="shared" si="290"/>
        <v>0</v>
      </c>
      <c r="L291" s="58">
        <f t="shared" si="290"/>
        <v>52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0" customHeight="1">
      <c r="A292" s="70"/>
      <c r="B292" s="71"/>
      <c r="C292" s="66"/>
      <c r="D292" s="66"/>
      <c r="E292" s="67"/>
      <c r="F292" s="58">
        <f t="shared" ref="F292:L292" si="291">SUMIFS($C292,$B292,F$7)+F291</f>
        <v>66</v>
      </c>
      <c r="G292" s="58">
        <f t="shared" si="291"/>
        <v>0</v>
      </c>
      <c r="H292" s="58">
        <f t="shared" si="291"/>
        <v>0</v>
      </c>
      <c r="I292" s="58">
        <f t="shared" si="291"/>
        <v>105</v>
      </c>
      <c r="J292" s="58">
        <f t="shared" si="291"/>
        <v>19</v>
      </c>
      <c r="K292" s="58">
        <f t="shared" si="291"/>
        <v>0</v>
      </c>
      <c r="L292" s="58">
        <f t="shared" si="291"/>
        <v>52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0" customHeight="1">
      <c r="A293" s="68">
        <v>46247.0</v>
      </c>
      <c r="B293" s="64" t="s">
        <v>22</v>
      </c>
      <c r="C293" s="65">
        <v>-34.0</v>
      </c>
      <c r="D293" s="66">
        <f t="shared" ref="D293:D294" si="293">570*C293</f>
        <v>-19380</v>
      </c>
      <c r="E293" s="67"/>
      <c r="F293" s="58">
        <f t="shared" ref="F293:L293" si="292">SUMIFS($C293,$B293,F$7)+F292</f>
        <v>66</v>
      </c>
      <c r="G293" s="58">
        <f t="shared" si="292"/>
        <v>0</v>
      </c>
      <c r="H293" s="58">
        <f t="shared" si="292"/>
        <v>0</v>
      </c>
      <c r="I293" s="58">
        <f t="shared" si="292"/>
        <v>105</v>
      </c>
      <c r="J293" s="58">
        <f t="shared" si="292"/>
        <v>19</v>
      </c>
      <c r="K293" s="58">
        <f t="shared" si="292"/>
        <v>0</v>
      </c>
      <c r="L293" s="58">
        <f t="shared" si="292"/>
        <v>18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0" customHeight="1">
      <c r="A294" s="70"/>
      <c r="B294" s="64" t="s">
        <v>17</v>
      </c>
      <c r="C294" s="65">
        <v>34.0</v>
      </c>
      <c r="D294" s="66">
        <f t="shared" si="293"/>
        <v>19380</v>
      </c>
      <c r="E294" s="67"/>
      <c r="F294" s="58">
        <f t="shared" ref="F294:L294" si="294">SUMIFS($C294,$B294,F$7)+F293</f>
        <v>66</v>
      </c>
      <c r="G294" s="58">
        <f t="shared" si="294"/>
        <v>0</v>
      </c>
      <c r="H294" s="58">
        <f t="shared" si="294"/>
        <v>0</v>
      </c>
      <c r="I294" s="58">
        <f t="shared" si="294"/>
        <v>139</v>
      </c>
      <c r="J294" s="58">
        <f t="shared" si="294"/>
        <v>19</v>
      </c>
      <c r="K294" s="58">
        <f t="shared" si="294"/>
        <v>0</v>
      </c>
      <c r="L294" s="58">
        <f t="shared" si="294"/>
        <v>18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0" customHeight="1">
      <c r="A295" s="70"/>
      <c r="B295" s="71"/>
      <c r="C295" s="66"/>
      <c r="D295" s="66"/>
      <c r="E295" s="67"/>
      <c r="F295" s="58">
        <f t="shared" ref="F295:L295" si="295">SUMIFS($C295,$B295,F$7)+F294</f>
        <v>66</v>
      </c>
      <c r="G295" s="58">
        <f t="shared" si="295"/>
        <v>0</v>
      </c>
      <c r="H295" s="58">
        <f t="shared" si="295"/>
        <v>0</v>
      </c>
      <c r="I295" s="58">
        <f t="shared" si="295"/>
        <v>139</v>
      </c>
      <c r="J295" s="58">
        <f t="shared" si="295"/>
        <v>19</v>
      </c>
      <c r="K295" s="58">
        <f t="shared" si="295"/>
        <v>0</v>
      </c>
      <c r="L295" s="58">
        <f t="shared" si="295"/>
        <v>18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0" customHeight="1">
      <c r="A296" s="68">
        <v>46248.0</v>
      </c>
      <c r="B296" s="64" t="s">
        <v>22</v>
      </c>
      <c r="C296" s="65">
        <v>-39.0</v>
      </c>
      <c r="D296" s="66">
        <f t="shared" ref="D296:D297" si="297">570*C296</f>
        <v>-22230</v>
      </c>
      <c r="E296" s="67"/>
      <c r="F296" s="58">
        <f t="shared" ref="F296:L296" si="296">SUMIFS($C296,$B296,F$7)+F295</f>
        <v>66</v>
      </c>
      <c r="G296" s="58">
        <f t="shared" si="296"/>
        <v>0</v>
      </c>
      <c r="H296" s="58">
        <f t="shared" si="296"/>
        <v>0</v>
      </c>
      <c r="I296" s="58">
        <f t="shared" si="296"/>
        <v>139</v>
      </c>
      <c r="J296" s="58">
        <f t="shared" si="296"/>
        <v>19</v>
      </c>
      <c r="K296" s="58">
        <f t="shared" si="296"/>
        <v>0</v>
      </c>
      <c r="L296" s="58">
        <f t="shared" si="296"/>
        <v>-21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0" customHeight="1">
      <c r="A297" s="70"/>
      <c r="B297" s="64" t="s">
        <v>17</v>
      </c>
      <c r="C297" s="65">
        <v>39.0</v>
      </c>
      <c r="D297" s="66">
        <f t="shared" si="297"/>
        <v>22230</v>
      </c>
      <c r="E297" s="67"/>
      <c r="F297" s="58">
        <f t="shared" ref="F297:L297" si="298">SUMIFS($C297,$B297,F$7)+F296</f>
        <v>66</v>
      </c>
      <c r="G297" s="58">
        <f t="shared" si="298"/>
        <v>0</v>
      </c>
      <c r="H297" s="58">
        <f t="shared" si="298"/>
        <v>0</v>
      </c>
      <c r="I297" s="58">
        <f t="shared" si="298"/>
        <v>178</v>
      </c>
      <c r="J297" s="58">
        <f t="shared" si="298"/>
        <v>19</v>
      </c>
      <c r="K297" s="58">
        <f t="shared" si="298"/>
        <v>0</v>
      </c>
      <c r="L297" s="58">
        <f t="shared" si="298"/>
        <v>-21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0" customHeight="1">
      <c r="A298" s="70"/>
      <c r="B298" s="71"/>
      <c r="C298" s="66"/>
      <c r="D298" s="66"/>
      <c r="E298" s="67"/>
      <c r="F298" s="58">
        <f t="shared" ref="F298:L298" si="299">SUMIFS($C298,$B298,F$7)+F297</f>
        <v>66</v>
      </c>
      <c r="G298" s="58">
        <f t="shared" si="299"/>
        <v>0</v>
      </c>
      <c r="H298" s="58">
        <f t="shared" si="299"/>
        <v>0</v>
      </c>
      <c r="I298" s="58">
        <f t="shared" si="299"/>
        <v>178</v>
      </c>
      <c r="J298" s="58">
        <f t="shared" si="299"/>
        <v>19</v>
      </c>
      <c r="K298" s="58">
        <f t="shared" si="299"/>
        <v>0</v>
      </c>
      <c r="L298" s="58">
        <f t="shared" si="299"/>
        <v>-21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0" customHeight="1">
      <c r="A299" s="68">
        <v>46251.0</v>
      </c>
      <c r="B299" s="64" t="s">
        <v>22</v>
      </c>
      <c r="C299" s="65">
        <v>-3.0</v>
      </c>
      <c r="D299" s="66">
        <f t="shared" ref="D299:D301" si="301">570*C299</f>
        <v>-1710</v>
      </c>
      <c r="E299" s="56" t="s">
        <v>195</v>
      </c>
      <c r="F299" s="58">
        <f t="shared" ref="F299:L299" si="300">SUMIFS($C299,$B299,F$7)+F298</f>
        <v>66</v>
      </c>
      <c r="G299" s="58">
        <f t="shared" si="300"/>
        <v>0</v>
      </c>
      <c r="H299" s="58">
        <f t="shared" si="300"/>
        <v>0</v>
      </c>
      <c r="I299" s="58">
        <f t="shared" si="300"/>
        <v>178</v>
      </c>
      <c r="J299" s="58">
        <f t="shared" si="300"/>
        <v>19</v>
      </c>
      <c r="K299" s="58">
        <f t="shared" si="300"/>
        <v>0</v>
      </c>
      <c r="L299" s="58">
        <f t="shared" si="300"/>
        <v>-24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0" customHeight="1">
      <c r="A300" s="70"/>
      <c r="B300" s="64" t="s">
        <v>9</v>
      </c>
      <c r="C300" s="65">
        <v>-9.0</v>
      </c>
      <c r="D300" s="66">
        <f t="shared" si="301"/>
        <v>-5130</v>
      </c>
      <c r="E300" s="67"/>
      <c r="F300" s="58">
        <f t="shared" ref="F300:L300" si="302">SUMIFS($C300,$B300,F$7)+F299</f>
        <v>57</v>
      </c>
      <c r="G300" s="58">
        <f t="shared" si="302"/>
        <v>0</v>
      </c>
      <c r="H300" s="58">
        <f t="shared" si="302"/>
        <v>0</v>
      </c>
      <c r="I300" s="58">
        <f t="shared" si="302"/>
        <v>178</v>
      </c>
      <c r="J300" s="58">
        <f t="shared" si="302"/>
        <v>19</v>
      </c>
      <c r="K300" s="58">
        <f t="shared" si="302"/>
        <v>0</v>
      </c>
      <c r="L300" s="58">
        <f t="shared" si="302"/>
        <v>-24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0" customHeight="1">
      <c r="A301" s="70"/>
      <c r="B301" s="64" t="s">
        <v>17</v>
      </c>
      <c r="C301" s="65">
        <v>12.0</v>
      </c>
      <c r="D301" s="66">
        <f t="shared" si="301"/>
        <v>6840</v>
      </c>
      <c r="E301" s="67"/>
      <c r="F301" s="58">
        <f t="shared" ref="F301:L301" si="303">SUMIFS($C301,$B301,F$7)+F300</f>
        <v>57</v>
      </c>
      <c r="G301" s="58">
        <f t="shared" si="303"/>
        <v>0</v>
      </c>
      <c r="H301" s="58">
        <f t="shared" si="303"/>
        <v>0</v>
      </c>
      <c r="I301" s="58">
        <f t="shared" si="303"/>
        <v>190</v>
      </c>
      <c r="J301" s="58">
        <f t="shared" si="303"/>
        <v>19</v>
      </c>
      <c r="K301" s="58">
        <f t="shared" si="303"/>
        <v>0</v>
      </c>
      <c r="L301" s="58">
        <f t="shared" si="303"/>
        <v>-24</v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0" customHeight="1">
      <c r="A302" s="70"/>
      <c r="B302" s="71"/>
      <c r="C302" s="66"/>
      <c r="D302" s="66">
        <f>550*C302</f>
        <v>0</v>
      </c>
      <c r="E302" s="67"/>
      <c r="F302" s="58">
        <f t="shared" ref="F302:L302" si="304">SUMIFS($C302,$B302,F$7)+F301</f>
        <v>57</v>
      </c>
      <c r="G302" s="58">
        <f t="shared" si="304"/>
        <v>0</v>
      </c>
      <c r="H302" s="58">
        <f t="shared" si="304"/>
        <v>0</v>
      </c>
      <c r="I302" s="58">
        <f t="shared" si="304"/>
        <v>190</v>
      </c>
      <c r="J302" s="58">
        <f t="shared" si="304"/>
        <v>19</v>
      </c>
      <c r="K302" s="58">
        <f t="shared" si="304"/>
        <v>0</v>
      </c>
      <c r="L302" s="58">
        <f t="shared" si="304"/>
        <v>-24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0" customHeight="1">
      <c r="A303" s="72">
        <v>46252.0</v>
      </c>
      <c r="B303" s="64" t="s">
        <v>22</v>
      </c>
      <c r="C303" s="65">
        <v>-3.0</v>
      </c>
      <c r="D303" s="66">
        <f t="shared" ref="D303:D305" si="306">570*C303</f>
        <v>-1710</v>
      </c>
      <c r="E303" s="67"/>
      <c r="F303" s="58">
        <f t="shared" ref="F303:L303" si="305">SUMIFS($C303,$B303,F$7)+F302</f>
        <v>57</v>
      </c>
      <c r="G303" s="58">
        <f t="shared" si="305"/>
        <v>0</v>
      </c>
      <c r="H303" s="58">
        <f t="shared" si="305"/>
        <v>0</v>
      </c>
      <c r="I303" s="58">
        <f t="shared" si="305"/>
        <v>190</v>
      </c>
      <c r="J303" s="58">
        <f t="shared" si="305"/>
        <v>19</v>
      </c>
      <c r="K303" s="58">
        <f t="shared" si="305"/>
        <v>0</v>
      </c>
      <c r="L303" s="58">
        <f t="shared" si="305"/>
        <v>-27</v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0" customHeight="1">
      <c r="A304" s="70"/>
      <c r="B304" s="64" t="s">
        <v>9</v>
      </c>
      <c r="C304" s="65">
        <v>-9.0</v>
      </c>
      <c r="D304" s="66">
        <f t="shared" si="306"/>
        <v>-5130</v>
      </c>
      <c r="E304" s="67"/>
      <c r="F304" s="58">
        <f t="shared" ref="F304:L304" si="307">SUMIFS($C304,$B304,F$7)+F303</f>
        <v>48</v>
      </c>
      <c r="G304" s="58">
        <f t="shared" si="307"/>
        <v>0</v>
      </c>
      <c r="H304" s="58">
        <f t="shared" si="307"/>
        <v>0</v>
      </c>
      <c r="I304" s="58">
        <f t="shared" si="307"/>
        <v>190</v>
      </c>
      <c r="J304" s="58">
        <f t="shared" si="307"/>
        <v>19</v>
      </c>
      <c r="K304" s="58">
        <f t="shared" si="307"/>
        <v>0</v>
      </c>
      <c r="L304" s="58">
        <f t="shared" si="307"/>
        <v>-27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0" customHeight="1">
      <c r="A305" s="70"/>
      <c r="B305" s="64" t="s">
        <v>17</v>
      </c>
      <c r="C305" s="65">
        <v>12.0</v>
      </c>
      <c r="D305" s="66">
        <f t="shared" si="306"/>
        <v>6840</v>
      </c>
      <c r="E305" s="67"/>
      <c r="F305" s="58">
        <f t="shared" ref="F305:L305" si="308">SUMIFS($C305,$B305,F$7)+F304</f>
        <v>48</v>
      </c>
      <c r="G305" s="58">
        <f t="shared" si="308"/>
        <v>0</v>
      </c>
      <c r="H305" s="58">
        <f t="shared" si="308"/>
        <v>0</v>
      </c>
      <c r="I305" s="58">
        <f t="shared" si="308"/>
        <v>202</v>
      </c>
      <c r="J305" s="58">
        <f t="shared" si="308"/>
        <v>19</v>
      </c>
      <c r="K305" s="58">
        <f t="shared" si="308"/>
        <v>0</v>
      </c>
      <c r="L305" s="58">
        <f t="shared" si="308"/>
        <v>-27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0" customHeight="1">
      <c r="A306" s="70"/>
      <c r="B306" s="71"/>
      <c r="C306" s="66"/>
      <c r="D306" s="66"/>
      <c r="E306" s="67"/>
      <c r="F306" s="58">
        <f t="shared" ref="F306:L306" si="309">SUMIFS($C306,$B306,F$7)+F305</f>
        <v>48</v>
      </c>
      <c r="G306" s="58">
        <f t="shared" si="309"/>
        <v>0</v>
      </c>
      <c r="H306" s="58">
        <f t="shared" si="309"/>
        <v>0</v>
      </c>
      <c r="I306" s="58">
        <f t="shared" si="309"/>
        <v>202</v>
      </c>
      <c r="J306" s="58">
        <f t="shared" si="309"/>
        <v>19</v>
      </c>
      <c r="K306" s="58">
        <f t="shared" si="309"/>
        <v>0</v>
      </c>
      <c r="L306" s="58">
        <f t="shared" si="309"/>
        <v>-27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0" customHeight="1">
      <c r="A307" s="68">
        <v>46253.0</v>
      </c>
      <c r="B307" s="64" t="s">
        <v>22</v>
      </c>
      <c r="C307" s="65">
        <v>-1.0</v>
      </c>
      <c r="D307" s="66">
        <f t="shared" ref="D307:D309" si="311">570*C307</f>
        <v>-570</v>
      </c>
      <c r="E307" s="67"/>
      <c r="F307" s="58">
        <f t="shared" ref="F307:L307" si="310">SUMIFS($C307,$B307,F$7)+F306</f>
        <v>48</v>
      </c>
      <c r="G307" s="58">
        <f t="shared" si="310"/>
        <v>0</v>
      </c>
      <c r="H307" s="58">
        <f t="shared" si="310"/>
        <v>0</v>
      </c>
      <c r="I307" s="58">
        <f t="shared" si="310"/>
        <v>202</v>
      </c>
      <c r="J307" s="58">
        <f t="shared" si="310"/>
        <v>19</v>
      </c>
      <c r="K307" s="58">
        <f t="shared" si="310"/>
        <v>0</v>
      </c>
      <c r="L307" s="58">
        <f t="shared" si="310"/>
        <v>-28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0" customHeight="1">
      <c r="A308" s="70"/>
      <c r="B308" s="64" t="s">
        <v>9</v>
      </c>
      <c r="C308" s="65">
        <v>-3.0</v>
      </c>
      <c r="D308" s="66">
        <f t="shared" si="311"/>
        <v>-1710</v>
      </c>
      <c r="E308" s="67"/>
      <c r="F308" s="58">
        <f t="shared" ref="F308:L308" si="312">SUMIFS($C308,$B308,F$7)+F307</f>
        <v>45</v>
      </c>
      <c r="G308" s="58">
        <f t="shared" si="312"/>
        <v>0</v>
      </c>
      <c r="H308" s="58">
        <f t="shared" si="312"/>
        <v>0</v>
      </c>
      <c r="I308" s="58">
        <f t="shared" si="312"/>
        <v>202</v>
      </c>
      <c r="J308" s="58">
        <f t="shared" si="312"/>
        <v>19</v>
      </c>
      <c r="K308" s="58">
        <f t="shared" si="312"/>
        <v>0</v>
      </c>
      <c r="L308" s="58">
        <f t="shared" si="312"/>
        <v>-28</v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0" customHeight="1">
      <c r="A309" s="70"/>
      <c r="B309" s="64" t="s">
        <v>17</v>
      </c>
      <c r="C309" s="65">
        <v>4.0</v>
      </c>
      <c r="D309" s="66">
        <f t="shared" si="311"/>
        <v>2280</v>
      </c>
      <c r="E309" s="67"/>
      <c r="F309" s="58">
        <f t="shared" ref="F309:L309" si="313">SUMIFS($C309,$B309,F$7)+F308</f>
        <v>45</v>
      </c>
      <c r="G309" s="58">
        <f t="shared" si="313"/>
        <v>0</v>
      </c>
      <c r="H309" s="58">
        <f t="shared" si="313"/>
        <v>0</v>
      </c>
      <c r="I309" s="58">
        <f t="shared" si="313"/>
        <v>206</v>
      </c>
      <c r="J309" s="58">
        <f t="shared" si="313"/>
        <v>19</v>
      </c>
      <c r="K309" s="58">
        <f t="shared" si="313"/>
        <v>0</v>
      </c>
      <c r="L309" s="58">
        <f t="shared" si="313"/>
        <v>-28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0" customHeight="1">
      <c r="A310" s="70"/>
      <c r="B310" s="71"/>
      <c r="C310" s="66"/>
      <c r="D310" s="66"/>
      <c r="E310" s="67"/>
      <c r="F310" s="58">
        <f t="shared" ref="F310:L310" si="314">SUMIFS($C310,$B310,F$7)+F309</f>
        <v>45</v>
      </c>
      <c r="G310" s="58">
        <f t="shared" si="314"/>
        <v>0</v>
      </c>
      <c r="H310" s="58">
        <f t="shared" si="314"/>
        <v>0</v>
      </c>
      <c r="I310" s="58">
        <f t="shared" si="314"/>
        <v>206</v>
      </c>
      <c r="J310" s="58">
        <f t="shared" si="314"/>
        <v>19</v>
      </c>
      <c r="K310" s="58">
        <f t="shared" si="314"/>
        <v>0</v>
      </c>
      <c r="L310" s="58">
        <f t="shared" si="314"/>
        <v>-28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0" customHeight="1">
      <c r="A311" s="68">
        <v>46254.0</v>
      </c>
      <c r="B311" s="64" t="s">
        <v>22</v>
      </c>
      <c r="C311" s="65">
        <v>-3.0</v>
      </c>
      <c r="D311" s="66">
        <f t="shared" ref="D311:D313" si="316">570*C311</f>
        <v>-1710</v>
      </c>
      <c r="E311" s="67"/>
      <c r="F311" s="58">
        <f t="shared" ref="F311:L311" si="315">SUMIFS($C311,$B311,F$7)+F310</f>
        <v>45</v>
      </c>
      <c r="G311" s="58">
        <f t="shared" si="315"/>
        <v>0</v>
      </c>
      <c r="H311" s="58">
        <f t="shared" si="315"/>
        <v>0</v>
      </c>
      <c r="I311" s="58">
        <f t="shared" si="315"/>
        <v>206</v>
      </c>
      <c r="J311" s="58">
        <f t="shared" si="315"/>
        <v>19</v>
      </c>
      <c r="K311" s="58">
        <f t="shared" si="315"/>
        <v>0</v>
      </c>
      <c r="L311" s="58">
        <f t="shared" si="315"/>
        <v>-31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0" customHeight="1">
      <c r="A312" s="70"/>
      <c r="B312" s="64" t="s">
        <v>9</v>
      </c>
      <c r="C312" s="65">
        <v>-9.0</v>
      </c>
      <c r="D312" s="66">
        <f t="shared" si="316"/>
        <v>-5130</v>
      </c>
      <c r="E312" s="67"/>
      <c r="F312" s="58">
        <f t="shared" ref="F312:L312" si="317">SUMIFS($C312,$B312,F$7)+F311</f>
        <v>36</v>
      </c>
      <c r="G312" s="58">
        <f t="shared" si="317"/>
        <v>0</v>
      </c>
      <c r="H312" s="58">
        <f t="shared" si="317"/>
        <v>0</v>
      </c>
      <c r="I312" s="58">
        <f t="shared" si="317"/>
        <v>206</v>
      </c>
      <c r="J312" s="58">
        <f t="shared" si="317"/>
        <v>19</v>
      </c>
      <c r="K312" s="58">
        <f t="shared" si="317"/>
        <v>0</v>
      </c>
      <c r="L312" s="58">
        <f t="shared" si="317"/>
        <v>-31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0" customHeight="1">
      <c r="A313" s="70"/>
      <c r="B313" s="64" t="s">
        <v>17</v>
      </c>
      <c r="C313" s="65">
        <v>12.0</v>
      </c>
      <c r="D313" s="66">
        <f t="shared" si="316"/>
        <v>6840</v>
      </c>
      <c r="E313" s="67"/>
      <c r="F313" s="58">
        <f t="shared" ref="F313:L313" si="318">SUMIFS($C313,$B313,F$7)+F312</f>
        <v>36</v>
      </c>
      <c r="G313" s="58">
        <f t="shared" si="318"/>
        <v>0</v>
      </c>
      <c r="H313" s="58">
        <f t="shared" si="318"/>
        <v>0</v>
      </c>
      <c r="I313" s="58">
        <f t="shared" si="318"/>
        <v>218</v>
      </c>
      <c r="J313" s="58">
        <f t="shared" si="318"/>
        <v>19</v>
      </c>
      <c r="K313" s="58">
        <f t="shared" si="318"/>
        <v>0</v>
      </c>
      <c r="L313" s="58">
        <f t="shared" si="318"/>
        <v>-31</v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0" customHeight="1">
      <c r="A314" s="70"/>
      <c r="B314" s="71"/>
      <c r="C314" s="66"/>
      <c r="D314" s="66"/>
      <c r="E314" s="67"/>
      <c r="F314" s="58">
        <f t="shared" ref="F314:L314" si="319">SUMIFS($C314,$B314,F$7)+F313</f>
        <v>36</v>
      </c>
      <c r="G314" s="58">
        <f t="shared" si="319"/>
        <v>0</v>
      </c>
      <c r="H314" s="58">
        <f t="shared" si="319"/>
        <v>0</v>
      </c>
      <c r="I314" s="58">
        <f t="shared" si="319"/>
        <v>218</v>
      </c>
      <c r="J314" s="58">
        <f t="shared" si="319"/>
        <v>19</v>
      </c>
      <c r="K314" s="58">
        <f t="shared" si="319"/>
        <v>0</v>
      </c>
      <c r="L314" s="58">
        <f t="shared" si="319"/>
        <v>-31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0" customHeight="1">
      <c r="A315" s="68">
        <v>46255.0</v>
      </c>
      <c r="B315" s="64" t="s">
        <v>22</v>
      </c>
      <c r="C315" s="65">
        <v>-3.0</v>
      </c>
      <c r="D315" s="66">
        <f t="shared" ref="D315:D317" si="321">570*C315</f>
        <v>-1710</v>
      </c>
      <c r="E315" s="67"/>
      <c r="F315" s="58">
        <f t="shared" ref="F315:L315" si="320">SUMIFS($C315,$B315,F$7)+F314</f>
        <v>36</v>
      </c>
      <c r="G315" s="58">
        <f t="shared" si="320"/>
        <v>0</v>
      </c>
      <c r="H315" s="58">
        <f t="shared" si="320"/>
        <v>0</v>
      </c>
      <c r="I315" s="58">
        <f t="shared" si="320"/>
        <v>218</v>
      </c>
      <c r="J315" s="58">
        <f t="shared" si="320"/>
        <v>19</v>
      </c>
      <c r="K315" s="58">
        <f t="shared" si="320"/>
        <v>0</v>
      </c>
      <c r="L315" s="58">
        <f t="shared" si="320"/>
        <v>-34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0" customHeight="1">
      <c r="A316" s="70"/>
      <c r="B316" s="64" t="s">
        <v>9</v>
      </c>
      <c r="C316" s="65">
        <v>-9.0</v>
      </c>
      <c r="D316" s="66">
        <f t="shared" si="321"/>
        <v>-5130</v>
      </c>
      <c r="E316" s="67"/>
      <c r="F316" s="58">
        <f t="shared" ref="F316:L316" si="322">SUMIFS($C316,$B316,F$7)+F315</f>
        <v>27</v>
      </c>
      <c r="G316" s="58">
        <f t="shared" si="322"/>
        <v>0</v>
      </c>
      <c r="H316" s="58">
        <f t="shared" si="322"/>
        <v>0</v>
      </c>
      <c r="I316" s="58">
        <f t="shared" si="322"/>
        <v>218</v>
      </c>
      <c r="J316" s="58">
        <f t="shared" si="322"/>
        <v>19</v>
      </c>
      <c r="K316" s="58">
        <f t="shared" si="322"/>
        <v>0</v>
      </c>
      <c r="L316" s="58">
        <f t="shared" si="322"/>
        <v>-34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0" customHeight="1">
      <c r="A317" s="70"/>
      <c r="B317" s="64" t="s">
        <v>17</v>
      </c>
      <c r="C317" s="65">
        <v>12.0</v>
      </c>
      <c r="D317" s="66">
        <f t="shared" si="321"/>
        <v>6840</v>
      </c>
      <c r="E317" s="67"/>
      <c r="F317" s="58">
        <f t="shared" ref="F317:L317" si="323">SUMIFS($C317,$B317,F$7)+F316</f>
        <v>27</v>
      </c>
      <c r="G317" s="58">
        <f t="shared" si="323"/>
        <v>0</v>
      </c>
      <c r="H317" s="58">
        <f t="shared" si="323"/>
        <v>0</v>
      </c>
      <c r="I317" s="58">
        <f t="shared" si="323"/>
        <v>230</v>
      </c>
      <c r="J317" s="58">
        <f t="shared" si="323"/>
        <v>19</v>
      </c>
      <c r="K317" s="58">
        <f t="shared" si="323"/>
        <v>0</v>
      </c>
      <c r="L317" s="58">
        <f t="shared" si="323"/>
        <v>-34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0" customHeight="1">
      <c r="A318" s="70"/>
      <c r="B318" s="71"/>
      <c r="C318" s="66"/>
      <c r="D318" s="66">
        <f>550*C318</f>
        <v>0</v>
      </c>
      <c r="E318" s="67"/>
      <c r="F318" s="58">
        <f t="shared" ref="F318:L318" si="324">SUMIFS($C318,$B318,F$7)+F317</f>
        <v>27</v>
      </c>
      <c r="G318" s="58">
        <f t="shared" si="324"/>
        <v>0</v>
      </c>
      <c r="H318" s="58">
        <f t="shared" si="324"/>
        <v>0</v>
      </c>
      <c r="I318" s="58">
        <f t="shared" si="324"/>
        <v>230</v>
      </c>
      <c r="J318" s="58">
        <f t="shared" si="324"/>
        <v>19</v>
      </c>
      <c r="K318" s="58">
        <f t="shared" si="324"/>
        <v>0</v>
      </c>
      <c r="L318" s="58">
        <f t="shared" si="324"/>
        <v>-34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0" customHeight="1">
      <c r="A319" s="68">
        <v>46258.0</v>
      </c>
      <c r="B319" s="64" t="s">
        <v>22</v>
      </c>
      <c r="C319" s="65">
        <v>-1.0</v>
      </c>
      <c r="D319" s="66">
        <f t="shared" ref="D319:D320" si="326">570*C319</f>
        <v>-570</v>
      </c>
      <c r="E319" s="67"/>
      <c r="F319" s="58">
        <f t="shared" ref="F319:L319" si="325">SUMIFS($C319,$B319,F$7)+F318</f>
        <v>27</v>
      </c>
      <c r="G319" s="58">
        <f t="shared" si="325"/>
        <v>0</v>
      </c>
      <c r="H319" s="58">
        <f t="shared" si="325"/>
        <v>0</v>
      </c>
      <c r="I319" s="58">
        <f t="shared" si="325"/>
        <v>230</v>
      </c>
      <c r="J319" s="58">
        <f t="shared" si="325"/>
        <v>19</v>
      </c>
      <c r="K319" s="58">
        <f t="shared" si="325"/>
        <v>0</v>
      </c>
      <c r="L319" s="58">
        <f t="shared" si="325"/>
        <v>-35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0" customHeight="1">
      <c r="A320" s="70"/>
      <c r="B320" s="64" t="s">
        <v>9</v>
      </c>
      <c r="C320" s="65">
        <v>-2.0</v>
      </c>
      <c r="D320" s="66">
        <f t="shared" si="326"/>
        <v>-1140</v>
      </c>
      <c r="E320" s="67"/>
      <c r="F320" s="58">
        <f t="shared" ref="F320:L320" si="327">SUMIFS($C320,$B320,F$7)+F319</f>
        <v>25</v>
      </c>
      <c r="G320" s="58">
        <f t="shared" si="327"/>
        <v>0</v>
      </c>
      <c r="H320" s="58">
        <f t="shared" si="327"/>
        <v>0</v>
      </c>
      <c r="I320" s="58">
        <f t="shared" si="327"/>
        <v>230</v>
      </c>
      <c r="J320" s="58">
        <f t="shared" si="327"/>
        <v>19</v>
      </c>
      <c r="K320" s="58">
        <f t="shared" si="327"/>
        <v>0</v>
      </c>
      <c r="L320" s="58">
        <f t="shared" si="327"/>
        <v>-35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0" customHeight="1">
      <c r="A321" s="70"/>
      <c r="B321" s="64" t="s">
        <v>17</v>
      </c>
      <c r="C321" s="65">
        <v>-1.0</v>
      </c>
      <c r="D321" s="66">
        <f>550*C321</f>
        <v>-550</v>
      </c>
      <c r="E321" s="67"/>
      <c r="F321" s="58">
        <f t="shared" ref="F321:L321" si="328">SUMIFS($C321,$B321,F$7)+F320</f>
        <v>25</v>
      </c>
      <c r="G321" s="58">
        <f t="shared" si="328"/>
        <v>0</v>
      </c>
      <c r="H321" s="58">
        <f t="shared" si="328"/>
        <v>0</v>
      </c>
      <c r="I321" s="58">
        <f t="shared" si="328"/>
        <v>229</v>
      </c>
      <c r="J321" s="58">
        <f t="shared" si="328"/>
        <v>19</v>
      </c>
      <c r="K321" s="58">
        <f t="shared" si="328"/>
        <v>0</v>
      </c>
      <c r="L321" s="58">
        <f t="shared" si="328"/>
        <v>-35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0" customHeight="1">
      <c r="A322" s="70"/>
      <c r="B322" s="64" t="s">
        <v>17</v>
      </c>
      <c r="C322" s="65">
        <v>4.0</v>
      </c>
      <c r="D322" s="66">
        <f>570*C322</f>
        <v>2280</v>
      </c>
      <c r="E322" s="67"/>
      <c r="F322" s="58">
        <f t="shared" ref="F322:L322" si="329">SUMIFS($C322,$B322,F$7)+F321</f>
        <v>25</v>
      </c>
      <c r="G322" s="58">
        <f t="shared" si="329"/>
        <v>0</v>
      </c>
      <c r="H322" s="58">
        <f t="shared" si="329"/>
        <v>0</v>
      </c>
      <c r="I322" s="58">
        <f t="shared" si="329"/>
        <v>233</v>
      </c>
      <c r="J322" s="58">
        <f t="shared" si="329"/>
        <v>19</v>
      </c>
      <c r="K322" s="58">
        <f t="shared" si="329"/>
        <v>0</v>
      </c>
      <c r="L322" s="58">
        <f t="shared" si="329"/>
        <v>-35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0" customHeight="1">
      <c r="A323" s="70"/>
      <c r="B323" s="71"/>
      <c r="C323" s="66"/>
      <c r="D323" s="66">
        <f>550*C323</f>
        <v>0</v>
      </c>
      <c r="E323" s="67"/>
      <c r="F323" s="58">
        <f t="shared" ref="F323:L323" si="330">SUMIFS($C323,$B323,F$7)+F322</f>
        <v>25</v>
      </c>
      <c r="G323" s="58">
        <f t="shared" si="330"/>
        <v>0</v>
      </c>
      <c r="H323" s="58">
        <f t="shared" si="330"/>
        <v>0</v>
      </c>
      <c r="I323" s="58">
        <f t="shared" si="330"/>
        <v>233</v>
      </c>
      <c r="J323" s="58">
        <f t="shared" si="330"/>
        <v>19</v>
      </c>
      <c r="K323" s="58">
        <f t="shared" si="330"/>
        <v>0</v>
      </c>
      <c r="L323" s="58">
        <f t="shared" si="330"/>
        <v>-35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0" customHeight="1">
      <c r="A324" s="68">
        <v>46260.0</v>
      </c>
      <c r="B324" s="64" t="s">
        <v>17</v>
      </c>
      <c r="C324" s="65">
        <v>-176.0</v>
      </c>
      <c r="D324" s="66">
        <f>570*C324</f>
        <v>-100320</v>
      </c>
      <c r="E324" s="67"/>
      <c r="F324" s="58">
        <f t="shared" ref="F324:L324" si="331">SUMIFS($C324,$B324,F$7)+F323</f>
        <v>25</v>
      </c>
      <c r="G324" s="58">
        <f t="shared" si="331"/>
        <v>0</v>
      </c>
      <c r="H324" s="58">
        <f t="shared" si="331"/>
        <v>0</v>
      </c>
      <c r="I324" s="58">
        <f t="shared" si="331"/>
        <v>57</v>
      </c>
      <c r="J324" s="58">
        <f t="shared" si="331"/>
        <v>19</v>
      </c>
      <c r="K324" s="58">
        <f t="shared" si="331"/>
        <v>0</v>
      </c>
      <c r="L324" s="58">
        <f t="shared" si="331"/>
        <v>-35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0" customHeight="1">
      <c r="A325" s="70"/>
      <c r="B325" s="71"/>
      <c r="C325" s="66"/>
      <c r="D325" s="66">
        <f t="shared" ref="D325:D1021" si="333">550*C325</f>
        <v>0</v>
      </c>
      <c r="E325" s="67"/>
      <c r="F325" s="58">
        <f t="shared" ref="F325:L325" si="332">SUMIFS($C325,$B325,F$7)+F324</f>
        <v>25</v>
      </c>
      <c r="G325" s="58">
        <f t="shared" si="332"/>
        <v>0</v>
      </c>
      <c r="H325" s="58">
        <f t="shared" si="332"/>
        <v>0</v>
      </c>
      <c r="I325" s="58">
        <f t="shared" si="332"/>
        <v>57</v>
      </c>
      <c r="J325" s="58">
        <f t="shared" si="332"/>
        <v>19</v>
      </c>
      <c r="K325" s="58">
        <f t="shared" si="332"/>
        <v>0</v>
      </c>
      <c r="L325" s="58">
        <f t="shared" si="332"/>
        <v>-35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0" customHeight="1">
      <c r="A326" s="70"/>
      <c r="B326" s="71"/>
      <c r="C326" s="66"/>
      <c r="D326" s="66">
        <f t="shared" si="333"/>
        <v>0</v>
      </c>
      <c r="E326" s="67"/>
      <c r="F326" s="58">
        <f t="shared" ref="F326:L326" si="334">SUMIFS($C326,$B326,F$7)+F325</f>
        <v>25</v>
      </c>
      <c r="G326" s="58">
        <f t="shared" si="334"/>
        <v>0</v>
      </c>
      <c r="H326" s="58">
        <f t="shared" si="334"/>
        <v>0</v>
      </c>
      <c r="I326" s="58">
        <f t="shared" si="334"/>
        <v>57</v>
      </c>
      <c r="J326" s="58">
        <f t="shared" si="334"/>
        <v>19</v>
      </c>
      <c r="K326" s="58">
        <f t="shared" si="334"/>
        <v>0</v>
      </c>
      <c r="L326" s="58">
        <f t="shared" si="334"/>
        <v>-35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0" customHeight="1">
      <c r="A327" s="70"/>
      <c r="B327" s="71"/>
      <c r="C327" s="66"/>
      <c r="D327" s="66">
        <f t="shared" si="333"/>
        <v>0</v>
      </c>
      <c r="E327" s="67"/>
      <c r="F327" s="58">
        <f t="shared" ref="F327:L327" si="335">SUMIFS($C327,$B327,F$7)+F326</f>
        <v>25</v>
      </c>
      <c r="G327" s="58">
        <f t="shared" si="335"/>
        <v>0</v>
      </c>
      <c r="H327" s="58">
        <f t="shared" si="335"/>
        <v>0</v>
      </c>
      <c r="I327" s="58">
        <f t="shared" si="335"/>
        <v>57</v>
      </c>
      <c r="J327" s="58">
        <f t="shared" si="335"/>
        <v>19</v>
      </c>
      <c r="K327" s="58">
        <f t="shared" si="335"/>
        <v>0</v>
      </c>
      <c r="L327" s="58">
        <f t="shared" si="335"/>
        <v>-35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0" customHeight="1">
      <c r="A328" s="70"/>
      <c r="B328" s="71"/>
      <c r="C328" s="66"/>
      <c r="D328" s="66">
        <f t="shared" si="333"/>
        <v>0</v>
      </c>
      <c r="E328" s="67"/>
      <c r="F328" s="58">
        <f t="shared" ref="F328:L328" si="336">SUMIFS($C328,$B328,F$7)+F327</f>
        <v>25</v>
      </c>
      <c r="G328" s="58">
        <f t="shared" si="336"/>
        <v>0</v>
      </c>
      <c r="H328" s="58">
        <f t="shared" si="336"/>
        <v>0</v>
      </c>
      <c r="I328" s="58">
        <f t="shared" si="336"/>
        <v>57</v>
      </c>
      <c r="J328" s="58">
        <f t="shared" si="336"/>
        <v>19</v>
      </c>
      <c r="K328" s="58">
        <f t="shared" si="336"/>
        <v>0</v>
      </c>
      <c r="L328" s="58">
        <f t="shared" si="336"/>
        <v>-35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0" customHeight="1">
      <c r="A329" s="70"/>
      <c r="B329" s="71"/>
      <c r="C329" s="66"/>
      <c r="D329" s="66">
        <f t="shared" si="333"/>
        <v>0</v>
      </c>
      <c r="E329" s="67"/>
      <c r="F329" s="58">
        <f t="shared" ref="F329:L329" si="337">SUMIFS($C329,$B329,F$7)+F328</f>
        <v>25</v>
      </c>
      <c r="G329" s="58">
        <f t="shared" si="337"/>
        <v>0</v>
      </c>
      <c r="H329" s="58">
        <f t="shared" si="337"/>
        <v>0</v>
      </c>
      <c r="I329" s="58">
        <f t="shared" si="337"/>
        <v>57</v>
      </c>
      <c r="J329" s="58">
        <f t="shared" si="337"/>
        <v>19</v>
      </c>
      <c r="K329" s="58">
        <f t="shared" si="337"/>
        <v>0</v>
      </c>
      <c r="L329" s="58">
        <f t="shared" si="337"/>
        <v>-35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0" customHeight="1">
      <c r="A330" s="70"/>
      <c r="B330" s="71"/>
      <c r="C330" s="66"/>
      <c r="D330" s="66">
        <f t="shared" si="333"/>
        <v>0</v>
      </c>
      <c r="E330" s="67"/>
      <c r="F330" s="58">
        <f t="shared" ref="F330:L330" si="338">SUMIFS($C330,$B330,F$7)+F329</f>
        <v>25</v>
      </c>
      <c r="G330" s="58">
        <f t="shared" si="338"/>
        <v>0</v>
      </c>
      <c r="H330" s="58">
        <f t="shared" si="338"/>
        <v>0</v>
      </c>
      <c r="I330" s="58">
        <f t="shared" si="338"/>
        <v>57</v>
      </c>
      <c r="J330" s="58">
        <f t="shared" si="338"/>
        <v>19</v>
      </c>
      <c r="K330" s="58">
        <f t="shared" si="338"/>
        <v>0</v>
      </c>
      <c r="L330" s="58">
        <f t="shared" si="338"/>
        <v>-35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0" customHeight="1">
      <c r="A331" s="70"/>
      <c r="B331" s="71"/>
      <c r="C331" s="66"/>
      <c r="D331" s="66">
        <f t="shared" si="333"/>
        <v>0</v>
      </c>
      <c r="E331" s="67"/>
      <c r="F331" s="58">
        <f t="shared" ref="F331:L331" si="339">SUMIFS($C331,$B331,F$7)+F330</f>
        <v>25</v>
      </c>
      <c r="G331" s="58">
        <f t="shared" si="339"/>
        <v>0</v>
      </c>
      <c r="H331" s="58">
        <f t="shared" si="339"/>
        <v>0</v>
      </c>
      <c r="I331" s="58">
        <f t="shared" si="339"/>
        <v>57</v>
      </c>
      <c r="J331" s="58">
        <f t="shared" si="339"/>
        <v>19</v>
      </c>
      <c r="K331" s="58">
        <f t="shared" si="339"/>
        <v>0</v>
      </c>
      <c r="L331" s="58">
        <f t="shared" si="339"/>
        <v>-35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0" customHeight="1">
      <c r="A332" s="70"/>
      <c r="B332" s="71"/>
      <c r="C332" s="66"/>
      <c r="D332" s="66">
        <f t="shared" si="333"/>
        <v>0</v>
      </c>
      <c r="E332" s="67"/>
      <c r="F332" s="58">
        <f t="shared" ref="F332:L332" si="340">SUMIFS($C332,$B332,F$7)+F331</f>
        <v>25</v>
      </c>
      <c r="G332" s="58">
        <f t="shared" si="340"/>
        <v>0</v>
      </c>
      <c r="H332" s="58">
        <f t="shared" si="340"/>
        <v>0</v>
      </c>
      <c r="I332" s="58">
        <f t="shared" si="340"/>
        <v>57</v>
      </c>
      <c r="J332" s="58">
        <f t="shared" si="340"/>
        <v>19</v>
      </c>
      <c r="K332" s="58">
        <f t="shared" si="340"/>
        <v>0</v>
      </c>
      <c r="L332" s="58">
        <f t="shared" si="340"/>
        <v>-35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0" customHeight="1">
      <c r="A333" s="70"/>
      <c r="B333" s="71"/>
      <c r="C333" s="66"/>
      <c r="D333" s="66">
        <f t="shared" si="333"/>
        <v>0</v>
      </c>
      <c r="E333" s="67"/>
      <c r="F333" s="58">
        <f t="shared" ref="F333:L333" si="341">SUMIFS($C333,$B333,F$7)+F332</f>
        <v>25</v>
      </c>
      <c r="G333" s="58">
        <f t="shared" si="341"/>
        <v>0</v>
      </c>
      <c r="H333" s="58">
        <f t="shared" si="341"/>
        <v>0</v>
      </c>
      <c r="I333" s="58">
        <f t="shared" si="341"/>
        <v>57</v>
      </c>
      <c r="J333" s="58">
        <f t="shared" si="341"/>
        <v>19</v>
      </c>
      <c r="K333" s="58">
        <f t="shared" si="341"/>
        <v>0</v>
      </c>
      <c r="L333" s="58">
        <f t="shared" si="341"/>
        <v>-35</v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0" customHeight="1">
      <c r="A334" s="70"/>
      <c r="B334" s="71"/>
      <c r="C334" s="66"/>
      <c r="D334" s="66">
        <f t="shared" si="333"/>
        <v>0</v>
      </c>
      <c r="E334" s="67"/>
      <c r="F334" s="58">
        <f t="shared" ref="F334:L334" si="342">SUMIFS($C334,$B334,F$7)+F333</f>
        <v>25</v>
      </c>
      <c r="G334" s="58">
        <f t="shared" si="342"/>
        <v>0</v>
      </c>
      <c r="H334" s="58">
        <f t="shared" si="342"/>
        <v>0</v>
      </c>
      <c r="I334" s="58">
        <f t="shared" si="342"/>
        <v>57</v>
      </c>
      <c r="J334" s="58">
        <f t="shared" si="342"/>
        <v>19</v>
      </c>
      <c r="K334" s="58">
        <f t="shared" si="342"/>
        <v>0</v>
      </c>
      <c r="L334" s="58">
        <f t="shared" si="342"/>
        <v>-35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0" customHeight="1">
      <c r="A335" s="70"/>
      <c r="B335" s="71"/>
      <c r="C335" s="66"/>
      <c r="D335" s="66">
        <f t="shared" si="333"/>
        <v>0</v>
      </c>
      <c r="E335" s="67"/>
      <c r="F335" s="58">
        <f t="shared" ref="F335:L335" si="343">SUMIFS($C335,$B335,F$7)+F334</f>
        <v>25</v>
      </c>
      <c r="G335" s="58">
        <f t="shared" si="343"/>
        <v>0</v>
      </c>
      <c r="H335" s="58">
        <f t="shared" si="343"/>
        <v>0</v>
      </c>
      <c r="I335" s="58">
        <f t="shared" si="343"/>
        <v>57</v>
      </c>
      <c r="J335" s="58">
        <f t="shared" si="343"/>
        <v>19</v>
      </c>
      <c r="K335" s="58">
        <f t="shared" si="343"/>
        <v>0</v>
      </c>
      <c r="L335" s="58">
        <f t="shared" si="343"/>
        <v>-35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0" customHeight="1">
      <c r="A336" s="70"/>
      <c r="B336" s="71"/>
      <c r="C336" s="66"/>
      <c r="D336" s="66">
        <f t="shared" si="333"/>
        <v>0</v>
      </c>
      <c r="E336" s="67"/>
      <c r="F336" s="58">
        <f t="shared" ref="F336:L336" si="344">SUMIFS($C336,$B336,F$7)+F335</f>
        <v>25</v>
      </c>
      <c r="G336" s="58">
        <f t="shared" si="344"/>
        <v>0</v>
      </c>
      <c r="H336" s="58">
        <f t="shared" si="344"/>
        <v>0</v>
      </c>
      <c r="I336" s="58">
        <f t="shared" si="344"/>
        <v>57</v>
      </c>
      <c r="J336" s="58">
        <f t="shared" si="344"/>
        <v>19</v>
      </c>
      <c r="K336" s="58">
        <f t="shared" si="344"/>
        <v>0</v>
      </c>
      <c r="L336" s="58">
        <f t="shared" si="344"/>
        <v>-35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0" customHeight="1">
      <c r="A337" s="70"/>
      <c r="B337" s="71"/>
      <c r="C337" s="66"/>
      <c r="D337" s="66">
        <f t="shared" si="333"/>
        <v>0</v>
      </c>
      <c r="E337" s="67"/>
      <c r="F337" s="58">
        <f t="shared" ref="F337:L337" si="345">SUMIFS($C337,$B337,F$7)+F336</f>
        <v>25</v>
      </c>
      <c r="G337" s="58">
        <f t="shared" si="345"/>
        <v>0</v>
      </c>
      <c r="H337" s="58">
        <f t="shared" si="345"/>
        <v>0</v>
      </c>
      <c r="I337" s="58">
        <f t="shared" si="345"/>
        <v>57</v>
      </c>
      <c r="J337" s="58">
        <f t="shared" si="345"/>
        <v>19</v>
      </c>
      <c r="K337" s="58">
        <f t="shared" si="345"/>
        <v>0</v>
      </c>
      <c r="L337" s="58">
        <f t="shared" si="345"/>
        <v>-35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0" customHeight="1">
      <c r="A338" s="70"/>
      <c r="B338" s="71"/>
      <c r="C338" s="66"/>
      <c r="D338" s="66">
        <f t="shared" si="333"/>
        <v>0</v>
      </c>
      <c r="E338" s="67"/>
      <c r="F338" s="58">
        <f t="shared" ref="F338:L338" si="346">SUMIFS($C338,$B338,F$7)+F337</f>
        <v>25</v>
      </c>
      <c r="G338" s="58">
        <f t="shared" si="346"/>
        <v>0</v>
      </c>
      <c r="H338" s="58">
        <f t="shared" si="346"/>
        <v>0</v>
      </c>
      <c r="I338" s="58">
        <f t="shared" si="346"/>
        <v>57</v>
      </c>
      <c r="J338" s="58">
        <f t="shared" si="346"/>
        <v>19</v>
      </c>
      <c r="K338" s="58">
        <f t="shared" si="346"/>
        <v>0</v>
      </c>
      <c r="L338" s="58">
        <f t="shared" si="346"/>
        <v>-35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0" customHeight="1">
      <c r="A339" s="70"/>
      <c r="B339" s="71"/>
      <c r="C339" s="66"/>
      <c r="D339" s="66">
        <f t="shared" si="333"/>
        <v>0</v>
      </c>
      <c r="E339" s="67"/>
      <c r="F339" s="58">
        <f t="shared" ref="F339:L339" si="347">SUMIFS($C339,$B339,F$7)+F338</f>
        <v>25</v>
      </c>
      <c r="G339" s="58">
        <f t="shared" si="347"/>
        <v>0</v>
      </c>
      <c r="H339" s="58">
        <f t="shared" si="347"/>
        <v>0</v>
      </c>
      <c r="I339" s="58">
        <f t="shared" si="347"/>
        <v>57</v>
      </c>
      <c r="J339" s="58">
        <f t="shared" si="347"/>
        <v>19</v>
      </c>
      <c r="K339" s="58">
        <f t="shared" si="347"/>
        <v>0</v>
      </c>
      <c r="L339" s="58">
        <f t="shared" si="347"/>
        <v>-35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0" customHeight="1">
      <c r="A340" s="70"/>
      <c r="B340" s="71"/>
      <c r="C340" s="66"/>
      <c r="D340" s="66">
        <f t="shared" si="333"/>
        <v>0</v>
      </c>
      <c r="E340" s="67"/>
      <c r="F340" s="58">
        <f t="shared" ref="F340:L340" si="348">SUMIFS($C340,$B340,F$7)+F339</f>
        <v>25</v>
      </c>
      <c r="G340" s="58">
        <f t="shared" si="348"/>
        <v>0</v>
      </c>
      <c r="H340" s="58">
        <f t="shared" si="348"/>
        <v>0</v>
      </c>
      <c r="I340" s="58">
        <f t="shared" si="348"/>
        <v>57</v>
      </c>
      <c r="J340" s="58">
        <f t="shared" si="348"/>
        <v>19</v>
      </c>
      <c r="K340" s="58">
        <f t="shared" si="348"/>
        <v>0</v>
      </c>
      <c r="L340" s="58">
        <f t="shared" si="348"/>
        <v>-35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0" customHeight="1">
      <c r="A341" s="70"/>
      <c r="B341" s="71"/>
      <c r="C341" s="66"/>
      <c r="D341" s="66">
        <f t="shared" si="333"/>
        <v>0</v>
      </c>
      <c r="E341" s="67"/>
      <c r="F341" s="58">
        <f t="shared" ref="F341:L341" si="349">SUMIFS($C341,$B341,F$7)+F340</f>
        <v>25</v>
      </c>
      <c r="G341" s="58">
        <f t="shared" si="349"/>
        <v>0</v>
      </c>
      <c r="H341" s="58">
        <f t="shared" si="349"/>
        <v>0</v>
      </c>
      <c r="I341" s="58">
        <f t="shared" si="349"/>
        <v>57</v>
      </c>
      <c r="J341" s="58">
        <f t="shared" si="349"/>
        <v>19</v>
      </c>
      <c r="K341" s="58">
        <f t="shared" si="349"/>
        <v>0</v>
      </c>
      <c r="L341" s="58">
        <f t="shared" si="349"/>
        <v>-35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0" customHeight="1">
      <c r="A342" s="70"/>
      <c r="B342" s="71"/>
      <c r="C342" s="66"/>
      <c r="D342" s="66">
        <f t="shared" si="333"/>
        <v>0</v>
      </c>
      <c r="E342" s="67"/>
      <c r="F342" s="58">
        <f t="shared" ref="F342:L342" si="350">SUMIFS($C342,$B342,F$7)+F341</f>
        <v>25</v>
      </c>
      <c r="G342" s="58">
        <f t="shared" si="350"/>
        <v>0</v>
      </c>
      <c r="H342" s="58">
        <f t="shared" si="350"/>
        <v>0</v>
      </c>
      <c r="I342" s="58">
        <f t="shared" si="350"/>
        <v>57</v>
      </c>
      <c r="J342" s="58">
        <f t="shared" si="350"/>
        <v>19</v>
      </c>
      <c r="K342" s="58">
        <f t="shared" si="350"/>
        <v>0</v>
      </c>
      <c r="L342" s="58">
        <f t="shared" si="350"/>
        <v>-35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0" customHeight="1">
      <c r="A343" s="70"/>
      <c r="B343" s="71"/>
      <c r="C343" s="66"/>
      <c r="D343" s="66">
        <f t="shared" si="333"/>
        <v>0</v>
      </c>
      <c r="E343" s="67"/>
      <c r="F343" s="58">
        <f t="shared" ref="F343:L343" si="351">SUMIFS($C343,$B343,F$7)+F342</f>
        <v>25</v>
      </c>
      <c r="G343" s="58">
        <f t="shared" si="351"/>
        <v>0</v>
      </c>
      <c r="H343" s="58">
        <f t="shared" si="351"/>
        <v>0</v>
      </c>
      <c r="I343" s="58">
        <f t="shared" si="351"/>
        <v>57</v>
      </c>
      <c r="J343" s="58">
        <f t="shared" si="351"/>
        <v>19</v>
      </c>
      <c r="K343" s="58">
        <f t="shared" si="351"/>
        <v>0</v>
      </c>
      <c r="L343" s="58">
        <f t="shared" si="351"/>
        <v>-35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0" customHeight="1">
      <c r="A344" s="70"/>
      <c r="B344" s="71"/>
      <c r="C344" s="66"/>
      <c r="D344" s="66">
        <f t="shared" si="333"/>
        <v>0</v>
      </c>
      <c r="E344" s="67"/>
      <c r="F344" s="58">
        <f t="shared" ref="F344:L344" si="352">SUMIFS($C344,$B344,F$7)+F343</f>
        <v>25</v>
      </c>
      <c r="G344" s="58">
        <f t="shared" si="352"/>
        <v>0</v>
      </c>
      <c r="H344" s="58">
        <f t="shared" si="352"/>
        <v>0</v>
      </c>
      <c r="I344" s="58">
        <f t="shared" si="352"/>
        <v>57</v>
      </c>
      <c r="J344" s="58">
        <f t="shared" si="352"/>
        <v>19</v>
      </c>
      <c r="K344" s="58">
        <f t="shared" si="352"/>
        <v>0</v>
      </c>
      <c r="L344" s="58">
        <f t="shared" si="352"/>
        <v>-35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0" customHeight="1">
      <c r="A345" s="70"/>
      <c r="B345" s="71"/>
      <c r="C345" s="66"/>
      <c r="D345" s="66">
        <f t="shared" si="333"/>
        <v>0</v>
      </c>
      <c r="E345" s="67"/>
      <c r="F345" s="58">
        <f t="shared" ref="F345:L345" si="353">SUMIFS($C345,$B345,F$7)+F344</f>
        <v>25</v>
      </c>
      <c r="G345" s="58">
        <f t="shared" si="353"/>
        <v>0</v>
      </c>
      <c r="H345" s="58">
        <f t="shared" si="353"/>
        <v>0</v>
      </c>
      <c r="I345" s="58">
        <f t="shared" si="353"/>
        <v>57</v>
      </c>
      <c r="J345" s="58">
        <f t="shared" si="353"/>
        <v>19</v>
      </c>
      <c r="K345" s="58">
        <f t="shared" si="353"/>
        <v>0</v>
      </c>
      <c r="L345" s="58">
        <f t="shared" si="353"/>
        <v>-35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0" customHeight="1">
      <c r="A346" s="70"/>
      <c r="B346" s="71"/>
      <c r="C346" s="66"/>
      <c r="D346" s="66">
        <f t="shared" si="333"/>
        <v>0</v>
      </c>
      <c r="E346" s="67"/>
      <c r="F346" s="58">
        <f t="shared" ref="F346:L346" si="354">SUMIFS($C346,$B346,F$7)+F345</f>
        <v>25</v>
      </c>
      <c r="G346" s="58">
        <f t="shared" si="354"/>
        <v>0</v>
      </c>
      <c r="H346" s="58">
        <f t="shared" si="354"/>
        <v>0</v>
      </c>
      <c r="I346" s="58">
        <f t="shared" si="354"/>
        <v>57</v>
      </c>
      <c r="J346" s="58">
        <f t="shared" si="354"/>
        <v>19</v>
      </c>
      <c r="K346" s="58">
        <f t="shared" si="354"/>
        <v>0</v>
      </c>
      <c r="L346" s="58">
        <f t="shared" si="354"/>
        <v>-35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0" customHeight="1">
      <c r="A347" s="70"/>
      <c r="B347" s="71"/>
      <c r="C347" s="66"/>
      <c r="D347" s="66">
        <f t="shared" si="333"/>
        <v>0</v>
      </c>
      <c r="E347" s="67"/>
      <c r="F347" s="58">
        <f t="shared" ref="F347:L347" si="355">SUMIFS($C347,$B347,F$7)+F346</f>
        <v>25</v>
      </c>
      <c r="G347" s="58">
        <f t="shared" si="355"/>
        <v>0</v>
      </c>
      <c r="H347" s="58">
        <f t="shared" si="355"/>
        <v>0</v>
      </c>
      <c r="I347" s="58">
        <f t="shared" si="355"/>
        <v>57</v>
      </c>
      <c r="J347" s="58">
        <f t="shared" si="355"/>
        <v>19</v>
      </c>
      <c r="K347" s="58">
        <f t="shared" si="355"/>
        <v>0</v>
      </c>
      <c r="L347" s="58">
        <f t="shared" si="355"/>
        <v>-35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0" customHeight="1">
      <c r="A348" s="70"/>
      <c r="B348" s="71"/>
      <c r="C348" s="66"/>
      <c r="D348" s="66">
        <f t="shared" si="333"/>
        <v>0</v>
      </c>
      <c r="E348" s="67"/>
      <c r="F348" s="58">
        <f t="shared" ref="F348:L348" si="356">SUMIFS($C348,$B348,F$7)+F347</f>
        <v>25</v>
      </c>
      <c r="G348" s="58">
        <f t="shared" si="356"/>
        <v>0</v>
      </c>
      <c r="H348" s="58">
        <f t="shared" si="356"/>
        <v>0</v>
      </c>
      <c r="I348" s="58">
        <f t="shared" si="356"/>
        <v>57</v>
      </c>
      <c r="J348" s="58">
        <f t="shared" si="356"/>
        <v>19</v>
      </c>
      <c r="K348" s="58">
        <f t="shared" si="356"/>
        <v>0</v>
      </c>
      <c r="L348" s="58">
        <f t="shared" si="356"/>
        <v>-35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0" customHeight="1">
      <c r="A349" s="70"/>
      <c r="B349" s="71"/>
      <c r="C349" s="66"/>
      <c r="D349" s="66">
        <f t="shared" si="333"/>
        <v>0</v>
      </c>
      <c r="E349" s="67"/>
      <c r="F349" s="58">
        <f t="shared" ref="F349:L349" si="357">SUMIFS($C349,$B349,F$7)+F348</f>
        <v>25</v>
      </c>
      <c r="G349" s="58">
        <f t="shared" si="357"/>
        <v>0</v>
      </c>
      <c r="H349" s="58">
        <f t="shared" si="357"/>
        <v>0</v>
      </c>
      <c r="I349" s="58">
        <f t="shared" si="357"/>
        <v>57</v>
      </c>
      <c r="J349" s="58">
        <f t="shared" si="357"/>
        <v>19</v>
      </c>
      <c r="K349" s="58">
        <f t="shared" si="357"/>
        <v>0</v>
      </c>
      <c r="L349" s="58">
        <f t="shared" si="357"/>
        <v>-35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0" customHeight="1">
      <c r="A350" s="70"/>
      <c r="B350" s="71"/>
      <c r="C350" s="66"/>
      <c r="D350" s="66">
        <f t="shared" si="333"/>
        <v>0</v>
      </c>
      <c r="E350" s="67"/>
      <c r="F350" s="58">
        <f t="shared" ref="F350:L350" si="358">SUMIFS($C350,$B350,F$7)+F349</f>
        <v>25</v>
      </c>
      <c r="G350" s="58">
        <f t="shared" si="358"/>
        <v>0</v>
      </c>
      <c r="H350" s="58">
        <f t="shared" si="358"/>
        <v>0</v>
      </c>
      <c r="I350" s="58">
        <f t="shared" si="358"/>
        <v>57</v>
      </c>
      <c r="J350" s="58">
        <f t="shared" si="358"/>
        <v>19</v>
      </c>
      <c r="K350" s="58">
        <f t="shared" si="358"/>
        <v>0</v>
      </c>
      <c r="L350" s="58">
        <f t="shared" si="358"/>
        <v>-35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0" customHeight="1">
      <c r="A351" s="70"/>
      <c r="B351" s="71"/>
      <c r="C351" s="66"/>
      <c r="D351" s="66">
        <f t="shared" si="333"/>
        <v>0</v>
      </c>
      <c r="E351" s="67"/>
      <c r="F351" s="58">
        <f t="shared" ref="F351:L351" si="359">SUMIFS($C351,$B351,F$7)+F350</f>
        <v>25</v>
      </c>
      <c r="G351" s="58">
        <f t="shared" si="359"/>
        <v>0</v>
      </c>
      <c r="H351" s="58">
        <f t="shared" si="359"/>
        <v>0</v>
      </c>
      <c r="I351" s="58">
        <f t="shared" si="359"/>
        <v>57</v>
      </c>
      <c r="J351" s="58">
        <f t="shared" si="359"/>
        <v>19</v>
      </c>
      <c r="K351" s="58">
        <f t="shared" si="359"/>
        <v>0</v>
      </c>
      <c r="L351" s="58">
        <f t="shared" si="359"/>
        <v>-35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0" customHeight="1">
      <c r="A352" s="70"/>
      <c r="B352" s="71"/>
      <c r="C352" s="66"/>
      <c r="D352" s="66">
        <f t="shared" si="333"/>
        <v>0</v>
      </c>
      <c r="E352" s="67"/>
      <c r="F352" s="58">
        <f t="shared" ref="F352:L352" si="360">SUMIFS($C352,$B352,F$7)+F351</f>
        <v>25</v>
      </c>
      <c r="G352" s="58">
        <f t="shared" si="360"/>
        <v>0</v>
      </c>
      <c r="H352" s="58">
        <f t="shared" si="360"/>
        <v>0</v>
      </c>
      <c r="I352" s="58">
        <f t="shared" si="360"/>
        <v>57</v>
      </c>
      <c r="J352" s="58">
        <f t="shared" si="360"/>
        <v>19</v>
      </c>
      <c r="K352" s="58">
        <f t="shared" si="360"/>
        <v>0</v>
      </c>
      <c r="L352" s="58">
        <f t="shared" si="360"/>
        <v>-35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0" customHeight="1">
      <c r="A353" s="70"/>
      <c r="B353" s="71"/>
      <c r="C353" s="66"/>
      <c r="D353" s="66">
        <f t="shared" si="333"/>
        <v>0</v>
      </c>
      <c r="E353" s="67"/>
      <c r="F353" s="58">
        <f t="shared" ref="F353:L353" si="361">SUMIFS($C353,$B353,F$7)+F352</f>
        <v>25</v>
      </c>
      <c r="G353" s="58">
        <f t="shared" si="361"/>
        <v>0</v>
      </c>
      <c r="H353" s="58">
        <f t="shared" si="361"/>
        <v>0</v>
      </c>
      <c r="I353" s="58">
        <f t="shared" si="361"/>
        <v>57</v>
      </c>
      <c r="J353" s="58">
        <f t="shared" si="361"/>
        <v>19</v>
      </c>
      <c r="K353" s="58">
        <f t="shared" si="361"/>
        <v>0</v>
      </c>
      <c r="L353" s="58">
        <f t="shared" si="361"/>
        <v>-35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0" customHeight="1">
      <c r="A354" s="70"/>
      <c r="B354" s="71"/>
      <c r="C354" s="66"/>
      <c r="D354" s="66">
        <f t="shared" si="333"/>
        <v>0</v>
      </c>
      <c r="E354" s="67"/>
      <c r="F354" s="58">
        <f t="shared" ref="F354:L354" si="362">SUMIFS($C354,$B354,F$7)+F353</f>
        <v>25</v>
      </c>
      <c r="G354" s="58">
        <f t="shared" si="362"/>
        <v>0</v>
      </c>
      <c r="H354" s="58">
        <f t="shared" si="362"/>
        <v>0</v>
      </c>
      <c r="I354" s="58">
        <f t="shared" si="362"/>
        <v>57</v>
      </c>
      <c r="J354" s="58">
        <f t="shared" si="362"/>
        <v>19</v>
      </c>
      <c r="K354" s="58">
        <f t="shared" si="362"/>
        <v>0</v>
      </c>
      <c r="L354" s="58">
        <f t="shared" si="362"/>
        <v>-35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0" customHeight="1">
      <c r="A355" s="70"/>
      <c r="B355" s="71"/>
      <c r="C355" s="66"/>
      <c r="D355" s="66">
        <f t="shared" si="333"/>
        <v>0</v>
      </c>
      <c r="E355" s="67"/>
      <c r="F355" s="58">
        <f t="shared" ref="F355:L355" si="363">SUMIFS($C355,$B355,F$7)+F354</f>
        <v>25</v>
      </c>
      <c r="G355" s="58">
        <f t="shared" si="363"/>
        <v>0</v>
      </c>
      <c r="H355" s="58">
        <f t="shared" si="363"/>
        <v>0</v>
      </c>
      <c r="I355" s="58">
        <f t="shared" si="363"/>
        <v>57</v>
      </c>
      <c r="J355" s="58">
        <f t="shared" si="363"/>
        <v>19</v>
      </c>
      <c r="K355" s="58">
        <f t="shared" si="363"/>
        <v>0</v>
      </c>
      <c r="L355" s="58">
        <f t="shared" si="363"/>
        <v>-35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0" customHeight="1">
      <c r="A356" s="70"/>
      <c r="B356" s="71"/>
      <c r="C356" s="66"/>
      <c r="D356" s="66">
        <f t="shared" si="333"/>
        <v>0</v>
      </c>
      <c r="E356" s="67"/>
      <c r="F356" s="58">
        <f t="shared" ref="F356:L356" si="364">SUMIFS($C356,$B356,F$7)+F355</f>
        <v>25</v>
      </c>
      <c r="G356" s="58">
        <f t="shared" si="364"/>
        <v>0</v>
      </c>
      <c r="H356" s="58">
        <f t="shared" si="364"/>
        <v>0</v>
      </c>
      <c r="I356" s="58">
        <f t="shared" si="364"/>
        <v>57</v>
      </c>
      <c r="J356" s="58">
        <f t="shared" si="364"/>
        <v>19</v>
      </c>
      <c r="K356" s="58">
        <f t="shared" si="364"/>
        <v>0</v>
      </c>
      <c r="L356" s="58">
        <f t="shared" si="364"/>
        <v>-35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0" customHeight="1">
      <c r="A357" s="70"/>
      <c r="B357" s="71"/>
      <c r="C357" s="66"/>
      <c r="D357" s="66">
        <f t="shared" si="333"/>
        <v>0</v>
      </c>
      <c r="E357" s="67"/>
      <c r="F357" s="58">
        <f t="shared" ref="F357:L357" si="365">SUMIFS($C357,$B357,F$7)+F356</f>
        <v>25</v>
      </c>
      <c r="G357" s="58">
        <f t="shared" si="365"/>
        <v>0</v>
      </c>
      <c r="H357" s="58">
        <f t="shared" si="365"/>
        <v>0</v>
      </c>
      <c r="I357" s="58">
        <f t="shared" si="365"/>
        <v>57</v>
      </c>
      <c r="J357" s="58">
        <f t="shared" si="365"/>
        <v>19</v>
      </c>
      <c r="K357" s="58">
        <f t="shared" si="365"/>
        <v>0</v>
      </c>
      <c r="L357" s="58">
        <f t="shared" si="365"/>
        <v>-35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0" customHeight="1">
      <c r="A358" s="70"/>
      <c r="B358" s="71"/>
      <c r="C358" s="66"/>
      <c r="D358" s="66">
        <f t="shared" si="333"/>
        <v>0</v>
      </c>
      <c r="E358" s="67"/>
      <c r="F358" s="58">
        <f t="shared" ref="F358:L358" si="366">SUMIFS($C358,$B358,F$7)+F357</f>
        <v>25</v>
      </c>
      <c r="G358" s="58">
        <f t="shared" si="366"/>
        <v>0</v>
      </c>
      <c r="H358" s="58">
        <f t="shared" si="366"/>
        <v>0</v>
      </c>
      <c r="I358" s="58">
        <f t="shared" si="366"/>
        <v>57</v>
      </c>
      <c r="J358" s="58">
        <f t="shared" si="366"/>
        <v>19</v>
      </c>
      <c r="K358" s="58">
        <f t="shared" si="366"/>
        <v>0</v>
      </c>
      <c r="L358" s="58">
        <f t="shared" si="366"/>
        <v>-35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0" customHeight="1">
      <c r="A359" s="70"/>
      <c r="B359" s="71"/>
      <c r="C359" s="66"/>
      <c r="D359" s="66">
        <f t="shared" si="333"/>
        <v>0</v>
      </c>
      <c r="E359" s="67"/>
      <c r="F359" s="58">
        <f t="shared" ref="F359:L359" si="367">SUMIFS($C359,$B359,F$7)+F358</f>
        <v>25</v>
      </c>
      <c r="G359" s="58">
        <f t="shared" si="367"/>
        <v>0</v>
      </c>
      <c r="H359" s="58">
        <f t="shared" si="367"/>
        <v>0</v>
      </c>
      <c r="I359" s="58">
        <f t="shared" si="367"/>
        <v>57</v>
      </c>
      <c r="J359" s="58">
        <f t="shared" si="367"/>
        <v>19</v>
      </c>
      <c r="K359" s="58">
        <f t="shared" si="367"/>
        <v>0</v>
      </c>
      <c r="L359" s="58">
        <f t="shared" si="367"/>
        <v>-35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0" customHeight="1">
      <c r="A360" s="70"/>
      <c r="B360" s="71"/>
      <c r="C360" s="66"/>
      <c r="D360" s="66">
        <f t="shared" si="333"/>
        <v>0</v>
      </c>
      <c r="E360" s="67"/>
      <c r="F360" s="58">
        <f t="shared" ref="F360:L360" si="368">SUMIFS($C360,$B360,F$7)+F359</f>
        <v>25</v>
      </c>
      <c r="G360" s="58">
        <f t="shared" si="368"/>
        <v>0</v>
      </c>
      <c r="H360" s="58">
        <f t="shared" si="368"/>
        <v>0</v>
      </c>
      <c r="I360" s="58">
        <f t="shared" si="368"/>
        <v>57</v>
      </c>
      <c r="J360" s="58">
        <f t="shared" si="368"/>
        <v>19</v>
      </c>
      <c r="K360" s="58">
        <f t="shared" si="368"/>
        <v>0</v>
      </c>
      <c r="L360" s="58">
        <f t="shared" si="368"/>
        <v>-35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0" customHeight="1">
      <c r="A361" s="70"/>
      <c r="B361" s="71"/>
      <c r="C361" s="66"/>
      <c r="D361" s="66">
        <f t="shared" si="333"/>
        <v>0</v>
      </c>
      <c r="E361" s="67"/>
      <c r="F361" s="58">
        <f t="shared" ref="F361:L361" si="369">SUMIFS($C361,$B361,F$7)+F360</f>
        <v>25</v>
      </c>
      <c r="G361" s="58">
        <f t="shared" si="369"/>
        <v>0</v>
      </c>
      <c r="H361" s="58">
        <f t="shared" si="369"/>
        <v>0</v>
      </c>
      <c r="I361" s="58">
        <f t="shared" si="369"/>
        <v>57</v>
      </c>
      <c r="J361" s="58">
        <f t="shared" si="369"/>
        <v>19</v>
      </c>
      <c r="K361" s="58">
        <f t="shared" si="369"/>
        <v>0</v>
      </c>
      <c r="L361" s="58">
        <f t="shared" si="369"/>
        <v>-35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0" customHeight="1">
      <c r="A362" s="70"/>
      <c r="B362" s="71"/>
      <c r="C362" s="66"/>
      <c r="D362" s="66">
        <f t="shared" si="333"/>
        <v>0</v>
      </c>
      <c r="E362" s="67"/>
      <c r="F362" s="58">
        <f t="shared" ref="F362:L362" si="370">SUMIFS($C362,$B362,F$7)+F361</f>
        <v>25</v>
      </c>
      <c r="G362" s="58">
        <f t="shared" si="370"/>
        <v>0</v>
      </c>
      <c r="H362" s="58">
        <f t="shared" si="370"/>
        <v>0</v>
      </c>
      <c r="I362" s="58">
        <f t="shared" si="370"/>
        <v>57</v>
      </c>
      <c r="J362" s="58">
        <f t="shared" si="370"/>
        <v>19</v>
      </c>
      <c r="K362" s="58">
        <f t="shared" si="370"/>
        <v>0</v>
      </c>
      <c r="L362" s="58">
        <f t="shared" si="370"/>
        <v>-35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0" customHeight="1">
      <c r="A363" s="70"/>
      <c r="B363" s="71"/>
      <c r="C363" s="66"/>
      <c r="D363" s="66">
        <f t="shared" si="333"/>
        <v>0</v>
      </c>
      <c r="E363" s="67"/>
      <c r="F363" s="58">
        <f t="shared" ref="F363:L363" si="371">SUMIFS($C363,$B363,F$7)+F362</f>
        <v>25</v>
      </c>
      <c r="G363" s="58">
        <f t="shared" si="371"/>
        <v>0</v>
      </c>
      <c r="H363" s="58">
        <f t="shared" si="371"/>
        <v>0</v>
      </c>
      <c r="I363" s="58">
        <f t="shared" si="371"/>
        <v>57</v>
      </c>
      <c r="J363" s="58">
        <f t="shared" si="371"/>
        <v>19</v>
      </c>
      <c r="K363" s="58">
        <f t="shared" si="371"/>
        <v>0</v>
      </c>
      <c r="L363" s="58">
        <f t="shared" si="371"/>
        <v>-35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0" customHeight="1">
      <c r="A364" s="70"/>
      <c r="B364" s="71"/>
      <c r="C364" s="66"/>
      <c r="D364" s="66">
        <f t="shared" si="333"/>
        <v>0</v>
      </c>
      <c r="E364" s="67"/>
      <c r="F364" s="58">
        <f t="shared" ref="F364:L364" si="372">SUMIFS($C364,$B364,F$7)+F363</f>
        <v>25</v>
      </c>
      <c r="G364" s="58">
        <f t="shared" si="372"/>
        <v>0</v>
      </c>
      <c r="H364" s="58">
        <f t="shared" si="372"/>
        <v>0</v>
      </c>
      <c r="I364" s="58">
        <f t="shared" si="372"/>
        <v>57</v>
      </c>
      <c r="J364" s="58">
        <f t="shared" si="372"/>
        <v>19</v>
      </c>
      <c r="K364" s="58">
        <f t="shared" si="372"/>
        <v>0</v>
      </c>
      <c r="L364" s="58">
        <f t="shared" si="372"/>
        <v>-35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0" customHeight="1">
      <c r="A365" s="70"/>
      <c r="B365" s="71"/>
      <c r="C365" s="66"/>
      <c r="D365" s="66">
        <f t="shared" si="333"/>
        <v>0</v>
      </c>
      <c r="E365" s="67"/>
      <c r="F365" s="58">
        <f t="shared" ref="F365:L365" si="373">SUMIFS($C365,$B365,F$7)+F364</f>
        <v>25</v>
      </c>
      <c r="G365" s="58">
        <f t="shared" si="373"/>
        <v>0</v>
      </c>
      <c r="H365" s="58">
        <f t="shared" si="373"/>
        <v>0</v>
      </c>
      <c r="I365" s="58">
        <f t="shared" si="373"/>
        <v>57</v>
      </c>
      <c r="J365" s="58">
        <f t="shared" si="373"/>
        <v>19</v>
      </c>
      <c r="K365" s="58">
        <f t="shared" si="373"/>
        <v>0</v>
      </c>
      <c r="L365" s="58">
        <f t="shared" si="373"/>
        <v>-35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0" customHeight="1">
      <c r="A366" s="70"/>
      <c r="B366" s="71"/>
      <c r="C366" s="66"/>
      <c r="D366" s="66">
        <f t="shared" si="333"/>
        <v>0</v>
      </c>
      <c r="E366" s="67"/>
      <c r="F366" s="58">
        <f t="shared" ref="F366:L366" si="374">SUMIFS($C366,$B366,F$7)+F365</f>
        <v>25</v>
      </c>
      <c r="G366" s="58">
        <f t="shared" si="374"/>
        <v>0</v>
      </c>
      <c r="H366" s="58">
        <f t="shared" si="374"/>
        <v>0</v>
      </c>
      <c r="I366" s="58">
        <f t="shared" si="374"/>
        <v>57</v>
      </c>
      <c r="J366" s="58">
        <f t="shared" si="374"/>
        <v>19</v>
      </c>
      <c r="K366" s="58">
        <f t="shared" si="374"/>
        <v>0</v>
      </c>
      <c r="L366" s="58">
        <f t="shared" si="374"/>
        <v>-35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0" customHeight="1">
      <c r="A367" s="70"/>
      <c r="B367" s="71"/>
      <c r="C367" s="66"/>
      <c r="D367" s="66">
        <f t="shared" si="333"/>
        <v>0</v>
      </c>
      <c r="E367" s="67"/>
      <c r="F367" s="58">
        <f t="shared" ref="F367:L367" si="375">SUMIFS($C367,$B367,F$7)+F366</f>
        <v>25</v>
      </c>
      <c r="G367" s="58">
        <f t="shared" si="375"/>
        <v>0</v>
      </c>
      <c r="H367" s="58">
        <f t="shared" si="375"/>
        <v>0</v>
      </c>
      <c r="I367" s="58">
        <f t="shared" si="375"/>
        <v>57</v>
      </c>
      <c r="J367" s="58">
        <f t="shared" si="375"/>
        <v>19</v>
      </c>
      <c r="K367" s="58">
        <f t="shared" si="375"/>
        <v>0</v>
      </c>
      <c r="L367" s="58">
        <f t="shared" si="375"/>
        <v>-35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0" customHeight="1">
      <c r="A368" s="70"/>
      <c r="B368" s="71"/>
      <c r="C368" s="66"/>
      <c r="D368" s="66">
        <f t="shared" si="333"/>
        <v>0</v>
      </c>
      <c r="E368" s="67"/>
      <c r="F368" s="58">
        <f t="shared" ref="F368:L368" si="376">SUMIFS($C368,$B368,F$7)+F367</f>
        <v>25</v>
      </c>
      <c r="G368" s="58">
        <f t="shared" si="376"/>
        <v>0</v>
      </c>
      <c r="H368" s="58">
        <f t="shared" si="376"/>
        <v>0</v>
      </c>
      <c r="I368" s="58">
        <f t="shared" si="376"/>
        <v>57</v>
      </c>
      <c r="J368" s="58">
        <f t="shared" si="376"/>
        <v>19</v>
      </c>
      <c r="K368" s="58">
        <f t="shared" si="376"/>
        <v>0</v>
      </c>
      <c r="L368" s="58">
        <f t="shared" si="376"/>
        <v>-35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0" customHeight="1">
      <c r="A369" s="70"/>
      <c r="B369" s="71"/>
      <c r="C369" s="66"/>
      <c r="D369" s="66">
        <f t="shared" si="333"/>
        <v>0</v>
      </c>
      <c r="E369" s="67"/>
      <c r="F369" s="58">
        <f t="shared" ref="F369:L369" si="377">SUMIFS($C369,$B369,F$7)+F368</f>
        <v>25</v>
      </c>
      <c r="G369" s="58">
        <f t="shared" si="377"/>
        <v>0</v>
      </c>
      <c r="H369" s="58">
        <f t="shared" si="377"/>
        <v>0</v>
      </c>
      <c r="I369" s="58">
        <f t="shared" si="377"/>
        <v>57</v>
      </c>
      <c r="J369" s="58">
        <f t="shared" si="377"/>
        <v>19</v>
      </c>
      <c r="K369" s="58">
        <f t="shared" si="377"/>
        <v>0</v>
      </c>
      <c r="L369" s="58">
        <f t="shared" si="377"/>
        <v>-35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0" customHeight="1">
      <c r="A370" s="70"/>
      <c r="B370" s="71"/>
      <c r="C370" s="66"/>
      <c r="D370" s="66">
        <f t="shared" si="333"/>
        <v>0</v>
      </c>
      <c r="E370" s="67"/>
      <c r="F370" s="58">
        <f t="shared" ref="F370:L370" si="378">SUMIFS($C370,$B370,F$7)+F369</f>
        <v>25</v>
      </c>
      <c r="G370" s="58">
        <f t="shared" si="378"/>
        <v>0</v>
      </c>
      <c r="H370" s="58">
        <f t="shared" si="378"/>
        <v>0</v>
      </c>
      <c r="I370" s="58">
        <f t="shared" si="378"/>
        <v>57</v>
      </c>
      <c r="J370" s="58">
        <f t="shared" si="378"/>
        <v>19</v>
      </c>
      <c r="K370" s="58">
        <f t="shared" si="378"/>
        <v>0</v>
      </c>
      <c r="L370" s="58">
        <f t="shared" si="378"/>
        <v>-35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0" customHeight="1">
      <c r="A371" s="70"/>
      <c r="B371" s="71"/>
      <c r="C371" s="66"/>
      <c r="D371" s="66">
        <f t="shared" si="333"/>
        <v>0</v>
      </c>
      <c r="E371" s="67"/>
      <c r="F371" s="58">
        <f t="shared" ref="F371:L371" si="379">SUMIFS($C371,$B371,F$7)+F370</f>
        <v>25</v>
      </c>
      <c r="G371" s="58">
        <f t="shared" si="379"/>
        <v>0</v>
      </c>
      <c r="H371" s="58">
        <f t="shared" si="379"/>
        <v>0</v>
      </c>
      <c r="I371" s="58">
        <f t="shared" si="379"/>
        <v>57</v>
      </c>
      <c r="J371" s="58">
        <f t="shared" si="379"/>
        <v>19</v>
      </c>
      <c r="K371" s="58">
        <f t="shared" si="379"/>
        <v>0</v>
      </c>
      <c r="L371" s="58">
        <f t="shared" si="379"/>
        <v>-35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0" customHeight="1">
      <c r="A372" s="70"/>
      <c r="B372" s="71"/>
      <c r="C372" s="66"/>
      <c r="D372" s="66">
        <f t="shared" si="333"/>
        <v>0</v>
      </c>
      <c r="E372" s="67"/>
      <c r="F372" s="58">
        <f t="shared" ref="F372:L372" si="380">SUMIFS($C372,$B372,F$7)+F371</f>
        <v>25</v>
      </c>
      <c r="G372" s="58">
        <f t="shared" si="380"/>
        <v>0</v>
      </c>
      <c r="H372" s="58">
        <f t="shared" si="380"/>
        <v>0</v>
      </c>
      <c r="I372" s="58">
        <f t="shared" si="380"/>
        <v>57</v>
      </c>
      <c r="J372" s="58">
        <f t="shared" si="380"/>
        <v>19</v>
      </c>
      <c r="K372" s="58">
        <f t="shared" si="380"/>
        <v>0</v>
      </c>
      <c r="L372" s="58">
        <f t="shared" si="380"/>
        <v>-35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0" customHeight="1">
      <c r="A373" s="70"/>
      <c r="B373" s="71"/>
      <c r="C373" s="66"/>
      <c r="D373" s="66">
        <f t="shared" si="333"/>
        <v>0</v>
      </c>
      <c r="E373" s="67"/>
      <c r="F373" s="58">
        <f t="shared" ref="F373:L373" si="381">SUMIFS($C373,$B373,F$7)+F372</f>
        <v>25</v>
      </c>
      <c r="G373" s="58">
        <f t="shared" si="381"/>
        <v>0</v>
      </c>
      <c r="H373" s="58">
        <f t="shared" si="381"/>
        <v>0</v>
      </c>
      <c r="I373" s="58">
        <f t="shared" si="381"/>
        <v>57</v>
      </c>
      <c r="J373" s="58">
        <f t="shared" si="381"/>
        <v>19</v>
      </c>
      <c r="K373" s="58">
        <f t="shared" si="381"/>
        <v>0</v>
      </c>
      <c r="L373" s="58">
        <f t="shared" si="381"/>
        <v>-35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0" customHeight="1">
      <c r="A374" s="70"/>
      <c r="B374" s="71"/>
      <c r="C374" s="66"/>
      <c r="D374" s="66">
        <f t="shared" si="333"/>
        <v>0</v>
      </c>
      <c r="E374" s="67"/>
      <c r="F374" s="58">
        <f t="shared" ref="F374:L374" si="382">SUMIFS($C374,$B374,F$7)+F373</f>
        <v>25</v>
      </c>
      <c r="G374" s="58">
        <f t="shared" si="382"/>
        <v>0</v>
      </c>
      <c r="H374" s="58">
        <f t="shared" si="382"/>
        <v>0</v>
      </c>
      <c r="I374" s="58">
        <f t="shared" si="382"/>
        <v>57</v>
      </c>
      <c r="J374" s="58">
        <f t="shared" si="382"/>
        <v>19</v>
      </c>
      <c r="K374" s="58">
        <f t="shared" si="382"/>
        <v>0</v>
      </c>
      <c r="L374" s="58">
        <f t="shared" si="382"/>
        <v>-35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0" customHeight="1">
      <c r="A375" s="70"/>
      <c r="B375" s="71"/>
      <c r="C375" s="66"/>
      <c r="D375" s="66">
        <f t="shared" si="333"/>
        <v>0</v>
      </c>
      <c r="E375" s="67"/>
      <c r="F375" s="58">
        <f t="shared" ref="F375:L375" si="383">SUMIFS($C375,$B375,F$7)+F374</f>
        <v>25</v>
      </c>
      <c r="G375" s="58">
        <f t="shared" si="383"/>
        <v>0</v>
      </c>
      <c r="H375" s="58">
        <f t="shared" si="383"/>
        <v>0</v>
      </c>
      <c r="I375" s="58">
        <f t="shared" si="383"/>
        <v>57</v>
      </c>
      <c r="J375" s="58">
        <f t="shared" si="383"/>
        <v>19</v>
      </c>
      <c r="K375" s="58">
        <f t="shared" si="383"/>
        <v>0</v>
      </c>
      <c r="L375" s="58">
        <f t="shared" si="383"/>
        <v>-35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0" customHeight="1">
      <c r="A376" s="70"/>
      <c r="B376" s="71"/>
      <c r="C376" s="66"/>
      <c r="D376" s="66">
        <f t="shared" si="333"/>
        <v>0</v>
      </c>
      <c r="E376" s="67"/>
      <c r="F376" s="58">
        <f t="shared" ref="F376:L376" si="384">SUMIFS($C376,$B376,F$7)+F375</f>
        <v>25</v>
      </c>
      <c r="G376" s="58">
        <f t="shared" si="384"/>
        <v>0</v>
      </c>
      <c r="H376" s="58">
        <f t="shared" si="384"/>
        <v>0</v>
      </c>
      <c r="I376" s="58">
        <f t="shared" si="384"/>
        <v>57</v>
      </c>
      <c r="J376" s="58">
        <f t="shared" si="384"/>
        <v>19</v>
      </c>
      <c r="K376" s="58">
        <f t="shared" si="384"/>
        <v>0</v>
      </c>
      <c r="L376" s="58">
        <f t="shared" si="384"/>
        <v>-35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0" customHeight="1">
      <c r="A377" s="70"/>
      <c r="B377" s="71"/>
      <c r="C377" s="66"/>
      <c r="D377" s="66">
        <f t="shared" si="333"/>
        <v>0</v>
      </c>
      <c r="E377" s="67"/>
      <c r="F377" s="58">
        <f t="shared" ref="F377:L377" si="385">SUMIFS($C377,$B377,F$7)+F376</f>
        <v>25</v>
      </c>
      <c r="G377" s="58">
        <f t="shared" si="385"/>
        <v>0</v>
      </c>
      <c r="H377" s="58">
        <f t="shared" si="385"/>
        <v>0</v>
      </c>
      <c r="I377" s="58">
        <f t="shared" si="385"/>
        <v>57</v>
      </c>
      <c r="J377" s="58">
        <f t="shared" si="385"/>
        <v>19</v>
      </c>
      <c r="K377" s="58">
        <f t="shared" si="385"/>
        <v>0</v>
      </c>
      <c r="L377" s="58">
        <f t="shared" si="385"/>
        <v>-35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0" customHeight="1">
      <c r="A378" s="70"/>
      <c r="B378" s="71"/>
      <c r="C378" s="66"/>
      <c r="D378" s="66">
        <f t="shared" si="333"/>
        <v>0</v>
      </c>
      <c r="E378" s="67"/>
      <c r="F378" s="58">
        <f t="shared" ref="F378:L378" si="386">SUMIFS($C378,$B378,F$7)+F377</f>
        <v>25</v>
      </c>
      <c r="G378" s="58">
        <f t="shared" si="386"/>
        <v>0</v>
      </c>
      <c r="H378" s="58">
        <f t="shared" si="386"/>
        <v>0</v>
      </c>
      <c r="I378" s="58">
        <f t="shared" si="386"/>
        <v>57</v>
      </c>
      <c r="J378" s="58">
        <f t="shared" si="386"/>
        <v>19</v>
      </c>
      <c r="K378" s="58">
        <f t="shared" si="386"/>
        <v>0</v>
      </c>
      <c r="L378" s="58">
        <f t="shared" si="386"/>
        <v>-35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0" customHeight="1">
      <c r="A379" s="70"/>
      <c r="B379" s="71"/>
      <c r="C379" s="66"/>
      <c r="D379" s="66">
        <f t="shared" si="333"/>
        <v>0</v>
      </c>
      <c r="E379" s="67"/>
      <c r="F379" s="58">
        <f t="shared" ref="F379:L379" si="387">SUMIFS($C379,$B379,F$7)+F378</f>
        <v>25</v>
      </c>
      <c r="G379" s="58">
        <f t="shared" si="387"/>
        <v>0</v>
      </c>
      <c r="H379" s="58">
        <f t="shared" si="387"/>
        <v>0</v>
      </c>
      <c r="I379" s="58">
        <f t="shared" si="387"/>
        <v>57</v>
      </c>
      <c r="J379" s="58">
        <f t="shared" si="387"/>
        <v>19</v>
      </c>
      <c r="K379" s="58">
        <f t="shared" si="387"/>
        <v>0</v>
      </c>
      <c r="L379" s="58">
        <f t="shared" si="387"/>
        <v>-35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0" customHeight="1">
      <c r="A380" s="70"/>
      <c r="B380" s="71"/>
      <c r="C380" s="66"/>
      <c r="D380" s="66">
        <f t="shared" si="333"/>
        <v>0</v>
      </c>
      <c r="E380" s="67"/>
      <c r="F380" s="58">
        <f t="shared" ref="F380:L380" si="388">SUMIFS($C380,$B380,F$7)+F379</f>
        <v>25</v>
      </c>
      <c r="G380" s="58">
        <f t="shared" si="388"/>
        <v>0</v>
      </c>
      <c r="H380" s="58">
        <f t="shared" si="388"/>
        <v>0</v>
      </c>
      <c r="I380" s="58">
        <f t="shared" si="388"/>
        <v>57</v>
      </c>
      <c r="J380" s="58">
        <f t="shared" si="388"/>
        <v>19</v>
      </c>
      <c r="K380" s="58">
        <f t="shared" si="388"/>
        <v>0</v>
      </c>
      <c r="L380" s="58">
        <f t="shared" si="388"/>
        <v>-35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0" customHeight="1">
      <c r="A381" s="70"/>
      <c r="B381" s="71"/>
      <c r="C381" s="66"/>
      <c r="D381" s="66">
        <f t="shared" si="333"/>
        <v>0</v>
      </c>
      <c r="E381" s="67"/>
      <c r="F381" s="58">
        <f t="shared" ref="F381:L381" si="389">SUMIFS($C381,$B381,F$7)+F380</f>
        <v>25</v>
      </c>
      <c r="G381" s="58">
        <f t="shared" si="389"/>
        <v>0</v>
      </c>
      <c r="H381" s="58">
        <f t="shared" si="389"/>
        <v>0</v>
      </c>
      <c r="I381" s="58">
        <f t="shared" si="389"/>
        <v>57</v>
      </c>
      <c r="J381" s="58">
        <f t="shared" si="389"/>
        <v>19</v>
      </c>
      <c r="K381" s="58">
        <f t="shared" si="389"/>
        <v>0</v>
      </c>
      <c r="L381" s="58">
        <f t="shared" si="389"/>
        <v>-35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0" customHeight="1">
      <c r="A382" s="70"/>
      <c r="B382" s="71"/>
      <c r="C382" s="66"/>
      <c r="D382" s="66">
        <f t="shared" si="333"/>
        <v>0</v>
      </c>
      <c r="E382" s="67"/>
      <c r="F382" s="58">
        <f t="shared" ref="F382:L382" si="390">SUMIFS($C382,$B382,F$7)+F381</f>
        <v>25</v>
      </c>
      <c r="G382" s="58">
        <f t="shared" si="390"/>
        <v>0</v>
      </c>
      <c r="H382" s="58">
        <f t="shared" si="390"/>
        <v>0</v>
      </c>
      <c r="I382" s="58">
        <f t="shared" si="390"/>
        <v>57</v>
      </c>
      <c r="J382" s="58">
        <f t="shared" si="390"/>
        <v>19</v>
      </c>
      <c r="K382" s="58">
        <f t="shared" si="390"/>
        <v>0</v>
      </c>
      <c r="L382" s="58">
        <f t="shared" si="390"/>
        <v>-35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0" customHeight="1">
      <c r="A383" s="70"/>
      <c r="B383" s="71"/>
      <c r="C383" s="66"/>
      <c r="D383" s="66">
        <f t="shared" si="333"/>
        <v>0</v>
      </c>
      <c r="E383" s="67"/>
      <c r="F383" s="58">
        <f t="shared" ref="F383:L383" si="391">SUMIFS($C383,$B383,F$7)+F382</f>
        <v>25</v>
      </c>
      <c r="G383" s="58">
        <f t="shared" si="391"/>
        <v>0</v>
      </c>
      <c r="H383" s="58">
        <f t="shared" si="391"/>
        <v>0</v>
      </c>
      <c r="I383" s="58">
        <f t="shared" si="391"/>
        <v>57</v>
      </c>
      <c r="J383" s="58">
        <f t="shared" si="391"/>
        <v>19</v>
      </c>
      <c r="K383" s="58">
        <f t="shared" si="391"/>
        <v>0</v>
      </c>
      <c r="L383" s="58">
        <f t="shared" si="391"/>
        <v>-35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0" customHeight="1">
      <c r="A384" s="70"/>
      <c r="B384" s="71"/>
      <c r="C384" s="66"/>
      <c r="D384" s="66">
        <f t="shared" si="333"/>
        <v>0</v>
      </c>
      <c r="E384" s="67"/>
      <c r="F384" s="58">
        <f t="shared" ref="F384:L384" si="392">SUMIFS($C384,$B384,F$7)+F383</f>
        <v>25</v>
      </c>
      <c r="G384" s="58">
        <f t="shared" si="392"/>
        <v>0</v>
      </c>
      <c r="H384" s="58">
        <f t="shared" si="392"/>
        <v>0</v>
      </c>
      <c r="I384" s="58">
        <f t="shared" si="392"/>
        <v>57</v>
      </c>
      <c r="J384" s="58">
        <f t="shared" si="392"/>
        <v>19</v>
      </c>
      <c r="K384" s="58">
        <f t="shared" si="392"/>
        <v>0</v>
      </c>
      <c r="L384" s="58">
        <f t="shared" si="392"/>
        <v>-35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0" customHeight="1">
      <c r="A385" s="70"/>
      <c r="B385" s="71"/>
      <c r="C385" s="66"/>
      <c r="D385" s="66">
        <f t="shared" si="333"/>
        <v>0</v>
      </c>
      <c r="E385" s="67"/>
      <c r="F385" s="58">
        <f t="shared" ref="F385:L385" si="393">SUMIFS($C385,$B385,F$7)+F384</f>
        <v>25</v>
      </c>
      <c r="G385" s="58">
        <f t="shared" si="393"/>
        <v>0</v>
      </c>
      <c r="H385" s="58">
        <f t="shared" si="393"/>
        <v>0</v>
      </c>
      <c r="I385" s="58">
        <f t="shared" si="393"/>
        <v>57</v>
      </c>
      <c r="J385" s="58">
        <f t="shared" si="393"/>
        <v>19</v>
      </c>
      <c r="K385" s="58">
        <f t="shared" si="393"/>
        <v>0</v>
      </c>
      <c r="L385" s="58">
        <f t="shared" si="393"/>
        <v>-35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0" customHeight="1">
      <c r="A386" s="70"/>
      <c r="B386" s="71"/>
      <c r="C386" s="66"/>
      <c r="D386" s="66">
        <f t="shared" si="333"/>
        <v>0</v>
      </c>
      <c r="E386" s="67"/>
      <c r="F386" s="58">
        <f t="shared" ref="F386:L386" si="394">SUMIFS($C386,$B386,F$7)+F385</f>
        <v>25</v>
      </c>
      <c r="G386" s="58">
        <f t="shared" si="394"/>
        <v>0</v>
      </c>
      <c r="H386" s="58">
        <f t="shared" si="394"/>
        <v>0</v>
      </c>
      <c r="I386" s="58">
        <f t="shared" si="394"/>
        <v>57</v>
      </c>
      <c r="J386" s="58">
        <f t="shared" si="394"/>
        <v>19</v>
      </c>
      <c r="K386" s="58">
        <f t="shared" si="394"/>
        <v>0</v>
      </c>
      <c r="L386" s="58">
        <f t="shared" si="394"/>
        <v>-35</v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0" customHeight="1">
      <c r="A387" s="70"/>
      <c r="B387" s="71"/>
      <c r="C387" s="66"/>
      <c r="D387" s="66">
        <f t="shared" si="333"/>
        <v>0</v>
      </c>
      <c r="E387" s="67"/>
      <c r="F387" s="58">
        <f t="shared" ref="F387:L387" si="395">SUMIFS($C387,$B387,F$7)+F386</f>
        <v>25</v>
      </c>
      <c r="G387" s="58">
        <f t="shared" si="395"/>
        <v>0</v>
      </c>
      <c r="H387" s="58">
        <f t="shared" si="395"/>
        <v>0</v>
      </c>
      <c r="I387" s="58">
        <f t="shared" si="395"/>
        <v>57</v>
      </c>
      <c r="J387" s="58">
        <f t="shared" si="395"/>
        <v>19</v>
      </c>
      <c r="K387" s="58">
        <f t="shared" si="395"/>
        <v>0</v>
      </c>
      <c r="L387" s="58">
        <f t="shared" si="395"/>
        <v>-35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0" customHeight="1">
      <c r="A388" s="70"/>
      <c r="B388" s="71"/>
      <c r="C388" s="66"/>
      <c r="D388" s="66">
        <f t="shared" si="333"/>
        <v>0</v>
      </c>
      <c r="E388" s="67"/>
      <c r="F388" s="58">
        <f t="shared" ref="F388:L388" si="396">SUMIFS($C388,$B388,F$7)+F387</f>
        <v>25</v>
      </c>
      <c r="G388" s="58">
        <f t="shared" si="396"/>
        <v>0</v>
      </c>
      <c r="H388" s="58">
        <f t="shared" si="396"/>
        <v>0</v>
      </c>
      <c r="I388" s="58">
        <f t="shared" si="396"/>
        <v>57</v>
      </c>
      <c r="J388" s="58">
        <f t="shared" si="396"/>
        <v>19</v>
      </c>
      <c r="K388" s="58">
        <f t="shared" si="396"/>
        <v>0</v>
      </c>
      <c r="L388" s="58">
        <f t="shared" si="396"/>
        <v>-35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0" customHeight="1">
      <c r="A389" s="70"/>
      <c r="B389" s="71"/>
      <c r="C389" s="66"/>
      <c r="D389" s="66">
        <f t="shared" si="333"/>
        <v>0</v>
      </c>
      <c r="E389" s="67"/>
      <c r="F389" s="58">
        <f t="shared" ref="F389:L389" si="397">SUMIFS($C389,$B389,F$7)+F388</f>
        <v>25</v>
      </c>
      <c r="G389" s="58">
        <f t="shared" si="397"/>
        <v>0</v>
      </c>
      <c r="H389" s="58">
        <f t="shared" si="397"/>
        <v>0</v>
      </c>
      <c r="I389" s="58">
        <f t="shared" si="397"/>
        <v>57</v>
      </c>
      <c r="J389" s="58">
        <f t="shared" si="397"/>
        <v>19</v>
      </c>
      <c r="K389" s="58">
        <f t="shared" si="397"/>
        <v>0</v>
      </c>
      <c r="L389" s="58">
        <f t="shared" si="397"/>
        <v>-35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0" customHeight="1">
      <c r="A390" s="70"/>
      <c r="B390" s="71"/>
      <c r="C390" s="66"/>
      <c r="D390" s="66">
        <f t="shared" si="333"/>
        <v>0</v>
      </c>
      <c r="E390" s="67"/>
      <c r="F390" s="58">
        <f t="shared" ref="F390:L390" si="398">SUMIFS($C390,$B390,F$7)+F389</f>
        <v>25</v>
      </c>
      <c r="G390" s="58">
        <f t="shared" si="398"/>
        <v>0</v>
      </c>
      <c r="H390" s="58">
        <f t="shared" si="398"/>
        <v>0</v>
      </c>
      <c r="I390" s="58">
        <f t="shared" si="398"/>
        <v>57</v>
      </c>
      <c r="J390" s="58">
        <f t="shared" si="398"/>
        <v>19</v>
      </c>
      <c r="K390" s="58">
        <f t="shared" si="398"/>
        <v>0</v>
      </c>
      <c r="L390" s="58">
        <f t="shared" si="398"/>
        <v>-35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0" customHeight="1">
      <c r="A391" s="70"/>
      <c r="B391" s="71"/>
      <c r="C391" s="66"/>
      <c r="D391" s="66">
        <f t="shared" si="333"/>
        <v>0</v>
      </c>
      <c r="E391" s="67"/>
      <c r="F391" s="58">
        <f t="shared" ref="F391:L391" si="399">SUMIFS($C391,$B391,F$7)+F390</f>
        <v>25</v>
      </c>
      <c r="G391" s="58">
        <f t="shared" si="399"/>
        <v>0</v>
      </c>
      <c r="H391" s="58">
        <f t="shared" si="399"/>
        <v>0</v>
      </c>
      <c r="I391" s="58">
        <f t="shared" si="399"/>
        <v>57</v>
      </c>
      <c r="J391" s="58">
        <f t="shared" si="399"/>
        <v>19</v>
      </c>
      <c r="K391" s="58">
        <f t="shared" si="399"/>
        <v>0</v>
      </c>
      <c r="L391" s="58">
        <f t="shared" si="399"/>
        <v>-35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0" customHeight="1">
      <c r="A392" s="70"/>
      <c r="B392" s="71"/>
      <c r="C392" s="66"/>
      <c r="D392" s="66">
        <f t="shared" si="333"/>
        <v>0</v>
      </c>
      <c r="E392" s="67"/>
      <c r="F392" s="58">
        <f t="shared" ref="F392:L392" si="400">SUMIFS($C392,$B392,F$7)+F391</f>
        <v>25</v>
      </c>
      <c r="G392" s="58">
        <f t="shared" si="400"/>
        <v>0</v>
      </c>
      <c r="H392" s="58">
        <f t="shared" si="400"/>
        <v>0</v>
      </c>
      <c r="I392" s="58">
        <f t="shared" si="400"/>
        <v>57</v>
      </c>
      <c r="J392" s="58">
        <f t="shared" si="400"/>
        <v>19</v>
      </c>
      <c r="K392" s="58">
        <f t="shared" si="400"/>
        <v>0</v>
      </c>
      <c r="L392" s="58">
        <f t="shared" si="400"/>
        <v>-35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0" customHeight="1">
      <c r="A393" s="70"/>
      <c r="B393" s="71"/>
      <c r="C393" s="66"/>
      <c r="D393" s="66">
        <f t="shared" si="333"/>
        <v>0</v>
      </c>
      <c r="E393" s="67"/>
      <c r="F393" s="58">
        <f t="shared" ref="F393:L393" si="401">SUMIFS($C393,$B393,F$7)+F392</f>
        <v>25</v>
      </c>
      <c r="G393" s="58">
        <f t="shared" si="401"/>
        <v>0</v>
      </c>
      <c r="H393" s="58">
        <f t="shared" si="401"/>
        <v>0</v>
      </c>
      <c r="I393" s="58">
        <f t="shared" si="401"/>
        <v>57</v>
      </c>
      <c r="J393" s="58">
        <f t="shared" si="401"/>
        <v>19</v>
      </c>
      <c r="K393" s="58">
        <f t="shared" si="401"/>
        <v>0</v>
      </c>
      <c r="L393" s="58">
        <f t="shared" si="401"/>
        <v>-35</v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0" customHeight="1">
      <c r="A394" s="70"/>
      <c r="B394" s="71"/>
      <c r="C394" s="66"/>
      <c r="D394" s="66">
        <f t="shared" si="333"/>
        <v>0</v>
      </c>
      <c r="E394" s="67"/>
      <c r="F394" s="58">
        <f t="shared" ref="F394:L394" si="402">SUMIFS($C394,$B394,F$7)+F393</f>
        <v>25</v>
      </c>
      <c r="G394" s="58">
        <f t="shared" si="402"/>
        <v>0</v>
      </c>
      <c r="H394" s="58">
        <f t="shared" si="402"/>
        <v>0</v>
      </c>
      <c r="I394" s="58">
        <f t="shared" si="402"/>
        <v>57</v>
      </c>
      <c r="J394" s="58">
        <f t="shared" si="402"/>
        <v>19</v>
      </c>
      <c r="K394" s="58">
        <f t="shared" si="402"/>
        <v>0</v>
      </c>
      <c r="L394" s="58">
        <f t="shared" si="402"/>
        <v>-35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0" customHeight="1">
      <c r="A395" s="70"/>
      <c r="B395" s="71"/>
      <c r="C395" s="66"/>
      <c r="D395" s="66">
        <f t="shared" si="333"/>
        <v>0</v>
      </c>
      <c r="E395" s="67"/>
      <c r="F395" s="58">
        <f t="shared" ref="F395:L395" si="403">SUMIFS($C395,$B395,F$7)+F394</f>
        <v>25</v>
      </c>
      <c r="G395" s="58">
        <f t="shared" si="403"/>
        <v>0</v>
      </c>
      <c r="H395" s="58">
        <f t="shared" si="403"/>
        <v>0</v>
      </c>
      <c r="I395" s="58">
        <f t="shared" si="403"/>
        <v>57</v>
      </c>
      <c r="J395" s="58">
        <f t="shared" si="403"/>
        <v>19</v>
      </c>
      <c r="K395" s="58">
        <f t="shared" si="403"/>
        <v>0</v>
      </c>
      <c r="L395" s="58">
        <f t="shared" si="403"/>
        <v>-35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0" customHeight="1">
      <c r="A396" s="70"/>
      <c r="B396" s="71"/>
      <c r="C396" s="66"/>
      <c r="D396" s="66">
        <f t="shared" si="333"/>
        <v>0</v>
      </c>
      <c r="E396" s="67"/>
      <c r="F396" s="58">
        <f t="shared" ref="F396:L396" si="404">SUMIFS($C396,$B396,F$7)+F395</f>
        <v>25</v>
      </c>
      <c r="G396" s="58">
        <f t="shared" si="404"/>
        <v>0</v>
      </c>
      <c r="H396" s="58">
        <f t="shared" si="404"/>
        <v>0</v>
      </c>
      <c r="I396" s="58">
        <f t="shared" si="404"/>
        <v>57</v>
      </c>
      <c r="J396" s="58">
        <f t="shared" si="404"/>
        <v>19</v>
      </c>
      <c r="K396" s="58">
        <f t="shared" si="404"/>
        <v>0</v>
      </c>
      <c r="L396" s="58">
        <f t="shared" si="404"/>
        <v>-35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0" customHeight="1">
      <c r="A397" s="70"/>
      <c r="B397" s="71"/>
      <c r="C397" s="66"/>
      <c r="D397" s="66">
        <f t="shared" si="333"/>
        <v>0</v>
      </c>
      <c r="E397" s="67"/>
      <c r="F397" s="58">
        <f t="shared" ref="F397:L397" si="405">SUMIFS($C397,$B397,F$7)+F396</f>
        <v>25</v>
      </c>
      <c r="G397" s="58">
        <f t="shared" si="405"/>
        <v>0</v>
      </c>
      <c r="H397" s="58">
        <f t="shared" si="405"/>
        <v>0</v>
      </c>
      <c r="I397" s="58">
        <f t="shared" si="405"/>
        <v>57</v>
      </c>
      <c r="J397" s="58">
        <f t="shared" si="405"/>
        <v>19</v>
      </c>
      <c r="K397" s="58">
        <f t="shared" si="405"/>
        <v>0</v>
      </c>
      <c r="L397" s="58">
        <f t="shared" si="405"/>
        <v>-35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0" customHeight="1">
      <c r="A398" s="70"/>
      <c r="B398" s="71"/>
      <c r="C398" s="66"/>
      <c r="D398" s="66">
        <f t="shared" si="333"/>
        <v>0</v>
      </c>
      <c r="E398" s="67"/>
      <c r="F398" s="58">
        <f t="shared" ref="F398:L398" si="406">SUMIFS($C398,$B398,F$7)+F397</f>
        <v>25</v>
      </c>
      <c r="G398" s="58">
        <f t="shared" si="406"/>
        <v>0</v>
      </c>
      <c r="H398" s="58">
        <f t="shared" si="406"/>
        <v>0</v>
      </c>
      <c r="I398" s="58">
        <f t="shared" si="406"/>
        <v>57</v>
      </c>
      <c r="J398" s="58">
        <f t="shared" si="406"/>
        <v>19</v>
      </c>
      <c r="K398" s="58">
        <f t="shared" si="406"/>
        <v>0</v>
      </c>
      <c r="L398" s="58">
        <f t="shared" si="406"/>
        <v>-35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0" customHeight="1">
      <c r="A399" s="70"/>
      <c r="B399" s="71"/>
      <c r="C399" s="66"/>
      <c r="D399" s="66">
        <f t="shared" si="333"/>
        <v>0</v>
      </c>
      <c r="E399" s="67"/>
      <c r="F399" s="58">
        <f t="shared" ref="F399:L399" si="407">SUMIFS($C399,$B399,F$7)+F398</f>
        <v>25</v>
      </c>
      <c r="G399" s="58">
        <f t="shared" si="407"/>
        <v>0</v>
      </c>
      <c r="H399" s="58">
        <f t="shared" si="407"/>
        <v>0</v>
      </c>
      <c r="I399" s="58">
        <f t="shared" si="407"/>
        <v>57</v>
      </c>
      <c r="J399" s="58">
        <f t="shared" si="407"/>
        <v>19</v>
      </c>
      <c r="K399" s="58">
        <f t="shared" si="407"/>
        <v>0</v>
      </c>
      <c r="L399" s="58">
        <f t="shared" si="407"/>
        <v>-35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0" customHeight="1">
      <c r="A400" s="70"/>
      <c r="B400" s="71"/>
      <c r="C400" s="66"/>
      <c r="D400" s="66">
        <f t="shared" si="333"/>
        <v>0</v>
      </c>
      <c r="E400" s="67"/>
      <c r="F400" s="58">
        <f t="shared" ref="F400:L400" si="408">SUMIFS($C400,$B400,F$7)+F399</f>
        <v>25</v>
      </c>
      <c r="G400" s="58">
        <f t="shared" si="408"/>
        <v>0</v>
      </c>
      <c r="H400" s="58">
        <f t="shared" si="408"/>
        <v>0</v>
      </c>
      <c r="I400" s="58">
        <f t="shared" si="408"/>
        <v>57</v>
      </c>
      <c r="J400" s="58">
        <f t="shared" si="408"/>
        <v>19</v>
      </c>
      <c r="K400" s="58">
        <f t="shared" si="408"/>
        <v>0</v>
      </c>
      <c r="L400" s="58">
        <f t="shared" si="408"/>
        <v>-35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0" customHeight="1">
      <c r="A401" s="70"/>
      <c r="B401" s="71"/>
      <c r="C401" s="66"/>
      <c r="D401" s="66">
        <f t="shared" si="333"/>
        <v>0</v>
      </c>
      <c r="E401" s="67"/>
      <c r="F401" s="58">
        <f t="shared" ref="F401:L401" si="409">SUMIFS($C401,$B401,F$7)+F400</f>
        <v>25</v>
      </c>
      <c r="G401" s="58">
        <f t="shared" si="409"/>
        <v>0</v>
      </c>
      <c r="H401" s="58">
        <f t="shared" si="409"/>
        <v>0</v>
      </c>
      <c r="I401" s="58">
        <f t="shared" si="409"/>
        <v>57</v>
      </c>
      <c r="J401" s="58">
        <f t="shared" si="409"/>
        <v>19</v>
      </c>
      <c r="K401" s="58">
        <f t="shared" si="409"/>
        <v>0</v>
      </c>
      <c r="L401" s="58">
        <f t="shared" si="409"/>
        <v>-35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0" customHeight="1">
      <c r="A402" s="70"/>
      <c r="B402" s="71"/>
      <c r="C402" s="66"/>
      <c r="D402" s="66">
        <f t="shared" si="333"/>
        <v>0</v>
      </c>
      <c r="E402" s="67"/>
      <c r="F402" s="58">
        <f t="shared" ref="F402:L402" si="410">SUMIFS($C402,$B402,F$7)+F401</f>
        <v>25</v>
      </c>
      <c r="G402" s="58">
        <f t="shared" si="410"/>
        <v>0</v>
      </c>
      <c r="H402" s="58">
        <f t="shared" si="410"/>
        <v>0</v>
      </c>
      <c r="I402" s="58">
        <f t="shared" si="410"/>
        <v>57</v>
      </c>
      <c r="J402" s="58">
        <f t="shared" si="410"/>
        <v>19</v>
      </c>
      <c r="K402" s="58">
        <f t="shared" si="410"/>
        <v>0</v>
      </c>
      <c r="L402" s="58">
        <f t="shared" si="410"/>
        <v>-35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0" customHeight="1">
      <c r="A403" s="70"/>
      <c r="B403" s="71"/>
      <c r="C403" s="66"/>
      <c r="D403" s="66">
        <f t="shared" si="333"/>
        <v>0</v>
      </c>
      <c r="E403" s="67"/>
      <c r="F403" s="58">
        <f t="shared" ref="F403:L403" si="411">SUMIFS($C403,$B403,F$7)+F402</f>
        <v>25</v>
      </c>
      <c r="G403" s="58">
        <f t="shared" si="411"/>
        <v>0</v>
      </c>
      <c r="H403" s="58">
        <f t="shared" si="411"/>
        <v>0</v>
      </c>
      <c r="I403" s="58">
        <f t="shared" si="411"/>
        <v>57</v>
      </c>
      <c r="J403" s="58">
        <f t="shared" si="411"/>
        <v>19</v>
      </c>
      <c r="K403" s="58">
        <f t="shared" si="411"/>
        <v>0</v>
      </c>
      <c r="L403" s="58">
        <f t="shared" si="411"/>
        <v>-35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0" customHeight="1">
      <c r="A404" s="70"/>
      <c r="B404" s="71"/>
      <c r="C404" s="66"/>
      <c r="D404" s="66">
        <f t="shared" si="333"/>
        <v>0</v>
      </c>
      <c r="E404" s="67"/>
      <c r="F404" s="58">
        <f t="shared" ref="F404:L404" si="412">SUMIFS($C404,$B404,F$7)+F403</f>
        <v>25</v>
      </c>
      <c r="G404" s="58">
        <f t="shared" si="412"/>
        <v>0</v>
      </c>
      <c r="H404" s="58">
        <f t="shared" si="412"/>
        <v>0</v>
      </c>
      <c r="I404" s="58">
        <f t="shared" si="412"/>
        <v>57</v>
      </c>
      <c r="J404" s="58">
        <f t="shared" si="412"/>
        <v>19</v>
      </c>
      <c r="K404" s="58">
        <f t="shared" si="412"/>
        <v>0</v>
      </c>
      <c r="L404" s="58">
        <f t="shared" si="412"/>
        <v>-35</v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0" customHeight="1">
      <c r="A405" s="70"/>
      <c r="B405" s="71"/>
      <c r="C405" s="66"/>
      <c r="D405" s="66">
        <f t="shared" si="333"/>
        <v>0</v>
      </c>
      <c r="E405" s="67"/>
      <c r="F405" s="58">
        <f t="shared" ref="F405:L405" si="413">SUMIFS($C405,$B405,F$7)+F404</f>
        <v>25</v>
      </c>
      <c r="G405" s="58">
        <f t="shared" si="413"/>
        <v>0</v>
      </c>
      <c r="H405" s="58">
        <f t="shared" si="413"/>
        <v>0</v>
      </c>
      <c r="I405" s="58">
        <f t="shared" si="413"/>
        <v>57</v>
      </c>
      <c r="J405" s="58">
        <f t="shared" si="413"/>
        <v>19</v>
      </c>
      <c r="K405" s="58">
        <f t="shared" si="413"/>
        <v>0</v>
      </c>
      <c r="L405" s="58">
        <f t="shared" si="413"/>
        <v>-35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0" customHeight="1">
      <c r="A406" s="70"/>
      <c r="B406" s="71"/>
      <c r="C406" s="66"/>
      <c r="D406" s="66">
        <f t="shared" si="333"/>
        <v>0</v>
      </c>
      <c r="E406" s="67"/>
      <c r="F406" s="58">
        <f t="shared" ref="F406:L406" si="414">SUMIFS($C406,$B406,F$7)+F405</f>
        <v>25</v>
      </c>
      <c r="G406" s="58">
        <f t="shared" si="414"/>
        <v>0</v>
      </c>
      <c r="H406" s="58">
        <f t="shared" si="414"/>
        <v>0</v>
      </c>
      <c r="I406" s="58">
        <f t="shared" si="414"/>
        <v>57</v>
      </c>
      <c r="J406" s="58">
        <f t="shared" si="414"/>
        <v>19</v>
      </c>
      <c r="K406" s="58">
        <f t="shared" si="414"/>
        <v>0</v>
      </c>
      <c r="L406" s="58">
        <f t="shared" si="414"/>
        <v>-35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0" customHeight="1">
      <c r="A407" s="70"/>
      <c r="B407" s="71"/>
      <c r="C407" s="66"/>
      <c r="D407" s="66">
        <f t="shared" si="333"/>
        <v>0</v>
      </c>
      <c r="E407" s="67"/>
      <c r="F407" s="58">
        <f t="shared" ref="F407:L407" si="415">SUMIFS($C407,$B407,F$7)+F406</f>
        <v>25</v>
      </c>
      <c r="G407" s="58">
        <f t="shared" si="415"/>
        <v>0</v>
      </c>
      <c r="H407" s="58">
        <f t="shared" si="415"/>
        <v>0</v>
      </c>
      <c r="I407" s="58">
        <f t="shared" si="415"/>
        <v>57</v>
      </c>
      <c r="J407" s="58">
        <f t="shared" si="415"/>
        <v>19</v>
      </c>
      <c r="K407" s="58">
        <f t="shared" si="415"/>
        <v>0</v>
      </c>
      <c r="L407" s="58">
        <f t="shared" si="415"/>
        <v>-35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0" customHeight="1">
      <c r="A408" s="70"/>
      <c r="B408" s="71"/>
      <c r="C408" s="66"/>
      <c r="D408" s="66">
        <f t="shared" si="333"/>
        <v>0</v>
      </c>
      <c r="E408" s="67"/>
      <c r="F408" s="58">
        <f t="shared" ref="F408:L408" si="416">SUMIFS($C408,$B408,F$7)+F407</f>
        <v>25</v>
      </c>
      <c r="G408" s="58">
        <f t="shared" si="416"/>
        <v>0</v>
      </c>
      <c r="H408" s="58">
        <f t="shared" si="416"/>
        <v>0</v>
      </c>
      <c r="I408" s="58">
        <f t="shared" si="416"/>
        <v>57</v>
      </c>
      <c r="J408" s="58">
        <f t="shared" si="416"/>
        <v>19</v>
      </c>
      <c r="K408" s="58">
        <f t="shared" si="416"/>
        <v>0</v>
      </c>
      <c r="L408" s="58">
        <f t="shared" si="416"/>
        <v>-35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0" customHeight="1">
      <c r="A409" s="70"/>
      <c r="B409" s="71"/>
      <c r="C409" s="66"/>
      <c r="D409" s="66">
        <f t="shared" si="333"/>
        <v>0</v>
      </c>
      <c r="E409" s="67"/>
      <c r="F409" s="58">
        <f t="shared" ref="F409:L409" si="417">SUMIFS($C409,$B409,F$7)+F408</f>
        <v>25</v>
      </c>
      <c r="G409" s="58">
        <f t="shared" si="417"/>
        <v>0</v>
      </c>
      <c r="H409" s="58">
        <f t="shared" si="417"/>
        <v>0</v>
      </c>
      <c r="I409" s="58">
        <f t="shared" si="417"/>
        <v>57</v>
      </c>
      <c r="J409" s="58">
        <f t="shared" si="417"/>
        <v>19</v>
      </c>
      <c r="K409" s="58">
        <f t="shared" si="417"/>
        <v>0</v>
      </c>
      <c r="L409" s="58">
        <f t="shared" si="417"/>
        <v>-35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0" customHeight="1">
      <c r="A410" s="70"/>
      <c r="B410" s="71"/>
      <c r="C410" s="66"/>
      <c r="D410" s="66">
        <f t="shared" si="333"/>
        <v>0</v>
      </c>
      <c r="E410" s="67"/>
      <c r="F410" s="58">
        <f t="shared" ref="F410:L410" si="418">SUMIFS($C410,$B410,F$7)+F409</f>
        <v>25</v>
      </c>
      <c r="G410" s="58">
        <f t="shared" si="418"/>
        <v>0</v>
      </c>
      <c r="H410" s="58">
        <f t="shared" si="418"/>
        <v>0</v>
      </c>
      <c r="I410" s="58">
        <f t="shared" si="418"/>
        <v>57</v>
      </c>
      <c r="J410" s="58">
        <f t="shared" si="418"/>
        <v>19</v>
      </c>
      <c r="K410" s="58">
        <f t="shared" si="418"/>
        <v>0</v>
      </c>
      <c r="L410" s="58">
        <f t="shared" si="418"/>
        <v>-35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0" customHeight="1">
      <c r="A411" s="70"/>
      <c r="B411" s="71"/>
      <c r="C411" s="66"/>
      <c r="D411" s="66">
        <f t="shared" si="333"/>
        <v>0</v>
      </c>
      <c r="E411" s="67"/>
      <c r="F411" s="58">
        <f t="shared" ref="F411:L411" si="419">SUMIFS($C411,$B411,F$7)+F410</f>
        <v>25</v>
      </c>
      <c r="G411" s="58">
        <f t="shared" si="419"/>
        <v>0</v>
      </c>
      <c r="H411" s="58">
        <f t="shared" si="419"/>
        <v>0</v>
      </c>
      <c r="I411" s="58">
        <f t="shared" si="419"/>
        <v>57</v>
      </c>
      <c r="J411" s="58">
        <f t="shared" si="419"/>
        <v>19</v>
      </c>
      <c r="K411" s="58">
        <f t="shared" si="419"/>
        <v>0</v>
      </c>
      <c r="L411" s="58">
        <f t="shared" si="419"/>
        <v>-35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0" customHeight="1">
      <c r="A412" s="70"/>
      <c r="B412" s="71"/>
      <c r="C412" s="66"/>
      <c r="D412" s="66">
        <f t="shared" si="333"/>
        <v>0</v>
      </c>
      <c r="E412" s="67"/>
      <c r="F412" s="58">
        <f t="shared" ref="F412:L412" si="420">SUMIFS($C412,$B412,F$7)+F411</f>
        <v>25</v>
      </c>
      <c r="G412" s="58">
        <f t="shared" si="420"/>
        <v>0</v>
      </c>
      <c r="H412" s="58">
        <f t="shared" si="420"/>
        <v>0</v>
      </c>
      <c r="I412" s="58">
        <f t="shared" si="420"/>
        <v>57</v>
      </c>
      <c r="J412" s="58">
        <f t="shared" si="420"/>
        <v>19</v>
      </c>
      <c r="K412" s="58">
        <f t="shared" si="420"/>
        <v>0</v>
      </c>
      <c r="L412" s="58">
        <f t="shared" si="420"/>
        <v>-35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0" customHeight="1">
      <c r="A413" s="70"/>
      <c r="B413" s="71"/>
      <c r="C413" s="66"/>
      <c r="D413" s="66">
        <f t="shared" si="333"/>
        <v>0</v>
      </c>
      <c r="E413" s="67"/>
      <c r="F413" s="58">
        <f t="shared" ref="F413:L413" si="421">SUMIFS($C413,$B413,F$7)+F412</f>
        <v>25</v>
      </c>
      <c r="G413" s="58">
        <f t="shared" si="421"/>
        <v>0</v>
      </c>
      <c r="H413" s="58">
        <f t="shared" si="421"/>
        <v>0</v>
      </c>
      <c r="I413" s="58">
        <f t="shared" si="421"/>
        <v>57</v>
      </c>
      <c r="J413" s="58">
        <f t="shared" si="421"/>
        <v>19</v>
      </c>
      <c r="K413" s="58">
        <f t="shared" si="421"/>
        <v>0</v>
      </c>
      <c r="L413" s="58">
        <f t="shared" si="421"/>
        <v>-35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0" customHeight="1">
      <c r="A414" s="70"/>
      <c r="B414" s="71"/>
      <c r="C414" s="66"/>
      <c r="D414" s="66">
        <f t="shared" si="333"/>
        <v>0</v>
      </c>
      <c r="E414" s="67"/>
      <c r="F414" s="58">
        <f t="shared" ref="F414:L414" si="422">SUMIFS($C414,$B414,F$7)+F413</f>
        <v>25</v>
      </c>
      <c r="G414" s="58">
        <f t="shared" si="422"/>
        <v>0</v>
      </c>
      <c r="H414" s="58">
        <f t="shared" si="422"/>
        <v>0</v>
      </c>
      <c r="I414" s="58">
        <f t="shared" si="422"/>
        <v>57</v>
      </c>
      <c r="J414" s="58">
        <f t="shared" si="422"/>
        <v>19</v>
      </c>
      <c r="K414" s="58">
        <f t="shared" si="422"/>
        <v>0</v>
      </c>
      <c r="L414" s="58">
        <f t="shared" si="422"/>
        <v>-35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0" customHeight="1">
      <c r="A415" s="70"/>
      <c r="B415" s="71"/>
      <c r="C415" s="66"/>
      <c r="D415" s="66">
        <f t="shared" si="333"/>
        <v>0</v>
      </c>
      <c r="E415" s="67"/>
      <c r="F415" s="58">
        <f t="shared" ref="F415:L415" si="423">SUMIFS($C415,$B415,F$7)+F414</f>
        <v>25</v>
      </c>
      <c r="G415" s="58">
        <f t="shared" si="423"/>
        <v>0</v>
      </c>
      <c r="H415" s="58">
        <f t="shared" si="423"/>
        <v>0</v>
      </c>
      <c r="I415" s="58">
        <f t="shared" si="423"/>
        <v>57</v>
      </c>
      <c r="J415" s="58">
        <f t="shared" si="423"/>
        <v>19</v>
      </c>
      <c r="K415" s="58">
        <f t="shared" si="423"/>
        <v>0</v>
      </c>
      <c r="L415" s="58">
        <f t="shared" si="423"/>
        <v>-35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0" customHeight="1">
      <c r="A416" s="70"/>
      <c r="B416" s="71"/>
      <c r="C416" s="66"/>
      <c r="D416" s="66">
        <f t="shared" si="333"/>
        <v>0</v>
      </c>
      <c r="E416" s="67"/>
      <c r="F416" s="58">
        <f t="shared" ref="F416:L416" si="424">SUMIFS($C416,$B416,F$7)+F415</f>
        <v>25</v>
      </c>
      <c r="G416" s="58">
        <f t="shared" si="424"/>
        <v>0</v>
      </c>
      <c r="H416" s="58">
        <f t="shared" si="424"/>
        <v>0</v>
      </c>
      <c r="I416" s="58">
        <f t="shared" si="424"/>
        <v>57</v>
      </c>
      <c r="J416" s="58">
        <f t="shared" si="424"/>
        <v>19</v>
      </c>
      <c r="K416" s="58">
        <f t="shared" si="424"/>
        <v>0</v>
      </c>
      <c r="L416" s="58">
        <f t="shared" si="424"/>
        <v>-35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0" customHeight="1">
      <c r="A417" s="70"/>
      <c r="B417" s="71"/>
      <c r="C417" s="66"/>
      <c r="D417" s="66">
        <f t="shared" si="333"/>
        <v>0</v>
      </c>
      <c r="E417" s="67"/>
      <c r="F417" s="58">
        <f t="shared" ref="F417:L417" si="425">SUMIFS($C417,$B417,F$7)+F416</f>
        <v>25</v>
      </c>
      <c r="G417" s="58">
        <f t="shared" si="425"/>
        <v>0</v>
      </c>
      <c r="H417" s="58">
        <f t="shared" si="425"/>
        <v>0</v>
      </c>
      <c r="I417" s="58">
        <f t="shared" si="425"/>
        <v>57</v>
      </c>
      <c r="J417" s="58">
        <f t="shared" si="425"/>
        <v>19</v>
      </c>
      <c r="K417" s="58">
        <f t="shared" si="425"/>
        <v>0</v>
      </c>
      <c r="L417" s="58">
        <f t="shared" si="425"/>
        <v>-35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0" customHeight="1">
      <c r="A418" s="70"/>
      <c r="B418" s="71"/>
      <c r="C418" s="66"/>
      <c r="D418" s="66">
        <f t="shared" si="333"/>
        <v>0</v>
      </c>
      <c r="E418" s="67"/>
      <c r="F418" s="58">
        <f t="shared" ref="F418:L418" si="426">SUMIFS($C418,$B418,F$7)+F417</f>
        <v>25</v>
      </c>
      <c r="G418" s="58">
        <f t="shared" si="426"/>
        <v>0</v>
      </c>
      <c r="H418" s="58">
        <f t="shared" si="426"/>
        <v>0</v>
      </c>
      <c r="I418" s="58">
        <f t="shared" si="426"/>
        <v>57</v>
      </c>
      <c r="J418" s="58">
        <f t="shared" si="426"/>
        <v>19</v>
      </c>
      <c r="K418" s="58">
        <f t="shared" si="426"/>
        <v>0</v>
      </c>
      <c r="L418" s="58">
        <f t="shared" si="426"/>
        <v>-35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0" customHeight="1">
      <c r="A419" s="70"/>
      <c r="B419" s="71"/>
      <c r="C419" s="66"/>
      <c r="D419" s="66">
        <f t="shared" si="333"/>
        <v>0</v>
      </c>
      <c r="E419" s="67"/>
      <c r="F419" s="58">
        <f t="shared" ref="F419:L419" si="427">SUMIFS($C419,$B419,F$7)+F418</f>
        <v>25</v>
      </c>
      <c r="G419" s="58">
        <f t="shared" si="427"/>
        <v>0</v>
      </c>
      <c r="H419" s="58">
        <f t="shared" si="427"/>
        <v>0</v>
      </c>
      <c r="I419" s="58">
        <f t="shared" si="427"/>
        <v>57</v>
      </c>
      <c r="J419" s="58">
        <f t="shared" si="427"/>
        <v>19</v>
      </c>
      <c r="K419" s="58">
        <f t="shared" si="427"/>
        <v>0</v>
      </c>
      <c r="L419" s="58">
        <f t="shared" si="427"/>
        <v>-35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0" customHeight="1">
      <c r="A420" s="70"/>
      <c r="B420" s="71"/>
      <c r="C420" s="66"/>
      <c r="D420" s="66">
        <f t="shared" si="333"/>
        <v>0</v>
      </c>
      <c r="E420" s="67"/>
      <c r="F420" s="58">
        <f t="shared" ref="F420:L420" si="428">SUMIFS($C420,$B420,F$7)+F419</f>
        <v>25</v>
      </c>
      <c r="G420" s="58">
        <f t="shared" si="428"/>
        <v>0</v>
      </c>
      <c r="H420" s="58">
        <f t="shared" si="428"/>
        <v>0</v>
      </c>
      <c r="I420" s="58">
        <f t="shared" si="428"/>
        <v>57</v>
      </c>
      <c r="J420" s="58">
        <f t="shared" si="428"/>
        <v>19</v>
      </c>
      <c r="K420" s="58">
        <f t="shared" si="428"/>
        <v>0</v>
      </c>
      <c r="L420" s="58">
        <f t="shared" si="428"/>
        <v>-35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0" customHeight="1">
      <c r="A421" s="70"/>
      <c r="B421" s="71"/>
      <c r="C421" s="66"/>
      <c r="D421" s="66">
        <f t="shared" si="333"/>
        <v>0</v>
      </c>
      <c r="E421" s="67"/>
      <c r="F421" s="58">
        <f t="shared" ref="F421:L421" si="429">SUMIFS($C421,$B421,F$7)+F420</f>
        <v>25</v>
      </c>
      <c r="G421" s="58">
        <f t="shared" si="429"/>
        <v>0</v>
      </c>
      <c r="H421" s="58">
        <f t="shared" si="429"/>
        <v>0</v>
      </c>
      <c r="I421" s="58">
        <f t="shared" si="429"/>
        <v>57</v>
      </c>
      <c r="J421" s="58">
        <f t="shared" si="429"/>
        <v>19</v>
      </c>
      <c r="K421" s="58">
        <f t="shared" si="429"/>
        <v>0</v>
      </c>
      <c r="L421" s="58">
        <f t="shared" si="429"/>
        <v>-35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0" customHeight="1">
      <c r="A422" s="70"/>
      <c r="B422" s="71"/>
      <c r="C422" s="66"/>
      <c r="D422" s="66">
        <f t="shared" si="333"/>
        <v>0</v>
      </c>
      <c r="E422" s="67"/>
      <c r="F422" s="58">
        <f t="shared" ref="F422:L422" si="430">SUMIFS($C422,$B422,F$7)+F421</f>
        <v>25</v>
      </c>
      <c r="G422" s="58">
        <f t="shared" si="430"/>
        <v>0</v>
      </c>
      <c r="H422" s="58">
        <f t="shared" si="430"/>
        <v>0</v>
      </c>
      <c r="I422" s="58">
        <f t="shared" si="430"/>
        <v>57</v>
      </c>
      <c r="J422" s="58">
        <f t="shared" si="430"/>
        <v>19</v>
      </c>
      <c r="K422" s="58">
        <f t="shared" si="430"/>
        <v>0</v>
      </c>
      <c r="L422" s="58">
        <f t="shared" si="430"/>
        <v>-35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0" customHeight="1">
      <c r="A423" s="70"/>
      <c r="B423" s="71"/>
      <c r="C423" s="66"/>
      <c r="D423" s="66">
        <f t="shared" si="333"/>
        <v>0</v>
      </c>
      <c r="E423" s="67"/>
      <c r="F423" s="58">
        <f t="shared" ref="F423:L423" si="431">SUMIFS($C423,$B423,F$7)+F422</f>
        <v>25</v>
      </c>
      <c r="G423" s="58">
        <f t="shared" si="431"/>
        <v>0</v>
      </c>
      <c r="H423" s="58">
        <f t="shared" si="431"/>
        <v>0</v>
      </c>
      <c r="I423" s="58">
        <f t="shared" si="431"/>
        <v>57</v>
      </c>
      <c r="J423" s="58">
        <f t="shared" si="431"/>
        <v>19</v>
      </c>
      <c r="K423" s="58">
        <f t="shared" si="431"/>
        <v>0</v>
      </c>
      <c r="L423" s="58">
        <f t="shared" si="431"/>
        <v>-35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0" customHeight="1">
      <c r="A424" s="70"/>
      <c r="B424" s="71"/>
      <c r="C424" s="66"/>
      <c r="D424" s="66">
        <f t="shared" si="333"/>
        <v>0</v>
      </c>
      <c r="E424" s="67"/>
      <c r="F424" s="58">
        <f t="shared" ref="F424:L424" si="432">SUMIFS($C424,$B424,F$7)+F423</f>
        <v>25</v>
      </c>
      <c r="G424" s="58">
        <f t="shared" si="432"/>
        <v>0</v>
      </c>
      <c r="H424" s="58">
        <f t="shared" si="432"/>
        <v>0</v>
      </c>
      <c r="I424" s="58">
        <f t="shared" si="432"/>
        <v>57</v>
      </c>
      <c r="J424" s="58">
        <f t="shared" si="432"/>
        <v>19</v>
      </c>
      <c r="K424" s="58">
        <f t="shared" si="432"/>
        <v>0</v>
      </c>
      <c r="L424" s="58">
        <f t="shared" si="432"/>
        <v>-35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0" customHeight="1">
      <c r="A425" s="70"/>
      <c r="B425" s="71"/>
      <c r="C425" s="66"/>
      <c r="D425" s="66">
        <f t="shared" si="333"/>
        <v>0</v>
      </c>
      <c r="E425" s="67"/>
      <c r="F425" s="58">
        <f t="shared" ref="F425:L425" si="433">SUMIFS($C425,$B425,F$7)+F424</f>
        <v>25</v>
      </c>
      <c r="G425" s="58">
        <f t="shared" si="433"/>
        <v>0</v>
      </c>
      <c r="H425" s="58">
        <f t="shared" si="433"/>
        <v>0</v>
      </c>
      <c r="I425" s="58">
        <f t="shared" si="433"/>
        <v>57</v>
      </c>
      <c r="J425" s="58">
        <f t="shared" si="433"/>
        <v>19</v>
      </c>
      <c r="K425" s="58">
        <f t="shared" si="433"/>
        <v>0</v>
      </c>
      <c r="L425" s="58">
        <f t="shared" si="433"/>
        <v>-35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0" customHeight="1">
      <c r="A426" s="70"/>
      <c r="B426" s="71"/>
      <c r="C426" s="66"/>
      <c r="D426" s="66">
        <f t="shared" si="333"/>
        <v>0</v>
      </c>
      <c r="E426" s="67"/>
      <c r="F426" s="58">
        <f t="shared" ref="F426:L426" si="434">SUMIFS($C426,$B426,F$7)+F425</f>
        <v>25</v>
      </c>
      <c r="G426" s="58">
        <f t="shared" si="434"/>
        <v>0</v>
      </c>
      <c r="H426" s="58">
        <f t="shared" si="434"/>
        <v>0</v>
      </c>
      <c r="I426" s="58">
        <f t="shared" si="434"/>
        <v>57</v>
      </c>
      <c r="J426" s="58">
        <f t="shared" si="434"/>
        <v>19</v>
      </c>
      <c r="K426" s="58">
        <f t="shared" si="434"/>
        <v>0</v>
      </c>
      <c r="L426" s="58">
        <f t="shared" si="434"/>
        <v>-35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0" customHeight="1">
      <c r="A427" s="70"/>
      <c r="B427" s="71"/>
      <c r="C427" s="66"/>
      <c r="D427" s="66">
        <f t="shared" si="333"/>
        <v>0</v>
      </c>
      <c r="E427" s="67"/>
      <c r="F427" s="58">
        <f t="shared" ref="F427:L427" si="435">SUMIFS($C427,$B427,F$7)+F426</f>
        <v>25</v>
      </c>
      <c r="G427" s="58">
        <f t="shared" si="435"/>
        <v>0</v>
      </c>
      <c r="H427" s="58">
        <f t="shared" si="435"/>
        <v>0</v>
      </c>
      <c r="I427" s="58">
        <f t="shared" si="435"/>
        <v>57</v>
      </c>
      <c r="J427" s="58">
        <f t="shared" si="435"/>
        <v>19</v>
      </c>
      <c r="K427" s="58">
        <f t="shared" si="435"/>
        <v>0</v>
      </c>
      <c r="L427" s="58">
        <f t="shared" si="435"/>
        <v>-35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0" customHeight="1">
      <c r="A428" s="70"/>
      <c r="B428" s="71"/>
      <c r="C428" s="66"/>
      <c r="D428" s="66">
        <f t="shared" si="333"/>
        <v>0</v>
      </c>
      <c r="E428" s="67"/>
      <c r="F428" s="58">
        <f t="shared" ref="F428:L428" si="436">SUMIFS($C428,$B428,F$7)+F427</f>
        <v>25</v>
      </c>
      <c r="G428" s="58">
        <f t="shared" si="436"/>
        <v>0</v>
      </c>
      <c r="H428" s="58">
        <f t="shared" si="436"/>
        <v>0</v>
      </c>
      <c r="I428" s="58">
        <f t="shared" si="436"/>
        <v>57</v>
      </c>
      <c r="J428" s="58">
        <f t="shared" si="436"/>
        <v>19</v>
      </c>
      <c r="K428" s="58">
        <f t="shared" si="436"/>
        <v>0</v>
      </c>
      <c r="L428" s="58">
        <f t="shared" si="436"/>
        <v>-35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0" customHeight="1">
      <c r="A429" s="70"/>
      <c r="B429" s="71"/>
      <c r="C429" s="66"/>
      <c r="D429" s="66">
        <f t="shared" si="333"/>
        <v>0</v>
      </c>
      <c r="E429" s="67"/>
      <c r="F429" s="58">
        <f t="shared" ref="F429:L429" si="437">SUMIFS($C429,$B429,F$7)+F428</f>
        <v>25</v>
      </c>
      <c r="G429" s="58">
        <f t="shared" si="437"/>
        <v>0</v>
      </c>
      <c r="H429" s="58">
        <f t="shared" si="437"/>
        <v>0</v>
      </c>
      <c r="I429" s="58">
        <f t="shared" si="437"/>
        <v>57</v>
      </c>
      <c r="J429" s="58">
        <f t="shared" si="437"/>
        <v>19</v>
      </c>
      <c r="K429" s="58">
        <f t="shared" si="437"/>
        <v>0</v>
      </c>
      <c r="L429" s="58">
        <f t="shared" si="437"/>
        <v>-35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0" customHeight="1">
      <c r="A430" s="70"/>
      <c r="B430" s="71"/>
      <c r="C430" s="66"/>
      <c r="D430" s="66">
        <f t="shared" si="333"/>
        <v>0</v>
      </c>
      <c r="E430" s="67"/>
      <c r="F430" s="58">
        <f t="shared" ref="F430:L430" si="438">SUMIFS($C430,$B430,F$7)+F429</f>
        <v>25</v>
      </c>
      <c r="G430" s="58">
        <f t="shared" si="438"/>
        <v>0</v>
      </c>
      <c r="H430" s="58">
        <f t="shared" si="438"/>
        <v>0</v>
      </c>
      <c r="I430" s="58">
        <f t="shared" si="438"/>
        <v>57</v>
      </c>
      <c r="J430" s="58">
        <f t="shared" si="438"/>
        <v>19</v>
      </c>
      <c r="K430" s="58">
        <f t="shared" si="438"/>
        <v>0</v>
      </c>
      <c r="L430" s="58">
        <f t="shared" si="438"/>
        <v>-35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0" customHeight="1">
      <c r="A431" s="70"/>
      <c r="B431" s="71"/>
      <c r="C431" s="66"/>
      <c r="D431" s="66">
        <f t="shared" si="333"/>
        <v>0</v>
      </c>
      <c r="E431" s="67"/>
      <c r="F431" s="58">
        <f t="shared" ref="F431:L431" si="439">SUMIFS($C431,$B431,F$7)+F430</f>
        <v>25</v>
      </c>
      <c r="G431" s="58">
        <f t="shared" si="439"/>
        <v>0</v>
      </c>
      <c r="H431" s="58">
        <f t="shared" si="439"/>
        <v>0</v>
      </c>
      <c r="I431" s="58">
        <f t="shared" si="439"/>
        <v>57</v>
      </c>
      <c r="J431" s="58">
        <f t="shared" si="439"/>
        <v>19</v>
      </c>
      <c r="K431" s="58">
        <f t="shared" si="439"/>
        <v>0</v>
      </c>
      <c r="L431" s="58">
        <f t="shared" si="439"/>
        <v>-35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0" customHeight="1">
      <c r="A432" s="70"/>
      <c r="B432" s="71"/>
      <c r="C432" s="66"/>
      <c r="D432" s="66">
        <f t="shared" si="333"/>
        <v>0</v>
      </c>
      <c r="E432" s="67"/>
      <c r="F432" s="58">
        <f t="shared" ref="F432:L432" si="440">SUMIFS($C432,$B432,F$7)+F431</f>
        <v>25</v>
      </c>
      <c r="G432" s="58">
        <f t="shared" si="440"/>
        <v>0</v>
      </c>
      <c r="H432" s="58">
        <f t="shared" si="440"/>
        <v>0</v>
      </c>
      <c r="I432" s="58">
        <f t="shared" si="440"/>
        <v>57</v>
      </c>
      <c r="J432" s="58">
        <f t="shared" si="440"/>
        <v>19</v>
      </c>
      <c r="K432" s="58">
        <f t="shared" si="440"/>
        <v>0</v>
      </c>
      <c r="L432" s="58">
        <f t="shared" si="440"/>
        <v>-35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0" customHeight="1">
      <c r="A433" s="70"/>
      <c r="B433" s="71"/>
      <c r="C433" s="66"/>
      <c r="D433" s="66">
        <f t="shared" si="333"/>
        <v>0</v>
      </c>
      <c r="E433" s="67"/>
      <c r="F433" s="58">
        <f t="shared" ref="F433:L433" si="441">SUMIFS($C433,$B433,F$7)+F432</f>
        <v>25</v>
      </c>
      <c r="G433" s="58">
        <f t="shared" si="441"/>
        <v>0</v>
      </c>
      <c r="H433" s="58">
        <f t="shared" si="441"/>
        <v>0</v>
      </c>
      <c r="I433" s="58">
        <f t="shared" si="441"/>
        <v>57</v>
      </c>
      <c r="J433" s="58">
        <f t="shared" si="441"/>
        <v>19</v>
      </c>
      <c r="K433" s="58">
        <f t="shared" si="441"/>
        <v>0</v>
      </c>
      <c r="L433" s="58">
        <f t="shared" si="441"/>
        <v>-35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0" customHeight="1">
      <c r="A434" s="70"/>
      <c r="B434" s="71"/>
      <c r="C434" s="66"/>
      <c r="D434" s="66">
        <f t="shared" si="333"/>
        <v>0</v>
      </c>
      <c r="E434" s="67"/>
      <c r="F434" s="58">
        <f t="shared" ref="F434:L434" si="442">SUMIFS($C434,$B434,F$7)+F433</f>
        <v>25</v>
      </c>
      <c r="G434" s="58">
        <f t="shared" si="442"/>
        <v>0</v>
      </c>
      <c r="H434" s="58">
        <f t="shared" si="442"/>
        <v>0</v>
      </c>
      <c r="I434" s="58">
        <f t="shared" si="442"/>
        <v>57</v>
      </c>
      <c r="J434" s="58">
        <f t="shared" si="442"/>
        <v>19</v>
      </c>
      <c r="K434" s="58">
        <f t="shared" si="442"/>
        <v>0</v>
      </c>
      <c r="L434" s="58">
        <f t="shared" si="442"/>
        <v>-35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0" customHeight="1">
      <c r="A435" s="70"/>
      <c r="B435" s="71"/>
      <c r="C435" s="66"/>
      <c r="D435" s="66">
        <f t="shared" si="333"/>
        <v>0</v>
      </c>
      <c r="E435" s="67"/>
      <c r="F435" s="58">
        <f t="shared" ref="F435:L435" si="443">SUMIFS($C435,$B435,F$7)+F434</f>
        <v>25</v>
      </c>
      <c r="G435" s="58">
        <f t="shared" si="443"/>
        <v>0</v>
      </c>
      <c r="H435" s="58">
        <f t="shared" si="443"/>
        <v>0</v>
      </c>
      <c r="I435" s="58">
        <f t="shared" si="443"/>
        <v>57</v>
      </c>
      <c r="J435" s="58">
        <f t="shared" si="443"/>
        <v>19</v>
      </c>
      <c r="K435" s="58">
        <f t="shared" si="443"/>
        <v>0</v>
      </c>
      <c r="L435" s="58">
        <f t="shared" si="443"/>
        <v>-35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0" customHeight="1">
      <c r="A436" s="70"/>
      <c r="B436" s="71"/>
      <c r="C436" s="66"/>
      <c r="D436" s="66">
        <f t="shared" si="333"/>
        <v>0</v>
      </c>
      <c r="E436" s="67"/>
      <c r="F436" s="58">
        <f t="shared" ref="F436:L436" si="444">SUMIFS($C436,$B436,F$7)+F435</f>
        <v>25</v>
      </c>
      <c r="G436" s="58">
        <f t="shared" si="444"/>
        <v>0</v>
      </c>
      <c r="H436" s="58">
        <f t="shared" si="444"/>
        <v>0</v>
      </c>
      <c r="I436" s="58">
        <f t="shared" si="444"/>
        <v>57</v>
      </c>
      <c r="J436" s="58">
        <f t="shared" si="444"/>
        <v>19</v>
      </c>
      <c r="K436" s="58">
        <f t="shared" si="444"/>
        <v>0</v>
      </c>
      <c r="L436" s="58">
        <f t="shared" si="444"/>
        <v>-35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0" customHeight="1">
      <c r="A437" s="70"/>
      <c r="B437" s="71"/>
      <c r="C437" s="66"/>
      <c r="D437" s="66">
        <f t="shared" si="333"/>
        <v>0</v>
      </c>
      <c r="E437" s="67"/>
      <c r="F437" s="58">
        <f t="shared" ref="F437:L437" si="445">SUMIFS($C437,$B437,F$7)+F436</f>
        <v>25</v>
      </c>
      <c r="G437" s="58">
        <f t="shared" si="445"/>
        <v>0</v>
      </c>
      <c r="H437" s="58">
        <f t="shared" si="445"/>
        <v>0</v>
      </c>
      <c r="I437" s="58">
        <f t="shared" si="445"/>
        <v>57</v>
      </c>
      <c r="J437" s="58">
        <f t="shared" si="445"/>
        <v>19</v>
      </c>
      <c r="K437" s="58">
        <f t="shared" si="445"/>
        <v>0</v>
      </c>
      <c r="L437" s="58">
        <f t="shared" si="445"/>
        <v>-35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0" customHeight="1">
      <c r="A438" s="70"/>
      <c r="B438" s="71"/>
      <c r="C438" s="66"/>
      <c r="D438" s="66">
        <f t="shared" si="333"/>
        <v>0</v>
      </c>
      <c r="E438" s="67"/>
      <c r="F438" s="58">
        <f t="shared" ref="F438:L438" si="446">SUMIFS($C438,$B438,F$7)+F437</f>
        <v>25</v>
      </c>
      <c r="G438" s="58">
        <f t="shared" si="446"/>
        <v>0</v>
      </c>
      <c r="H438" s="58">
        <f t="shared" si="446"/>
        <v>0</v>
      </c>
      <c r="I438" s="58">
        <f t="shared" si="446"/>
        <v>57</v>
      </c>
      <c r="J438" s="58">
        <f t="shared" si="446"/>
        <v>19</v>
      </c>
      <c r="K438" s="58">
        <f t="shared" si="446"/>
        <v>0</v>
      </c>
      <c r="L438" s="58">
        <f t="shared" si="446"/>
        <v>-35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0" customHeight="1">
      <c r="A439" s="70"/>
      <c r="B439" s="71"/>
      <c r="C439" s="66"/>
      <c r="D439" s="66">
        <f t="shared" si="333"/>
        <v>0</v>
      </c>
      <c r="E439" s="67"/>
      <c r="F439" s="58">
        <f t="shared" ref="F439:L439" si="447">SUMIFS($C439,$B439,F$7)+F438</f>
        <v>25</v>
      </c>
      <c r="G439" s="58">
        <f t="shared" si="447"/>
        <v>0</v>
      </c>
      <c r="H439" s="58">
        <f t="shared" si="447"/>
        <v>0</v>
      </c>
      <c r="I439" s="58">
        <f t="shared" si="447"/>
        <v>57</v>
      </c>
      <c r="J439" s="58">
        <f t="shared" si="447"/>
        <v>19</v>
      </c>
      <c r="K439" s="58">
        <f t="shared" si="447"/>
        <v>0</v>
      </c>
      <c r="L439" s="58">
        <f t="shared" si="447"/>
        <v>-35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0" customHeight="1">
      <c r="A440" s="70"/>
      <c r="B440" s="71"/>
      <c r="C440" s="66"/>
      <c r="D440" s="66">
        <f t="shared" si="333"/>
        <v>0</v>
      </c>
      <c r="E440" s="67"/>
      <c r="F440" s="58">
        <f t="shared" ref="F440:L440" si="448">SUMIFS($C440,$B440,F$7)+F439</f>
        <v>25</v>
      </c>
      <c r="G440" s="58">
        <f t="shared" si="448"/>
        <v>0</v>
      </c>
      <c r="H440" s="58">
        <f t="shared" si="448"/>
        <v>0</v>
      </c>
      <c r="I440" s="58">
        <f t="shared" si="448"/>
        <v>57</v>
      </c>
      <c r="J440" s="58">
        <f t="shared" si="448"/>
        <v>19</v>
      </c>
      <c r="K440" s="58">
        <f t="shared" si="448"/>
        <v>0</v>
      </c>
      <c r="L440" s="58">
        <f t="shared" si="448"/>
        <v>-35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0" customHeight="1">
      <c r="A441" s="70"/>
      <c r="B441" s="71"/>
      <c r="C441" s="66"/>
      <c r="D441" s="66">
        <f t="shared" si="333"/>
        <v>0</v>
      </c>
      <c r="E441" s="67"/>
      <c r="F441" s="58">
        <f t="shared" ref="F441:L441" si="449">SUMIFS($C441,$B441,F$7)+F440</f>
        <v>25</v>
      </c>
      <c r="G441" s="58">
        <f t="shared" si="449"/>
        <v>0</v>
      </c>
      <c r="H441" s="58">
        <f t="shared" si="449"/>
        <v>0</v>
      </c>
      <c r="I441" s="58">
        <f t="shared" si="449"/>
        <v>57</v>
      </c>
      <c r="J441" s="58">
        <f t="shared" si="449"/>
        <v>19</v>
      </c>
      <c r="K441" s="58">
        <f t="shared" si="449"/>
        <v>0</v>
      </c>
      <c r="L441" s="58">
        <f t="shared" si="449"/>
        <v>-35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0" customHeight="1">
      <c r="A442" s="70"/>
      <c r="B442" s="71"/>
      <c r="C442" s="66"/>
      <c r="D442" s="66">
        <f t="shared" si="333"/>
        <v>0</v>
      </c>
      <c r="E442" s="67"/>
      <c r="F442" s="58">
        <f t="shared" ref="F442:L442" si="450">SUMIFS($C442,$B442,F$7)+F441</f>
        <v>25</v>
      </c>
      <c r="G442" s="58">
        <f t="shared" si="450"/>
        <v>0</v>
      </c>
      <c r="H442" s="58">
        <f t="shared" si="450"/>
        <v>0</v>
      </c>
      <c r="I442" s="58">
        <f t="shared" si="450"/>
        <v>57</v>
      </c>
      <c r="J442" s="58">
        <f t="shared" si="450"/>
        <v>19</v>
      </c>
      <c r="K442" s="58">
        <f t="shared" si="450"/>
        <v>0</v>
      </c>
      <c r="L442" s="58">
        <f t="shared" si="450"/>
        <v>-35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0" customHeight="1">
      <c r="A443" s="70"/>
      <c r="B443" s="71"/>
      <c r="C443" s="66"/>
      <c r="D443" s="66">
        <f t="shared" si="333"/>
        <v>0</v>
      </c>
      <c r="E443" s="67"/>
      <c r="F443" s="58">
        <f t="shared" ref="F443:L443" si="451">SUMIFS($C443,$B443,F$7)+F442</f>
        <v>25</v>
      </c>
      <c r="G443" s="58">
        <f t="shared" si="451"/>
        <v>0</v>
      </c>
      <c r="H443" s="58">
        <f t="shared" si="451"/>
        <v>0</v>
      </c>
      <c r="I443" s="58">
        <f t="shared" si="451"/>
        <v>57</v>
      </c>
      <c r="J443" s="58">
        <f t="shared" si="451"/>
        <v>19</v>
      </c>
      <c r="K443" s="58">
        <f t="shared" si="451"/>
        <v>0</v>
      </c>
      <c r="L443" s="58">
        <f t="shared" si="451"/>
        <v>-35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0" customHeight="1">
      <c r="A444" s="70"/>
      <c r="B444" s="71"/>
      <c r="C444" s="66"/>
      <c r="D444" s="66">
        <f t="shared" si="333"/>
        <v>0</v>
      </c>
      <c r="E444" s="67"/>
      <c r="F444" s="58">
        <f t="shared" ref="F444:L444" si="452">SUMIFS($C444,$B444,F$7)+F443</f>
        <v>25</v>
      </c>
      <c r="G444" s="58">
        <f t="shared" si="452"/>
        <v>0</v>
      </c>
      <c r="H444" s="58">
        <f t="shared" si="452"/>
        <v>0</v>
      </c>
      <c r="I444" s="58">
        <f t="shared" si="452"/>
        <v>57</v>
      </c>
      <c r="J444" s="58">
        <f t="shared" si="452"/>
        <v>19</v>
      </c>
      <c r="K444" s="58">
        <f t="shared" si="452"/>
        <v>0</v>
      </c>
      <c r="L444" s="58">
        <f t="shared" si="452"/>
        <v>-35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0" customHeight="1">
      <c r="A445" s="70"/>
      <c r="B445" s="71"/>
      <c r="C445" s="66"/>
      <c r="D445" s="66">
        <f t="shared" si="333"/>
        <v>0</v>
      </c>
      <c r="E445" s="67"/>
      <c r="F445" s="58">
        <f t="shared" ref="F445:L445" si="453">SUMIFS($C445,$B445,F$7)+F444</f>
        <v>25</v>
      </c>
      <c r="G445" s="58">
        <f t="shared" si="453"/>
        <v>0</v>
      </c>
      <c r="H445" s="58">
        <f t="shared" si="453"/>
        <v>0</v>
      </c>
      <c r="I445" s="58">
        <f t="shared" si="453"/>
        <v>57</v>
      </c>
      <c r="J445" s="58">
        <f t="shared" si="453"/>
        <v>19</v>
      </c>
      <c r="K445" s="58">
        <f t="shared" si="453"/>
        <v>0</v>
      </c>
      <c r="L445" s="58">
        <f t="shared" si="453"/>
        <v>-35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0" customHeight="1">
      <c r="A446" s="70"/>
      <c r="B446" s="71"/>
      <c r="C446" s="66"/>
      <c r="D446" s="66">
        <f t="shared" si="333"/>
        <v>0</v>
      </c>
      <c r="E446" s="67"/>
      <c r="F446" s="58">
        <f t="shared" ref="F446:L446" si="454">SUMIFS($C446,$B446,F$7)+F445</f>
        <v>25</v>
      </c>
      <c r="G446" s="58">
        <f t="shared" si="454"/>
        <v>0</v>
      </c>
      <c r="H446" s="58">
        <f t="shared" si="454"/>
        <v>0</v>
      </c>
      <c r="I446" s="58">
        <f t="shared" si="454"/>
        <v>57</v>
      </c>
      <c r="J446" s="58">
        <f t="shared" si="454"/>
        <v>19</v>
      </c>
      <c r="K446" s="58">
        <f t="shared" si="454"/>
        <v>0</v>
      </c>
      <c r="L446" s="58">
        <f t="shared" si="454"/>
        <v>-35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0" customHeight="1">
      <c r="A447" s="70"/>
      <c r="B447" s="71"/>
      <c r="C447" s="66"/>
      <c r="D447" s="66">
        <f t="shared" si="333"/>
        <v>0</v>
      </c>
      <c r="E447" s="67"/>
      <c r="F447" s="58">
        <f t="shared" ref="F447:L447" si="455">SUMIFS($C447,$B447,F$7)+F446</f>
        <v>25</v>
      </c>
      <c r="G447" s="58">
        <f t="shared" si="455"/>
        <v>0</v>
      </c>
      <c r="H447" s="58">
        <f t="shared" si="455"/>
        <v>0</v>
      </c>
      <c r="I447" s="58">
        <f t="shared" si="455"/>
        <v>57</v>
      </c>
      <c r="J447" s="58">
        <f t="shared" si="455"/>
        <v>19</v>
      </c>
      <c r="K447" s="58">
        <f t="shared" si="455"/>
        <v>0</v>
      </c>
      <c r="L447" s="58">
        <f t="shared" si="455"/>
        <v>-35</v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0" customHeight="1">
      <c r="A448" s="70"/>
      <c r="B448" s="71"/>
      <c r="C448" s="66"/>
      <c r="D448" s="66">
        <f t="shared" si="333"/>
        <v>0</v>
      </c>
      <c r="E448" s="67"/>
      <c r="F448" s="58">
        <f t="shared" ref="F448:L448" si="456">SUMIFS($C448,$B448,F$7)+F447</f>
        <v>25</v>
      </c>
      <c r="G448" s="58">
        <f t="shared" si="456"/>
        <v>0</v>
      </c>
      <c r="H448" s="58">
        <f t="shared" si="456"/>
        <v>0</v>
      </c>
      <c r="I448" s="58">
        <f t="shared" si="456"/>
        <v>57</v>
      </c>
      <c r="J448" s="58">
        <f t="shared" si="456"/>
        <v>19</v>
      </c>
      <c r="K448" s="58">
        <f t="shared" si="456"/>
        <v>0</v>
      </c>
      <c r="L448" s="58">
        <f t="shared" si="456"/>
        <v>-35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0" customHeight="1">
      <c r="A449" s="70"/>
      <c r="B449" s="71"/>
      <c r="C449" s="66"/>
      <c r="D449" s="66">
        <f t="shared" si="333"/>
        <v>0</v>
      </c>
      <c r="E449" s="67"/>
      <c r="F449" s="58">
        <f t="shared" ref="F449:L449" si="457">SUMIFS($C449,$B449,F$7)+F448</f>
        <v>25</v>
      </c>
      <c r="G449" s="58">
        <f t="shared" si="457"/>
        <v>0</v>
      </c>
      <c r="H449" s="58">
        <f t="shared" si="457"/>
        <v>0</v>
      </c>
      <c r="I449" s="58">
        <f t="shared" si="457"/>
        <v>57</v>
      </c>
      <c r="J449" s="58">
        <f t="shared" si="457"/>
        <v>19</v>
      </c>
      <c r="K449" s="58">
        <f t="shared" si="457"/>
        <v>0</v>
      </c>
      <c r="L449" s="58">
        <f t="shared" si="457"/>
        <v>-35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0" customHeight="1">
      <c r="A450" s="70"/>
      <c r="B450" s="71"/>
      <c r="C450" s="66"/>
      <c r="D450" s="66">
        <f t="shared" si="333"/>
        <v>0</v>
      </c>
      <c r="E450" s="67"/>
      <c r="F450" s="58">
        <f t="shared" ref="F450:L450" si="458">SUMIFS($C450,$B450,F$7)+F449</f>
        <v>25</v>
      </c>
      <c r="G450" s="58">
        <f t="shared" si="458"/>
        <v>0</v>
      </c>
      <c r="H450" s="58">
        <f t="shared" si="458"/>
        <v>0</v>
      </c>
      <c r="I450" s="58">
        <f t="shared" si="458"/>
        <v>57</v>
      </c>
      <c r="J450" s="58">
        <f t="shared" si="458"/>
        <v>19</v>
      </c>
      <c r="K450" s="58">
        <f t="shared" si="458"/>
        <v>0</v>
      </c>
      <c r="L450" s="58">
        <f t="shared" si="458"/>
        <v>-35</v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0" customHeight="1">
      <c r="A451" s="70"/>
      <c r="B451" s="71"/>
      <c r="C451" s="66"/>
      <c r="D451" s="66">
        <f t="shared" si="333"/>
        <v>0</v>
      </c>
      <c r="E451" s="67"/>
      <c r="F451" s="58">
        <f t="shared" ref="F451:L451" si="459">SUMIFS($C451,$B451,F$7)+F450</f>
        <v>25</v>
      </c>
      <c r="G451" s="58">
        <f t="shared" si="459"/>
        <v>0</v>
      </c>
      <c r="H451" s="58">
        <f t="shared" si="459"/>
        <v>0</v>
      </c>
      <c r="I451" s="58">
        <f t="shared" si="459"/>
        <v>57</v>
      </c>
      <c r="J451" s="58">
        <f t="shared" si="459"/>
        <v>19</v>
      </c>
      <c r="K451" s="58">
        <f t="shared" si="459"/>
        <v>0</v>
      </c>
      <c r="L451" s="58">
        <f t="shared" si="459"/>
        <v>-35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0" customHeight="1">
      <c r="A452" s="70"/>
      <c r="B452" s="71"/>
      <c r="C452" s="66"/>
      <c r="D452" s="66">
        <f t="shared" si="333"/>
        <v>0</v>
      </c>
      <c r="E452" s="67"/>
      <c r="F452" s="58">
        <f t="shared" ref="F452:L452" si="460">SUMIFS($C452,$B452,F$7)+F451</f>
        <v>25</v>
      </c>
      <c r="G452" s="58">
        <f t="shared" si="460"/>
        <v>0</v>
      </c>
      <c r="H452" s="58">
        <f t="shared" si="460"/>
        <v>0</v>
      </c>
      <c r="I452" s="58">
        <f t="shared" si="460"/>
        <v>57</v>
      </c>
      <c r="J452" s="58">
        <f t="shared" si="460"/>
        <v>19</v>
      </c>
      <c r="K452" s="58">
        <f t="shared" si="460"/>
        <v>0</v>
      </c>
      <c r="L452" s="58">
        <f t="shared" si="460"/>
        <v>-35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0" customHeight="1">
      <c r="A453" s="70"/>
      <c r="B453" s="71"/>
      <c r="C453" s="66"/>
      <c r="D453" s="66">
        <f t="shared" si="333"/>
        <v>0</v>
      </c>
      <c r="E453" s="67"/>
      <c r="F453" s="58">
        <f t="shared" ref="F453:L453" si="461">SUMIFS($C453,$B453,F$7)+F452</f>
        <v>25</v>
      </c>
      <c r="G453" s="58">
        <f t="shared" si="461"/>
        <v>0</v>
      </c>
      <c r="H453" s="58">
        <f t="shared" si="461"/>
        <v>0</v>
      </c>
      <c r="I453" s="58">
        <f t="shared" si="461"/>
        <v>57</v>
      </c>
      <c r="J453" s="58">
        <f t="shared" si="461"/>
        <v>19</v>
      </c>
      <c r="K453" s="58">
        <f t="shared" si="461"/>
        <v>0</v>
      </c>
      <c r="L453" s="58">
        <f t="shared" si="461"/>
        <v>-35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0" customHeight="1">
      <c r="A454" s="70"/>
      <c r="B454" s="71"/>
      <c r="C454" s="66"/>
      <c r="D454" s="66">
        <f t="shared" si="333"/>
        <v>0</v>
      </c>
      <c r="E454" s="67"/>
      <c r="F454" s="58">
        <f t="shared" ref="F454:L454" si="462">SUMIFS($C454,$B454,F$7)+F453</f>
        <v>25</v>
      </c>
      <c r="G454" s="58">
        <f t="shared" si="462"/>
        <v>0</v>
      </c>
      <c r="H454" s="58">
        <f t="shared" si="462"/>
        <v>0</v>
      </c>
      <c r="I454" s="58">
        <f t="shared" si="462"/>
        <v>57</v>
      </c>
      <c r="J454" s="58">
        <f t="shared" si="462"/>
        <v>19</v>
      </c>
      <c r="K454" s="58">
        <f t="shared" si="462"/>
        <v>0</v>
      </c>
      <c r="L454" s="58">
        <f t="shared" si="462"/>
        <v>-35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0" customHeight="1">
      <c r="A455" s="70"/>
      <c r="B455" s="71"/>
      <c r="C455" s="66"/>
      <c r="D455" s="66">
        <f t="shared" si="333"/>
        <v>0</v>
      </c>
      <c r="E455" s="67"/>
      <c r="F455" s="58">
        <f t="shared" ref="F455:L455" si="463">SUMIFS($C455,$B455,F$7)+F454</f>
        <v>25</v>
      </c>
      <c r="G455" s="58">
        <f t="shared" si="463"/>
        <v>0</v>
      </c>
      <c r="H455" s="58">
        <f t="shared" si="463"/>
        <v>0</v>
      </c>
      <c r="I455" s="58">
        <f t="shared" si="463"/>
        <v>57</v>
      </c>
      <c r="J455" s="58">
        <f t="shared" si="463"/>
        <v>19</v>
      </c>
      <c r="K455" s="58">
        <f t="shared" si="463"/>
        <v>0</v>
      </c>
      <c r="L455" s="58">
        <f t="shared" si="463"/>
        <v>-35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0" customHeight="1">
      <c r="A456" s="70"/>
      <c r="B456" s="71"/>
      <c r="C456" s="66"/>
      <c r="D456" s="66">
        <f t="shared" si="333"/>
        <v>0</v>
      </c>
      <c r="E456" s="67"/>
      <c r="F456" s="58">
        <f t="shared" ref="F456:L456" si="464">SUMIFS($C456,$B456,F$7)+F455</f>
        <v>25</v>
      </c>
      <c r="G456" s="58">
        <f t="shared" si="464"/>
        <v>0</v>
      </c>
      <c r="H456" s="58">
        <f t="shared" si="464"/>
        <v>0</v>
      </c>
      <c r="I456" s="58">
        <f t="shared" si="464"/>
        <v>57</v>
      </c>
      <c r="J456" s="58">
        <f t="shared" si="464"/>
        <v>19</v>
      </c>
      <c r="K456" s="58">
        <f t="shared" si="464"/>
        <v>0</v>
      </c>
      <c r="L456" s="58">
        <f t="shared" si="464"/>
        <v>-35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0" customHeight="1">
      <c r="A457" s="70"/>
      <c r="B457" s="71"/>
      <c r="C457" s="66"/>
      <c r="D457" s="66">
        <f t="shared" si="333"/>
        <v>0</v>
      </c>
      <c r="E457" s="67"/>
      <c r="F457" s="58">
        <f t="shared" ref="F457:L457" si="465">SUMIFS($C457,$B457,F$7)+F456</f>
        <v>25</v>
      </c>
      <c r="G457" s="58">
        <f t="shared" si="465"/>
        <v>0</v>
      </c>
      <c r="H457" s="58">
        <f t="shared" si="465"/>
        <v>0</v>
      </c>
      <c r="I457" s="58">
        <f t="shared" si="465"/>
        <v>57</v>
      </c>
      <c r="J457" s="58">
        <f t="shared" si="465"/>
        <v>19</v>
      </c>
      <c r="K457" s="58">
        <f t="shared" si="465"/>
        <v>0</v>
      </c>
      <c r="L457" s="58">
        <f t="shared" si="465"/>
        <v>-35</v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0" customHeight="1">
      <c r="A458" s="70"/>
      <c r="B458" s="71"/>
      <c r="C458" s="66"/>
      <c r="D458" s="66">
        <f t="shared" si="333"/>
        <v>0</v>
      </c>
      <c r="E458" s="67"/>
      <c r="F458" s="58">
        <f t="shared" ref="F458:L458" si="466">SUMIFS($C458,$B458,F$7)+F457</f>
        <v>25</v>
      </c>
      <c r="G458" s="58">
        <f t="shared" si="466"/>
        <v>0</v>
      </c>
      <c r="H458" s="58">
        <f t="shared" si="466"/>
        <v>0</v>
      </c>
      <c r="I458" s="58">
        <f t="shared" si="466"/>
        <v>57</v>
      </c>
      <c r="J458" s="58">
        <f t="shared" si="466"/>
        <v>19</v>
      </c>
      <c r="K458" s="58">
        <f t="shared" si="466"/>
        <v>0</v>
      </c>
      <c r="L458" s="58">
        <f t="shared" si="466"/>
        <v>-35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0" customHeight="1">
      <c r="A459" s="70"/>
      <c r="B459" s="71"/>
      <c r="C459" s="66"/>
      <c r="D459" s="66">
        <f t="shared" si="333"/>
        <v>0</v>
      </c>
      <c r="E459" s="67"/>
      <c r="F459" s="58">
        <f t="shared" ref="F459:L459" si="467">SUMIFS($C459,$B459,F$7)+F458</f>
        <v>25</v>
      </c>
      <c r="G459" s="58">
        <f t="shared" si="467"/>
        <v>0</v>
      </c>
      <c r="H459" s="58">
        <f t="shared" si="467"/>
        <v>0</v>
      </c>
      <c r="I459" s="58">
        <f t="shared" si="467"/>
        <v>57</v>
      </c>
      <c r="J459" s="58">
        <f t="shared" si="467"/>
        <v>19</v>
      </c>
      <c r="K459" s="58">
        <f t="shared" si="467"/>
        <v>0</v>
      </c>
      <c r="L459" s="58">
        <f t="shared" si="467"/>
        <v>-35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0" customHeight="1">
      <c r="A460" s="70"/>
      <c r="B460" s="71"/>
      <c r="C460" s="66"/>
      <c r="D460" s="66">
        <f t="shared" si="333"/>
        <v>0</v>
      </c>
      <c r="E460" s="67"/>
      <c r="F460" s="58">
        <f t="shared" ref="F460:L460" si="468">SUMIFS($C460,$B460,F$7)+F459</f>
        <v>25</v>
      </c>
      <c r="G460" s="58">
        <f t="shared" si="468"/>
        <v>0</v>
      </c>
      <c r="H460" s="58">
        <f t="shared" si="468"/>
        <v>0</v>
      </c>
      <c r="I460" s="58">
        <f t="shared" si="468"/>
        <v>57</v>
      </c>
      <c r="J460" s="58">
        <f t="shared" si="468"/>
        <v>19</v>
      </c>
      <c r="K460" s="58">
        <f t="shared" si="468"/>
        <v>0</v>
      </c>
      <c r="L460" s="58">
        <f t="shared" si="468"/>
        <v>-35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0" customHeight="1">
      <c r="A461" s="70"/>
      <c r="B461" s="71"/>
      <c r="C461" s="66"/>
      <c r="D461" s="66">
        <f t="shared" si="333"/>
        <v>0</v>
      </c>
      <c r="E461" s="67"/>
      <c r="F461" s="58">
        <f t="shared" ref="F461:L461" si="469">SUMIFS($C461,$B461,F$7)+F460</f>
        <v>25</v>
      </c>
      <c r="G461" s="58">
        <f t="shared" si="469"/>
        <v>0</v>
      </c>
      <c r="H461" s="58">
        <f t="shared" si="469"/>
        <v>0</v>
      </c>
      <c r="I461" s="58">
        <f t="shared" si="469"/>
        <v>57</v>
      </c>
      <c r="J461" s="58">
        <f t="shared" si="469"/>
        <v>19</v>
      </c>
      <c r="K461" s="58">
        <f t="shared" si="469"/>
        <v>0</v>
      </c>
      <c r="L461" s="58">
        <f t="shared" si="469"/>
        <v>-35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0" customHeight="1">
      <c r="A462" s="70"/>
      <c r="B462" s="71"/>
      <c r="C462" s="66"/>
      <c r="D462" s="66">
        <f t="shared" si="333"/>
        <v>0</v>
      </c>
      <c r="E462" s="67"/>
      <c r="F462" s="58">
        <f t="shared" ref="F462:L462" si="470">SUMIFS($C462,$B462,F$7)+F461</f>
        <v>25</v>
      </c>
      <c r="G462" s="58">
        <f t="shared" si="470"/>
        <v>0</v>
      </c>
      <c r="H462" s="58">
        <f t="shared" si="470"/>
        <v>0</v>
      </c>
      <c r="I462" s="58">
        <f t="shared" si="470"/>
        <v>57</v>
      </c>
      <c r="J462" s="58">
        <f t="shared" si="470"/>
        <v>19</v>
      </c>
      <c r="K462" s="58">
        <f t="shared" si="470"/>
        <v>0</v>
      </c>
      <c r="L462" s="58">
        <f t="shared" si="470"/>
        <v>-35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0" customHeight="1">
      <c r="A463" s="70"/>
      <c r="B463" s="71"/>
      <c r="C463" s="66"/>
      <c r="D463" s="66">
        <f t="shared" si="333"/>
        <v>0</v>
      </c>
      <c r="E463" s="67"/>
      <c r="F463" s="58">
        <f t="shared" ref="F463:L463" si="471">SUMIFS($C463,$B463,F$7)+F462</f>
        <v>25</v>
      </c>
      <c r="G463" s="58">
        <f t="shared" si="471"/>
        <v>0</v>
      </c>
      <c r="H463" s="58">
        <f t="shared" si="471"/>
        <v>0</v>
      </c>
      <c r="I463" s="58">
        <f t="shared" si="471"/>
        <v>57</v>
      </c>
      <c r="J463" s="58">
        <f t="shared" si="471"/>
        <v>19</v>
      </c>
      <c r="K463" s="58">
        <f t="shared" si="471"/>
        <v>0</v>
      </c>
      <c r="L463" s="58">
        <f t="shared" si="471"/>
        <v>-35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0" customHeight="1">
      <c r="A464" s="70"/>
      <c r="B464" s="71"/>
      <c r="C464" s="66"/>
      <c r="D464" s="66">
        <f t="shared" si="333"/>
        <v>0</v>
      </c>
      <c r="E464" s="67"/>
      <c r="F464" s="58">
        <f t="shared" ref="F464:L464" si="472">SUMIFS($C464,$B464,F$7)+F463</f>
        <v>25</v>
      </c>
      <c r="G464" s="58">
        <f t="shared" si="472"/>
        <v>0</v>
      </c>
      <c r="H464" s="58">
        <f t="shared" si="472"/>
        <v>0</v>
      </c>
      <c r="I464" s="58">
        <f t="shared" si="472"/>
        <v>57</v>
      </c>
      <c r="J464" s="58">
        <f t="shared" si="472"/>
        <v>19</v>
      </c>
      <c r="K464" s="58">
        <f t="shared" si="472"/>
        <v>0</v>
      </c>
      <c r="L464" s="58">
        <f t="shared" si="472"/>
        <v>-35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0" customHeight="1">
      <c r="A465" s="70"/>
      <c r="B465" s="71"/>
      <c r="C465" s="66"/>
      <c r="D465" s="66">
        <f t="shared" si="333"/>
        <v>0</v>
      </c>
      <c r="E465" s="67"/>
      <c r="F465" s="58">
        <f t="shared" ref="F465:L465" si="473">SUMIFS($C465,$B465,F$7)+F464</f>
        <v>25</v>
      </c>
      <c r="G465" s="58">
        <f t="shared" si="473"/>
        <v>0</v>
      </c>
      <c r="H465" s="58">
        <f t="shared" si="473"/>
        <v>0</v>
      </c>
      <c r="I465" s="58">
        <f t="shared" si="473"/>
        <v>57</v>
      </c>
      <c r="J465" s="58">
        <f t="shared" si="473"/>
        <v>19</v>
      </c>
      <c r="K465" s="58">
        <f t="shared" si="473"/>
        <v>0</v>
      </c>
      <c r="L465" s="58">
        <f t="shared" si="473"/>
        <v>-35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0" customHeight="1">
      <c r="A466" s="70"/>
      <c r="B466" s="71"/>
      <c r="C466" s="66"/>
      <c r="D466" s="66">
        <f t="shared" si="333"/>
        <v>0</v>
      </c>
      <c r="E466" s="67"/>
      <c r="F466" s="58">
        <f t="shared" ref="F466:L466" si="474">SUMIFS($C466,$B466,F$7)+F465</f>
        <v>25</v>
      </c>
      <c r="G466" s="58">
        <f t="shared" si="474"/>
        <v>0</v>
      </c>
      <c r="H466" s="58">
        <f t="shared" si="474"/>
        <v>0</v>
      </c>
      <c r="I466" s="58">
        <f t="shared" si="474"/>
        <v>57</v>
      </c>
      <c r="J466" s="58">
        <f t="shared" si="474"/>
        <v>19</v>
      </c>
      <c r="K466" s="58">
        <f t="shared" si="474"/>
        <v>0</v>
      </c>
      <c r="L466" s="58">
        <f t="shared" si="474"/>
        <v>-35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0" customHeight="1">
      <c r="A467" s="70"/>
      <c r="B467" s="71"/>
      <c r="C467" s="66"/>
      <c r="D467" s="66">
        <f t="shared" si="333"/>
        <v>0</v>
      </c>
      <c r="E467" s="67"/>
      <c r="F467" s="58">
        <f t="shared" ref="F467:L467" si="475">SUMIFS($C467,$B467,F$7)+F466</f>
        <v>25</v>
      </c>
      <c r="G467" s="58">
        <f t="shared" si="475"/>
        <v>0</v>
      </c>
      <c r="H467" s="58">
        <f t="shared" si="475"/>
        <v>0</v>
      </c>
      <c r="I467" s="58">
        <f t="shared" si="475"/>
        <v>57</v>
      </c>
      <c r="J467" s="58">
        <f t="shared" si="475"/>
        <v>19</v>
      </c>
      <c r="K467" s="58">
        <f t="shared" si="475"/>
        <v>0</v>
      </c>
      <c r="L467" s="58">
        <f t="shared" si="475"/>
        <v>-35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0" customHeight="1">
      <c r="A468" s="70"/>
      <c r="B468" s="71"/>
      <c r="C468" s="66"/>
      <c r="D468" s="66">
        <f t="shared" si="333"/>
        <v>0</v>
      </c>
      <c r="E468" s="67"/>
      <c r="F468" s="58">
        <f t="shared" ref="F468:L468" si="476">SUMIFS($C468,$B468,F$7)+F467</f>
        <v>25</v>
      </c>
      <c r="G468" s="58">
        <f t="shared" si="476"/>
        <v>0</v>
      </c>
      <c r="H468" s="58">
        <f t="shared" si="476"/>
        <v>0</v>
      </c>
      <c r="I468" s="58">
        <f t="shared" si="476"/>
        <v>57</v>
      </c>
      <c r="J468" s="58">
        <f t="shared" si="476"/>
        <v>19</v>
      </c>
      <c r="K468" s="58">
        <f t="shared" si="476"/>
        <v>0</v>
      </c>
      <c r="L468" s="58">
        <f t="shared" si="476"/>
        <v>-35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0" customHeight="1">
      <c r="A469" s="70"/>
      <c r="B469" s="71"/>
      <c r="C469" s="66"/>
      <c r="D469" s="66">
        <f t="shared" si="333"/>
        <v>0</v>
      </c>
      <c r="E469" s="67"/>
      <c r="F469" s="58">
        <f t="shared" ref="F469:L469" si="477">SUMIFS($C469,$B469,F$7)+F468</f>
        <v>25</v>
      </c>
      <c r="G469" s="58">
        <f t="shared" si="477"/>
        <v>0</v>
      </c>
      <c r="H469" s="58">
        <f t="shared" si="477"/>
        <v>0</v>
      </c>
      <c r="I469" s="58">
        <f t="shared" si="477"/>
        <v>57</v>
      </c>
      <c r="J469" s="58">
        <f t="shared" si="477"/>
        <v>19</v>
      </c>
      <c r="K469" s="58">
        <f t="shared" si="477"/>
        <v>0</v>
      </c>
      <c r="L469" s="58">
        <f t="shared" si="477"/>
        <v>-35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0" customHeight="1">
      <c r="A470" s="70"/>
      <c r="B470" s="71"/>
      <c r="C470" s="66"/>
      <c r="D470" s="66">
        <f t="shared" si="333"/>
        <v>0</v>
      </c>
      <c r="E470" s="67"/>
      <c r="F470" s="58">
        <f t="shared" ref="F470:L470" si="478">SUMIFS($C470,$B470,F$7)+F469</f>
        <v>25</v>
      </c>
      <c r="G470" s="58">
        <f t="shared" si="478"/>
        <v>0</v>
      </c>
      <c r="H470" s="58">
        <f t="shared" si="478"/>
        <v>0</v>
      </c>
      <c r="I470" s="58">
        <f t="shared" si="478"/>
        <v>57</v>
      </c>
      <c r="J470" s="58">
        <f t="shared" si="478"/>
        <v>19</v>
      </c>
      <c r="K470" s="58">
        <f t="shared" si="478"/>
        <v>0</v>
      </c>
      <c r="L470" s="58">
        <f t="shared" si="478"/>
        <v>-35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0" customHeight="1">
      <c r="A471" s="70"/>
      <c r="B471" s="71"/>
      <c r="C471" s="66"/>
      <c r="D471" s="66">
        <f t="shared" si="333"/>
        <v>0</v>
      </c>
      <c r="E471" s="67"/>
      <c r="F471" s="58">
        <f t="shared" ref="F471:L471" si="479">SUMIFS($C471,$B471,F$7)+F470</f>
        <v>25</v>
      </c>
      <c r="G471" s="58">
        <f t="shared" si="479"/>
        <v>0</v>
      </c>
      <c r="H471" s="58">
        <f t="shared" si="479"/>
        <v>0</v>
      </c>
      <c r="I471" s="58">
        <f t="shared" si="479"/>
        <v>57</v>
      </c>
      <c r="J471" s="58">
        <f t="shared" si="479"/>
        <v>19</v>
      </c>
      <c r="K471" s="58">
        <f t="shared" si="479"/>
        <v>0</v>
      </c>
      <c r="L471" s="58">
        <f t="shared" si="479"/>
        <v>-35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0" customHeight="1">
      <c r="A472" s="70"/>
      <c r="B472" s="71"/>
      <c r="C472" s="66"/>
      <c r="D472" s="66">
        <f t="shared" si="333"/>
        <v>0</v>
      </c>
      <c r="E472" s="67"/>
      <c r="F472" s="58">
        <f t="shared" ref="F472:L472" si="480">SUMIFS($C472,$B472,F$7)+F471</f>
        <v>25</v>
      </c>
      <c r="G472" s="58">
        <f t="shared" si="480"/>
        <v>0</v>
      </c>
      <c r="H472" s="58">
        <f t="shared" si="480"/>
        <v>0</v>
      </c>
      <c r="I472" s="58">
        <f t="shared" si="480"/>
        <v>57</v>
      </c>
      <c r="J472" s="58">
        <f t="shared" si="480"/>
        <v>19</v>
      </c>
      <c r="K472" s="58">
        <f t="shared" si="480"/>
        <v>0</v>
      </c>
      <c r="L472" s="58">
        <f t="shared" si="480"/>
        <v>-35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0" customHeight="1">
      <c r="A473" s="70"/>
      <c r="B473" s="71"/>
      <c r="C473" s="66"/>
      <c r="D473" s="66">
        <f t="shared" si="333"/>
        <v>0</v>
      </c>
      <c r="E473" s="67"/>
      <c r="F473" s="58">
        <f t="shared" ref="F473:L473" si="481">SUMIFS($C473,$B473,F$7)+F472</f>
        <v>25</v>
      </c>
      <c r="G473" s="58">
        <f t="shared" si="481"/>
        <v>0</v>
      </c>
      <c r="H473" s="58">
        <f t="shared" si="481"/>
        <v>0</v>
      </c>
      <c r="I473" s="58">
        <f t="shared" si="481"/>
        <v>57</v>
      </c>
      <c r="J473" s="58">
        <f t="shared" si="481"/>
        <v>19</v>
      </c>
      <c r="K473" s="58">
        <f t="shared" si="481"/>
        <v>0</v>
      </c>
      <c r="L473" s="58">
        <f t="shared" si="481"/>
        <v>-35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0" customHeight="1">
      <c r="A474" s="70"/>
      <c r="B474" s="71"/>
      <c r="C474" s="66"/>
      <c r="D474" s="66">
        <f t="shared" si="333"/>
        <v>0</v>
      </c>
      <c r="E474" s="67"/>
      <c r="F474" s="58">
        <f t="shared" ref="F474:L474" si="482">SUMIFS($C474,$B474,F$7)+F473</f>
        <v>25</v>
      </c>
      <c r="G474" s="58">
        <f t="shared" si="482"/>
        <v>0</v>
      </c>
      <c r="H474" s="58">
        <f t="shared" si="482"/>
        <v>0</v>
      </c>
      <c r="I474" s="58">
        <f t="shared" si="482"/>
        <v>57</v>
      </c>
      <c r="J474" s="58">
        <f t="shared" si="482"/>
        <v>19</v>
      </c>
      <c r="K474" s="58">
        <f t="shared" si="482"/>
        <v>0</v>
      </c>
      <c r="L474" s="58">
        <f t="shared" si="482"/>
        <v>-35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0" customHeight="1">
      <c r="A475" s="70"/>
      <c r="B475" s="71"/>
      <c r="C475" s="66"/>
      <c r="D475" s="66">
        <f t="shared" si="333"/>
        <v>0</v>
      </c>
      <c r="E475" s="67"/>
      <c r="F475" s="58">
        <f t="shared" ref="F475:L475" si="483">SUMIFS($C475,$B475,F$7)+F474</f>
        <v>25</v>
      </c>
      <c r="G475" s="58">
        <f t="shared" si="483"/>
        <v>0</v>
      </c>
      <c r="H475" s="58">
        <f t="shared" si="483"/>
        <v>0</v>
      </c>
      <c r="I475" s="58">
        <f t="shared" si="483"/>
        <v>57</v>
      </c>
      <c r="J475" s="58">
        <f t="shared" si="483"/>
        <v>19</v>
      </c>
      <c r="K475" s="58">
        <f t="shared" si="483"/>
        <v>0</v>
      </c>
      <c r="L475" s="58">
        <f t="shared" si="483"/>
        <v>-35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0" customHeight="1">
      <c r="A476" s="70"/>
      <c r="B476" s="71"/>
      <c r="C476" s="66"/>
      <c r="D476" s="66">
        <f t="shared" si="333"/>
        <v>0</v>
      </c>
      <c r="E476" s="67"/>
      <c r="F476" s="58">
        <f t="shared" ref="F476:L476" si="484">SUMIFS($C476,$B476,F$7)+F475</f>
        <v>25</v>
      </c>
      <c r="G476" s="58">
        <f t="shared" si="484"/>
        <v>0</v>
      </c>
      <c r="H476" s="58">
        <f t="shared" si="484"/>
        <v>0</v>
      </c>
      <c r="I476" s="58">
        <f t="shared" si="484"/>
        <v>57</v>
      </c>
      <c r="J476" s="58">
        <f t="shared" si="484"/>
        <v>19</v>
      </c>
      <c r="K476" s="58">
        <f t="shared" si="484"/>
        <v>0</v>
      </c>
      <c r="L476" s="58">
        <f t="shared" si="484"/>
        <v>-35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0" customHeight="1">
      <c r="A477" s="70"/>
      <c r="B477" s="71"/>
      <c r="C477" s="66"/>
      <c r="D477" s="66">
        <f t="shared" si="333"/>
        <v>0</v>
      </c>
      <c r="E477" s="67"/>
      <c r="F477" s="58">
        <f t="shared" ref="F477:L477" si="485">SUMIFS($C477,$B477,F$7)+F476</f>
        <v>25</v>
      </c>
      <c r="G477" s="58">
        <f t="shared" si="485"/>
        <v>0</v>
      </c>
      <c r="H477" s="58">
        <f t="shared" si="485"/>
        <v>0</v>
      </c>
      <c r="I477" s="58">
        <f t="shared" si="485"/>
        <v>57</v>
      </c>
      <c r="J477" s="58">
        <f t="shared" si="485"/>
        <v>19</v>
      </c>
      <c r="K477" s="58">
        <f t="shared" si="485"/>
        <v>0</v>
      </c>
      <c r="L477" s="58">
        <f t="shared" si="485"/>
        <v>-35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0" customHeight="1">
      <c r="A478" s="70"/>
      <c r="B478" s="71"/>
      <c r="C478" s="66"/>
      <c r="D478" s="66">
        <f t="shared" si="333"/>
        <v>0</v>
      </c>
      <c r="E478" s="67"/>
      <c r="F478" s="58">
        <f t="shared" ref="F478:L478" si="486">SUMIFS($C478,$B478,F$7)+F477</f>
        <v>25</v>
      </c>
      <c r="G478" s="58">
        <f t="shared" si="486"/>
        <v>0</v>
      </c>
      <c r="H478" s="58">
        <f t="shared" si="486"/>
        <v>0</v>
      </c>
      <c r="I478" s="58">
        <f t="shared" si="486"/>
        <v>57</v>
      </c>
      <c r="J478" s="58">
        <f t="shared" si="486"/>
        <v>19</v>
      </c>
      <c r="K478" s="58">
        <f t="shared" si="486"/>
        <v>0</v>
      </c>
      <c r="L478" s="58">
        <f t="shared" si="486"/>
        <v>-35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0" customHeight="1">
      <c r="A479" s="70"/>
      <c r="B479" s="71"/>
      <c r="C479" s="66"/>
      <c r="D479" s="66">
        <f t="shared" si="333"/>
        <v>0</v>
      </c>
      <c r="E479" s="67"/>
      <c r="F479" s="58">
        <f t="shared" ref="F479:L479" si="487">SUMIFS($C479,$B479,F$7)+F478</f>
        <v>25</v>
      </c>
      <c r="G479" s="58">
        <f t="shared" si="487"/>
        <v>0</v>
      </c>
      <c r="H479" s="58">
        <f t="shared" si="487"/>
        <v>0</v>
      </c>
      <c r="I479" s="58">
        <f t="shared" si="487"/>
        <v>57</v>
      </c>
      <c r="J479" s="58">
        <f t="shared" si="487"/>
        <v>19</v>
      </c>
      <c r="K479" s="58">
        <f t="shared" si="487"/>
        <v>0</v>
      </c>
      <c r="L479" s="58">
        <f t="shared" si="487"/>
        <v>-35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0" customHeight="1">
      <c r="A480" s="70"/>
      <c r="B480" s="71"/>
      <c r="C480" s="66"/>
      <c r="D480" s="66">
        <f t="shared" si="333"/>
        <v>0</v>
      </c>
      <c r="E480" s="67"/>
      <c r="F480" s="58">
        <f t="shared" ref="F480:L480" si="488">SUMIFS($C480,$B480,F$7)+F479</f>
        <v>25</v>
      </c>
      <c r="G480" s="58">
        <f t="shared" si="488"/>
        <v>0</v>
      </c>
      <c r="H480" s="58">
        <f t="shared" si="488"/>
        <v>0</v>
      </c>
      <c r="I480" s="58">
        <f t="shared" si="488"/>
        <v>57</v>
      </c>
      <c r="J480" s="58">
        <f t="shared" si="488"/>
        <v>19</v>
      </c>
      <c r="K480" s="58">
        <f t="shared" si="488"/>
        <v>0</v>
      </c>
      <c r="L480" s="58">
        <f t="shared" si="488"/>
        <v>-35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0" customHeight="1">
      <c r="A481" s="70"/>
      <c r="B481" s="71"/>
      <c r="C481" s="66"/>
      <c r="D481" s="66">
        <f t="shared" si="333"/>
        <v>0</v>
      </c>
      <c r="E481" s="67"/>
      <c r="F481" s="58">
        <f t="shared" ref="F481:L481" si="489">SUMIFS($C481,$B481,F$7)+F480</f>
        <v>25</v>
      </c>
      <c r="G481" s="58">
        <f t="shared" si="489"/>
        <v>0</v>
      </c>
      <c r="H481" s="58">
        <f t="shared" si="489"/>
        <v>0</v>
      </c>
      <c r="I481" s="58">
        <f t="shared" si="489"/>
        <v>57</v>
      </c>
      <c r="J481" s="58">
        <f t="shared" si="489"/>
        <v>19</v>
      </c>
      <c r="K481" s="58">
        <f t="shared" si="489"/>
        <v>0</v>
      </c>
      <c r="L481" s="58">
        <f t="shared" si="489"/>
        <v>-35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0" customHeight="1">
      <c r="A482" s="70"/>
      <c r="B482" s="71"/>
      <c r="C482" s="66"/>
      <c r="D482" s="66">
        <f t="shared" si="333"/>
        <v>0</v>
      </c>
      <c r="E482" s="67"/>
      <c r="F482" s="58">
        <f t="shared" ref="F482:L482" si="490">SUMIFS($C482,$B482,F$7)+F481</f>
        <v>25</v>
      </c>
      <c r="G482" s="58">
        <f t="shared" si="490"/>
        <v>0</v>
      </c>
      <c r="H482" s="58">
        <f t="shared" si="490"/>
        <v>0</v>
      </c>
      <c r="I482" s="58">
        <f t="shared" si="490"/>
        <v>57</v>
      </c>
      <c r="J482" s="58">
        <f t="shared" si="490"/>
        <v>19</v>
      </c>
      <c r="K482" s="58">
        <f t="shared" si="490"/>
        <v>0</v>
      </c>
      <c r="L482" s="58">
        <f t="shared" si="490"/>
        <v>-35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0" customHeight="1">
      <c r="A483" s="70"/>
      <c r="B483" s="71"/>
      <c r="C483" s="66"/>
      <c r="D483" s="66">
        <f t="shared" si="333"/>
        <v>0</v>
      </c>
      <c r="E483" s="67"/>
      <c r="F483" s="58">
        <f t="shared" ref="F483:L483" si="491">SUMIFS($C483,$B483,F$7)+F482</f>
        <v>25</v>
      </c>
      <c r="G483" s="58">
        <f t="shared" si="491"/>
        <v>0</v>
      </c>
      <c r="H483" s="58">
        <f t="shared" si="491"/>
        <v>0</v>
      </c>
      <c r="I483" s="58">
        <f t="shared" si="491"/>
        <v>57</v>
      </c>
      <c r="J483" s="58">
        <f t="shared" si="491"/>
        <v>19</v>
      </c>
      <c r="K483" s="58">
        <f t="shared" si="491"/>
        <v>0</v>
      </c>
      <c r="L483" s="58">
        <f t="shared" si="491"/>
        <v>-35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0" customHeight="1">
      <c r="A484" s="70"/>
      <c r="B484" s="71"/>
      <c r="C484" s="66"/>
      <c r="D484" s="66">
        <f t="shared" si="333"/>
        <v>0</v>
      </c>
      <c r="E484" s="67"/>
      <c r="F484" s="58">
        <f t="shared" ref="F484:L484" si="492">SUMIFS($C484,$B484,F$7)+F483</f>
        <v>25</v>
      </c>
      <c r="G484" s="58">
        <f t="shared" si="492"/>
        <v>0</v>
      </c>
      <c r="H484" s="58">
        <f t="shared" si="492"/>
        <v>0</v>
      </c>
      <c r="I484" s="58">
        <f t="shared" si="492"/>
        <v>57</v>
      </c>
      <c r="J484" s="58">
        <f t="shared" si="492"/>
        <v>19</v>
      </c>
      <c r="K484" s="58">
        <f t="shared" si="492"/>
        <v>0</v>
      </c>
      <c r="L484" s="58">
        <f t="shared" si="492"/>
        <v>-35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0" customHeight="1">
      <c r="A485" s="70"/>
      <c r="B485" s="71"/>
      <c r="C485" s="66"/>
      <c r="D485" s="66">
        <f t="shared" si="333"/>
        <v>0</v>
      </c>
      <c r="E485" s="67"/>
      <c r="F485" s="58">
        <f t="shared" ref="F485:L485" si="493">SUMIFS($C485,$B485,F$7)+F484</f>
        <v>25</v>
      </c>
      <c r="G485" s="58">
        <f t="shared" si="493"/>
        <v>0</v>
      </c>
      <c r="H485" s="58">
        <f t="shared" si="493"/>
        <v>0</v>
      </c>
      <c r="I485" s="58">
        <f t="shared" si="493"/>
        <v>57</v>
      </c>
      <c r="J485" s="58">
        <f t="shared" si="493"/>
        <v>19</v>
      </c>
      <c r="K485" s="58">
        <f t="shared" si="493"/>
        <v>0</v>
      </c>
      <c r="L485" s="58">
        <f t="shared" si="493"/>
        <v>-35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0" customHeight="1">
      <c r="A486" s="70"/>
      <c r="B486" s="71"/>
      <c r="C486" s="66"/>
      <c r="D486" s="66">
        <f t="shared" si="333"/>
        <v>0</v>
      </c>
      <c r="E486" s="67"/>
      <c r="F486" s="58">
        <f t="shared" ref="F486:L486" si="494">SUMIFS($C486,$B486,F$7)+F485</f>
        <v>25</v>
      </c>
      <c r="G486" s="58">
        <f t="shared" si="494"/>
        <v>0</v>
      </c>
      <c r="H486" s="58">
        <f t="shared" si="494"/>
        <v>0</v>
      </c>
      <c r="I486" s="58">
        <f t="shared" si="494"/>
        <v>57</v>
      </c>
      <c r="J486" s="58">
        <f t="shared" si="494"/>
        <v>19</v>
      </c>
      <c r="K486" s="58">
        <f t="shared" si="494"/>
        <v>0</v>
      </c>
      <c r="L486" s="58">
        <f t="shared" si="494"/>
        <v>-35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0" customHeight="1">
      <c r="A487" s="70"/>
      <c r="B487" s="71"/>
      <c r="C487" s="66"/>
      <c r="D487" s="66">
        <f t="shared" si="333"/>
        <v>0</v>
      </c>
      <c r="E487" s="67"/>
      <c r="F487" s="58">
        <f t="shared" ref="F487:L487" si="495">SUMIFS($C487,$B487,F$7)+F486</f>
        <v>25</v>
      </c>
      <c r="G487" s="58">
        <f t="shared" si="495"/>
        <v>0</v>
      </c>
      <c r="H487" s="58">
        <f t="shared" si="495"/>
        <v>0</v>
      </c>
      <c r="I487" s="58">
        <f t="shared" si="495"/>
        <v>57</v>
      </c>
      <c r="J487" s="58">
        <f t="shared" si="495"/>
        <v>19</v>
      </c>
      <c r="K487" s="58">
        <f t="shared" si="495"/>
        <v>0</v>
      </c>
      <c r="L487" s="58">
        <f t="shared" si="495"/>
        <v>-35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0" customHeight="1">
      <c r="A488" s="70"/>
      <c r="B488" s="71"/>
      <c r="C488" s="66"/>
      <c r="D488" s="66">
        <f t="shared" si="333"/>
        <v>0</v>
      </c>
      <c r="E488" s="67"/>
      <c r="F488" s="58">
        <f t="shared" ref="F488:L488" si="496">SUMIFS($C488,$B488,F$7)+F487</f>
        <v>25</v>
      </c>
      <c r="G488" s="58">
        <f t="shared" si="496"/>
        <v>0</v>
      </c>
      <c r="H488" s="58">
        <f t="shared" si="496"/>
        <v>0</v>
      </c>
      <c r="I488" s="58">
        <f t="shared" si="496"/>
        <v>57</v>
      </c>
      <c r="J488" s="58">
        <f t="shared" si="496"/>
        <v>19</v>
      </c>
      <c r="K488" s="58">
        <f t="shared" si="496"/>
        <v>0</v>
      </c>
      <c r="L488" s="58">
        <f t="shared" si="496"/>
        <v>-35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0" customHeight="1">
      <c r="A489" s="70"/>
      <c r="B489" s="71"/>
      <c r="C489" s="66"/>
      <c r="D489" s="66">
        <f t="shared" si="333"/>
        <v>0</v>
      </c>
      <c r="E489" s="67"/>
      <c r="F489" s="58">
        <f t="shared" ref="F489:L489" si="497">SUMIFS($C489,$B489,F$7)+F488</f>
        <v>25</v>
      </c>
      <c r="G489" s="58">
        <f t="shared" si="497"/>
        <v>0</v>
      </c>
      <c r="H489" s="58">
        <f t="shared" si="497"/>
        <v>0</v>
      </c>
      <c r="I489" s="58">
        <f t="shared" si="497"/>
        <v>57</v>
      </c>
      <c r="J489" s="58">
        <f t="shared" si="497"/>
        <v>19</v>
      </c>
      <c r="K489" s="58">
        <f t="shared" si="497"/>
        <v>0</v>
      </c>
      <c r="L489" s="58">
        <f t="shared" si="497"/>
        <v>-35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0" customHeight="1">
      <c r="A490" s="70"/>
      <c r="B490" s="71"/>
      <c r="C490" s="66"/>
      <c r="D490" s="66">
        <f t="shared" si="333"/>
        <v>0</v>
      </c>
      <c r="E490" s="67"/>
      <c r="F490" s="58">
        <f t="shared" ref="F490:L490" si="498">SUMIFS($C490,$B490,F$7)+F489</f>
        <v>25</v>
      </c>
      <c r="G490" s="58">
        <f t="shared" si="498"/>
        <v>0</v>
      </c>
      <c r="H490" s="58">
        <f t="shared" si="498"/>
        <v>0</v>
      </c>
      <c r="I490" s="58">
        <f t="shared" si="498"/>
        <v>57</v>
      </c>
      <c r="J490" s="58">
        <f t="shared" si="498"/>
        <v>19</v>
      </c>
      <c r="K490" s="58">
        <f t="shared" si="498"/>
        <v>0</v>
      </c>
      <c r="L490" s="58">
        <f t="shared" si="498"/>
        <v>-35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0" customHeight="1">
      <c r="A491" s="70"/>
      <c r="B491" s="71"/>
      <c r="C491" s="66"/>
      <c r="D491" s="66">
        <f t="shared" si="333"/>
        <v>0</v>
      </c>
      <c r="E491" s="67"/>
      <c r="F491" s="58">
        <f t="shared" ref="F491:L491" si="499">SUMIFS($C491,$B491,F$7)+F490</f>
        <v>25</v>
      </c>
      <c r="G491" s="58">
        <f t="shared" si="499"/>
        <v>0</v>
      </c>
      <c r="H491" s="58">
        <f t="shared" si="499"/>
        <v>0</v>
      </c>
      <c r="I491" s="58">
        <f t="shared" si="499"/>
        <v>57</v>
      </c>
      <c r="J491" s="58">
        <f t="shared" si="499"/>
        <v>19</v>
      </c>
      <c r="K491" s="58">
        <f t="shared" si="499"/>
        <v>0</v>
      </c>
      <c r="L491" s="58">
        <f t="shared" si="499"/>
        <v>-35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0" customHeight="1">
      <c r="A492" s="70"/>
      <c r="B492" s="71"/>
      <c r="C492" s="66"/>
      <c r="D492" s="66">
        <f t="shared" si="333"/>
        <v>0</v>
      </c>
      <c r="E492" s="67"/>
      <c r="F492" s="58">
        <f t="shared" ref="F492:L492" si="500">SUMIFS($C492,$B492,F$7)+F491</f>
        <v>25</v>
      </c>
      <c r="G492" s="58">
        <f t="shared" si="500"/>
        <v>0</v>
      </c>
      <c r="H492" s="58">
        <f t="shared" si="500"/>
        <v>0</v>
      </c>
      <c r="I492" s="58">
        <f t="shared" si="500"/>
        <v>57</v>
      </c>
      <c r="J492" s="58">
        <f t="shared" si="500"/>
        <v>19</v>
      </c>
      <c r="K492" s="58">
        <f t="shared" si="500"/>
        <v>0</v>
      </c>
      <c r="L492" s="58">
        <f t="shared" si="500"/>
        <v>-35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0" customHeight="1">
      <c r="A493" s="70"/>
      <c r="B493" s="71"/>
      <c r="C493" s="66"/>
      <c r="D493" s="66">
        <f t="shared" si="333"/>
        <v>0</v>
      </c>
      <c r="E493" s="67"/>
      <c r="F493" s="58">
        <f t="shared" ref="F493:L493" si="501">SUMIFS($C493,$B493,F$7)+F492</f>
        <v>25</v>
      </c>
      <c r="G493" s="58">
        <f t="shared" si="501"/>
        <v>0</v>
      </c>
      <c r="H493" s="58">
        <f t="shared" si="501"/>
        <v>0</v>
      </c>
      <c r="I493" s="58">
        <f t="shared" si="501"/>
        <v>57</v>
      </c>
      <c r="J493" s="58">
        <f t="shared" si="501"/>
        <v>19</v>
      </c>
      <c r="K493" s="58">
        <f t="shared" si="501"/>
        <v>0</v>
      </c>
      <c r="L493" s="58">
        <f t="shared" si="501"/>
        <v>-35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0" customHeight="1">
      <c r="A494" s="70"/>
      <c r="B494" s="71"/>
      <c r="C494" s="66"/>
      <c r="D494" s="66">
        <f t="shared" si="333"/>
        <v>0</v>
      </c>
      <c r="E494" s="67"/>
      <c r="F494" s="58">
        <f t="shared" ref="F494:L494" si="502">SUMIFS($C494,$B494,F$7)+F493</f>
        <v>25</v>
      </c>
      <c r="G494" s="58">
        <f t="shared" si="502"/>
        <v>0</v>
      </c>
      <c r="H494" s="58">
        <f t="shared" si="502"/>
        <v>0</v>
      </c>
      <c r="I494" s="58">
        <f t="shared" si="502"/>
        <v>57</v>
      </c>
      <c r="J494" s="58">
        <f t="shared" si="502"/>
        <v>19</v>
      </c>
      <c r="K494" s="58">
        <f t="shared" si="502"/>
        <v>0</v>
      </c>
      <c r="L494" s="58">
        <f t="shared" si="502"/>
        <v>-35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0" customHeight="1">
      <c r="A495" s="70"/>
      <c r="B495" s="71"/>
      <c r="C495" s="66"/>
      <c r="D495" s="66">
        <f t="shared" si="333"/>
        <v>0</v>
      </c>
      <c r="E495" s="67"/>
      <c r="F495" s="58">
        <f t="shared" ref="F495:L495" si="503">SUMIFS($C495,$B495,F$7)+F494</f>
        <v>25</v>
      </c>
      <c r="G495" s="58">
        <f t="shared" si="503"/>
        <v>0</v>
      </c>
      <c r="H495" s="58">
        <f t="shared" si="503"/>
        <v>0</v>
      </c>
      <c r="I495" s="58">
        <f t="shared" si="503"/>
        <v>57</v>
      </c>
      <c r="J495" s="58">
        <f t="shared" si="503"/>
        <v>19</v>
      </c>
      <c r="K495" s="58">
        <f t="shared" si="503"/>
        <v>0</v>
      </c>
      <c r="L495" s="58">
        <f t="shared" si="503"/>
        <v>-35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0" customHeight="1">
      <c r="A496" s="70"/>
      <c r="B496" s="71"/>
      <c r="C496" s="66"/>
      <c r="D496" s="66">
        <f t="shared" si="333"/>
        <v>0</v>
      </c>
      <c r="E496" s="67"/>
      <c r="F496" s="58">
        <f t="shared" ref="F496:L496" si="504">SUMIFS($C496,$B496,F$7)+F495</f>
        <v>25</v>
      </c>
      <c r="G496" s="58">
        <f t="shared" si="504"/>
        <v>0</v>
      </c>
      <c r="H496" s="58">
        <f t="shared" si="504"/>
        <v>0</v>
      </c>
      <c r="I496" s="58">
        <f t="shared" si="504"/>
        <v>57</v>
      </c>
      <c r="J496" s="58">
        <f t="shared" si="504"/>
        <v>19</v>
      </c>
      <c r="K496" s="58">
        <f t="shared" si="504"/>
        <v>0</v>
      </c>
      <c r="L496" s="58">
        <f t="shared" si="504"/>
        <v>-35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0" customHeight="1">
      <c r="A497" s="70"/>
      <c r="B497" s="71"/>
      <c r="C497" s="66"/>
      <c r="D497" s="66">
        <f t="shared" si="333"/>
        <v>0</v>
      </c>
      <c r="E497" s="67"/>
      <c r="F497" s="58">
        <f t="shared" ref="F497:L497" si="505">SUMIFS($C497,$B497,F$7)+F496</f>
        <v>25</v>
      </c>
      <c r="G497" s="58">
        <f t="shared" si="505"/>
        <v>0</v>
      </c>
      <c r="H497" s="58">
        <f t="shared" si="505"/>
        <v>0</v>
      </c>
      <c r="I497" s="58">
        <f t="shared" si="505"/>
        <v>57</v>
      </c>
      <c r="J497" s="58">
        <f t="shared" si="505"/>
        <v>19</v>
      </c>
      <c r="K497" s="58">
        <f t="shared" si="505"/>
        <v>0</v>
      </c>
      <c r="L497" s="58">
        <f t="shared" si="505"/>
        <v>-35</v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0" customHeight="1">
      <c r="A498" s="70"/>
      <c r="B498" s="71"/>
      <c r="C498" s="66"/>
      <c r="D498" s="66">
        <f t="shared" si="333"/>
        <v>0</v>
      </c>
      <c r="E498" s="67"/>
      <c r="F498" s="58">
        <f t="shared" ref="F498:L498" si="506">SUMIFS($C498,$B498,F$7)+F497</f>
        <v>25</v>
      </c>
      <c r="G498" s="58">
        <f t="shared" si="506"/>
        <v>0</v>
      </c>
      <c r="H498" s="58">
        <f t="shared" si="506"/>
        <v>0</v>
      </c>
      <c r="I498" s="58">
        <f t="shared" si="506"/>
        <v>57</v>
      </c>
      <c r="J498" s="58">
        <f t="shared" si="506"/>
        <v>19</v>
      </c>
      <c r="K498" s="58">
        <f t="shared" si="506"/>
        <v>0</v>
      </c>
      <c r="L498" s="58">
        <f t="shared" si="506"/>
        <v>-35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0" customHeight="1">
      <c r="A499" s="70"/>
      <c r="B499" s="71"/>
      <c r="C499" s="66"/>
      <c r="D499" s="66">
        <f t="shared" si="333"/>
        <v>0</v>
      </c>
      <c r="E499" s="67"/>
      <c r="F499" s="58">
        <f t="shared" ref="F499:L499" si="507">SUMIFS($C499,$B499,F$7)+F498</f>
        <v>25</v>
      </c>
      <c r="G499" s="58">
        <f t="shared" si="507"/>
        <v>0</v>
      </c>
      <c r="H499" s="58">
        <f t="shared" si="507"/>
        <v>0</v>
      </c>
      <c r="I499" s="58">
        <f t="shared" si="507"/>
        <v>57</v>
      </c>
      <c r="J499" s="58">
        <f t="shared" si="507"/>
        <v>19</v>
      </c>
      <c r="K499" s="58">
        <f t="shared" si="507"/>
        <v>0</v>
      </c>
      <c r="L499" s="58">
        <f t="shared" si="507"/>
        <v>-35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0" customHeight="1">
      <c r="A500" s="70"/>
      <c r="B500" s="71"/>
      <c r="C500" s="66"/>
      <c r="D500" s="66">
        <f t="shared" si="333"/>
        <v>0</v>
      </c>
      <c r="E500" s="67"/>
      <c r="F500" s="58">
        <f t="shared" ref="F500:L500" si="508">SUMIFS($C500,$B500,F$7)+F499</f>
        <v>25</v>
      </c>
      <c r="G500" s="58">
        <f t="shared" si="508"/>
        <v>0</v>
      </c>
      <c r="H500" s="58">
        <f t="shared" si="508"/>
        <v>0</v>
      </c>
      <c r="I500" s="58">
        <f t="shared" si="508"/>
        <v>57</v>
      </c>
      <c r="J500" s="58">
        <f t="shared" si="508"/>
        <v>19</v>
      </c>
      <c r="K500" s="58">
        <f t="shared" si="508"/>
        <v>0</v>
      </c>
      <c r="L500" s="58">
        <f t="shared" si="508"/>
        <v>-35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0" customHeight="1">
      <c r="A501" s="70"/>
      <c r="B501" s="71"/>
      <c r="C501" s="66"/>
      <c r="D501" s="66">
        <f t="shared" si="333"/>
        <v>0</v>
      </c>
      <c r="E501" s="67"/>
      <c r="F501" s="58">
        <f t="shared" ref="F501:L501" si="509">SUMIFS($C501,$B501,F$7)+F500</f>
        <v>25</v>
      </c>
      <c r="G501" s="58">
        <f t="shared" si="509"/>
        <v>0</v>
      </c>
      <c r="H501" s="58">
        <f t="shared" si="509"/>
        <v>0</v>
      </c>
      <c r="I501" s="58">
        <f t="shared" si="509"/>
        <v>57</v>
      </c>
      <c r="J501" s="58">
        <f t="shared" si="509"/>
        <v>19</v>
      </c>
      <c r="K501" s="58">
        <f t="shared" si="509"/>
        <v>0</v>
      </c>
      <c r="L501" s="58">
        <f t="shared" si="509"/>
        <v>-35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0" customHeight="1">
      <c r="A502" s="70"/>
      <c r="B502" s="71"/>
      <c r="C502" s="66"/>
      <c r="D502" s="66">
        <f t="shared" si="333"/>
        <v>0</v>
      </c>
      <c r="E502" s="67"/>
      <c r="F502" s="58">
        <f t="shared" ref="F502:L502" si="510">SUMIFS($C502,$B502,F$7)+F501</f>
        <v>25</v>
      </c>
      <c r="G502" s="58">
        <f t="shared" si="510"/>
        <v>0</v>
      </c>
      <c r="H502" s="58">
        <f t="shared" si="510"/>
        <v>0</v>
      </c>
      <c r="I502" s="58">
        <f t="shared" si="510"/>
        <v>57</v>
      </c>
      <c r="J502" s="58">
        <f t="shared" si="510"/>
        <v>19</v>
      </c>
      <c r="K502" s="58">
        <f t="shared" si="510"/>
        <v>0</v>
      </c>
      <c r="L502" s="58">
        <f t="shared" si="510"/>
        <v>-35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0" customHeight="1">
      <c r="A503" s="70"/>
      <c r="B503" s="71"/>
      <c r="C503" s="66"/>
      <c r="D503" s="66">
        <f t="shared" si="333"/>
        <v>0</v>
      </c>
      <c r="E503" s="67"/>
      <c r="F503" s="58">
        <f t="shared" ref="F503:L503" si="511">SUMIFS($C503,$B503,F$7)+F502</f>
        <v>25</v>
      </c>
      <c r="G503" s="58">
        <f t="shared" si="511"/>
        <v>0</v>
      </c>
      <c r="H503" s="58">
        <f t="shared" si="511"/>
        <v>0</v>
      </c>
      <c r="I503" s="58">
        <f t="shared" si="511"/>
        <v>57</v>
      </c>
      <c r="J503" s="58">
        <f t="shared" si="511"/>
        <v>19</v>
      </c>
      <c r="K503" s="58">
        <f t="shared" si="511"/>
        <v>0</v>
      </c>
      <c r="L503" s="58">
        <f t="shared" si="511"/>
        <v>-35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0" customHeight="1">
      <c r="A504" s="70"/>
      <c r="B504" s="71"/>
      <c r="C504" s="66"/>
      <c r="D504" s="66">
        <f t="shared" si="333"/>
        <v>0</v>
      </c>
      <c r="E504" s="67"/>
      <c r="F504" s="58">
        <f t="shared" ref="F504:L504" si="512">SUMIFS($C504,$B504,F$7)+F503</f>
        <v>25</v>
      </c>
      <c r="G504" s="58">
        <f t="shared" si="512"/>
        <v>0</v>
      </c>
      <c r="H504" s="58">
        <f t="shared" si="512"/>
        <v>0</v>
      </c>
      <c r="I504" s="58">
        <f t="shared" si="512"/>
        <v>57</v>
      </c>
      <c r="J504" s="58">
        <f t="shared" si="512"/>
        <v>19</v>
      </c>
      <c r="K504" s="58">
        <f t="shared" si="512"/>
        <v>0</v>
      </c>
      <c r="L504" s="58">
        <f t="shared" si="512"/>
        <v>-35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0" customHeight="1">
      <c r="A505" s="70"/>
      <c r="B505" s="71"/>
      <c r="C505" s="66"/>
      <c r="D505" s="66">
        <f t="shared" si="333"/>
        <v>0</v>
      </c>
      <c r="E505" s="67"/>
      <c r="F505" s="58">
        <f t="shared" ref="F505:L505" si="513">SUMIFS($C505,$B505,F$7)+F504</f>
        <v>25</v>
      </c>
      <c r="G505" s="58">
        <f t="shared" si="513"/>
        <v>0</v>
      </c>
      <c r="H505" s="58">
        <f t="shared" si="513"/>
        <v>0</v>
      </c>
      <c r="I505" s="58">
        <f t="shared" si="513"/>
        <v>57</v>
      </c>
      <c r="J505" s="58">
        <f t="shared" si="513"/>
        <v>19</v>
      </c>
      <c r="K505" s="58">
        <f t="shared" si="513"/>
        <v>0</v>
      </c>
      <c r="L505" s="58">
        <f t="shared" si="513"/>
        <v>-35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0" customHeight="1">
      <c r="A506" s="70"/>
      <c r="B506" s="71"/>
      <c r="C506" s="66"/>
      <c r="D506" s="66">
        <f t="shared" si="333"/>
        <v>0</v>
      </c>
      <c r="E506" s="67"/>
      <c r="F506" s="58">
        <f t="shared" ref="F506:L506" si="514">SUMIFS($C506,$B506,F$7)+F505</f>
        <v>25</v>
      </c>
      <c r="G506" s="58">
        <f t="shared" si="514"/>
        <v>0</v>
      </c>
      <c r="H506" s="58">
        <f t="shared" si="514"/>
        <v>0</v>
      </c>
      <c r="I506" s="58">
        <f t="shared" si="514"/>
        <v>57</v>
      </c>
      <c r="J506" s="58">
        <f t="shared" si="514"/>
        <v>19</v>
      </c>
      <c r="K506" s="58">
        <f t="shared" si="514"/>
        <v>0</v>
      </c>
      <c r="L506" s="58">
        <f t="shared" si="514"/>
        <v>-35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0" customHeight="1">
      <c r="A507" s="70"/>
      <c r="B507" s="71"/>
      <c r="C507" s="66"/>
      <c r="D507" s="66">
        <f t="shared" si="333"/>
        <v>0</v>
      </c>
      <c r="E507" s="67"/>
      <c r="F507" s="58">
        <f t="shared" ref="F507:L507" si="515">SUMIFS($C507,$B507,F$7)+F506</f>
        <v>25</v>
      </c>
      <c r="G507" s="58">
        <f t="shared" si="515"/>
        <v>0</v>
      </c>
      <c r="H507" s="58">
        <f t="shared" si="515"/>
        <v>0</v>
      </c>
      <c r="I507" s="58">
        <f t="shared" si="515"/>
        <v>57</v>
      </c>
      <c r="J507" s="58">
        <f t="shared" si="515"/>
        <v>19</v>
      </c>
      <c r="K507" s="58">
        <f t="shared" si="515"/>
        <v>0</v>
      </c>
      <c r="L507" s="58">
        <f t="shared" si="515"/>
        <v>-35</v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0" customHeight="1">
      <c r="A508" s="70"/>
      <c r="B508" s="71"/>
      <c r="C508" s="66"/>
      <c r="D508" s="66">
        <f t="shared" si="333"/>
        <v>0</v>
      </c>
      <c r="E508" s="67"/>
      <c r="F508" s="58">
        <f t="shared" ref="F508:L508" si="516">SUMIFS($C508,$B508,F$7)+F507</f>
        <v>25</v>
      </c>
      <c r="G508" s="58">
        <f t="shared" si="516"/>
        <v>0</v>
      </c>
      <c r="H508" s="58">
        <f t="shared" si="516"/>
        <v>0</v>
      </c>
      <c r="I508" s="58">
        <f t="shared" si="516"/>
        <v>57</v>
      </c>
      <c r="J508" s="58">
        <f t="shared" si="516"/>
        <v>19</v>
      </c>
      <c r="K508" s="58">
        <f t="shared" si="516"/>
        <v>0</v>
      </c>
      <c r="L508" s="58">
        <f t="shared" si="516"/>
        <v>-35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0" customHeight="1">
      <c r="A509" s="70"/>
      <c r="B509" s="71"/>
      <c r="C509" s="66"/>
      <c r="D509" s="66">
        <f t="shared" si="333"/>
        <v>0</v>
      </c>
      <c r="E509" s="67"/>
      <c r="F509" s="58">
        <f t="shared" ref="F509:L509" si="517">SUMIFS($C509,$B509,F$7)+F508</f>
        <v>25</v>
      </c>
      <c r="G509" s="58">
        <f t="shared" si="517"/>
        <v>0</v>
      </c>
      <c r="H509" s="58">
        <f t="shared" si="517"/>
        <v>0</v>
      </c>
      <c r="I509" s="58">
        <f t="shared" si="517"/>
        <v>57</v>
      </c>
      <c r="J509" s="58">
        <f t="shared" si="517"/>
        <v>19</v>
      </c>
      <c r="K509" s="58">
        <f t="shared" si="517"/>
        <v>0</v>
      </c>
      <c r="L509" s="58">
        <f t="shared" si="517"/>
        <v>-35</v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0" customHeight="1">
      <c r="A510" s="70"/>
      <c r="B510" s="71"/>
      <c r="C510" s="66"/>
      <c r="D510" s="66">
        <f t="shared" si="333"/>
        <v>0</v>
      </c>
      <c r="E510" s="67"/>
      <c r="F510" s="58">
        <f t="shared" ref="F510:L510" si="518">SUMIFS($C510,$B510,F$7)+F509</f>
        <v>25</v>
      </c>
      <c r="G510" s="58">
        <f t="shared" si="518"/>
        <v>0</v>
      </c>
      <c r="H510" s="58">
        <f t="shared" si="518"/>
        <v>0</v>
      </c>
      <c r="I510" s="58">
        <f t="shared" si="518"/>
        <v>57</v>
      </c>
      <c r="J510" s="58">
        <f t="shared" si="518"/>
        <v>19</v>
      </c>
      <c r="K510" s="58">
        <f t="shared" si="518"/>
        <v>0</v>
      </c>
      <c r="L510" s="58">
        <f t="shared" si="518"/>
        <v>-35</v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0" customHeight="1">
      <c r="A511" s="70"/>
      <c r="B511" s="71"/>
      <c r="C511" s="66"/>
      <c r="D511" s="66">
        <f t="shared" si="333"/>
        <v>0</v>
      </c>
      <c r="E511" s="67"/>
      <c r="F511" s="58">
        <f t="shared" ref="F511:L511" si="519">SUMIFS($C511,$B511,F$7)+F510</f>
        <v>25</v>
      </c>
      <c r="G511" s="58">
        <f t="shared" si="519"/>
        <v>0</v>
      </c>
      <c r="H511" s="58">
        <f t="shared" si="519"/>
        <v>0</v>
      </c>
      <c r="I511" s="58">
        <f t="shared" si="519"/>
        <v>57</v>
      </c>
      <c r="J511" s="58">
        <f t="shared" si="519"/>
        <v>19</v>
      </c>
      <c r="K511" s="58">
        <f t="shared" si="519"/>
        <v>0</v>
      </c>
      <c r="L511" s="58">
        <f t="shared" si="519"/>
        <v>-35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0" customHeight="1">
      <c r="A512" s="70"/>
      <c r="B512" s="71"/>
      <c r="C512" s="66"/>
      <c r="D512" s="66">
        <f t="shared" si="333"/>
        <v>0</v>
      </c>
      <c r="E512" s="67"/>
      <c r="F512" s="58">
        <f t="shared" ref="F512:L512" si="520">SUMIFS($C512,$B512,F$7)+F511</f>
        <v>25</v>
      </c>
      <c r="G512" s="58">
        <f t="shared" si="520"/>
        <v>0</v>
      </c>
      <c r="H512" s="58">
        <f t="shared" si="520"/>
        <v>0</v>
      </c>
      <c r="I512" s="58">
        <f t="shared" si="520"/>
        <v>57</v>
      </c>
      <c r="J512" s="58">
        <f t="shared" si="520"/>
        <v>19</v>
      </c>
      <c r="K512" s="58">
        <f t="shared" si="520"/>
        <v>0</v>
      </c>
      <c r="L512" s="58">
        <f t="shared" si="520"/>
        <v>-35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0" customHeight="1">
      <c r="A513" s="70"/>
      <c r="B513" s="71"/>
      <c r="C513" s="66"/>
      <c r="D513" s="66">
        <f t="shared" si="333"/>
        <v>0</v>
      </c>
      <c r="E513" s="67"/>
      <c r="F513" s="58">
        <f t="shared" ref="F513:L513" si="521">SUMIFS($C513,$B513,F$7)+F512</f>
        <v>25</v>
      </c>
      <c r="G513" s="58">
        <f t="shared" si="521"/>
        <v>0</v>
      </c>
      <c r="H513" s="58">
        <f t="shared" si="521"/>
        <v>0</v>
      </c>
      <c r="I513" s="58">
        <f t="shared" si="521"/>
        <v>57</v>
      </c>
      <c r="J513" s="58">
        <f t="shared" si="521"/>
        <v>19</v>
      </c>
      <c r="K513" s="58">
        <f t="shared" si="521"/>
        <v>0</v>
      </c>
      <c r="L513" s="58">
        <f t="shared" si="521"/>
        <v>-35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0" customHeight="1">
      <c r="A514" s="70"/>
      <c r="B514" s="71"/>
      <c r="C514" s="66"/>
      <c r="D514" s="66">
        <f t="shared" si="333"/>
        <v>0</v>
      </c>
      <c r="E514" s="67"/>
      <c r="F514" s="58">
        <f t="shared" ref="F514:L514" si="522">SUMIFS($C514,$B514,F$7)+F513</f>
        <v>25</v>
      </c>
      <c r="G514" s="58">
        <f t="shared" si="522"/>
        <v>0</v>
      </c>
      <c r="H514" s="58">
        <f t="shared" si="522"/>
        <v>0</v>
      </c>
      <c r="I514" s="58">
        <f t="shared" si="522"/>
        <v>57</v>
      </c>
      <c r="J514" s="58">
        <f t="shared" si="522"/>
        <v>19</v>
      </c>
      <c r="K514" s="58">
        <f t="shared" si="522"/>
        <v>0</v>
      </c>
      <c r="L514" s="58">
        <f t="shared" si="522"/>
        <v>-35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0" customHeight="1">
      <c r="A515" s="70"/>
      <c r="B515" s="71"/>
      <c r="C515" s="66"/>
      <c r="D515" s="66">
        <f t="shared" si="333"/>
        <v>0</v>
      </c>
      <c r="E515" s="67"/>
      <c r="F515" s="58">
        <f t="shared" ref="F515:L515" si="523">SUMIFS($C515,$B515,F$7)+F514</f>
        <v>25</v>
      </c>
      <c r="G515" s="58">
        <f t="shared" si="523"/>
        <v>0</v>
      </c>
      <c r="H515" s="58">
        <f t="shared" si="523"/>
        <v>0</v>
      </c>
      <c r="I515" s="58">
        <f t="shared" si="523"/>
        <v>57</v>
      </c>
      <c r="J515" s="58">
        <f t="shared" si="523"/>
        <v>19</v>
      </c>
      <c r="K515" s="58">
        <f t="shared" si="523"/>
        <v>0</v>
      </c>
      <c r="L515" s="58">
        <f t="shared" si="523"/>
        <v>-35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0" customHeight="1">
      <c r="A516" s="70"/>
      <c r="B516" s="71"/>
      <c r="C516" s="66"/>
      <c r="D516" s="66">
        <f t="shared" si="333"/>
        <v>0</v>
      </c>
      <c r="E516" s="67"/>
      <c r="F516" s="58">
        <f t="shared" ref="F516:L516" si="524">SUMIFS($C516,$B516,F$7)+F515</f>
        <v>25</v>
      </c>
      <c r="G516" s="58">
        <f t="shared" si="524"/>
        <v>0</v>
      </c>
      <c r="H516" s="58">
        <f t="shared" si="524"/>
        <v>0</v>
      </c>
      <c r="I516" s="58">
        <f t="shared" si="524"/>
        <v>57</v>
      </c>
      <c r="J516" s="58">
        <f t="shared" si="524"/>
        <v>19</v>
      </c>
      <c r="K516" s="58">
        <f t="shared" si="524"/>
        <v>0</v>
      </c>
      <c r="L516" s="58">
        <f t="shared" si="524"/>
        <v>-35</v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0" customHeight="1">
      <c r="A517" s="70"/>
      <c r="B517" s="71"/>
      <c r="C517" s="66"/>
      <c r="D517" s="66">
        <f t="shared" si="333"/>
        <v>0</v>
      </c>
      <c r="E517" s="67"/>
      <c r="F517" s="58">
        <f t="shared" ref="F517:L517" si="525">SUMIFS($C517,$B517,F$7)+F516</f>
        <v>25</v>
      </c>
      <c r="G517" s="58">
        <f t="shared" si="525"/>
        <v>0</v>
      </c>
      <c r="H517" s="58">
        <f t="shared" si="525"/>
        <v>0</v>
      </c>
      <c r="I517" s="58">
        <f t="shared" si="525"/>
        <v>57</v>
      </c>
      <c r="J517" s="58">
        <f t="shared" si="525"/>
        <v>19</v>
      </c>
      <c r="K517" s="58">
        <f t="shared" si="525"/>
        <v>0</v>
      </c>
      <c r="L517" s="58">
        <f t="shared" si="525"/>
        <v>-35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0" customHeight="1">
      <c r="A518" s="70"/>
      <c r="B518" s="71"/>
      <c r="C518" s="66"/>
      <c r="D518" s="66">
        <f t="shared" si="333"/>
        <v>0</v>
      </c>
      <c r="E518" s="67"/>
      <c r="F518" s="58">
        <f t="shared" ref="F518:L518" si="526">SUMIFS($C518,$B518,F$7)+F517</f>
        <v>25</v>
      </c>
      <c r="G518" s="58">
        <f t="shared" si="526"/>
        <v>0</v>
      </c>
      <c r="H518" s="58">
        <f t="shared" si="526"/>
        <v>0</v>
      </c>
      <c r="I518" s="58">
        <f t="shared" si="526"/>
        <v>57</v>
      </c>
      <c r="J518" s="58">
        <f t="shared" si="526"/>
        <v>19</v>
      </c>
      <c r="K518" s="58">
        <f t="shared" si="526"/>
        <v>0</v>
      </c>
      <c r="L518" s="58">
        <f t="shared" si="526"/>
        <v>-35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0" customHeight="1">
      <c r="A519" s="70"/>
      <c r="B519" s="71"/>
      <c r="C519" s="66"/>
      <c r="D519" s="66">
        <f t="shared" si="333"/>
        <v>0</v>
      </c>
      <c r="E519" s="67"/>
      <c r="F519" s="58">
        <f t="shared" ref="F519:L519" si="527">SUMIFS($C519,$B519,F$7)+F518</f>
        <v>25</v>
      </c>
      <c r="G519" s="58">
        <f t="shared" si="527"/>
        <v>0</v>
      </c>
      <c r="H519" s="58">
        <f t="shared" si="527"/>
        <v>0</v>
      </c>
      <c r="I519" s="58">
        <f t="shared" si="527"/>
        <v>57</v>
      </c>
      <c r="J519" s="58">
        <f t="shared" si="527"/>
        <v>19</v>
      </c>
      <c r="K519" s="58">
        <f t="shared" si="527"/>
        <v>0</v>
      </c>
      <c r="L519" s="58">
        <f t="shared" si="527"/>
        <v>-35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0" customHeight="1">
      <c r="A520" s="70"/>
      <c r="B520" s="71"/>
      <c r="C520" s="66"/>
      <c r="D520" s="66">
        <f t="shared" si="333"/>
        <v>0</v>
      </c>
      <c r="E520" s="67"/>
      <c r="F520" s="58">
        <f t="shared" ref="F520:L520" si="528">SUMIFS($C520,$B520,F$7)+F519</f>
        <v>25</v>
      </c>
      <c r="G520" s="58">
        <f t="shared" si="528"/>
        <v>0</v>
      </c>
      <c r="H520" s="58">
        <f t="shared" si="528"/>
        <v>0</v>
      </c>
      <c r="I520" s="58">
        <f t="shared" si="528"/>
        <v>57</v>
      </c>
      <c r="J520" s="58">
        <f t="shared" si="528"/>
        <v>19</v>
      </c>
      <c r="K520" s="58">
        <f t="shared" si="528"/>
        <v>0</v>
      </c>
      <c r="L520" s="58">
        <f t="shared" si="528"/>
        <v>-35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0" customHeight="1">
      <c r="A521" s="70"/>
      <c r="B521" s="71"/>
      <c r="C521" s="66"/>
      <c r="D521" s="66">
        <f t="shared" si="333"/>
        <v>0</v>
      </c>
      <c r="E521" s="67"/>
      <c r="F521" s="58">
        <f t="shared" ref="F521:L521" si="529">SUMIFS($C521,$B521,F$7)+F520</f>
        <v>25</v>
      </c>
      <c r="G521" s="58">
        <f t="shared" si="529"/>
        <v>0</v>
      </c>
      <c r="H521" s="58">
        <f t="shared" si="529"/>
        <v>0</v>
      </c>
      <c r="I521" s="58">
        <f t="shared" si="529"/>
        <v>57</v>
      </c>
      <c r="J521" s="58">
        <f t="shared" si="529"/>
        <v>19</v>
      </c>
      <c r="K521" s="58">
        <f t="shared" si="529"/>
        <v>0</v>
      </c>
      <c r="L521" s="58">
        <f t="shared" si="529"/>
        <v>-35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0" customHeight="1">
      <c r="A522" s="70"/>
      <c r="B522" s="71"/>
      <c r="C522" s="66"/>
      <c r="D522" s="66">
        <f t="shared" si="333"/>
        <v>0</v>
      </c>
      <c r="E522" s="67"/>
      <c r="F522" s="58">
        <f t="shared" ref="F522:L522" si="530">SUMIFS($C522,$B522,F$7)+F521</f>
        <v>25</v>
      </c>
      <c r="G522" s="58">
        <f t="shared" si="530"/>
        <v>0</v>
      </c>
      <c r="H522" s="58">
        <f t="shared" si="530"/>
        <v>0</v>
      </c>
      <c r="I522" s="58">
        <f t="shared" si="530"/>
        <v>57</v>
      </c>
      <c r="J522" s="58">
        <f t="shared" si="530"/>
        <v>19</v>
      </c>
      <c r="K522" s="58">
        <f t="shared" si="530"/>
        <v>0</v>
      </c>
      <c r="L522" s="58">
        <f t="shared" si="530"/>
        <v>-35</v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0" customHeight="1">
      <c r="A523" s="70"/>
      <c r="B523" s="71"/>
      <c r="C523" s="66"/>
      <c r="D523" s="66">
        <f t="shared" si="333"/>
        <v>0</v>
      </c>
      <c r="E523" s="67"/>
      <c r="F523" s="58">
        <f t="shared" ref="F523:L523" si="531">SUMIFS($C523,$B523,F$7)+F522</f>
        <v>25</v>
      </c>
      <c r="G523" s="58">
        <f t="shared" si="531"/>
        <v>0</v>
      </c>
      <c r="H523" s="58">
        <f t="shared" si="531"/>
        <v>0</v>
      </c>
      <c r="I523" s="58">
        <f t="shared" si="531"/>
        <v>57</v>
      </c>
      <c r="J523" s="58">
        <f t="shared" si="531"/>
        <v>19</v>
      </c>
      <c r="K523" s="58">
        <f t="shared" si="531"/>
        <v>0</v>
      </c>
      <c r="L523" s="58">
        <f t="shared" si="531"/>
        <v>-35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0" customHeight="1">
      <c r="A524" s="70"/>
      <c r="B524" s="71"/>
      <c r="C524" s="66"/>
      <c r="D524" s="66">
        <f t="shared" si="333"/>
        <v>0</v>
      </c>
      <c r="E524" s="67"/>
      <c r="F524" s="58">
        <f t="shared" ref="F524:L524" si="532">SUMIFS($C524,$B524,F$7)+F523</f>
        <v>25</v>
      </c>
      <c r="G524" s="58">
        <f t="shared" si="532"/>
        <v>0</v>
      </c>
      <c r="H524" s="58">
        <f t="shared" si="532"/>
        <v>0</v>
      </c>
      <c r="I524" s="58">
        <f t="shared" si="532"/>
        <v>57</v>
      </c>
      <c r="J524" s="58">
        <f t="shared" si="532"/>
        <v>19</v>
      </c>
      <c r="K524" s="58">
        <f t="shared" si="532"/>
        <v>0</v>
      </c>
      <c r="L524" s="58">
        <f t="shared" si="532"/>
        <v>-35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0" customHeight="1">
      <c r="A525" s="70"/>
      <c r="B525" s="71"/>
      <c r="C525" s="66"/>
      <c r="D525" s="66">
        <f t="shared" si="333"/>
        <v>0</v>
      </c>
      <c r="E525" s="67"/>
      <c r="F525" s="58">
        <f t="shared" ref="F525:L525" si="533">SUMIFS($C525,$B525,F$7)+F524</f>
        <v>25</v>
      </c>
      <c r="G525" s="58">
        <f t="shared" si="533"/>
        <v>0</v>
      </c>
      <c r="H525" s="58">
        <f t="shared" si="533"/>
        <v>0</v>
      </c>
      <c r="I525" s="58">
        <f t="shared" si="533"/>
        <v>57</v>
      </c>
      <c r="J525" s="58">
        <f t="shared" si="533"/>
        <v>19</v>
      </c>
      <c r="K525" s="58">
        <f t="shared" si="533"/>
        <v>0</v>
      </c>
      <c r="L525" s="58">
        <f t="shared" si="533"/>
        <v>-35</v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0" customHeight="1">
      <c r="A526" s="70"/>
      <c r="B526" s="71"/>
      <c r="C526" s="66"/>
      <c r="D526" s="66">
        <f t="shared" si="333"/>
        <v>0</v>
      </c>
      <c r="E526" s="67"/>
      <c r="F526" s="58">
        <f t="shared" ref="F526:L526" si="534">SUMIFS($C526,$B526,F$7)+F525</f>
        <v>25</v>
      </c>
      <c r="G526" s="58">
        <f t="shared" si="534"/>
        <v>0</v>
      </c>
      <c r="H526" s="58">
        <f t="shared" si="534"/>
        <v>0</v>
      </c>
      <c r="I526" s="58">
        <f t="shared" si="534"/>
        <v>57</v>
      </c>
      <c r="J526" s="58">
        <f t="shared" si="534"/>
        <v>19</v>
      </c>
      <c r="K526" s="58">
        <f t="shared" si="534"/>
        <v>0</v>
      </c>
      <c r="L526" s="58">
        <f t="shared" si="534"/>
        <v>-35</v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0" customHeight="1">
      <c r="A527" s="70"/>
      <c r="B527" s="71"/>
      <c r="C527" s="66"/>
      <c r="D527" s="66">
        <f t="shared" si="333"/>
        <v>0</v>
      </c>
      <c r="E527" s="67"/>
      <c r="F527" s="58">
        <f t="shared" ref="F527:L527" si="535">SUMIFS($C527,$B527,F$7)+F526</f>
        <v>25</v>
      </c>
      <c r="G527" s="58">
        <f t="shared" si="535"/>
        <v>0</v>
      </c>
      <c r="H527" s="58">
        <f t="shared" si="535"/>
        <v>0</v>
      </c>
      <c r="I527" s="58">
        <f t="shared" si="535"/>
        <v>57</v>
      </c>
      <c r="J527" s="58">
        <f t="shared" si="535"/>
        <v>19</v>
      </c>
      <c r="K527" s="58">
        <f t="shared" si="535"/>
        <v>0</v>
      </c>
      <c r="L527" s="58">
        <f t="shared" si="535"/>
        <v>-35</v>
      </c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0" customHeight="1">
      <c r="A528" s="70"/>
      <c r="B528" s="71"/>
      <c r="C528" s="66"/>
      <c r="D528" s="66">
        <f t="shared" si="333"/>
        <v>0</v>
      </c>
      <c r="E528" s="67"/>
      <c r="F528" s="58">
        <f t="shared" ref="F528:L528" si="536">SUMIFS($C528,$B528,F$7)+F527</f>
        <v>25</v>
      </c>
      <c r="G528" s="58">
        <f t="shared" si="536"/>
        <v>0</v>
      </c>
      <c r="H528" s="58">
        <f t="shared" si="536"/>
        <v>0</v>
      </c>
      <c r="I528" s="58">
        <f t="shared" si="536"/>
        <v>57</v>
      </c>
      <c r="J528" s="58">
        <f t="shared" si="536"/>
        <v>19</v>
      </c>
      <c r="K528" s="58">
        <f t="shared" si="536"/>
        <v>0</v>
      </c>
      <c r="L528" s="58">
        <f t="shared" si="536"/>
        <v>-35</v>
      </c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0" customHeight="1">
      <c r="A529" s="70"/>
      <c r="B529" s="71"/>
      <c r="C529" s="66"/>
      <c r="D529" s="66">
        <f t="shared" si="333"/>
        <v>0</v>
      </c>
      <c r="E529" s="67"/>
      <c r="F529" s="58">
        <f t="shared" ref="F529:L529" si="537">SUMIFS($C529,$B529,F$7)+F528</f>
        <v>25</v>
      </c>
      <c r="G529" s="58">
        <f t="shared" si="537"/>
        <v>0</v>
      </c>
      <c r="H529" s="58">
        <f t="shared" si="537"/>
        <v>0</v>
      </c>
      <c r="I529" s="58">
        <f t="shared" si="537"/>
        <v>57</v>
      </c>
      <c r="J529" s="58">
        <f t="shared" si="537"/>
        <v>19</v>
      </c>
      <c r="K529" s="58">
        <f t="shared" si="537"/>
        <v>0</v>
      </c>
      <c r="L529" s="58">
        <f t="shared" si="537"/>
        <v>-35</v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0" customHeight="1">
      <c r="A530" s="70"/>
      <c r="B530" s="71"/>
      <c r="C530" s="66"/>
      <c r="D530" s="66">
        <f t="shared" si="333"/>
        <v>0</v>
      </c>
      <c r="E530" s="67"/>
      <c r="F530" s="58">
        <f t="shared" ref="F530:L530" si="538">SUMIFS($C530,$B530,F$7)+F529</f>
        <v>25</v>
      </c>
      <c r="G530" s="58">
        <f t="shared" si="538"/>
        <v>0</v>
      </c>
      <c r="H530" s="58">
        <f t="shared" si="538"/>
        <v>0</v>
      </c>
      <c r="I530" s="58">
        <f t="shared" si="538"/>
        <v>57</v>
      </c>
      <c r="J530" s="58">
        <f t="shared" si="538"/>
        <v>19</v>
      </c>
      <c r="K530" s="58">
        <f t="shared" si="538"/>
        <v>0</v>
      </c>
      <c r="L530" s="58">
        <f t="shared" si="538"/>
        <v>-35</v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0" customHeight="1">
      <c r="A531" s="70"/>
      <c r="B531" s="71"/>
      <c r="C531" s="66"/>
      <c r="D531" s="66">
        <f t="shared" si="333"/>
        <v>0</v>
      </c>
      <c r="E531" s="67"/>
      <c r="F531" s="58">
        <f t="shared" ref="F531:L531" si="539">SUMIFS($C531,$B531,F$7)+F530</f>
        <v>25</v>
      </c>
      <c r="G531" s="58">
        <f t="shared" si="539"/>
        <v>0</v>
      </c>
      <c r="H531" s="58">
        <f t="shared" si="539"/>
        <v>0</v>
      </c>
      <c r="I531" s="58">
        <f t="shared" si="539"/>
        <v>57</v>
      </c>
      <c r="J531" s="58">
        <f t="shared" si="539"/>
        <v>19</v>
      </c>
      <c r="K531" s="58">
        <f t="shared" si="539"/>
        <v>0</v>
      </c>
      <c r="L531" s="58">
        <f t="shared" si="539"/>
        <v>-35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0" customHeight="1">
      <c r="A532" s="70"/>
      <c r="B532" s="71"/>
      <c r="C532" s="66"/>
      <c r="D532" s="66">
        <f t="shared" si="333"/>
        <v>0</v>
      </c>
      <c r="E532" s="67"/>
      <c r="F532" s="58">
        <f t="shared" ref="F532:L532" si="540">SUMIFS($C532,$B532,F$7)+F531</f>
        <v>25</v>
      </c>
      <c r="G532" s="58">
        <f t="shared" si="540"/>
        <v>0</v>
      </c>
      <c r="H532" s="58">
        <f t="shared" si="540"/>
        <v>0</v>
      </c>
      <c r="I532" s="58">
        <f t="shared" si="540"/>
        <v>57</v>
      </c>
      <c r="J532" s="58">
        <f t="shared" si="540"/>
        <v>19</v>
      </c>
      <c r="K532" s="58">
        <f t="shared" si="540"/>
        <v>0</v>
      </c>
      <c r="L532" s="58">
        <f t="shared" si="540"/>
        <v>-35</v>
      </c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0" customHeight="1">
      <c r="A533" s="70"/>
      <c r="B533" s="71"/>
      <c r="C533" s="66"/>
      <c r="D533" s="66">
        <f t="shared" si="333"/>
        <v>0</v>
      </c>
      <c r="E533" s="67"/>
      <c r="F533" s="58">
        <f t="shared" ref="F533:L533" si="541">SUMIFS($C533,$B533,F$7)+F532</f>
        <v>25</v>
      </c>
      <c r="G533" s="58">
        <f t="shared" si="541"/>
        <v>0</v>
      </c>
      <c r="H533" s="58">
        <f t="shared" si="541"/>
        <v>0</v>
      </c>
      <c r="I533" s="58">
        <f t="shared" si="541"/>
        <v>57</v>
      </c>
      <c r="J533" s="58">
        <f t="shared" si="541"/>
        <v>19</v>
      </c>
      <c r="K533" s="58">
        <f t="shared" si="541"/>
        <v>0</v>
      </c>
      <c r="L533" s="58">
        <f t="shared" si="541"/>
        <v>-35</v>
      </c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0" customHeight="1">
      <c r="A534" s="70"/>
      <c r="B534" s="71"/>
      <c r="C534" s="66"/>
      <c r="D534" s="66">
        <f t="shared" si="333"/>
        <v>0</v>
      </c>
      <c r="E534" s="67"/>
      <c r="F534" s="58">
        <f t="shared" ref="F534:L534" si="542">SUMIFS($C534,$B534,F$7)+F533</f>
        <v>25</v>
      </c>
      <c r="G534" s="58">
        <f t="shared" si="542"/>
        <v>0</v>
      </c>
      <c r="H534" s="58">
        <f t="shared" si="542"/>
        <v>0</v>
      </c>
      <c r="I534" s="58">
        <f t="shared" si="542"/>
        <v>57</v>
      </c>
      <c r="J534" s="58">
        <f t="shared" si="542"/>
        <v>19</v>
      </c>
      <c r="K534" s="58">
        <f t="shared" si="542"/>
        <v>0</v>
      </c>
      <c r="L534" s="58">
        <f t="shared" si="542"/>
        <v>-35</v>
      </c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0" customHeight="1">
      <c r="A535" s="70"/>
      <c r="B535" s="71"/>
      <c r="C535" s="66"/>
      <c r="D535" s="66">
        <f t="shared" si="333"/>
        <v>0</v>
      </c>
      <c r="E535" s="67"/>
      <c r="F535" s="58">
        <f t="shared" ref="F535:L535" si="543">SUMIFS($C535,$B535,F$7)+F534</f>
        <v>25</v>
      </c>
      <c r="G535" s="58">
        <f t="shared" si="543"/>
        <v>0</v>
      </c>
      <c r="H535" s="58">
        <f t="shared" si="543"/>
        <v>0</v>
      </c>
      <c r="I535" s="58">
        <f t="shared" si="543"/>
        <v>57</v>
      </c>
      <c r="J535" s="58">
        <f t="shared" si="543"/>
        <v>19</v>
      </c>
      <c r="K535" s="58">
        <f t="shared" si="543"/>
        <v>0</v>
      </c>
      <c r="L535" s="58">
        <f t="shared" si="543"/>
        <v>-35</v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0" customHeight="1">
      <c r="A536" s="70"/>
      <c r="B536" s="71"/>
      <c r="C536" s="66"/>
      <c r="D536" s="66">
        <f t="shared" si="333"/>
        <v>0</v>
      </c>
      <c r="E536" s="67"/>
      <c r="F536" s="58">
        <f t="shared" ref="F536:L536" si="544">SUMIFS($C536,$B536,F$7)+F535</f>
        <v>25</v>
      </c>
      <c r="G536" s="58">
        <f t="shared" si="544"/>
        <v>0</v>
      </c>
      <c r="H536" s="58">
        <f t="shared" si="544"/>
        <v>0</v>
      </c>
      <c r="I536" s="58">
        <f t="shared" si="544"/>
        <v>57</v>
      </c>
      <c r="J536" s="58">
        <f t="shared" si="544"/>
        <v>19</v>
      </c>
      <c r="K536" s="58">
        <f t="shared" si="544"/>
        <v>0</v>
      </c>
      <c r="L536" s="58">
        <f t="shared" si="544"/>
        <v>-35</v>
      </c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0" customHeight="1">
      <c r="A537" s="70"/>
      <c r="B537" s="71"/>
      <c r="C537" s="66"/>
      <c r="D537" s="66">
        <f t="shared" si="333"/>
        <v>0</v>
      </c>
      <c r="E537" s="67"/>
      <c r="F537" s="58">
        <f t="shared" ref="F537:L537" si="545">SUMIFS($C537,$B537,F$7)+F536</f>
        <v>25</v>
      </c>
      <c r="G537" s="58">
        <f t="shared" si="545"/>
        <v>0</v>
      </c>
      <c r="H537" s="58">
        <f t="shared" si="545"/>
        <v>0</v>
      </c>
      <c r="I537" s="58">
        <f t="shared" si="545"/>
        <v>57</v>
      </c>
      <c r="J537" s="58">
        <f t="shared" si="545"/>
        <v>19</v>
      </c>
      <c r="K537" s="58">
        <f t="shared" si="545"/>
        <v>0</v>
      </c>
      <c r="L537" s="58">
        <f t="shared" si="545"/>
        <v>-35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0" customHeight="1">
      <c r="A538" s="70"/>
      <c r="B538" s="71"/>
      <c r="C538" s="66"/>
      <c r="D538" s="66">
        <f t="shared" si="333"/>
        <v>0</v>
      </c>
      <c r="E538" s="67"/>
      <c r="F538" s="58">
        <f t="shared" ref="F538:L538" si="546">SUMIFS($C538,$B538,F$7)+F537</f>
        <v>25</v>
      </c>
      <c r="G538" s="58">
        <f t="shared" si="546"/>
        <v>0</v>
      </c>
      <c r="H538" s="58">
        <f t="shared" si="546"/>
        <v>0</v>
      </c>
      <c r="I538" s="58">
        <f t="shared" si="546"/>
        <v>57</v>
      </c>
      <c r="J538" s="58">
        <f t="shared" si="546"/>
        <v>19</v>
      </c>
      <c r="K538" s="58">
        <f t="shared" si="546"/>
        <v>0</v>
      </c>
      <c r="L538" s="58">
        <f t="shared" si="546"/>
        <v>-35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0" customHeight="1">
      <c r="A539" s="70"/>
      <c r="B539" s="71"/>
      <c r="C539" s="66"/>
      <c r="D539" s="66">
        <f t="shared" si="333"/>
        <v>0</v>
      </c>
      <c r="E539" s="67"/>
      <c r="F539" s="58">
        <f t="shared" ref="F539:L539" si="547">SUMIFS($C539,$B539,F$7)+F538</f>
        <v>25</v>
      </c>
      <c r="G539" s="58">
        <f t="shared" si="547"/>
        <v>0</v>
      </c>
      <c r="H539" s="58">
        <f t="shared" si="547"/>
        <v>0</v>
      </c>
      <c r="I539" s="58">
        <f t="shared" si="547"/>
        <v>57</v>
      </c>
      <c r="J539" s="58">
        <f t="shared" si="547"/>
        <v>19</v>
      </c>
      <c r="K539" s="58">
        <f t="shared" si="547"/>
        <v>0</v>
      </c>
      <c r="L539" s="58">
        <f t="shared" si="547"/>
        <v>-35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0" customHeight="1">
      <c r="A540" s="70"/>
      <c r="B540" s="71"/>
      <c r="C540" s="66"/>
      <c r="D540" s="66">
        <f t="shared" si="333"/>
        <v>0</v>
      </c>
      <c r="E540" s="67"/>
      <c r="F540" s="58">
        <f t="shared" ref="F540:L540" si="548">SUMIFS($C540,$B540,F$7)+F539</f>
        <v>25</v>
      </c>
      <c r="G540" s="58">
        <f t="shared" si="548"/>
        <v>0</v>
      </c>
      <c r="H540" s="58">
        <f t="shared" si="548"/>
        <v>0</v>
      </c>
      <c r="I540" s="58">
        <f t="shared" si="548"/>
        <v>57</v>
      </c>
      <c r="J540" s="58">
        <f t="shared" si="548"/>
        <v>19</v>
      </c>
      <c r="K540" s="58">
        <f t="shared" si="548"/>
        <v>0</v>
      </c>
      <c r="L540" s="58">
        <f t="shared" si="548"/>
        <v>-35</v>
      </c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0" customHeight="1">
      <c r="A541" s="70"/>
      <c r="B541" s="71"/>
      <c r="C541" s="66"/>
      <c r="D541" s="66">
        <f t="shared" si="333"/>
        <v>0</v>
      </c>
      <c r="E541" s="67"/>
      <c r="F541" s="58">
        <f t="shared" ref="F541:L541" si="549">SUMIFS($C541,$B541,F$7)+F540</f>
        <v>25</v>
      </c>
      <c r="G541" s="58">
        <f t="shared" si="549"/>
        <v>0</v>
      </c>
      <c r="H541" s="58">
        <f t="shared" si="549"/>
        <v>0</v>
      </c>
      <c r="I541" s="58">
        <f t="shared" si="549"/>
        <v>57</v>
      </c>
      <c r="J541" s="58">
        <f t="shared" si="549"/>
        <v>19</v>
      </c>
      <c r="K541" s="58">
        <f t="shared" si="549"/>
        <v>0</v>
      </c>
      <c r="L541" s="58">
        <f t="shared" si="549"/>
        <v>-35</v>
      </c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0" customHeight="1">
      <c r="A542" s="70"/>
      <c r="B542" s="71"/>
      <c r="C542" s="66"/>
      <c r="D542" s="66">
        <f t="shared" si="333"/>
        <v>0</v>
      </c>
      <c r="E542" s="67"/>
      <c r="F542" s="58">
        <f t="shared" ref="F542:L542" si="550">SUMIFS($C542,$B542,F$7)+F541</f>
        <v>25</v>
      </c>
      <c r="G542" s="58">
        <f t="shared" si="550"/>
        <v>0</v>
      </c>
      <c r="H542" s="58">
        <f t="shared" si="550"/>
        <v>0</v>
      </c>
      <c r="I542" s="58">
        <f t="shared" si="550"/>
        <v>57</v>
      </c>
      <c r="J542" s="58">
        <f t="shared" si="550"/>
        <v>19</v>
      </c>
      <c r="K542" s="58">
        <f t="shared" si="550"/>
        <v>0</v>
      </c>
      <c r="L542" s="58">
        <f t="shared" si="550"/>
        <v>-35</v>
      </c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0" customHeight="1">
      <c r="A543" s="70"/>
      <c r="B543" s="71"/>
      <c r="C543" s="66"/>
      <c r="D543" s="66">
        <f t="shared" si="333"/>
        <v>0</v>
      </c>
      <c r="E543" s="67"/>
      <c r="F543" s="58">
        <f t="shared" ref="F543:L543" si="551">SUMIFS($C543,$B543,F$7)+F542</f>
        <v>25</v>
      </c>
      <c r="G543" s="58">
        <f t="shared" si="551"/>
        <v>0</v>
      </c>
      <c r="H543" s="58">
        <f t="shared" si="551"/>
        <v>0</v>
      </c>
      <c r="I543" s="58">
        <f t="shared" si="551"/>
        <v>57</v>
      </c>
      <c r="J543" s="58">
        <f t="shared" si="551"/>
        <v>19</v>
      </c>
      <c r="K543" s="58">
        <f t="shared" si="551"/>
        <v>0</v>
      </c>
      <c r="L543" s="58">
        <f t="shared" si="551"/>
        <v>-35</v>
      </c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0" customHeight="1">
      <c r="A544" s="70"/>
      <c r="B544" s="71"/>
      <c r="C544" s="66"/>
      <c r="D544" s="66">
        <f t="shared" si="333"/>
        <v>0</v>
      </c>
      <c r="E544" s="67"/>
      <c r="F544" s="58">
        <f t="shared" ref="F544:L544" si="552">SUMIFS($C544,$B544,F$7)+F543</f>
        <v>25</v>
      </c>
      <c r="G544" s="58">
        <f t="shared" si="552"/>
        <v>0</v>
      </c>
      <c r="H544" s="58">
        <f t="shared" si="552"/>
        <v>0</v>
      </c>
      <c r="I544" s="58">
        <f t="shared" si="552"/>
        <v>57</v>
      </c>
      <c r="J544" s="58">
        <f t="shared" si="552"/>
        <v>19</v>
      </c>
      <c r="K544" s="58">
        <f t="shared" si="552"/>
        <v>0</v>
      </c>
      <c r="L544" s="58">
        <f t="shared" si="552"/>
        <v>-35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0" customHeight="1">
      <c r="A545" s="70"/>
      <c r="B545" s="71"/>
      <c r="C545" s="66"/>
      <c r="D545" s="66">
        <f t="shared" si="333"/>
        <v>0</v>
      </c>
      <c r="E545" s="67"/>
      <c r="F545" s="58">
        <f t="shared" ref="F545:L545" si="553">SUMIFS($C545,$B545,F$7)+F544</f>
        <v>25</v>
      </c>
      <c r="G545" s="58">
        <f t="shared" si="553"/>
        <v>0</v>
      </c>
      <c r="H545" s="58">
        <f t="shared" si="553"/>
        <v>0</v>
      </c>
      <c r="I545" s="58">
        <f t="shared" si="553"/>
        <v>57</v>
      </c>
      <c r="J545" s="58">
        <f t="shared" si="553"/>
        <v>19</v>
      </c>
      <c r="K545" s="58">
        <f t="shared" si="553"/>
        <v>0</v>
      </c>
      <c r="L545" s="58">
        <f t="shared" si="553"/>
        <v>-35</v>
      </c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0" customHeight="1">
      <c r="A546" s="70"/>
      <c r="B546" s="71"/>
      <c r="C546" s="66"/>
      <c r="D546" s="66">
        <f t="shared" si="333"/>
        <v>0</v>
      </c>
      <c r="E546" s="67"/>
      <c r="F546" s="58">
        <f t="shared" ref="F546:L546" si="554">SUMIFS($C546,$B546,F$7)+F545</f>
        <v>25</v>
      </c>
      <c r="G546" s="58">
        <f t="shared" si="554"/>
        <v>0</v>
      </c>
      <c r="H546" s="58">
        <f t="shared" si="554"/>
        <v>0</v>
      </c>
      <c r="I546" s="58">
        <f t="shared" si="554"/>
        <v>57</v>
      </c>
      <c r="J546" s="58">
        <f t="shared" si="554"/>
        <v>19</v>
      </c>
      <c r="K546" s="58">
        <f t="shared" si="554"/>
        <v>0</v>
      </c>
      <c r="L546" s="58">
        <f t="shared" si="554"/>
        <v>-35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0" customHeight="1">
      <c r="A547" s="70"/>
      <c r="B547" s="71"/>
      <c r="C547" s="66"/>
      <c r="D547" s="66">
        <f t="shared" si="333"/>
        <v>0</v>
      </c>
      <c r="E547" s="67"/>
      <c r="F547" s="58">
        <f t="shared" ref="F547:L547" si="555">SUMIFS($C547,$B547,F$7)+F546</f>
        <v>25</v>
      </c>
      <c r="G547" s="58">
        <f t="shared" si="555"/>
        <v>0</v>
      </c>
      <c r="H547" s="58">
        <f t="shared" si="555"/>
        <v>0</v>
      </c>
      <c r="I547" s="58">
        <f t="shared" si="555"/>
        <v>57</v>
      </c>
      <c r="J547" s="58">
        <f t="shared" si="555"/>
        <v>19</v>
      </c>
      <c r="K547" s="58">
        <f t="shared" si="555"/>
        <v>0</v>
      </c>
      <c r="L547" s="58">
        <f t="shared" si="555"/>
        <v>-35</v>
      </c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0" customHeight="1">
      <c r="A548" s="70"/>
      <c r="B548" s="71"/>
      <c r="C548" s="66"/>
      <c r="D548" s="66">
        <f t="shared" si="333"/>
        <v>0</v>
      </c>
      <c r="E548" s="67"/>
      <c r="F548" s="58">
        <f t="shared" ref="F548:L548" si="556">SUMIFS($C548,$B548,F$7)+F547</f>
        <v>25</v>
      </c>
      <c r="G548" s="58">
        <f t="shared" si="556"/>
        <v>0</v>
      </c>
      <c r="H548" s="58">
        <f t="shared" si="556"/>
        <v>0</v>
      </c>
      <c r="I548" s="58">
        <f t="shared" si="556"/>
        <v>57</v>
      </c>
      <c r="J548" s="58">
        <f t="shared" si="556"/>
        <v>19</v>
      </c>
      <c r="K548" s="58">
        <f t="shared" si="556"/>
        <v>0</v>
      </c>
      <c r="L548" s="58">
        <f t="shared" si="556"/>
        <v>-35</v>
      </c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0" customHeight="1">
      <c r="A549" s="70"/>
      <c r="B549" s="71"/>
      <c r="C549" s="66"/>
      <c r="D549" s="66">
        <f t="shared" si="333"/>
        <v>0</v>
      </c>
      <c r="E549" s="67"/>
      <c r="F549" s="58">
        <f t="shared" ref="F549:L549" si="557">SUMIFS($C549,$B549,F$7)+F548</f>
        <v>25</v>
      </c>
      <c r="G549" s="58">
        <f t="shared" si="557"/>
        <v>0</v>
      </c>
      <c r="H549" s="58">
        <f t="shared" si="557"/>
        <v>0</v>
      </c>
      <c r="I549" s="58">
        <f t="shared" si="557"/>
        <v>57</v>
      </c>
      <c r="J549" s="58">
        <f t="shared" si="557"/>
        <v>19</v>
      </c>
      <c r="K549" s="58">
        <f t="shared" si="557"/>
        <v>0</v>
      </c>
      <c r="L549" s="58">
        <f t="shared" si="557"/>
        <v>-35</v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0" customHeight="1">
      <c r="A550" s="70"/>
      <c r="B550" s="71"/>
      <c r="C550" s="66"/>
      <c r="D550" s="66">
        <f t="shared" si="333"/>
        <v>0</v>
      </c>
      <c r="E550" s="67"/>
      <c r="F550" s="58">
        <f t="shared" ref="F550:L550" si="558">SUMIFS($C550,$B550,F$7)+F549</f>
        <v>25</v>
      </c>
      <c r="G550" s="58">
        <f t="shared" si="558"/>
        <v>0</v>
      </c>
      <c r="H550" s="58">
        <f t="shared" si="558"/>
        <v>0</v>
      </c>
      <c r="I550" s="58">
        <f t="shared" si="558"/>
        <v>57</v>
      </c>
      <c r="J550" s="58">
        <f t="shared" si="558"/>
        <v>19</v>
      </c>
      <c r="K550" s="58">
        <f t="shared" si="558"/>
        <v>0</v>
      </c>
      <c r="L550" s="58">
        <f t="shared" si="558"/>
        <v>-35</v>
      </c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0" customHeight="1">
      <c r="A551" s="70"/>
      <c r="B551" s="71"/>
      <c r="C551" s="66"/>
      <c r="D551" s="66">
        <f t="shared" si="333"/>
        <v>0</v>
      </c>
      <c r="E551" s="67"/>
      <c r="F551" s="58">
        <f t="shared" ref="F551:L551" si="559">SUMIFS($C551,$B551,F$7)+F550</f>
        <v>25</v>
      </c>
      <c r="G551" s="58">
        <f t="shared" si="559"/>
        <v>0</v>
      </c>
      <c r="H551" s="58">
        <f t="shared" si="559"/>
        <v>0</v>
      </c>
      <c r="I551" s="58">
        <f t="shared" si="559"/>
        <v>57</v>
      </c>
      <c r="J551" s="58">
        <f t="shared" si="559"/>
        <v>19</v>
      </c>
      <c r="K551" s="58">
        <f t="shared" si="559"/>
        <v>0</v>
      </c>
      <c r="L551" s="58">
        <f t="shared" si="559"/>
        <v>-35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0" customHeight="1">
      <c r="A552" s="70"/>
      <c r="B552" s="71"/>
      <c r="C552" s="66"/>
      <c r="D552" s="66">
        <f t="shared" si="333"/>
        <v>0</v>
      </c>
      <c r="E552" s="67"/>
      <c r="F552" s="58">
        <f t="shared" ref="F552:L552" si="560">SUMIFS($C552,$B552,F$7)+F551</f>
        <v>25</v>
      </c>
      <c r="G552" s="58">
        <f t="shared" si="560"/>
        <v>0</v>
      </c>
      <c r="H552" s="58">
        <f t="shared" si="560"/>
        <v>0</v>
      </c>
      <c r="I552" s="58">
        <f t="shared" si="560"/>
        <v>57</v>
      </c>
      <c r="J552" s="58">
        <f t="shared" si="560"/>
        <v>19</v>
      </c>
      <c r="K552" s="58">
        <f t="shared" si="560"/>
        <v>0</v>
      </c>
      <c r="L552" s="58">
        <f t="shared" si="560"/>
        <v>-35</v>
      </c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0" customHeight="1">
      <c r="A553" s="70"/>
      <c r="B553" s="71"/>
      <c r="C553" s="66"/>
      <c r="D553" s="66">
        <f t="shared" si="333"/>
        <v>0</v>
      </c>
      <c r="E553" s="67"/>
      <c r="F553" s="58">
        <f t="shared" ref="F553:L553" si="561">SUMIFS($C553,$B553,F$7)+F552</f>
        <v>25</v>
      </c>
      <c r="G553" s="58">
        <f t="shared" si="561"/>
        <v>0</v>
      </c>
      <c r="H553" s="58">
        <f t="shared" si="561"/>
        <v>0</v>
      </c>
      <c r="I553" s="58">
        <f t="shared" si="561"/>
        <v>57</v>
      </c>
      <c r="J553" s="58">
        <f t="shared" si="561"/>
        <v>19</v>
      </c>
      <c r="K553" s="58">
        <f t="shared" si="561"/>
        <v>0</v>
      </c>
      <c r="L553" s="58">
        <f t="shared" si="561"/>
        <v>-35</v>
      </c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0" customHeight="1">
      <c r="A554" s="70"/>
      <c r="B554" s="71"/>
      <c r="C554" s="66"/>
      <c r="D554" s="66">
        <f t="shared" si="333"/>
        <v>0</v>
      </c>
      <c r="E554" s="67"/>
      <c r="F554" s="58">
        <f t="shared" ref="F554:L554" si="562">SUMIFS($C554,$B554,F$7)+F553</f>
        <v>25</v>
      </c>
      <c r="G554" s="58">
        <f t="shared" si="562"/>
        <v>0</v>
      </c>
      <c r="H554" s="58">
        <f t="shared" si="562"/>
        <v>0</v>
      </c>
      <c r="I554" s="58">
        <f t="shared" si="562"/>
        <v>57</v>
      </c>
      <c r="J554" s="58">
        <f t="shared" si="562"/>
        <v>19</v>
      </c>
      <c r="K554" s="58">
        <f t="shared" si="562"/>
        <v>0</v>
      </c>
      <c r="L554" s="58">
        <f t="shared" si="562"/>
        <v>-35</v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0" customHeight="1">
      <c r="A555" s="70"/>
      <c r="B555" s="71"/>
      <c r="C555" s="66"/>
      <c r="D555" s="66">
        <f t="shared" si="333"/>
        <v>0</v>
      </c>
      <c r="E555" s="67"/>
      <c r="F555" s="58">
        <f t="shared" ref="F555:L555" si="563">SUMIFS($C555,$B555,F$7)+F554</f>
        <v>25</v>
      </c>
      <c r="G555" s="58">
        <f t="shared" si="563"/>
        <v>0</v>
      </c>
      <c r="H555" s="58">
        <f t="shared" si="563"/>
        <v>0</v>
      </c>
      <c r="I555" s="58">
        <f t="shared" si="563"/>
        <v>57</v>
      </c>
      <c r="J555" s="58">
        <f t="shared" si="563"/>
        <v>19</v>
      </c>
      <c r="K555" s="58">
        <f t="shared" si="563"/>
        <v>0</v>
      </c>
      <c r="L555" s="58">
        <f t="shared" si="563"/>
        <v>-35</v>
      </c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0" customHeight="1">
      <c r="A556" s="70"/>
      <c r="B556" s="71"/>
      <c r="C556" s="66"/>
      <c r="D556" s="66">
        <f t="shared" si="333"/>
        <v>0</v>
      </c>
      <c r="E556" s="67"/>
      <c r="F556" s="58">
        <f t="shared" ref="F556:L556" si="564">SUMIFS($C556,$B556,F$7)+F555</f>
        <v>25</v>
      </c>
      <c r="G556" s="58">
        <f t="shared" si="564"/>
        <v>0</v>
      </c>
      <c r="H556" s="58">
        <f t="shared" si="564"/>
        <v>0</v>
      </c>
      <c r="I556" s="58">
        <f t="shared" si="564"/>
        <v>57</v>
      </c>
      <c r="J556" s="58">
        <f t="shared" si="564"/>
        <v>19</v>
      </c>
      <c r="K556" s="58">
        <f t="shared" si="564"/>
        <v>0</v>
      </c>
      <c r="L556" s="58">
        <f t="shared" si="564"/>
        <v>-35</v>
      </c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0" customHeight="1">
      <c r="A557" s="70"/>
      <c r="B557" s="71"/>
      <c r="C557" s="66"/>
      <c r="D557" s="66">
        <f t="shared" si="333"/>
        <v>0</v>
      </c>
      <c r="E557" s="67"/>
      <c r="F557" s="58">
        <f t="shared" ref="F557:L557" si="565">SUMIFS($C557,$B557,F$7)+F556</f>
        <v>25</v>
      </c>
      <c r="G557" s="58">
        <f t="shared" si="565"/>
        <v>0</v>
      </c>
      <c r="H557" s="58">
        <f t="shared" si="565"/>
        <v>0</v>
      </c>
      <c r="I557" s="58">
        <f t="shared" si="565"/>
        <v>57</v>
      </c>
      <c r="J557" s="58">
        <f t="shared" si="565"/>
        <v>19</v>
      </c>
      <c r="K557" s="58">
        <f t="shared" si="565"/>
        <v>0</v>
      </c>
      <c r="L557" s="58">
        <f t="shared" si="565"/>
        <v>-35</v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0" customHeight="1">
      <c r="A558" s="70"/>
      <c r="B558" s="71"/>
      <c r="C558" s="66"/>
      <c r="D558" s="66">
        <f t="shared" si="333"/>
        <v>0</v>
      </c>
      <c r="E558" s="67"/>
      <c r="F558" s="58">
        <f t="shared" ref="F558:L558" si="566">SUMIFS($C558,$B558,F$7)+F557</f>
        <v>25</v>
      </c>
      <c r="G558" s="58">
        <f t="shared" si="566"/>
        <v>0</v>
      </c>
      <c r="H558" s="58">
        <f t="shared" si="566"/>
        <v>0</v>
      </c>
      <c r="I558" s="58">
        <f t="shared" si="566"/>
        <v>57</v>
      </c>
      <c r="J558" s="58">
        <f t="shared" si="566"/>
        <v>19</v>
      </c>
      <c r="K558" s="58">
        <f t="shared" si="566"/>
        <v>0</v>
      </c>
      <c r="L558" s="58">
        <f t="shared" si="566"/>
        <v>-35</v>
      </c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0" customHeight="1">
      <c r="A559" s="70"/>
      <c r="B559" s="71"/>
      <c r="C559" s="66"/>
      <c r="D559" s="66">
        <f t="shared" si="333"/>
        <v>0</v>
      </c>
      <c r="E559" s="67"/>
      <c r="F559" s="58">
        <f t="shared" ref="F559:L559" si="567">SUMIFS($C559,$B559,F$7)+F558</f>
        <v>25</v>
      </c>
      <c r="G559" s="58">
        <f t="shared" si="567"/>
        <v>0</v>
      </c>
      <c r="H559" s="58">
        <f t="shared" si="567"/>
        <v>0</v>
      </c>
      <c r="I559" s="58">
        <f t="shared" si="567"/>
        <v>57</v>
      </c>
      <c r="J559" s="58">
        <f t="shared" si="567"/>
        <v>19</v>
      </c>
      <c r="K559" s="58">
        <f t="shared" si="567"/>
        <v>0</v>
      </c>
      <c r="L559" s="58">
        <f t="shared" si="567"/>
        <v>-35</v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0" customHeight="1">
      <c r="A560" s="70"/>
      <c r="B560" s="71"/>
      <c r="C560" s="66"/>
      <c r="D560" s="66">
        <f t="shared" si="333"/>
        <v>0</v>
      </c>
      <c r="E560" s="67"/>
      <c r="F560" s="58">
        <f t="shared" ref="F560:L560" si="568">SUMIFS($C560,$B560,F$7)+F559</f>
        <v>25</v>
      </c>
      <c r="G560" s="58">
        <f t="shared" si="568"/>
        <v>0</v>
      </c>
      <c r="H560" s="58">
        <f t="shared" si="568"/>
        <v>0</v>
      </c>
      <c r="I560" s="58">
        <f t="shared" si="568"/>
        <v>57</v>
      </c>
      <c r="J560" s="58">
        <f t="shared" si="568"/>
        <v>19</v>
      </c>
      <c r="K560" s="58">
        <f t="shared" si="568"/>
        <v>0</v>
      </c>
      <c r="L560" s="58">
        <f t="shared" si="568"/>
        <v>-35</v>
      </c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0" customHeight="1">
      <c r="A561" s="70"/>
      <c r="B561" s="71"/>
      <c r="C561" s="66"/>
      <c r="D561" s="66">
        <f t="shared" si="333"/>
        <v>0</v>
      </c>
      <c r="E561" s="67"/>
      <c r="F561" s="58">
        <f t="shared" ref="F561:L561" si="569">SUMIFS($C561,$B561,F$7)+F560</f>
        <v>25</v>
      </c>
      <c r="G561" s="58">
        <f t="shared" si="569"/>
        <v>0</v>
      </c>
      <c r="H561" s="58">
        <f t="shared" si="569"/>
        <v>0</v>
      </c>
      <c r="I561" s="58">
        <f t="shared" si="569"/>
        <v>57</v>
      </c>
      <c r="J561" s="58">
        <f t="shared" si="569"/>
        <v>19</v>
      </c>
      <c r="K561" s="58">
        <f t="shared" si="569"/>
        <v>0</v>
      </c>
      <c r="L561" s="58">
        <f t="shared" si="569"/>
        <v>-35</v>
      </c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0" customHeight="1">
      <c r="A562" s="70"/>
      <c r="B562" s="71"/>
      <c r="C562" s="66"/>
      <c r="D562" s="66">
        <f t="shared" si="333"/>
        <v>0</v>
      </c>
      <c r="E562" s="67"/>
      <c r="F562" s="58">
        <f t="shared" ref="F562:L562" si="570">SUMIFS($C562,$B562,F$7)+F561</f>
        <v>25</v>
      </c>
      <c r="G562" s="58">
        <f t="shared" si="570"/>
        <v>0</v>
      </c>
      <c r="H562" s="58">
        <f t="shared" si="570"/>
        <v>0</v>
      </c>
      <c r="I562" s="58">
        <f t="shared" si="570"/>
        <v>57</v>
      </c>
      <c r="J562" s="58">
        <f t="shared" si="570"/>
        <v>19</v>
      </c>
      <c r="K562" s="58">
        <f t="shared" si="570"/>
        <v>0</v>
      </c>
      <c r="L562" s="58">
        <f t="shared" si="570"/>
        <v>-35</v>
      </c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0" customHeight="1">
      <c r="A563" s="70"/>
      <c r="B563" s="71"/>
      <c r="C563" s="66"/>
      <c r="D563" s="66">
        <f t="shared" si="333"/>
        <v>0</v>
      </c>
      <c r="E563" s="67"/>
      <c r="F563" s="58">
        <f t="shared" ref="F563:L563" si="571">SUMIFS($C563,$B563,F$7)+F562</f>
        <v>25</v>
      </c>
      <c r="G563" s="58">
        <f t="shared" si="571"/>
        <v>0</v>
      </c>
      <c r="H563" s="58">
        <f t="shared" si="571"/>
        <v>0</v>
      </c>
      <c r="I563" s="58">
        <f t="shared" si="571"/>
        <v>57</v>
      </c>
      <c r="J563" s="58">
        <f t="shared" si="571"/>
        <v>19</v>
      </c>
      <c r="K563" s="58">
        <f t="shared" si="571"/>
        <v>0</v>
      </c>
      <c r="L563" s="58">
        <f t="shared" si="571"/>
        <v>-35</v>
      </c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0" customHeight="1">
      <c r="A564" s="70"/>
      <c r="B564" s="71"/>
      <c r="C564" s="66"/>
      <c r="D564" s="66">
        <f t="shared" si="333"/>
        <v>0</v>
      </c>
      <c r="E564" s="67"/>
      <c r="F564" s="58">
        <f t="shared" ref="F564:L564" si="572">SUMIFS($C564,$B564,F$7)+F563</f>
        <v>25</v>
      </c>
      <c r="G564" s="58">
        <f t="shared" si="572"/>
        <v>0</v>
      </c>
      <c r="H564" s="58">
        <f t="shared" si="572"/>
        <v>0</v>
      </c>
      <c r="I564" s="58">
        <f t="shared" si="572"/>
        <v>57</v>
      </c>
      <c r="J564" s="58">
        <f t="shared" si="572"/>
        <v>19</v>
      </c>
      <c r="K564" s="58">
        <f t="shared" si="572"/>
        <v>0</v>
      </c>
      <c r="L564" s="58">
        <f t="shared" si="572"/>
        <v>-35</v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0" customHeight="1">
      <c r="A565" s="70"/>
      <c r="B565" s="71"/>
      <c r="C565" s="66"/>
      <c r="D565" s="66">
        <f t="shared" si="333"/>
        <v>0</v>
      </c>
      <c r="E565" s="67"/>
      <c r="F565" s="58">
        <f t="shared" ref="F565:L565" si="573">SUMIFS($C565,$B565,F$7)+F564</f>
        <v>25</v>
      </c>
      <c r="G565" s="58">
        <f t="shared" si="573"/>
        <v>0</v>
      </c>
      <c r="H565" s="58">
        <f t="shared" si="573"/>
        <v>0</v>
      </c>
      <c r="I565" s="58">
        <f t="shared" si="573"/>
        <v>57</v>
      </c>
      <c r="J565" s="58">
        <f t="shared" si="573"/>
        <v>19</v>
      </c>
      <c r="K565" s="58">
        <f t="shared" si="573"/>
        <v>0</v>
      </c>
      <c r="L565" s="58">
        <f t="shared" si="573"/>
        <v>-35</v>
      </c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0" customHeight="1">
      <c r="A566" s="70"/>
      <c r="B566" s="71"/>
      <c r="C566" s="66"/>
      <c r="D566" s="66">
        <f t="shared" si="333"/>
        <v>0</v>
      </c>
      <c r="E566" s="67"/>
      <c r="F566" s="58">
        <f t="shared" ref="F566:L566" si="574">SUMIFS($C566,$B566,F$7)+F565</f>
        <v>25</v>
      </c>
      <c r="G566" s="58">
        <f t="shared" si="574"/>
        <v>0</v>
      </c>
      <c r="H566" s="58">
        <f t="shared" si="574"/>
        <v>0</v>
      </c>
      <c r="I566" s="58">
        <f t="shared" si="574"/>
        <v>57</v>
      </c>
      <c r="J566" s="58">
        <f t="shared" si="574"/>
        <v>19</v>
      </c>
      <c r="K566" s="58">
        <f t="shared" si="574"/>
        <v>0</v>
      </c>
      <c r="L566" s="58">
        <f t="shared" si="574"/>
        <v>-35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0" customHeight="1">
      <c r="A567" s="70"/>
      <c r="B567" s="71"/>
      <c r="C567" s="66"/>
      <c r="D567" s="66">
        <f t="shared" si="333"/>
        <v>0</v>
      </c>
      <c r="E567" s="67"/>
      <c r="F567" s="58">
        <f t="shared" ref="F567:L567" si="575">SUMIFS($C567,$B567,F$7)+F566</f>
        <v>25</v>
      </c>
      <c r="G567" s="58">
        <f t="shared" si="575"/>
        <v>0</v>
      </c>
      <c r="H567" s="58">
        <f t="shared" si="575"/>
        <v>0</v>
      </c>
      <c r="I567" s="58">
        <f t="shared" si="575"/>
        <v>57</v>
      </c>
      <c r="J567" s="58">
        <f t="shared" si="575"/>
        <v>19</v>
      </c>
      <c r="K567" s="58">
        <f t="shared" si="575"/>
        <v>0</v>
      </c>
      <c r="L567" s="58">
        <f t="shared" si="575"/>
        <v>-35</v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0" customHeight="1">
      <c r="A568" s="70"/>
      <c r="B568" s="71"/>
      <c r="C568" s="66"/>
      <c r="D568" s="66">
        <f t="shared" si="333"/>
        <v>0</v>
      </c>
      <c r="E568" s="67"/>
      <c r="F568" s="58">
        <f t="shared" ref="F568:L568" si="576">SUMIFS($C568,$B568,F$7)+F567</f>
        <v>25</v>
      </c>
      <c r="G568" s="58">
        <f t="shared" si="576"/>
        <v>0</v>
      </c>
      <c r="H568" s="58">
        <f t="shared" si="576"/>
        <v>0</v>
      </c>
      <c r="I568" s="58">
        <f t="shared" si="576"/>
        <v>57</v>
      </c>
      <c r="J568" s="58">
        <f t="shared" si="576"/>
        <v>19</v>
      </c>
      <c r="K568" s="58">
        <f t="shared" si="576"/>
        <v>0</v>
      </c>
      <c r="L568" s="58">
        <f t="shared" si="576"/>
        <v>-35</v>
      </c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0" customHeight="1">
      <c r="A569" s="70"/>
      <c r="B569" s="71"/>
      <c r="C569" s="66"/>
      <c r="D569" s="66">
        <f t="shared" si="333"/>
        <v>0</v>
      </c>
      <c r="E569" s="67"/>
      <c r="F569" s="58">
        <f t="shared" ref="F569:L569" si="577">SUMIFS($C569,$B569,F$7)+F568</f>
        <v>25</v>
      </c>
      <c r="G569" s="58">
        <f t="shared" si="577"/>
        <v>0</v>
      </c>
      <c r="H569" s="58">
        <f t="shared" si="577"/>
        <v>0</v>
      </c>
      <c r="I569" s="58">
        <f t="shared" si="577"/>
        <v>57</v>
      </c>
      <c r="J569" s="58">
        <f t="shared" si="577"/>
        <v>19</v>
      </c>
      <c r="K569" s="58">
        <f t="shared" si="577"/>
        <v>0</v>
      </c>
      <c r="L569" s="58">
        <f t="shared" si="577"/>
        <v>-35</v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0" customHeight="1">
      <c r="A570" s="70"/>
      <c r="B570" s="71"/>
      <c r="C570" s="66"/>
      <c r="D570" s="66">
        <f t="shared" si="333"/>
        <v>0</v>
      </c>
      <c r="E570" s="67"/>
      <c r="F570" s="58">
        <f t="shared" ref="F570:L570" si="578">SUMIFS($C570,$B570,F$7)+F569</f>
        <v>25</v>
      </c>
      <c r="G570" s="58">
        <f t="shared" si="578"/>
        <v>0</v>
      </c>
      <c r="H570" s="58">
        <f t="shared" si="578"/>
        <v>0</v>
      </c>
      <c r="I570" s="58">
        <f t="shared" si="578"/>
        <v>57</v>
      </c>
      <c r="J570" s="58">
        <f t="shared" si="578"/>
        <v>19</v>
      </c>
      <c r="K570" s="58">
        <f t="shared" si="578"/>
        <v>0</v>
      </c>
      <c r="L570" s="58">
        <f t="shared" si="578"/>
        <v>-35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0" customHeight="1">
      <c r="A571" s="70"/>
      <c r="B571" s="71"/>
      <c r="C571" s="66"/>
      <c r="D571" s="66">
        <f t="shared" si="333"/>
        <v>0</v>
      </c>
      <c r="E571" s="67"/>
      <c r="F571" s="58">
        <f t="shared" ref="F571:L571" si="579">SUMIFS($C571,$B571,F$7)+F570</f>
        <v>25</v>
      </c>
      <c r="G571" s="58">
        <f t="shared" si="579"/>
        <v>0</v>
      </c>
      <c r="H571" s="58">
        <f t="shared" si="579"/>
        <v>0</v>
      </c>
      <c r="I571" s="58">
        <f t="shared" si="579"/>
        <v>57</v>
      </c>
      <c r="J571" s="58">
        <f t="shared" si="579"/>
        <v>19</v>
      </c>
      <c r="K571" s="58">
        <f t="shared" si="579"/>
        <v>0</v>
      </c>
      <c r="L571" s="58">
        <f t="shared" si="579"/>
        <v>-35</v>
      </c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0" customHeight="1">
      <c r="A572" s="70"/>
      <c r="B572" s="71"/>
      <c r="C572" s="66"/>
      <c r="D572" s="66">
        <f t="shared" si="333"/>
        <v>0</v>
      </c>
      <c r="E572" s="67"/>
      <c r="F572" s="58">
        <f t="shared" ref="F572:L572" si="580">SUMIFS($C572,$B572,F$7)+F571</f>
        <v>25</v>
      </c>
      <c r="G572" s="58">
        <f t="shared" si="580"/>
        <v>0</v>
      </c>
      <c r="H572" s="58">
        <f t="shared" si="580"/>
        <v>0</v>
      </c>
      <c r="I572" s="58">
        <f t="shared" si="580"/>
        <v>57</v>
      </c>
      <c r="J572" s="58">
        <f t="shared" si="580"/>
        <v>19</v>
      </c>
      <c r="K572" s="58">
        <f t="shared" si="580"/>
        <v>0</v>
      </c>
      <c r="L572" s="58">
        <f t="shared" si="580"/>
        <v>-35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0" customHeight="1">
      <c r="A573" s="70"/>
      <c r="B573" s="71"/>
      <c r="C573" s="66"/>
      <c r="D573" s="66">
        <f t="shared" si="333"/>
        <v>0</v>
      </c>
      <c r="E573" s="67"/>
      <c r="F573" s="58">
        <f t="shared" ref="F573:L573" si="581">SUMIFS($C573,$B573,F$7)+F572</f>
        <v>25</v>
      </c>
      <c r="G573" s="58">
        <f t="shared" si="581"/>
        <v>0</v>
      </c>
      <c r="H573" s="58">
        <f t="shared" si="581"/>
        <v>0</v>
      </c>
      <c r="I573" s="58">
        <f t="shared" si="581"/>
        <v>57</v>
      </c>
      <c r="J573" s="58">
        <f t="shared" si="581"/>
        <v>19</v>
      </c>
      <c r="K573" s="58">
        <f t="shared" si="581"/>
        <v>0</v>
      </c>
      <c r="L573" s="58">
        <f t="shared" si="581"/>
        <v>-35</v>
      </c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0" customHeight="1">
      <c r="A574" s="70"/>
      <c r="B574" s="71"/>
      <c r="C574" s="66"/>
      <c r="D574" s="66">
        <f t="shared" si="333"/>
        <v>0</v>
      </c>
      <c r="E574" s="67"/>
      <c r="F574" s="58">
        <f t="shared" ref="F574:L574" si="582">SUMIFS($C574,$B574,F$7)+F573</f>
        <v>25</v>
      </c>
      <c r="G574" s="58">
        <f t="shared" si="582"/>
        <v>0</v>
      </c>
      <c r="H574" s="58">
        <f t="shared" si="582"/>
        <v>0</v>
      </c>
      <c r="I574" s="58">
        <f t="shared" si="582"/>
        <v>57</v>
      </c>
      <c r="J574" s="58">
        <f t="shared" si="582"/>
        <v>19</v>
      </c>
      <c r="K574" s="58">
        <f t="shared" si="582"/>
        <v>0</v>
      </c>
      <c r="L574" s="58">
        <f t="shared" si="582"/>
        <v>-35</v>
      </c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0" customHeight="1">
      <c r="A575" s="70"/>
      <c r="B575" s="71"/>
      <c r="C575" s="66"/>
      <c r="D575" s="66">
        <f t="shared" si="333"/>
        <v>0</v>
      </c>
      <c r="E575" s="67"/>
      <c r="F575" s="58">
        <f t="shared" ref="F575:L575" si="583">SUMIFS($C575,$B575,F$7)+F574</f>
        <v>25</v>
      </c>
      <c r="G575" s="58">
        <f t="shared" si="583"/>
        <v>0</v>
      </c>
      <c r="H575" s="58">
        <f t="shared" si="583"/>
        <v>0</v>
      </c>
      <c r="I575" s="58">
        <f t="shared" si="583"/>
        <v>57</v>
      </c>
      <c r="J575" s="58">
        <f t="shared" si="583"/>
        <v>19</v>
      </c>
      <c r="K575" s="58">
        <f t="shared" si="583"/>
        <v>0</v>
      </c>
      <c r="L575" s="58">
        <f t="shared" si="583"/>
        <v>-35</v>
      </c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0" customHeight="1">
      <c r="A576" s="70"/>
      <c r="B576" s="71"/>
      <c r="C576" s="66"/>
      <c r="D576" s="66">
        <f t="shared" si="333"/>
        <v>0</v>
      </c>
      <c r="E576" s="67"/>
      <c r="F576" s="58">
        <f t="shared" ref="F576:L576" si="584">SUMIFS($C576,$B576,F$7)+F575</f>
        <v>25</v>
      </c>
      <c r="G576" s="58">
        <f t="shared" si="584"/>
        <v>0</v>
      </c>
      <c r="H576" s="58">
        <f t="shared" si="584"/>
        <v>0</v>
      </c>
      <c r="I576" s="58">
        <f t="shared" si="584"/>
        <v>57</v>
      </c>
      <c r="J576" s="58">
        <f t="shared" si="584"/>
        <v>19</v>
      </c>
      <c r="K576" s="58">
        <f t="shared" si="584"/>
        <v>0</v>
      </c>
      <c r="L576" s="58">
        <f t="shared" si="584"/>
        <v>-35</v>
      </c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0" customHeight="1">
      <c r="A577" s="70"/>
      <c r="B577" s="71"/>
      <c r="C577" s="66"/>
      <c r="D577" s="66">
        <f t="shared" si="333"/>
        <v>0</v>
      </c>
      <c r="E577" s="67"/>
      <c r="F577" s="58">
        <f t="shared" ref="F577:L577" si="585">SUMIFS($C577,$B577,F$7)+F576</f>
        <v>25</v>
      </c>
      <c r="G577" s="58">
        <f t="shared" si="585"/>
        <v>0</v>
      </c>
      <c r="H577" s="58">
        <f t="shared" si="585"/>
        <v>0</v>
      </c>
      <c r="I577" s="58">
        <f t="shared" si="585"/>
        <v>57</v>
      </c>
      <c r="J577" s="58">
        <f t="shared" si="585"/>
        <v>19</v>
      </c>
      <c r="K577" s="58">
        <f t="shared" si="585"/>
        <v>0</v>
      </c>
      <c r="L577" s="58">
        <f t="shared" si="585"/>
        <v>-35</v>
      </c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0" customHeight="1">
      <c r="A578" s="70"/>
      <c r="B578" s="71"/>
      <c r="C578" s="66"/>
      <c r="D578" s="66">
        <f t="shared" si="333"/>
        <v>0</v>
      </c>
      <c r="E578" s="67"/>
      <c r="F578" s="58">
        <f t="shared" ref="F578:L578" si="586">SUMIFS($C578,$B578,F$7)+F577</f>
        <v>25</v>
      </c>
      <c r="G578" s="58">
        <f t="shared" si="586"/>
        <v>0</v>
      </c>
      <c r="H578" s="58">
        <f t="shared" si="586"/>
        <v>0</v>
      </c>
      <c r="I578" s="58">
        <f t="shared" si="586"/>
        <v>57</v>
      </c>
      <c r="J578" s="58">
        <f t="shared" si="586"/>
        <v>19</v>
      </c>
      <c r="K578" s="58">
        <f t="shared" si="586"/>
        <v>0</v>
      </c>
      <c r="L578" s="58">
        <f t="shared" si="586"/>
        <v>-35</v>
      </c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0" customHeight="1">
      <c r="A579" s="70"/>
      <c r="B579" s="71"/>
      <c r="C579" s="66"/>
      <c r="D579" s="66">
        <f t="shared" si="333"/>
        <v>0</v>
      </c>
      <c r="E579" s="67"/>
      <c r="F579" s="58">
        <f t="shared" ref="F579:L579" si="587">SUMIFS($C579,$B579,F$7)+F578</f>
        <v>25</v>
      </c>
      <c r="G579" s="58">
        <f t="shared" si="587"/>
        <v>0</v>
      </c>
      <c r="H579" s="58">
        <f t="shared" si="587"/>
        <v>0</v>
      </c>
      <c r="I579" s="58">
        <f t="shared" si="587"/>
        <v>57</v>
      </c>
      <c r="J579" s="58">
        <f t="shared" si="587"/>
        <v>19</v>
      </c>
      <c r="K579" s="58">
        <f t="shared" si="587"/>
        <v>0</v>
      </c>
      <c r="L579" s="58">
        <f t="shared" si="587"/>
        <v>-35</v>
      </c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0" customHeight="1">
      <c r="A580" s="70"/>
      <c r="B580" s="71"/>
      <c r="C580" s="66"/>
      <c r="D580" s="66">
        <f t="shared" si="333"/>
        <v>0</v>
      </c>
      <c r="E580" s="67"/>
      <c r="F580" s="58">
        <f t="shared" ref="F580:L580" si="588">SUMIFS($C580,$B580,F$7)+F579</f>
        <v>25</v>
      </c>
      <c r="G580" s="58">
        <f t="shared" si="588"/>
        <v>0</v>
      </c>
      <c r="H580" s="58">
        <f t="shared" si="588"/>
        <v>0</v>
      </c>
      <c r="I580" s="58">
        <f t="shared" si="588"/>
        <v>57</v>
      </c>
      <c r="J580" s="58">
        <f t="shared" si="588"/>
        <v>19</v>
      </c>
      <c r="K580" s="58">
        <f t="shared" si="588"/>
        <v>0</v>
      </c>
      <c r="L580" s="58">
        <f t="shared" si="588"/>
        <v>-35</v>
      </c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0" customHeight="1">
      <c r="A581" s="70"/>
      <c r="B581" s="71"/>
      <c r="C581" s="66"/>
      <c r="D581" s="66">
        <f t="shared" si="333"/>
        <v>0</v>
      </c>
      <c r="E581" s="67"/>
      <c r="F581" s="58">
        <f t="shared" ref="F581:L581" si="589">SUMIFS($C581,$B581,F$7)+F580</f>
        <v>25</v>
      </c>
      <c r="G581" s="58">
        <f t="shared" si="589"/>
        <v>0</v>
      </c>
      <c r="H581" s="58">
        <f t="shared" si="589"/>
        <v>0</v>
      </c>
      <c r="I581" s="58">
        <f t="shared" si="589"/>
        <v>57</v>
      </c>
      <c r="J581" s="58">
        <f t="shared" si="589"/>
        <v>19</v>
      </c>
      <c r="K581" s="58">
        <f t="shared" si="589"/>
        <v>0</v>
      </c>
      <c r="L581" s="58">
        <f t="shared" si="589"/>
        <v>-35</v>
      </c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0" customHeight="1">
      <c r="A582" s="70"/>
      <c r="B582" s="71"/>
      <c r="C582" s="66"/>
      <c r="D582" s="66">
        <f t="shared" si="333"/>
        <v>0</v>
      </c>
      <c r="E582" s="67"/>
      <c r="F582" s="58">
        <f t="shared" ref="F582:L582" si="590">SUMIFS($C582,$B582,F$7)+F581</f>
        <v>25</v>
      </c>
      <c r="G582" s="58">
        <f t="shared" si="590"/>
        <v>0</v>
      </c>
      <c r="H582" s="58">
        <f t="shared" si="590"/>
        <v>0</v>
      </c>
      <c r="I582" s="58">
        <f t="shared" si="590"/>
        <v>57</v>
      </c>
      <c r="J582" s="58">
        <f t="shared" si="590"/>
        <v>19</v>
      </c>
      <c r="K582" s="58">
        <f t="shared" si="590"/>
        <v>0</v>
      </c>
      <c r="L582" s="58">
        <f t="shared" si="590"/>
        <v>-35</v>
      </c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0" customHeight="1">
      <c r="A583" s="70"/>
      <c r="B583" s="71"/>
      <c r="C583" s="66"/>
      <c r="D583" s="66">
        <f t="shared" si="333"/>
        <v>0</v>
      </c>
      <c r="E583" s="67"/>
      <c r="F583" s="58">
        <f t="shared" ref="F583:L583" si="591">SUMIFS($C583,$B583,F$7)+F582</f>
        <v>25</v>
      </c>
      <c r="G583" s="58">
        <f t="shared" si="591"/>
        <v>0</v>
      </c>
      <c r="H583" s="58">
        <f t="shared" si="591"/>
        <v>0</v>
      </c>
      <c r="I583" s="58">
        <f t="shared" si="591"/>
        <v>57</v>
      </c>
      <c r="J583" s="58">
        <f t="shared" si="591"/>
        <v>19</v>
      </c>
      <c r="K583" s="58">
        <f t="shared" si="591"/>
        <v>0</v>
      </c>
      <c r="L583" s="58">
        <f t="shared" si="591"/>
        <v>-35</v>
      </c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0" customHeight="1">
      <c r="A584" s="70"/>
      <c r="B584" s="71"/>
      <c r="C584" s="66"/>
      <c r="D584" s="66">
        <f t="shared" si="333"/>
        <v>0</v>
      </c>
      <c r="E584" s="67"/>
      <c r="F584" s="58">
        <f t="shared" ref="F584:L584" si="592">SUMIFS($C584,$B584,F$7)+F583</f>
        <v>25</v>
      </c>
      <c r="G584" s="58">
        <f t="shared" si="592"/>
        <v>0</v>
      </c>
      <c r="H584" s="58">
        <f t="shared" si="592"/>
        <v>0</v>
      </c>
      <c r="I584" s="58">
        <f t="shared" si="592"/>
        <v>57</v>
      </c>
      <c r="J584" s="58">
        <f t="shared" si="592"/>
        <v>19</v>
      </c>
      <c r="K584" s="58">
        <f t="shared" si="592"/>
        <v>0</v>
      </c>
      <c r="L584" s="58">
        <f t="shared" si="592"/>
        <v>-35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0" customHeight="1">
      <c r="A585" s="70"/>
      <c r="B585" s="71"/>
      <c r="C585" s="66"/>
      <c r="D585" s="66">
        <f t="shared" si="333"/>
        <v>0</v>
      </c>
      <c r="E585" s="67"/>
      <c r="F585" s="58">
        <f t="shared" ref="F585:L585" si="593">SUMIFS($C585,$B585,F$7)+F584</f>
        <v>25</v>
      </c>
      <c r="G585" s="58">
        <f t="shared" si="593"/>
        <v>0</v>
      </c>
      <c r="H585" s="58">
        <f t="shared" si="593"/>
        <v>0</v>
      </c>
      <c r="I585" s="58">
        <f t="shared" si="593"/>
        <v>57</v>
      </c>
      <c r="J585" s="58">
        <f t="shared" si="593"/>
        <v>19</v>
      </c>
      <c r="K585" s="58">
        <f t="shared" si="593"/>
        <v>0</v>
      </c>
      <c r="L585" s="58">
        <f t="shared" si="593"/>
        <v>-35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0" customHeight="1">
      <c r="A586" s="70"/>
      <c r="B586" s="71"/>
      <c r="C586" s="66"/>
      <c r="D586" s="66">
        <f t="shared" si="333"/>
        <v>0</v>
      </c>
      <c r="E586" s="67"/>
      <c r="F586" s="58">
        <f t="shared" ref="F586:L586" si="594">SUMIFS($C586,$B586,F$7)+F585</f>
        <v>25</v>
      </c>
      <c r="G586" s="58">
        <f t="shared" si="594"/>
        <v>0</v>
      </c>
      <c r="H586" s="58">
        <f t="shared" si="594"/>
        <v>0</v>
      </c>
      <c r="I586" s="58">
        <f t="shared" si="594"/>
        <v>57</v>
      </c>
      <c r="J586" s="58">
        <f t="shared" si="594"/>
        <v>19</v>
      </c>
      <c r="K586" s="58">
        <f t="shared" si="594"/>
        <v>0</v>
      </c>
      <c r="L586" s="58">
        <f t="shared" si="594"/>
        <v>-35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0" customHeight="1">
      <c r="A587" s="70"/>
      <c r="B587" s="71"/>
      <c r="C587" s="66"/>
      <c r="D587" s="66">
        <f t="shared" si="333"/>
        <v>0</v>
      </c>
      <c r="E587" s="67"/>
      <c r="F587" s="58">
        <f t="shared" ref="F587:L587" si="595">SUMIFS($C587,$B587,F$7)+F586</f>
        <v>25</v>
      </c>
      <c r="G587" s="58">
        <f t="shared" si="595"/>
        <v>0</v>
      </c>
      <c r="H587" s="58">
        <f t="shared" si="595"/>
        <v>0</v>
      </c>
      <c r="I587" s="58">
        <f t="shared" si="595"/>
        <v>57</v>
      </c>
      <c r="J587" s="58">
        <f t="shared" si="595"/>
        <v>19</v>
      </c>
      <c r="K587" s="58">
        <f t="shared" si="595"/>
        <v>0</v>
      </c>
      <c r="L587" s="58">
        <f t="shared" si="595"/>
        <v>-35</v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0" customHeight="1">
      <c r="A588" s="70"/>
      <c r="B588" s="71"/>
      <c r="C588" s="66"/>
      <c r="D588" s="66">
        <f t="shared" si="333"/>
        <v>0</v>
      </c>
      <c r="E588" s="67"/>
      <c r="F588" s="58">
        <f t="shared" ref="F588:L588" si="596">SUMIFS($C588,$B588,F$7)+F587</f>
        <v>25</v>
      </c>
      <c r="G588" s="58">
        <f t="shared" si="596"/>
        <v>0</v>
      </c>
      <c r="H588" s="58">
        <f t="shared" si="596"/>
        <v>0</v>
      </c>
      <c r="I588" s="58">
        <f t="shared" si="596"/>
        <v>57</v>
      </c>
      <c r="J588" s="58">
        <f t="shared" si="596"/>
        <v>19</v>
      </c>
      <c r="K588" s="58">
        <f t="shared" si="596"/>
        <v>0</v>
      </c>
      <c r="L588" s="58">
        <f t="shared" si="596"/>
        <v>-35</v>
      </c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0" customHeight="1">
      <c r="A589" s="70"/>
      <c r="B589" s="71"/>
      <c r="C589" s="66"/>
      <c r="D589" s="66">
        <f t="shared" si="333"/>
        <v>0</v>
      </c>
      <c r="E589" s="67"/>
      <c r="F589" s="58">
        <f t="shared" ref="F589:L589" si="597">SUMIFS($C589,$B589,F$7)+F588</f>
        <v>25</v>
      </c>
      <c r="G589" s="58">
        <f t="shared" si="597"/>
        <v>0</v>
      </c>
      <c r="H589" s="58">
        <f t="shared" si="597"/>
        <v>0</v>
      </c>
      <c r="I589" s="58">
        <f t="shared" si="597"/>
        <v>57</v>
      </c>
      <c r="J589" s="58">
        <f t="shared" si="597"/>
        <v>19</v>
      </c>
      <c r="K589" s="58">
        <f t="shared" si="597"/>
        <v>0</v>
      </c>
      <c r="L589" s="58">
        <f t="shared" si="597"/>
        <v>-35</v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0" customHeight="1">
      <c r="A590" s="70"/>
      <c r="B590" s="71"/>
      <c r="C590" s="66"/>
      <c r="D590" s="66">
        <f t="shared" si="333"/>
        <v>0</v>
      </c>
      <c r="E590" s="67"/>
      <c r="F590" s="58">
        <f t="shared" ref="F590:L590" si="598">SUMIFS($C590,$B590,F$7)+F589</f>
        <v>25</v>
      </c>
      <c r="G590" s="58">
        <f t="shared" si="598"/>
        <v>0</v>
      </c>
      <c r="H590" s="58">
        <f t="shared" si="598"/>
        <v>0</v>
      </c>
      <c r="I590" s="58">
        <f t="shared" si="598"/>
        <v>57</v>
      </c>
      <c r="J590" s="58">
        <f t="shared" si="598"/>
        <v>19</v>
      </c>
      <c r="K590" s="58">
        <f t="shared" si="598"/>
        <v>0</v>
      </c>
      <c r="L590" s="58">
        <f t="shared" si="598"/>
        <v>-35</v>
      </c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0" customHeight="1">
      <c r="A591" s="70"/>
      <c r="B591" s="71"/>
      <c r="C591" s="66"/>
      <c r="D591" s="66">
        <f t="shared" si="333"/>
        <v>0</v>
      </c>
      <c r="E591" s="67"/>
      <c r="F591" s="58">
        <f t="shared" ref="F591:L591" si="599">SUMIFS($C591,$B591,F$7)+F590</f>
        <v>25</v>
      </c>
      <c r="G591" s="58">
        <f t="shared" si="599"/>
        <v>0</v>
      </c>
      <c r="H591" s="58">
        <f t="shared" si="599"/>
        <v>0</v>
      </c>
      <c r="I591" s="58">
        <f t="shared" si="599"/>
        <v>57</v>
      </c>
      <c r="J591" s="58">
        <f t="shared" si="599"/>
        <v>19</v>
      </c>
      <c r="K591" s="58">
        <f t="shared" si="599"/>
        <v>0</v>
      </c>
      <c r="L591" s="58">
        <f t="shared" si="599"/>
        <v>-35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0" customHeight="1">
      <c r="A592" s="70"/>
      <c r="B592" s="71"/>
      <c r="C592" s="66"/>
      <c r="D592" s="66">
        <f t="shared" si="333"/>
        <v>0</v>
      </c>
      <c r="E592" s="67"/>
      <c r="F592" s="58">
        <f t="shared" ref="F592:L592" si="600">SUMIFS($C592,$B592,F$7)+F591</f>
        <v>25</v>
      </c>
      <c r="G592" s="58">
        <f t="shared" si="600"/>
        <v>0</v>
      </c>
      <c r="H592" s="58">
        <f t="shared" si="600"/>
        <v>0</v>
      </c>
      <c r="I592" s="58">
        <f t="shared" si="600"/>
        <v>57</v>
      </c>
      <c r="J592" s="58">
        <f t="shared" si="600"/>
        <v>19</v>
      </c>
      <c r="K592" s="58">
        <f t="shared" si="600"/>
        <v>0</v>
      </c>
      <c r="L592" s="58">
        <f t="shared" si="600"/>
        <v>-35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0" customHeight="1">
      <c r="A593" s="70"/>
      <c r="B593" s="71"/>
      <c r="C593" s="66"/>
      <c r="D593" s="66">
        <f t="shared" si="333"/>
        <v>0</v>
      </c>
      <c r="E593" s="67"/>
      <c r="F593" s="58">
        <f t="shared" ref="F593:L593" si="601">SUMIFS($C593,$B593,F$7)+F592</f>
        <v>25</v>
      </c>
      <c r="G593" s="58">
        <f t="shared" si="601"/>
        <v>0</v>
      </c>
      <c r="H593" s="58">
        <f t="shared" si="601"/>
        <v>0</v>
      </c>
      <c r="I593" s="58">
        <f t="shared" si="601"/>
        <v>57</v>
      </c>
      <c r="J593" s="58">
        <f t="shared" si="601"/>
        <v>19</v>
      </c>
      <c r="K593" s="58">
        <f t="shared" si="601"/>
        <v>0</v>
      </c>
      <c r="L593" s="58">
        <f t="shared" si="601"/>
        <v>-35</v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0" customHeight="1">
      <c r="A594" s="70"/>
      <c r="B594" s="71"/>
      <c r="C594" s="66"/>
      <c r="D594" s="66">
        <f t="shared" si="333"/>
        <v>0</v>
      </c>
      <c r="E594" s="67"/>
      <c r="F594" s="58">
        <f t="shared" ref="F594:L594" si="602">SUMIFS($C594,$B594,F$7)+F593</f>
        <v>25</v>
      </c>
      <c r="G594" s="58">
        <f t="shared" si="602"/>
        <v>0</v>
      </c>
      <c r="H594" s="58">
        <f t="shared" si="602"/>
        <v>0</v>
      </c>
      <c r="I594" s="58">
        <f t="shared" si="602"/>
        <v>57</v>
      </c>
      <c r="J594" s="58">
        <f t="shared" si="602"/>
        <v>19</v>
      </c>
      <c r="K594" s="58">
        <f t="shared" si="602"/>
        <v>0</v>
      </c>
      <c r="L594" s="58">
        <f t="shared" si="602"/>
        <v>-35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0" customHeight="1">
      <c r="A595" s="70"/>
      <c r="B595" s="71"/>
      <c r="C595" s="66"/>
      <c r="D595" s="66">
        <f t="shared" si="333"/>
        <v>0</v>
      </c>
      <c r="E595" s="67"/>
      <c r="F595" s="58">
        <f t="shared" ref="F595:L595" si="603">SUMIFS($C595,$B595,F$7)+F594</f>
        <v>25</v>
      </c>
      <c r="G595" s="58">
        <f t="shared" si="603"/>
        <v>0</v>
      </c>
      <c r="H595" s="58">
        <f t="shared" si="603"/>
        <v>0</v>
      </c>
      <c r="I595" s="58">
        <f t="shared" si="603"/>
        <v>57</v>
      </c>
      <c r="J595" s="58">
        <f t="shared" si="603"/>
        <v>19</v>
      </c>
      <c r="K595" s="58">
        <f t="shared" si="603"/>
        <v>0</v>
      </c>
      <c r="L595" s="58">
        <f t="shared" si="603"/>
        <v>-35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0" customHeight="1">
      <c r="A596" s="70"/>
      <c r="B596" s="71"/>
      <c r="C596" s="66"/>
      <c r="D596" s="66">
        <f t="shared" si="333"/>
        <v>0</v>
      </c>
      <c r="E596" s="67"/>
      <c r="F596" s="58">
        <f t="shared" ref="F596:L596" si="604">SUMIFS($C596,$B596,F$7)+F595</f>
        <v>25</v>
      </c>
      <c r="G596" s="58">
        <f t="shared" si="604"/>
        <v>0</v>
      </c>
      <c r="H596" s="58">
        <f t="shared" si="604"/>
        <v>0</v>
      </c>
      <c r="I596" s="58">
        <f t="shared" si="604"/>
        <v>57</v>
      </c>
      <c r="J596" s="58">
        <f t="shared" si="604"/>
        <v>19</v>
      </c>
      <c r="K596" s="58">
        <f t="shared" si="604"/>
        <v>0</v>
      </c>
      <c r="L596" s="58">
        <f t="shared" si="604"/>
        <v>-35</v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0" customHeight="1">
      <c r="A597" s="70"/>
      <c r="B597" s="71"/>
      <c r="C597" s="66"/>
      <c r="D597" s="66">
        <f t="shared" si="333"/>
        <v>0</v>
      </c>
      <c r="E597" s="67"/>
      <c r="F597" s="58">
        <f t="shared" ref="F597:L597" si="605">SUMIFS($C597,$B597,F$7)+F596</f>
        <v>25</v>
      </c>
      <c r="G597" s="58">
        <f t="shared" si="605"/>
        <v>0</v>
      </c>
      <c r="H597" s="58">
        <f t="shared" si="605"/>
        <v>0</v>
      </c>
      <c r="I597" s="58">
        <f t="shared" si="605"/>
        <v>57</v>
      </c>
      <c r="J597" s="58">
        <f t="shared" si="605"/>
        <v>19</v>
      </c>
      <c r="K597" s="58">
        <f t="shared" si="605"/>
        <v>0</v>
      </c>
      <c r="L597" s="58">
        <f t="shared" si="605"/>
        <v>-35</v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0" customHeight="1">
      <c r="A598" s="70"/>
      <c r="B598" s="71"/>
      <c r="C598" s="66"/>
      <c r="D598" s="66">
        <f t="shared" si="333"/>
        <v>0</v>
      </c>
      <c r="E598" s="67"/>
      <c r="F598" s="58">
        <f t="shared" ref="F598:L598" si="606">SUMIFS($C598,$B598,F$7)+F597</f>
        <v>25</v>
      </c>
      <c r="G598" s="58">
        <f t="shared" si="606"/>
        <v>0</v>
      </c>
      <c r="H598" s="58">
        <f t="shared" si="606"/>
        <v>0</v>
      </c>
      <c r="I598" s="58">
        <f t="shared" si="606"/>
        <v>57</v>
      </c>
      <c r="J598" s="58">
        <f t="shared" si="606"/>
        <v>19</v>
      </c>
      <c r="K598" s="58">
        <f t="shared" si="606"/>
        <v>0</v>
      </c>
      <c r="L598" s="58">
        <f t="shared" si="606"/>
        <v>-35</v>
      </c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0" customHeight="1">
      <c r="A599" s="70"/>
      <c r="B599" s="71"/>
      <c r="C599" s="66"/>
      <c r="D599" s="66">
        <f t="shared" si="333"/>
        <v>0</v>
      </c>
      <c r="E599" s="67"/>
      <c r="F599" s="58">
        <f t="shared" ref="F599:L599" si="607">SUMIFS($C599,$B599,F$7)+F598</f>
        <v>25</v>
      </c>
      <c r="G599" s="58">
        <f t="shared" si="607"/>
        <v>0</v>
      </c>
      <c r="H599" s="58">
        <f t="shared" si="607"/>
        <v>0</v>
      </c>
      <c r="I599" s="58">
        <f t="shared" si="607"/>
        <v>57</v>
      </c>
      <c r="J599" s="58">
        <f t="shared" si="607"/>
        <v>19</v>
      </c>
      <c r="K599" s="58">
        <f t="shared" si="607"/>
        <v>0</v>
      </c>
      <c r="L599" s="58">
        <f t="shared" si="607"/>
        <v>-35</v>
      </c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0" customHeight="1">
      <c r="A600" s="70"/>
      <c r="B600" s="71"/>
      <c r="C600" s="66"/>
      <c r="D600" s="66">
        <f t="shared" si="333"/>
        <v>0</v>
      </c>
      <c r="E600" s="67"/>
      <c r="F600" s="58">
        <f t="shared" ref="F600:L600" si="608">SUMIFS($C600,$B600,F$7)+F599</f>
        <v>25</v>
      </c>
      <c r="G600" s="58">
        <f t="shared" si="608"/>
        <v>0</v>
      </c>
      <c r="H600" s="58">
        <f t="shared" si="608"/>
        <v>0</v>
      </c>
      <c r="I600" s="58">
        <f t="shared" si="608"/>
        <v>57</v>
      </c>
      <c r="J600" s="58">
        <f t="shared" si="608"/>
        <v>19</v>
      </c>
      <c r="K600" s="58">
        <f t="shared" si="608"/>
        <v>0</v>
      </c>
      <c r="L600" s="58">
        <f t="shared" si="608"/>
        <v>-35</v>
      </c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0" customHeight="1">
      <c r="A601" s="70"/>
      <c r="B601" s="71"/>
      <c r="C601" s="66"/>
      <c r="D601" s="66">
        <f t="shared" si="333"/>
        <v>0</v>
      </c>
      <c r="E601" s="67"/>
      <c r="F601" s="58">
        <f t="shared" ref="F601:L601" si="609">SUMIFS($C601,$B601,F$7)+F600</f>
        <v>25</v>
      </c>
      <c r="G601" s="58">
        <f t="shared" si="609"/>
        <v>0</v>
      </c>
      <c r="H601" s="58">
        <f t="shared" si="609"/>
        <v>0</v>
      </c>
      <c r="I601" s="58">
        <f t="shared" si="609"/>
        <v>57</v>
      </c>
      <c r="J601" s="58">
        <f t="shared" si="609"/>
        <v>19</v>
      </c>
      <c r="K601" s="58">
        <f t="shared" si="609"/>
        <v>0</v>
      </c>
      <c r="L601" s="58">
        <f t="shared" si="609"/>
        <v>-35</v>
      </c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0" customHeight="1">
      <c r="A602" s="70"/>
      <c r="B602" s="71"/>
      <c r="C602" s="66"/>
      <c r="D602" s="66">
        <f t="shared" si="333"/>
        <v>0</v>
      </c>
      <c r="E602" s="67"/>
      <c r="F602" s="58">
        <f t="shared" ref="F602:L602" si="610">SUMIFS($C602,$B602,F$7)+F601</f>
        <v>25</v>
      </c>
      <c r="G602" s="58">
        <f t="shared" si="610"/>
        <v>0</v>
      </c>
      <c r="H602" s="58">
        <f t="shared" si="610"/>
        <v>0</v>
      </c>
      <c r="I602" s="58">
        <f t="shared" si="610"/>
        <v>57</v>
      </c>
      <c r="J602" s="58">
        <f t="shared" si="610"/>
        <v>19</v>
      </c>
      <c r="K602" s="58">
        <f t="shared" si="610"/>
        <v>0</v>
      </c>
      <c r="L602" s="58">
        <f t="shared" si="610"/>
        <v>-35</v>
      </c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0" customHeight="1">
      <c r="A603" s="70"/>
      <c r="B603" s="71"/>
      <c r="C603" s="66"/>
      <c r="D603" s="66">
        <f t="shared" si="333"/>
        <v>0</v>
      </c>
      <c r="E603" s="67"/>
      <c r="F603" s="58">
        <f t="shared" ref="F603:L603" si="611">SUMIFS($C603,$B603,F$7)+F602</f>
        <v>25</v>
      </c>
      <c r="G603" s="58">
        <f t="shared" si="611"/>
        <v>0</v>
      </c>
      <c r="H603" s="58">
        <f t="shared" si="611"/>
        <v>0</v>
      </c>
      <c r="I603" s="58">
        <f t="shared" si="611"/>
        <v>57</v>
      </c>
      <c r="J603" s="58">
        <f t="shared" si="611"/>
        <v>19</v>
      </c>
      <c r="K603" s="58">
        <f t="shared" si="611"/>
        <v>0</v>
      </c>
      <c r="L603" s="58">
        <f t="shared" si="611"/>
        <v>-35</v>
      </c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0" customHeight="1">
      <c r="A604" s="70"/>
      <c r="B604" s="71"/>
      <c r="C604" s="66"/>
      <c r="D604" s="66">
        <f t="shared" si="333"/>
        <v>0</v>
      </c>
      <c r="E604" s="67"/>
      <c r="F604" s="58">
        <f t="shared" ref="F604:L604" si="612">SUMIFS($C604,$B604,F$7)+F603</f>
        <v>25</v>
      </c>
      <c r="G604" s="58">
        <f t="shared" si="612"/>
        <v>0</v>
      </c>
      <c r="H604" s="58">
        <f t="shared" si="612"/>
        <v>0</v>
      </c>
      <c r="I604" s="58">
        <f t="shared" si="612"/>
        <v>57</v>
      </c>
      <c r="J604" s="58">
        <f t="shared" si="612"/>
        <v>19</v>
      </c>
      <c r="K604" s="58">
        <f t="shared" si="612"/>
        <v>0</v>
      </c>
      <c r="L604" s="58">
        <f t="shared" si="612"/>
        <v>-35</v>
      </c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0" customHeight="1">
      <c r="A605" s="70"/>
      <c r="B605" s="71"/>
      <c r="C605" s="66"/>
      <c r="D605" s="66">
        <f t="shared" si="333"/>
        <v>0</v>
      </c>
      <c r="E605" s="67"/>
      <c r="F605" s="58">
        <f t="shared" ref="F605:L605" si="613">SUMIFS($C605,$B605,F$7)+F604</f>
        <v>25</v>
      </c>
      <c r="G605" s="58">
        <f t="shared" si="613"/>
        <v>0</v>
      </c>
      <c r="H605" s="58">
        <f t="shared" si="613"/>
        <v>0</v>
      </c>
      <c r="I605" s="58">
        <f t="shared" si="613"/>
        <v>57</v>
      </c>
      <c r="J605" s="58">
        <f t="shared" si="613"/>
        <v>19</v>
      </c>
      <c r="K605" s="58">
        <f t="shared" si="613"/>
        <v>0</v>
      </c>
      <c r="L605" s="58">
        <f t="shared" si="613"/>
        <v>-35</v>
      </c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0" customHeight="1">
      <c r="A606" s="70"/>
      <c r="B606" s="71"/>
      <c r="C606" s="66"/>
      <c r="D606" s="66">
        <f t="shared" si="333"/>
        <v>0</v>
      </c>
      <c r="E606" s="67"/>
      <c r="F606" s="58">
        <f t="shared" ref="F606:L606" si="614">SUMIFS($C606,$B606,F$7)+F605</f>
        <v>25</v>
      </c>
      <c r="G606" s="58">
        <f t="shared" si="614"/>
        <v>0</v>
      </c>
      <c r="H606" s="58">
        <f t="shared" si="614"/>
        <v>0</v>
      </c>
      <c r="I606" s="58">
        <f t="shared" si="614"/>
        <v>57</v>
      </c>
      <c r="J606" s="58">
        <f t="shared" si="614"/>
        <v>19</v>
      </c>
      <c r="K606" s="58">
        <f t="shared" si="614"/>
        <v>0</v>
      </c>
      <c r="L606" s="58">
        <f t="shared" si="614"/>
        <v>-35</v>
      </c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0" customHeight="1">
      <c r="A607" s="70"/>
      <c r="B607" s="71"/>
      <c r="C607" s="66"/>
      <c r="D607" s="66">
        <f t="shared" si="333"/>
        <v>0</v>
      </c>
      <c r="E607" s="67"/>
      <c r="F607" s="58">
        <f t="shared" ref="F607:L607" si="615">SUMIFS($C607,$B607,F$7)+F606</f>
        <v>25</v>
      </c>
      <c r="G607" s="58">
        <f t="shared" si="615"/>
        <v>0</v>
      </c>
      <c r="H607" s="58">
        <f t="shared" si="615"/>
        <v>0</v>
      </c>
      <c r="I607" s="58">
        <f t="shared" si="615"/>
        <v>57</v>
      </c>
      <c r="J607" s="58">
        <f t="shared" si="615"/>
        <v>19</v>
      </c>
      <c r="K607" s="58">
        <f t="shared" si="615"/>
        <v>0</v>
      </c>
      <c r="L607" s="58">
        <f t="shared" si="615"/>
        <v>-35</v>
      </c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0" customHeight="1">
      <c r="A608" s="70"/>
      <c r="B608" s="71"/>
      <c r="C608" s="66"/>
      <c r="D608" s="66">
        <f t="shared" si="333"/>
        <v>0</v>
      </c>
      <c r="E608" s="67"/>
      <c r="F608" s="58">
        <f t="shared" ref="F608:L608" si="616">SUMIFS($C608,$B608,F$7)+F607</f>
        <v>25</v>
      </c>
      <c r="G608" s="58">
        <f t="shared" si="616"/>
        <v>0</v>
      </c>
      <c r="H608" s="58">
        <f t="shared" si="616"/>
        <v>0</v>
      </c>
      <c r="I608" s="58">
        <f t="shared" si="616"/>
        <v>57</v>
      </c>
      <c r="J608" s="58">
        <f t="shared" si="616"/>
        <v>19</v>
      </c>
      <c r="K608" s="58">
        <f t="shared" si="616"/>
        <v>0</v>
      </c>
      <c r="L608" s="58">
        <f t="shared" si="616"/>
        <v>-35</v>
      </c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0" customHeight="1">
      <c r="A609" s="70"/>
      <c r="B609" s="71"/>
      <c r="C609" s="66"/>
      <c r="D609" s="66">
        <f t="shared" si="333"/>
        <v>0</v>
      </c>
      <c r="E609" s="67"/>
      <c r="F609" s="58">
        <f t="shared" ref="F609:L609" si="617">SUMIFS($C609,$B609,F$7)+F608</f>
        <v>25</v>
      </c>
      <c r="G609" s="58">
        <f t="shared" si="617"/>
        <v>0</v>
      </c>
      <c r="H609" s="58">
        <f t="shared" si="617"/>
        <v>0</v>
      </c>
      <c r="I609" s="58">
        <f t="shared" si="617"/>
        <v>57</v>
      </c>
      <c r="J609" s="58">
        <f t="shared" si="617"/>
        <v>19</v>
      </c>
      <c r="K609" s="58">
        <f t="shared" si="617"/>
        <v>0</v>
      </c>
      <c r="L609" s="58">
        <f t="shared" si="617"/>
        <v>-35</v>
      </c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0" customHeight="1">
      <c r="A610" s="70"/>
      <c r="B610" s="71"/>
      <c r="C610" s="66"/>
      <c r="D610" s="66">
        <f t="shared" si="333"/>
        <v>0</v>
      </c>
      <c r="E610" s="67"/>
      <c r="F610" s="58">
        <f t="shared" ref="F610:L610" si="618">SUMIFS($C610,$B610,F$7)+F609</f>
        <v>25</v>
      </c>
      <c r="G610" s="58">
        <f t="shared" si="618"/>
        <v>0</v>
      </c>
      <c r="H610" s="58">
        <f t="shared" si="618"/>
        <v>0</v>
      </c>
      <c r="I610" s="58">
        <f t="shared" si="618"/>
        <v>57</v>
      </c>
      <c r="J610" s="58">
        <f t="shared" si="618"/>
        <v>19</v>
      </c>
      <c r="K610" s="58">
        <f t="shared" si="618"/>
        <v>0</v>
      </c>
      <c r="L610" s="58">
        <f t="shared" si="618"/>
        <v>-35</v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0" customHeight="1">
      <c r="A611" s="70"/>
      <c r="B611" s="71"/>
      <c r="C611" s="66"/>
      <c r="D611" s="66">
        <f t="shared" si="333"/>
        <v>0</v>
      </c>
      <c r="E611" s="67"/>
      <c r="F611" s="58">
        <f t="shared" ref="F611:L611" si="619">SUMIFS($C611,$B611,F$7)+F610</f>
        <v>25</v>
      </c>
      <c r="G611" s="58">
        <f t="shared" si="619"/>
        <v>0</v>
      </c>
      <c r="H611" s="58">
        <f t="shared" si="619"/>
        <v>0</v>
      </c>
      <c r="I611" s="58">
        <f t="shared" si="619"/>
        <v>57</v>
      </c>
      <c r="J611" s="58">
        <f t="shared" si="619"/>
        <v>19</v>
      </c>
      <c r="K611" s="58">
        <f t="shared" si="619"/>
        <v>0</v>
      </c>
      <c r="L611" s="58">
        <f t="shared" si="619"/>
        <v>-35</v>
      </c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0" customHeight="1">
      <c r="A612" s="70"/>
      <c r="B612" s="71"/>
      <c r="C612" s="66"/>
      <c r="D612" s="66">
        <f t="shared" si="333"/>
        <v>0</v>
      </c>
      <c r="E612" s="67"/>
      <c r="F612" s="58">
        <f t="shared" ref="F612:L612" si="620">SUMIFS($C612,$B612,F$7)+F611</f>
        <v>25</v>
      </c>
      <c r="G612" s="58">
        <f t="shared" si="620"/>
        <v>0</v>
      </c>
      <c r="H612" s="58">
        <f t="shared" si="620"/>
        <v>0</v>
      </c>
      <c r="I612" s="58">
        <f t="shared" si="620"/>
        <v>57</v>
      </c>
      <c r="J612" s="58">
        <f t="shared" si="620"/>
        <v>19</v>
      </c>
      <c r="K612" s="58">
        <f t="shared" si="620"/>
        <v>0</v>
      </c>
      <c r="L612" s="58">
        <f t="shared" si="620"/>
        <v>-35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0" customHeight="1">
      <c r="A613" s="70"/>
      <c r="B613" s="71"/>
      <c r="C613" s="66"/>
      <c r="D613" s="66">
        <f t="shared" si="333"/>
        <v>0</v>
      </c>
      <c r="E613" s="67"/>
      <c r="F613" s="58">
        <f t="shared" ref="F613:L613" si="621">SUMIFS($C613,$B613,F$7)+F612</f>
        <v>25</v>
      </c>
      <c r="G613" s="58">
        <f t="shared" si="621"/>
        <v>0</v>
      </c>
      <c r="H613" s="58">
        <f t="shared" si="621"/>
        <v>0</v>
      </c>
      <c r="I613" s="58">
        <f t="shared" si="621"/>
        <v>57</v>
      </c>
      <c r="J613" s="58">
        <f t="shared" si="621"/>
        <v>19</v>
      </c>
      <c r="K613" s="58">
        <f t="shared" si="621"/>
        <v>0</v>
      </c>
      <c r="L613" s="58">
        <f t="shared" si="621"/>
        <v>-35</v>
      </c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0" customHeight="1">
      <c r="A614" s="70"/>
      <c r="B614" s="71"/>
      <c r="C614" s="66"/>
      <c r="D614" s="66">
        <f t="shared" si="333"/>
        <v>0</v>
      </c>
      <c r="E614" s="67"/>
      <c r="F614" s="58">
        <f t="shared" ref="F614:L614" si="622">SUMIFS($C614,$B614,F$7)+F613</f>
        <v>25</v>
      </c>
      <c r="G614" s="58">
        <f t="shared" si="622"/>
        <v>0</v>
      </c>
      <c r="H614" s="58">
        <f t="shared" si="622"/>
        <v>0</v>
      </c>
      <c r="I614" s="58">
        <f t="shared" si="622"/>
        <v>57</v>
      </c>
      <c r="J614" s="58">
        <f t="shared" si="622"/>
        <v>19</v>
      </c>
      <c r="K614" s="58">
        <f t="shared" si="622"/>
        <v>0</v>
      </c>
      <c r="L614" s="58">
        <f t="shared" si="622"/>
        <v>-35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0" customHeight="1">
      <c r="A615" s="70"/>
      <c r="B615" s="71"/>
      <c r="C615" s="66"/>
      <c r="D615" s="66">
        <f t="shared" si="333"/>
        <v>0</v>
      </c>
      <c r="E615" s="67"/>
      <c r="F615" s="58">
        <f t="shared" ref="F615:L615" si="623">SUMIFS($C615,$B615,F$7)+F614</f>
        <v>25</v>
      </c>
      <c r="G615" s="58">
        <f t="shared" si="623"/>
        <v>0</v>
      </c>
      <c r="H615" s="58">
        <f t="shared" si="623"/>
        <v>0</v>
      </c>
      <c r="I615" s="58">
        <f t="shared" si="623"/>
        <v>57</v>
      </c>
      <c r="J615" s="58">
        <f t="shared" si="623"/>
        <v>19</v>
      </c>
      <c r="K615" s="58">
        <f t="shared" si="623"/>
        <v>0</v>
      </c>
      <c r="L615" s="58">
        <f t="shared" si="623"/>
        <v>-35</v>
      </c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0" customHeight="1">
      <c r="A616" s="70"/>
      <c r="B616" s="71"/>
      <c r="C616" s="66"/>
      <c r="D616" s="66">
        <f t="shared" si="333"/>
        <v>0</v>
      </c>
      <c r="E616" s="67"/>
      <c r="F616" s="58">
        <f t="shared" ref="F616:L616" si="624">SUMIFS($C616,$B616,F$7)+F615</f>
        <v>25</v>
      </c>
      <c r="G616" s="58">
        <f t="shared" si="624"/>
        <v>0</v>
      </c>
      <c r="H616" s="58">
        <f t="shared" si="624"/>
        <v>0</v>
      </c>
      <c r="I616" s="58">
        <f t="shared" si="624"/>
        <v>57</v>
      </c>
      <c r="J616" s="58">
        <f t="shared" si="624"/>
        <v>19</v>
      </c>
      <c r="K616" s="58">
        <f t="shared" si="624"/>
        <v>0</v>
      </c>
      <c r="L616" s="58">
        <f t="shared" si="624"/>
        <v>-35</v>
      </c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0" customHeight="1">
      <c r="A617" s="70"/>
      <c r="B617" s="71"/>
      <c r="C617" s="66"/>
      <c r="D617" s="66">
        <f t="shared" si="333"/>
        <v>0</v>
      </c>
      <c r="E617" s="67"/>
      <c r="F617" s="58">
        <f t="shared" ref="F617:L617" si="625">SUMIFS($C617,$B617,F$7)+F616</f>
        <v>25</v>
      </c>
      <c r="G617" s="58">
        <f t="shared" si="625"/>
        <v>0</v>
      </c>
      <c r="H617" s="58">
        <f t="shared" si="625"/>
        <v>0</v>
      </c>
      <c r="I617" s="58">
        <f t="shared" si="625"/>
        <v>57</v>
      </c>
      <c r="J617" s="58">
        <f t="shared" si="625"/>
        <v>19</v>
      </c>
      <c r="K617" s="58">
        <f t="shared" si="625"/>
        <v>0</v>
      </c>
      <c r="L617" s="58">
        <f t="shared" si="625"/>
        <v>-35</v>
      </c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0" customHeight="1">
      <c r="A618" s="70"/>
      <c r="B618" s="71"/>
      <c r="C618" s="66"/>
      <c r="D618" s="66">
        <f t="shared" si="333"/>
        <v>0</v>
      </c>
      <c r="E618" s="67"/>
      <c r="F618" s="58">
        <f t="shared" ref="F618:L618" si="626">SUMIFS($C618,$B618,F$7)+F617</f>
        <v>25</v>
      </c>
      <c r="G618" s="58">
        <f t="shared" si="626"/>
        <v>0</v>
      </c>
      <c r="H618" s="58">
        <f t="shared" si="626"/>
        <v>0</v>
      </c>
      <c r="I618" s="58">
        <f t="shared" si="626"/>
        <v>57</v>
      </c>
      <c r="J618" s="58">
        <f t="shared" si="626"/>
        <v>19</v>
      </c>
      <c r="K618" s="58">
        <f t="shared" si="626"/>
        <v>0</v>
      </c>
      <c r="L618" s="58">
        <f t="shared" si="626"/>
        <v>-35</v>
      </c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0" customHeight="1">
      <c r="A619" s="70"/>
      <c r="B619" s="71"/>
      <c r="C619" s="66"/>
      <c r="D619" s="66">
        <f t="shared" si="333"/>
        <v>0</v>
      </c>
      <c r="E619" s="67"/>
      <c r="F619" s="58">
        <f t="shared" ref="F619:L619" si="627">SUMIFS($C619,$B619,F$7)+F618</f>
        <v>25</v>
      </c>
      <c r="G619" s="58">
        <f t="shared" si="627"/>
        <v>0</v>
      </c>
      <c r="H619" s="58">
        <f t="shared" si="627"/>
        <v>0</v>
      </c>
      <c r="I619" s="58">
        <f t="shared" si="627"/>
        <v>57</v>
      </c>
      <c r="J619" s="58">
        <f t="shared" si="627"/>
        <v>19</v>
      </c>
      <c r="K619" s="58">
        <f t="shared" si="627"/>
        <v>0</v>
      </c>
      <c r="L619" s="58">
        <f t="shared" si="627"/>
        <v>-35</v>
      </c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0" customHeight="1">
      <c r="A620" s="70"/>
      <c r="B620" s="71"/>
      <c r="C620" s="66"/>
      <c r="D620" s="66">
        <f t="shared" si="333"/>
        <v>0</v>
      </c>
      <c r="E620" s="67"/>
      <c r="F620" s="58">
        <f t="shared" ref="F620:L620" si="628">SUMIFS($C620,$B620,F$7)+F619</f>
        <v>25</v>
      </c>
      <c r="G620" s="58">
        <f t="shared" si="628"/>
        <v>0</v>
      </c>
      <c r="H620" s="58">
        <f t="shared" si="628"/>
        <v>0</v>
      </c>
      <c r="I620" s="58">
        <f t="shared" si="628"/>
        <v>57</v>
      </c>
      <c r="J620" s="58">
        <f t="shared" si="628"/>
        <v>19</v>
      </c>
      <c r="K620" s="58">
        <f t="shared" si="628"/>
        <v>0</v>
      </c>
      <c r="L620" s="58">
        <f t="shared" si="628"/>
        <v>-35</v>
      </c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0" customHeight="1">
      <c r="A621" s="70"/>
      <c r="B621" s="71"/>
      <c r="C621" s="66"/>
      <c r="D621" s="66">
        <f t="shared" si="333"/>
        <v>0</v>
      </c>
      <c r="E621" s="67"/>
      <c r="F621" s="58">
        <f t="shared" ref="F621:L621" si="629">SUMIFS($C621,$B621,F$7)+F620</f>
        <v>25</v>
      </c>
      <c r="G621" s="58">
        <f t="shared" si="629"/>
        <v>0</v>
      </c>
      <c r="H621" s="58">
        <f t="shared" si="629"/>
        <v>0</v>
      </c>
      <c r="I621" s="58">
        <f t="shared" si="629"/>
        <v>57</v>
      </c>
      <c r="J621" s="58">
        <f t="shared" si="629"/>
        <v>19</v>
      </c>
      <c r="K621" s="58">
        <f t="shared" si="629"/>
        <v>0</v>
      </c>
      <c r="L621" s="58">
        <f t="shared" si="629"/>
        <v>-35</v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0" customHeight="1">
      <c r="A622" s="70"/>
      <c r="B622" s="71"/>
      <c r="C622" s="66"/>
      <c r="D622" s="66">
        <f t="shared" si="333"/>
        <v>0</v>
      </c>
      <c r="E622" s="67"/>
      <c r="F622" s="58">
        <f t="shared" ref="F622:L622" si="630">SUMIFS($C622,$B622,F$7)+F621</f>
        <v>25</v>
      </c>
      <c r="G622" s="58">
        <f t="shared" si="630"/>
        <v>0</v>
      </c>
      <c r="H622" s="58">
        <f t="shared" si="630"/>
        <v>0</v>
      </c>
      <c r="I622" s="58">
        <f t="shared" si="630"/>
        <v>57</v>
      </c>
      <c r="J622" s="58">
        <f t="shared" si="630"/>
        <v>19</v>
      </c>
      <c r="K622" s="58">
        <f t="shared" si="630"/>
        <v>0</v>
      </c>
      <c r="L622" s="58">
        <f t="shared" si="630"/>
        <v>-35</v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0" customHeight="1">
      <c r="A623" s="70"/>
      <c r="B623" s="71"/>
      <c r="C623" s="66"/>
      <c r="D623" s="66">
        <f t="shared" si="333"/>
        <v>0</v>
      </c>
      <c r="E623" s="67"/>
      <c r="F623" s="58">
        <f t="shared" ref="F623:L623" si="631">SUMIFS($C623,$B623,F$7)+F622</f>
        <v>25</v>
      </c>
      <c r="G623" s="58">
        <f t="shared" si="631"/>
        <v>0</v>
      </c>
      <c r="H623" s="58">
        <f t="shared" si="631"/>
        <v>0</v>
      </c>
      <c r="I623" s="58">
        <f t="shared" si="631"/>
        <v>57</v>
      </c>
      <c r="J623" s="58">
        <f t="shared" si="631"/>
        <v>19</v>
      </c>
      <c r="K623" s="58">
        <f t="shared" si="631"/>
        <v>0</v>
      </c>
      <c r="L623" s="58">
        <f t="shared" si="631"/>
        <v>-35</v>
      </c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0" customHeight="1">
      <c r="A624" s="70"/>
      <c r="B624" s="71"/>
      <c r="C624" s="66"/>
      <c r="D624" s="66">
        <f t="shared" si="333"/>
        <v>0</v>
      </c>
      <c r="E624" s="67"/>
      <c r="F624" s="58">
        <f t="shared" ref="F624:L624" si="632">SUMIFS($C624,$B624,F$7)+F623</f>
        <v>25</v>
      </c>
      <c r="G624" s="58">
        <f t="shared" si="632"/>
        <v>0</v>
      </c>
      <c r="H624" s="58">
        <f t="shared" si="632"/>
        <v>0</v>
      </c>
      <c r="I624" s="58">
        <f t="shared" si="632"/>
        <v>57</v>
      </c>
      <c r="J624" s="58">
        <f t="shared" si="632"/>
        <v>19</v>
      </c>
      <c r="K624" s="58">
        <f t="shared" si="632"/>
        <v>0</v>
      </c>
      <c r="L624" s="58">
        <f t="shared" si="632"/>
        <v>-35</v>
      </c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0" customHeight="1">
      <c r="A625" s="70"/>
      <c r="B625" s="71"/>
      <c r="C625" s="66"/>
      <c r="D625" s="66">
        <f t="shared" si="333"/>
        <v>0</v>
      </c>
      <c r="E625" s="67"/>
      <c r="F625" s="58">
        <f t="shared" ref="F625:L625" si="633">SUMIFS($C625,$B625,F$7)+F624</f>
        <v>25</v>
      </c>
      <c r="G625" s="58">
        <f t="shared" si="633"/>
        <v>0</v>
      </c>
      <c r="H625" s="58">
        <f t="shared" si="633"/>
        <v>0</v>
      </c>
      <c r="I625" s="58">
        <f t="shared" si="633"/>
        <v>57</v>
      </c>
      <c r="J625" s="58">
        <f t="shared" si="633"/>
        <v>19</v>
      </c>
      <c r="K625" s="58">
        <f t="shared" si="633"/>
        <v>0</v>
      </c>
      <c r="L625" s="58">
        <f t="shared" si="633"/>
        <v>-35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0" customHeight="1">
      <c r="A626" s="70"/>
      <c r="B626" s="71"/>
      <c r="C626" s="66"/>
      <c r="D626" s="66">
        <f t="shared" si="333"/>
        <v>0</v>
      </c>
      <c r="E626" s="67"/>
      <c r="F626" s="58">
        <f t="shared" ref="F626:L626" si="634">SUMIFS($C626,$B626,F$7)+F625</f>
        <v>25</v>
      </c>
      <c r="G626" s="58">
        <f t="shared" si="634"/>
        <v>0</v>
      </c>
      <c r="H626" s="58">
        <f t="shared" si="634"/>
        <v>0</v>
      </c>
      <c r="I626" s="58">
        <f t="shared" si="634"/>
        <v>57</v>
      </c>
      <c r="J626" s="58">
        <f t="shared" si="634"/>
        <v>19</v>
      </c>
      <c r="K626" s="58">
        <f t="shared" si="634"/>
        <v>0</v>
      </c>
      <c r="L626" s="58">
        <f t="shared" si="634"/>
        <v>-35</v>
      </c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0" customHeight="1">
      <c r="A627" s="70"/>
      <c r="B627" s="71"/>
      <c r="C627" s="66"/>
      <c r="D627" s="66">
        <f t="shared" si="333"/>
        <v>0</v>
      </c>
      <c r="E627" s="67"/>
      <c r="F627" s="58">
        <f t="shared" ref="F627:L627" si="635">SUMIFS($C627,$B627,F$7)+F626</f>
        <v>25</v>
      </c>
      <c r="G627" s="58">
        <f t="shared" si="635"/>
        <v>0</v>
      </c>
      <c r="H627" s="58">
        <f t="shared" si="635"/>
        <v>0</v>
      </c>
      <c r="I627" s="58">
        <f t="shared" si="635"/>
        <v>57</v>
      </c>
      <c r="J627" s="58">
        <f t="shared" si="635"/>
        <v>19</v>
      </c>
      <c r="K627" s="58">
        <f t="shared" si="635"/>
        <v>0</v>
      </c>
      <c r="L627" s="58">
        <f t="shared" si="635"/>
        <v>-35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0" customHeight="1">
      <c r="A628" s="70"/>
      <c r="B628" s="71"/>
      <c r="C628" s="66"/>
      <c r="D628" s="66">
        <f t="shared" si="333"/>
        <v>0</v>
      </c>
      <c r="E628" s="67"/>
      <c r="F628" s="58">
        <f t="shared" ref="F628:L628" si="636">SUMIFS($C628,$B628,F$7)+F627</f>
        <v>25</v>
      </c>
      <c r="G628" s="58">
        <f t="shared" si="636"/>
        <v>0</v>
      </c>
      <c r="H628" s="58">
        <f t="shared" si="636"/>
        <v>0</v>
      </c>
      <c r="I628" s="58">
        <f t="shared" si="636"/>
        <v>57</v>
      </c>
      <c r="J628" s="58">
        <f t="shared" si="636"/>
        <v>19</v>
      </c>
      <c r="K628" s="58">
        <f t="shared" si="636"/>
        <v>0</v>
      </c>
      <c r="L628" s="58">
        <f t="shared" si="636"/>
        <v>-35</v>
      </c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0" customHeight="1">
      <c r="A629" s="70"/>
      <c r="B629" s="71"/>
      <c r="C629" s="66"/>
      <c r="D629" s="66">
        <f t="shared" si="333"/>
        <v>0</v>
      </c>
      <c r="E629" s="67"/>
      <c r="F629" s="58">
        <f t="shared" ref="F629:L629" si="637">SUMIFS($C629,$B629,F$7)+F628</f>
        <v>25</v>
      </c>
      <c r="G629" s="58">
        <f t="shared" si="637"/>
        <v>0</v>
      </c>
      <c r="H629" s="58">
        <f t="shared" si="637"/>
        <v>0</v>
      </c>
      <c r="I629" s="58">
        <f t="shared" si="637"/>
        <v>57</v>
      </c>
      <c r="J629" s="58">
        <f t="shared" si="637"/>
        <v>19</v>
      </c>
      <c r="K629" s="58">
        <f t="shared" si="637"/>
        <v>0</v>
      </c>
      <c r="L629" s="58">
        <f t="shared" si="637"/>
        <v>-35</v>
      </c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0" customHeight="1">
      <c r="A630" s="70"/>
      <c r="B630" s="71"/>
      <c r="C630" s="66"/>
      <c r="D630" s="66">
        <f t="shared" si="333"/>
        <v>0</v>
      </c>
      <c r="E630" s="67"/>
      <c r="F630" s="58">
        <f t="shared" ref="F630:L630" si="638">SUMIFS($C630,$B630,F$7)+F629</f>
        <v>25</v>
      </c>
      <c r="G630" s="58">
        <f t="shared" si="638"/>
        <v>0</v>
      </c>
      <c r="H630" s="58">
        <f t="shared" si="638"/>
        <v>0</v>
      </c>
      <c r="I630" s="58">
        <f t="shared" si="638"/>
        <v>57</v>
      </c>
      <c r="J630" s="58">
        <f t="shared" si="638"/>
        <v>19</v>
      </c>
      <c r="K630" s="58">
        <f t="shared" si="638"/>
        <v>0</v>
      </c>
      <c r="L630" s="58">
        <f t="shared" si="638"/>
        <v>-35</v>
      </c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0" customHeight="1">
      <c r="A631" s="70"/>
      <c r="B631" s="71"/>
      <c r="C631" s="66"/>
      <c r="D631" s="66">
        <f t="shared" si="333"/>
        <v>0</v>
      </c>
      <c r="E631" s="67"/>
      <c r="F631" s="58">
        <f t="shared" ref="F631:L631" si="639">SUMIFS($C631,$B631,F$7)+F630</f>
        <v>25</v>
      </c>
      <c r="G631" s="58">
        <f t="shared" si="639"/>
        <v>0</v>
      </c>
      <c r="H631" s="58">
        <f t="shared" si="639"/>
        <v>0</v>
      </c>
      <c r="I631" s="58">
        <f t="shared" si="639"/>
        <v>57</v>
      </c>
      <c r="J631" s="58">
        <f t="shared" si="639"/>
        <v>19</v>
      </c>
      <c r="K631" s="58">
        <f t="shared" si="639"/>
        <v>0</v>
      </c>
      <c r="L631" s="58">
        <f t="shared" si="639"/>
        <v>-35</v>
      </c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0" customHeight="1">
      <c r="A632" s="70"/>
      <c r="B632" s="71"/>
      <c r="C632" s="66"/>
      <c r="D632" s="66">
        <f t="shared" si="333"/>
        <v>0</v>
      </c>
      <c r="E632" s="67"/>
      <c r="F632" s="58">
        <f t="shared" ref="F632:L632" si="640">SUMIFS($C632,$B632,F$7)+F631</f>
        <v>25</v>
      </c>
      <c r="G632" s="58">
        <f t="shared" si="640"/>
        <v>0</v>
      </c>
      <c r="H632" s="58">
        <f t="shared" si="640"/>
        <v>0</v>
      </c>
      <c r="I632" s="58">
        <f t="shared" si="640"/>
        <v>57</v>
      </c>
      <c r="J632" s="58">
        <f t="shared" si="640"/>
        <v>19</v>
      </c>
      <c r="K632" s="58">
        <f t="shared" si="640"/>
        <v>0</v>
      </c>
      <c r="L632" s="58">
        <f t="shared" si="640"/>
        <v>-35</v>
      </c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0" customHeight="1">
      <c r="A633" s="70"/>
      <c r="B633" s="71"/>
      <c r="C633" s="66"/>
      <c r="D633" s="66">
        <f t="shared" si="333"/>
        <v>0</v>
      </c>
      <c r="E633" s="67"/>
      <c r="F633" s="58">
        <f t="shared" ref="F633:L633" si="641">SUMIFS($C633,$B633,F$7)+F632</f>
        <v>25</v>
      </c>
      <c r="G633" s="58">
        <f t="shared" si="641"/>
        <v>0</v>
      </c>
      <c r="H633" s="58">
        <f t="shared" si="641"/>
        <v>0</v>
      </c>
      <c r="I633" s="58">
        <f t="shared" si="641"/>
        <v>57</v>
      </c>
      <c r="J633" s="58">
        <f t="shared" si="641"/>
        <v>19</v>
      </c>
      <c r="K633" s="58">
        <f t="shared" si="641"/>
        <v>0</v>
      </c>
      <c r="L633" s="58">
        <f t="shared" si="641"/>
        <v>-35</v>
      </c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0" customHeight="1">
      <c r="A634" s="70"/>
      <c r="B634" s="71"/>
      <c r="C634" s="66"/>
      <c r="D634" s="66">
        <f t="shared" si="333"/>
        <v>0</v>
      </c>
      <c r="E634" s="67"/>
      <c r="F634" s="58">
        <f t="shared" ref="F634:L634" si="642">SUMIFS($C634,$B634,F$7)+F633</f>
        <v>25</v>
      </c>
      <c r="G634" s="58">
        <f t="shared" si="642"/>
        <v>0</v>
      </c>
      <c r="H634" s="58">
        <f t="shared" si="642"/>
        <v>0</v>
      </c>
      <c r="I634" s="58">
        <f t="shared" si="642"/>
        <v>57</v>
      </c>
      <c r="J634" s="58">
        <f t="shared" si="642"/>
        <v>19</v>
      </c>
      <c r="K634" s="58">
        <f t="shared" si="642"/>
        <v>0</v>
      </c>
      <c r="L634" s="58">
        <f t="shared" si="642"/>
        <v>-35</v>
      </c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0" customHeight="1">
      <c r="A635" s="70"/>
      <c r="B635" s="71"/>
      <c r="C635" s="66"/>
      <c r="D635" s="66">
        <f t="shared" si="333"/>
        <v>0</v>
      </c>
      <c r="E635" s="67"/>
      <c r="F635" s="58">
        <f t="shared" ref="F635:L635" si="643">SUMIFS($C635,$B635,F$7)+F634</f>
        <v>25</v>
      </c>
      <c r="G635" s="58">
        <f t="shared" si="643"/>
        <v>0</v>
      </c>
      <c r="H635" s="58">
        <f t="shared" si="643"/>
        <v>0</v>
      </c>
      <c r="I635" s="58">
        <f t="shared" si="643"/>
        <v>57</v>
      </c>
      <c r="J635" s="58">
        <f t="shared" si="643"/>
        <v>19</v>
      </c>
      <c r="K635" s="58">
        <f t="shared" si="643"/>
        <v>0</v>
      </c>
      <c r="L635" s="58">
        <f t="shared" si="643"/>
        <v>-35</v>
      </c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0" customHeight="1">
      <c r="A636" s="70"/>
      <c r="B636" s="71"/>
      <c r="C636" s="66"/>
      <c r="D636" s="66">
        <f t="shared" si="333"/>
        <v>0</v>
      </c>
      <c r="E636" s="67"/>
      <c r="F636" s="58">
        <f t="shared" ref="F636:L636" si="644">SUMIFS($C636,$B636,F$7)+F635</f>
        <v>25</v>
      </c>
      <c r="G636" s="58">
        <f t="shared" si="644"/>
        <v>0</v>
      </c>
      <c r="H636" s="58">
        <f t="shared" si="644"/>
        <v>0</v>
      </c>
      <c r="I636" s="58">
        <f t="shared" si="644"/>
        <v>57</v>
      </c>
      <c r="J636" s="58">
        <f t="shared" si="644"/>
        <v>19</v>
      </c>
      <c r="K636" s="58">
        <f t="shared" si="644"/>
        <v>0</v>
      </c>
      <c r="L636" s="58">
        <f t="shared" si="644"/>
        <v>-35</v>
      </c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0" customHeight="1">
      <c r="A637" s="70"/>
      <c r="B637" s="71"/>
      <c r="C637" s="66"/>
      <c r="D637" s="66">
        <f t="shared" si="333"/>
        <v>0</v>
      </c>
      <c r="E637" s="67"/>
      <c r="F637" s="58">
        <f t="shared" ref="F637:L637" si="645">SUMIFS($C637,$B637,F$7)+F636</f>
        <v>25</v>
      </c>
      <c r="G637" s="58">
        <f t="shared" si="645"/>
        <v>0</v>
      </c>
      <c r="H637" s="58">
        <f t="shared" si="645"/>
        <v>0</v>
      </c>
      <c r="I637" s="58">
        <f t="shared" si="645"/>
        <v>57</v>
      </c>
      <c r="J637" s="58">
        <f t="shared" si="645"/>
        <v>19</v>
      </c>
      <c r="K637" s="58">
        <f t="shared" si="645"/>
        <v>0</v>
      </c>
      <c r="L637" s="58">
        <f t="shared" si="645"/>
        <v>-35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0" customHeight="1">
      <c r="A638" s="70"/>
      <c r="B638" s="71"/>
      <c r="C638" s="66"/>
      <c r="D638" s="66">
        <f t="shared" si="333"/>
        <v>0</v>
      </c>
      <c r="E638" s="67"/>
      <c r="F638" s="58">
        <f t="shared" ref="F638:L638" si="646">SUMIFS($C638,$B638,F$7)+F637</f>
        <v>25</v>
      </c>
      <c r="G638" s="58">
        <f t="shared" si="646"/>
        <v>0</v>
      </c>
      <c r="H638" s="58">
        <f t="shared" si="646"/>
        <v>0</v>
      </c>
      <c r="I638" s="58">
        <f t="shared" si="646"/>
        <v>57</v>
      </c>
      <c r="J638" s="58">
        <f t="shared" si="646"/>
        <v>19</v>
      </c>
      <c r="K638" s="58">
        <f t="shared" si="646"/>
        <v>0</v>
      </c>
      <c r="L638" s="58">
        <f t="shared" si="646"/>
        <v>-35</v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0" customHeight="1">
      <c r="A639" s="70"/>
      <c r="B639" s="71"/>
      <c r="C639" s="66"/>
      <c r="D639" s="66">
        <f t="shared" si="333"/>
        <v>0</v>
      </c>
      <c r="E639" s="67"/>
      <c r="F639" s="58">
        <f t="shared" ref="F639:L639" si="647">SUMIFS($C639,$B639,F$7)+F638</f>
        <v>25</v>
      </c>
      <c r="G639" s="58">
        <f t="shared" si="647"/>
        <v>0</v>
      </c>
      <c r="H639" s="58">
        <f t="shared" si="647"/>
        <v>0</v>
      </c>
      <c r="I639" s="58">
        <f t="shared" si="647"/>
        <v>57</v>
      </c>
      <c r="J639" s="58">
        <f t="shared" si="647"/>
        <v>19</v>
      </c>
      <c r="K639" s="58">
        <f t="shared" si="647"/>
        <v>0</v>
      </c>
      <c r="L639" s="58">
        <f t="shared" si="647"/>
        <v>-35</v>
      </c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0" customHeight="1">
      <c r="A640" s="70"/>
      <c r="B640" s="71"/>
      <c r="C640" s="66"/>
      <c r="D640" s="66">
        <f t="shared" si="333"/>
        <v>0</v>
      </c>
      <c r="E640" s="67"/>
      <c r="F640" s="58">
        <f t="shared" ref="F640:L640" si="648">SUMIFS($C640,$B640,F$7)+F639</f>
        <v>25</v>
      </c>
      <c r="G640" s="58">
        <f t="shared" si="648"/>
        <v>0</v>
      </c>
      <c r="H640" s="58">
        <f t="shared" si="648"/>
        <v>0</v>
      </c>
      <c r="I640" s="58">
        <f t="shared" si="648"/>
        <v>57</v>
      </c>
      <c r="J640" s="58">
        <f t="shared" si="648"/>
        <v>19</v>
      </c>
      <c r="K640" s="58">
        <f t="shared" si="648"/>
        <v>0</v>
      </c>
      <c r="L640" s="58">
        <f t="shared" si="648"/>
        <v>-35</v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0" customHeight="1">
      <c r="A641" s="70"/>
      <c r="B641" s="71"/>
      <c r="C641" s="66"/>
      <c r="D641" s="66">
        <f t="shared" si="333"/>
        <v>0</v>
      </c>
      <c r="E641" s="67"/>
      <c r="F641" s="58">
        <f t="shared" ref="F641:L641" si="649">SUMIFS($C641,$B641,F$7)+F640</f>
        <v>25</v>
      </c>
      <c r="G641" s="58">
        <f t="shared" si="649"/>
        <v>0</v>
      </c>
      <c r="H641" s="58">
        <f t="shared" si="649"/>
        <v>0</v>
      </c>
      <c r="I641" s="58">
        <f t="shared" si="649"/>
        <v>57</v>
      </c>
      <c r="J641" s="58">
        <f t="shared" si="649"/>
        <v>19</v>
      </c>
      <c r="K641" s="58">
        <f t="shared" si="649"/>
        <v>0</v>
      </c>
      <c r="L641" s="58">
        <f t="shared" si="649"/>
        <v>-35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0" customHeight="1">
      <c r="A642" s="70"/>
      <c r="B642" s="71"/>
      <c r="C642" s="66"/>
      <c r="D642" s="66">
        <f t="shared" si="333"/>
        <v>0</v>
      </c>
      <c r="E642" s="67"/>
      <c r="F642" s="58">
        <f t="shared" ref="F642:L642" si="650">SUMIFS($C642,$B642,F$7)+F641</f>
        <v>25</v>
      </c>
      <c r="G642" s="58">
        <f t="shared" si="650"/>
        <v>0</v>
      </c>
      <c r="H642" s="58">
        <f t="shared" si="650"/>
        <v>0</v>
      </c>
      <c r="I642" s="58">
        <f t="shared" si="650"/>
        <v>57</v>
      </c>
      <c r="J642" s="58">
        <f t="shared" si="650"/>
        <v>19</v>
      </c>
      <c r="K642" s="58">
        <f t="shared" si="650"/>
        <v>0</v>
      </c>
      <c r="L642" s="58">
        <f t="shared" si="650"/>
        <v>-35</v>
      </c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0" customHeight="1">
      <c r="A643" s="70"/>
      <c r="B643" s="71"/>
      <c r="C643" s="66"/>
      <c r="D643" s="66">
        <f t="shared" si="333"/>
        <v>0</v>
      </c>
      <c r="E643" s="67"/>
      <c r="F643" s="58">
        <f t="shared" ref="F643:L643" si="651">SUMIFS($C643,$B643,F$7)+F642</f>
        <v>25</v>
      </c>
      <c r="G643" s="58">
        <f t="shared" si="651"/>
        <v>0</v>
      </c>
      <c r="H643" s="58">
        <f t="shared" si="651"/>
        <v>0</v>
      </c>
      <c r="I643" s="58">
        <f t="shared" si="651"/>
        <v>57</v>
      </c>
      <c r="J643" s="58">
        <f t="shared" si="651"/>
        <v>19</v>
      </c>
      <c r="K643" s="58">
        <f t="shared" si="651"/>
        <v>0</v>
      </c>
      <c r="L643" s="58">
        <f t="shared" si="651"/>
        <v>-35</v>
      </c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0" customHeight="1">
      <c r="A644" s="70"/>
      <c r="B644" s="71"/>
      <c r="C644" s="66"/>
      <c r="D644" s="66">
        <f t="shared" si="333"/>
        <v>0</v>
      </c>
      <c r="E644" s="67"/>
      <c r="F644" s="58">
        <f t="shared" ref="F644:L644" si="652">SUMIFS($C644,$B644,F$7)+F643</f>
        <v>25</v>
      </c>
      <c r="G644" s="58">
        <f t="shared" si="652"/>
        <v>0</v>
      </c>
      <c r="H644" s="58">
        <f t="shared" si="652"/>
        <v>0</v>
      </c>
      <c r="I644" s="58">
        <f t="shared" si="652"/>
        <v>57</v>
      </c>
      <c r="J644" s="58">
        <f t="shared" si="652"/>
        <v>19</v>
      </c>
      <c r="K644" s="58">
        <f t="shared" si="652"/>
        <v>0</v>
      </c>
      <c r="L644" s="58">
        <f t="shared" si="652"/>
        <v>-35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0" customHeight="1">
      <c r="A645" s="70"/>
      <c r="B645" s="71"/>
      <c r="C645" s="66"/>
      <c r="D645" s="66">
        <f t="shared" si="333"/>
        <v>0</v>
      </c>
      <c r="E645" s="67"/>
      <c r="F645" s="58">
        <f t="shared" ref="F645:L645" si="653">SUMIFS($C645,$B645,F$7)+F644</f>
        <v>25</v>
      </c>
      <c r="G645" s="58">
        <f t="shared" si="653"/>
        <v>0</v>
      </c>
      <c r="H645" s="58">
        <f t="shared" si="653"/>
        <v>0</v>
      </c>
      <c r="I645" s="58">
        <f t="shared" si="653"/>
        <v>57</v>
      </c>
      <c r="J645" s="58">
        <f t="shared" si="653"/>
        <v>19</v>
      </c>
      <c r="K645" s="58">
        <f t="shared" si="653"/>
        <v>0</v>
      </c>
      <c r="L645" s="58">
        <f t="shared" si="653"/>
        <v>-35</v>
      </c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0" customHeight="1">
      <c r="A646" s="70"/>
      <c r="B646" s="71"/>
      <c r="C646" s="66"/>
      <c r="D646" s="66">
        <f t="shared" si="333"/>
        <v>0</v>
      </c>
      <c r="E646" s="67"/>
      <c r="F646" s="58">
        <f t="shared" ref="F646:L646" si="654">SUMIFS($C646,$B646,F$7)+F645</f>
        <v>25</v>
      </c>
      <c r="G646" s="58">
        <f t="shared" si="654"/>
        <v>0</v>
      </c>
      <c r="H646" s="58">
        <f t="shared" si="654"/>
        <v>0</v>
      </c>
      <c r="I646" s="58">
        <f t="shared" si="654"/>
        <v>57</v>
      </c>
      <c r="J646" s="58">
        <f t="shared" si="654"/>
        <v>19</v>
      </c>
      <c r="K646" s="58">
        <f t="shared" si="654"/>
        <v>0</v>
      </c>
      <c r="L646" s="58">
        <f t="shared" si="654"/>
        <v>-35</v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0" customHeight="1">
      <c r="A647" s="70"/>
      <c r="B647" s="71"/>
      <c r="C647" s="66"/>
      <c r="D647" s="66">
        <f t="shared" si="333"/>
        <v>0</v>
      </c>
      <c r="E647" s="67"/>
      <c r="F647" s="58">
        <f t="shared" ref="F647:L647" si="655">SUMIFS($C647,$B647,F$7)+F646</f>
        <v>25</v>
      </c>
      <c r="G647" s="58">
        <f t="shared" si="655"/>
        <v>0</v>
      </c>
      <c r="H647" s="58">
        <f t="shared" si="655"/>
        <v>0</v>
      </c>
      <c r="I647" s="58">
        <f t="shared" si="655"/>
        <v>57</v>
      </c>
      <c r="J647" s="58">
        <f t="shared" si="655"/>
        <v>19</v>
      </c>
      <c r="K647" s="58">
        <f t="shared" si="655"/>
        <v>0</v>
      </c>
      <c r="L647" s="58">
        <f t="shared" si="655"/>
        <v>-35</v>
      </c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0" customHeight="1">
      <c r="A648" s="70"/>
      <c r="B648" s="71"/>
      <c r="C648" s="66"/>
      <c r="D648" s="66">
        <f t="shared" si="333"/>
        <v>0</v>
      </c>
      <c r="E648" s="67"/>
      <c r="F648" s="58">
        <f t="shared" ref="F648:L648" si="656">SUMIFS($C648,$B648,F$7)+F647</f>
        <v>25</v>
      </c>
      <c r="G648" s="58">
        <f t="shared" si="656"/>
        <v>0</v>
      </c>
      <c r="H648" s="58">
        <f t="shared" si="656"/>
        <v>0</v>
      </c>
      <c r="I648" s="58">
        <f t="shared" si="656"/>
        <v>57</v>
      </c>
      <c r="J648" s="58">
        <f t="shared" si="656"/>
        <v>19</v>
      </c>
      <c r="K648" s="58">
        <f t="shared" si="656"/>
        <v>0</v>
      </c>
      <c r="L648" s="58">
        <f t="shared" si="656"/>
        <v>-35</v>
      </c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0" customHeight="1">
      <c r="A649" s="70"/>
      <c r="B649" s="71"/>
      <c r="C649" s="66"/>
      <c r="D649" s="66">
        <f t="shared" si="333"/>
        <v>0</v>
      </c>
      <c r="E649" s="67"/>
      <c r="F649" s="58">
        <f t="shared" ref="F649:L649" si="657">SUMIFS($C649,$B649,F$7)+F648</f>
        <v>25</v>
      </c>
      <c r="G649" s="58">
        <f t="shared" si="657"/>
        <v>0</v>
      </c>
      <c r="H649" s="58">
        <f t="shared" si="657"/>
        <v>0</v>
      </c>
      <c r="I649" s="58">
        <f t="shared" si="657"/>
        <v>57</v>
      </c>
      <c r="J649" s="58">
        <f t="shared" si="657"/>
        <v>19</v>
      </c>
      <c r="K649" s="58">
        <f t="shared" si="657"/>
        <v>0</v>
      </c>
      <c r="L649" s="58">
        <f t="shared" si="657"/>
        <v>-35</v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0" customHeight="1">
      <c r="A650" s="70"/>
      <c r="B650" s="71"/>
      <c r="C650" s="66"/>
      <c r="D650" s="66">
        <f t="shared" si="333"/>
        <v>0</v>
      </c>
      <c r="E650" s="67"/>
      <c r="F650" s="58">
        <f t="shared" ref="F650:L650" si="658">SUMIFS($C650,$B650,F$7)+F649</f>
        <v>25</v>
      </c>
      <c r="G650" s="58">
        <f t="shared" si="658"/>
        <v>0</v>
      </c>
      <c r="H650" s="58">
        <f t="shared" si="658"/>
        <v>0</v>
      </c>
      <c r="I650" s="58">
        <f t="shared" si="658"/>
        <v>57</v>
      </c>
      <c r="J650" s="58">
        <f t="shared" si="658"/>
        <v>19</v>
      </c>
      <c r="K650" s="58">
        <f t="shared" si="658"/>
        <v>0</v>
      </c>
      <c r="L650" s="58">
        <f t="shared" si="658"/>
        <v>-35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0" customHeight="1">
      <c r="A651" s="70"/>
      <c r="B651" s="71"/>
      <c r="C651" s="66"/>
      <c r="D651" s="66">
        <f t="shared" si="333"/>
        <v>0</v>
      </c>
      <c r="E651" s="67"/>
      <c r="F651" s="58">
        <f t="shared" ref="F651:L651" si="659">SUMIFS($C651,$B651,F$7)+F650</f>
        <v>25</v>
      </c>
      <c r="G651" s="58">
        <f t="shared" si="659"/>
        <v>0</v>
      </c>
      <c r="H651" s="58">
        <f t="shared" si="659"/>
        <v>0</v>
      </c>
      <c r="I651" s="58">
        <f t="shared" si="659"/>
        <v>57</v>
      </c>
      <c r="J651" s="58">
        <f t="shared" si="659"/>
        <v>19</v>
      </c>
      <c r="K651" s="58">
        <f t="shared" si="659"/>
        <v>0</v>
      </c>
      <c r="L651" s="58">
        <f t="shared" si="659"/>
        <v>-35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0" customHeight="1">
      <c r="A652" s="70"/>
      <c r="B652" s="71"/>
      <c r="C652" s="66"/>
      <c r="D652" s="66">
        <f t="shared" si="333"/>
        <v>0</v>
      </c>
      <c r="E652" s="67"/>
      <c r="F652" s="58">
        <f t="shared" ref="F652:L652" si="660">SUMIFS($C652,$B652,F$7)+F651</f>
        <v>25</v>
      </c>
      <c r="G652" s="58">
        <f t="shared" si="660"/>
        <v>0</v>
      </c>
      <c r="H652" s="58">
        <f t="shared" si="660"/>
        <v>0</v>
      </c>
      <c r="I652" s="58">
        <f t="shared" si="660"/>
        <v>57</v>
      </c>
      <c r="J652" s="58">
        <f t="shared" si="660"/>
        <v>19</v>
      </c>
      <c r="K652" s="58">
        <f t="shared" si="660"/>
        <v>0</v>
      </c>
      <c r="L652" s="58">
        <f t="shared" si="660"/>
        <v>-35</v>
      </c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0" customHeight="1">
      <c r="A653" s="70"/>
      <c r="B653" s="71"/>
      <c r="C653" s="66"/>
      <c r="D653" s="66">
        <f t="shared" si="333"/>
        <v>0</v>
      </c>
      <c r="E653" s="67"/>
      <c r="F653" s="58">
        <f t="shared" ref="F653:L653" si="661">SUMIFS($C653,$B653,F$7)+F652</f>
        <v>25</v>
      </c>
      <c r="G653" s="58">
        <f t="shared" si="661"/>
        <v>0</v>
      </c>
      <c r="H653" s="58">
        <f t="shared" si="661"/>
        <v>0</v>
      </c>
      <c r="I653" s="58">
        <f t="shared" si="661"/>
        <v>57</v>
      </c>
      <c r="J653" s="58">
        <f t="shared" si="661"/>
        <v>19</v>
      </c>
      <c r="K653" s="58">
        <f t="shared" si="661"/>
        <v>0</v>
      </c>
      <c r="L653" s="58">
        <f t="shared" si="661"/>
        <v>-35</v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0" customHeight="1">
      <c r="A654" s="70"/>
      <c r="B654" s="71"/>
      <c r="C654" s="66"/>
      <c r="D654" s="66">
        <f t="shared" si="333"/>
        <v>0</v>
      </c>
      <c r="E654" s="67"/>
      <c r="F654" s="58">
        <f t="shared" ref="F654:L654" si="662">SUMIFS($C654,$B654,F$7)+F653</f>
        <v>25</v>
      </c>
      <c r="G654" s="58">
        <f t="shared" si="662"/>
        <v>0</v>
      </c>
      <c r="H654" s="58">
        <f t="shared" si="662"/>
        <v>0</v>
      </c>
      <c r="I654" s="58">
        <f t="shared" si="662"/>
        <v>57</v>
      </c>
      <c r="J654" s="58">
        <f t="shared" si="662"/>
        <v>19</v>
      </c>
      <c r="K654" s="58">
        <f t="shared" si="662"/>
        <v>0</v>
      </c>
      <c r="L654" s="58">
        <f t="shared" si="662"/>
        <v>-35</v>
      </c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0" customHeight="1">
      <c r="A655" s="70"/>
      <c r="B655" s="71"/>
      <c r="C655" s="66"/>
      <c r="D655" s="66">
        <f t="shared" si="333"/>
        <v>0</v>
      </c>
      <c r="E655" s="67"/>
      <c r="F655" s="58">
        <f t="shared" ref="F655:L655" si="663">SUMIFS($C655,$B655,F$7)+F654</f>
        <v>25</v>
      </c>
      <c r="G655" s="58">
        <f t="shared" si="663"/>
        <v>0</v>
      </c>
      <c r="H655" s="58">
        <f t="shared" si="663"/>
        <v>0</v>
      </c>
      <c r="I655" s="58">
        <f t="shared" si="663"/>
        <v>57</v>
      </c>
      <c r="J655" s="58">
        <f t="shared" si="663"/>
        <v>19</v>
      </c>
      <c r="K655" s="58">
        <f t="shared" si="663"/>
        <v>0</v>
      </c>
      <c r="L655" s="58">
        <f t="shared" si="663"/>
        <v>-35</v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0" customHeight="1">
      <c r="A656" s="70"/>
      <c r="B656" s="71"/>
      <c r="C656" s="66"/>
      <c r="D656" s="66">
        <f t="shared" si="333"/>
        <v>0</v>
      </c>
      <c r="E656" s="67"/>
      <c r="F656" s="58">
        <f t="shared" ref="F656:L656" si="664">SUMIFS($C656,$B656,F$7)+F655</f>
        <v>25</v>
      </c>
      <c r="G656" s="58">
        <f t="shared" si="664"/>
        <v>0</v>
      </c>
      <c r="H656" s="58">
        <f t="shared" si="664"/>
        <v>0</v>
      </c>
      <c r="I656" s="58">
        <f t="shared" si="664"/>
        <v>57</v>
      </c>
      <c r="J656" s="58">
        <f t="shared" si="664"/>
        <v>19</v>
      </c>
      <c r="K656" s="58">
        <f t="shared" si="664"/>
        <v>0</v>
      </c>
      <c r="L656" s="58">
        <f t="shared" si="664"/>
        <v>-35</v>
      </c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0" customHeight="1">
      <c r="A657" s="70"/>
      <c r="B657" s="71"/>
      <c r="C657" s="66"/>
      <c r="D657" s="66">
        <f t="shared" si="333"/>
        <v>0</v>
      </c>
      <c r="E657" s="67"/>
      <c r="F657" s="58">
        <f t="shared" ref="F657:L657" si="665">SUMIFS($C657,$B657,F$7)+F656</f>
        <v>25</v>
      </c>
      <c r="G657" s="58">
        <f t="shared" si="665"/>
        <v>0</v>
      </c>
      <c r="H657" s="58">
        <f t="shared" si="665"/>
        <v>0</v>
      </c>
      <c r="I657" s="58">
        <f t="shared" si="665"/>
        <v>57</v>
      </c>
      <c r="J657" s="58">
        <f t="shared" si="665"/>
        <v>19</v>
      </c>
      <c r="K657" s="58">
        <f t="shared" si="665"/>
        <v>0</v>
      </c>
      <c r="L657" s="58">
        <f t="shared" si="665"/>
        <v>-35</v>
      </c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0" customHeight="1">
      <c r="A658" s="70"/>
      <c r="B658" s="71"/>
      <c r="C658" s="66"/>
      <c r="D658" s="66">
        <f t="shared" si="333"/>
        <v>0</v>
      </c>
      <c r="E658" s="67"/>
      <c r="F658" s="58">
        <f t="shared" ref="F658:L658" si="666">SUMIFS($C658,$B658,F$7)+F657</f>
        <v>25</v>
      </c>
      <c r="G658" s="58">
        <f t="shared" si="666"/>
        <v>0</v>
      </c>
      <c r="H658" s="58">
        <f t="shared" si="666"/>
        <v>0</v>
      </c>
      <c r="I658" s="58">
        <f t="shared" si="666"/>
        <v>57</v>
      </c>
      <c r="J658" s="58">
        <f t="shared" si="666"/>
        <v>19</v>
      </c>
      <c r="K658" s="58">
        <f t="shared" si="666"/>
        <v>0</v>
      </c>
      <c r="L658" s="58">
        <f t="shared" si="666"/>
        <v>-35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0" customHeight="1">
      <c r="A659" s="70"/>
      <c r="B659" s="71"/>
      <c r="C659" s="66"/>
      <c r="D659" s="66">
        <f t="shared" si="333"/>
        <v>0</v>
      </c>
      <c r="E659" s="67"/>
      <c r="F659" s="58">
        <f t="shared" ref="F659:L659" si="667">SUMIFS($C659,$B659,F$7)+F658</f>
        <v>25</v>
      </c>
      <c r="G659" s="58">
        <f t="shared" si="667"/>
        <v>0</v>
      </c>
      <c r="H659" s="58">
        <f t="shared" si="667"/>
        <v>0</v>
      </c>
      <c r="I659" s="58">
        <f t="shared" si="667"/>
        <v>57</v>
      </c>
      <c r="J659" s="58">
        <f t="shared" si="667"/>
        <v>19</v>
      </c>
      <c r="K659" s="58">
        <f t="shared" si="667"/>
        <v>0</v>
      </c>
      <c r="L659" s="58">
        <f t="shared" si="667"/>
        <v>-35</v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0" customHeight="1">
      <c r="A660" s="70"/>
      <c r="B660" s="71"/>
      <c r="C660" s="66"/>
      <c r="D660" s="66">
        <f t="shared" si="333"/>
        <v>0</v>
      </c>
      <c r="E660" s="67"/>
      <c r="F660" s="58">
        <f t="shared" ref="F660:L660" si="668">SUMIFS($C660,$B660,F$7)+F659</f>
        <v>25</v>
      </c>
      <c r="G660" s="58">
        <f t="shared" si="668"/>
        <v>0</v>
      </c>
      <c r="H660" s="58">
        <f t="shared" si="668"/>
        <v>0</v>
      </c>
      <c r="I660" s="58">
        <f t="shared" si="668"/>
        <v>57</v>
      </c>
      <c r="J660" s="58">
        <f t="shared" si="668"/>
        <v>19</v>
      </c>
      <c r="K660" s="58">
        <f t="shared" si="668"/>
        <v>0</v>
      </c>
      <c r="L660" s="58">
        <f t="shared" si="668"/>
        <v>-35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0" customHeight="1">
      <c r="A661" s="70"/>
      <c r="B661" s="71"/>
      <c r="C661" s="66"/>
      <c r="D661" s="66">
        <f t="shared" si="333"/>
        <v>0</v>
      </c>
      <c r="E661" s="67"/>
      <c r="F661" s="58">
        <f t="shared" ref="F661:L661" si="669">SUMIFS($C661,$B661,F$7)+F660</f>
        <v>25</v>
      </c>
      <c r="G661" s="58">
        <f t="shared" si="669"/>
        <v>0</v>
      </c>
      <c r="H661" s="58">
        <f t="shared" si="669"/>
        <v>0</v>
      </c>
      <c r="I661" s="58">
        <f t="shared" si="669"/>
        <v>57</v>
      </c>
      <c r="J661" s="58">
        <f t="shared" si="669"/>
        <v>19</v>
      </c>
      <c r="K661" s="58">
        <f t="shared" si="669"/>
        <v>0</v>
      </c>
      <c r="L661" s="58">
        <f t="shared" si="669"/>
        <v>-35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0" customHeight="1">
      <c r="A662" s="70"/>
      <c r="B662" s="71"/>
      <c r="C662" s="66"/>
      <c r="D662" s="66">
        <f t="shared" si="333"/>
        <v>0</v>
      </c>
      <c r="E662" s="67"/>
      <c r="F662" s="58">
        <f t="shared" ref="F662:L662" si="670">SUMIFS($C662,$B662,F$7)+F661</f>
        <v>25</v>
      </c>
      <c r="G662" s="58">
        <f t="shared" si="670"/>
        <v>0</v>
      </c>
      <c r="H662" s="58">
        <f t="shared" si="670"/>
        <v>0</v>
      </c>
      <c r="I662" s="58">
        <f t="shared" si="670"/>
        <v>57</v>
      </c>
      <c r="J662" s="58">
        <f t="shared" si="670"/>
        <v>19</v>
      </c>
      <c r="K662" s="58">
        <f t="shared" si="670"/>
        <v>0</v>
      </c>
      <c r="L662" s="58">
        <f t="shared" si="670"/>
        <v>-35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0" customHeight="1">
      <c r="A663" s="70"/>
      <c r="B663" s="71"/>
      <c r="C663" s="66"/>
      <c r="D663" s="66">
        <f t="shared" si="333"/>
        <v>0</v>
      </c>
      <c r="E663" s="67"/>
      <c r="F663" s="58">
        <f t="shared" ref="F663:L663" si="671">SUMIFS($C663,$B663,F$7)+F662</f>
        <v>25</v>
      </c>
      <c r="G663" s="58">
        <f t="shared" si="671"/>
        <v>0</v>
      </c>
      <c r="H663" s="58">
        <f t="shared" si="671"/>
        <v>0</v>
      </c>
      <c r="I663" s="58">
        <f t="shared" si="671"/>
        <v>57</v>
      </c>
      <c r="J663" s="58">
        <f t="shared" si="671"/>
        <v>19</v>
      </c>
      <c r="K663" s="58">
        <f t="shared" si="671"/>
        <v>0</v>
      </c>
      <c r="L663" s="58">
        <f t="shared" si="671"/>
        <v>-35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0" customHeight="1">
      <c r="A664" s="70"/>
      <c r="B664" s="71"/>
      <c r="C664" s="66"/>
      <c r="D664" s="66">
        <f t="shared" si="333"/>
        <v>0</v>
      </c>
      <c r="E664" s="67"/>
      <c r="F664" s="58">
        <f t="shared" ref="F664:L664" si="672">SUMIFS($C664,$B664,F$7)+F663</f>
        <v>25</v>
      </c>
      <c r="G664" s="58">
        <f t="shared" si="672"/>
        <v>0</v>
      </c>
      <c r="H664" s="58">
        <f t="shared" si="672"/>
        <v>0</v>
      </c>
      <c r="I664" s="58">
        <f t="shared" si="672"/>
        <v>57</v>
      </c>
      <c r="J664" s="58">
        <f t="shared" si="672"/>
        <v>19</v>
      </c>
      <c r="K664" s="58">
        <f t="shared" si="672"/>
        <v>0</v>
      </c>
      <c r="L664" s="58">
        <f t="shared" si="672"/>
        <v>-35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0" customHeight="1">
      <c r="A665" s="70"/>
      <c r="B665" s="71"/>
      <c r="C665" s="66"/>
      <c r="D665" s="66">
        <f t="shared" si="333"/>
        <v>0</v>
      </c>
      <c r="E665" s="67"/>
      <c r="F665" s="58">
        <f t="shared" ref="F665:L665" si="673">SUMIFS($C665,$B665,F$7)+F664</f>
        <v>25</v>
      </c>
      <c r="G665" s="58">
        <f t="shared" si="673"/>
        <v>0</v>
      </c>
      <c r="H665" s="58">
        <f t="shared" si="673"/>
        <v>0</v>
      </c>
      <c r="I665" s="58">
        <f t="shared" si="673"/>
        <v>57</v>
      </c>
      <c r="J665" s="58">
        <f t="shared" si="673"/>
        <v>19</v>
      </c>
      <c r="K665" s="58">
        <f t="shared" si="673"/>
        <v>0</v>
      </c>
      <c r="L665" s="58">
        <f t="shared" si="673"/>
        <v>-35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0" customHeight="1">
      <c r="A666" s="70"/>
      <c r="B666" s="71"/>
      <c r="C666" s="66"/>
      <c r="D666" s="66">
        <f t="shared" si="333"/>
        <v>0</v>
      </c>
      <c r="E666" s="67"/>
      <c r="F666" s="58">
        <f t="shared" ref="F666:L666" si="674">SUMIFS($C666,$B666,F$7)+F665</f>
        <v>25</v>
      </c>
      <c r="G666" s="58">
        <f t="shared" si="674"/>
        <v>0</v>
      </c>
      <c r="H666" s="58">
        <f t="shared" si="674"/>
        <v>0</v>
      </c>
      <c r="I666" s="58">
        <f t="shared" si="674"/>
        <v>57</v>
      </c>
      <c r="J666" s="58">
        <f t="shared" si="674"/>
        <v>19</v>
      </c>
      <c r="K666" s="58">
        <f t="shared" si="674"/>
        <v>0</v>
      </c>
      <c r="L666" s="58">
        <f t="shared" si="674"/>
        <v>-35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0" customHeight="1">
      <c r="A667" s="70"/>
      <c r="B667" s="71"/>
      <c r="C667" s="66"/>
      <c r="D667" s="66">
        <f t="shared" si="333"/>
        <v>0</v>
      </c>
      <c r="E667" s="67"/>
      <c r="F667" s="58">
        <f t="shared" ref="F667:L667" si="675">SUMIFS($C667,$B667,F$7)+F666</f>
        <v>25</v>
      </c>
      <c r="G667" s="58">
        <f t="shared" si="675"/>
        <v>0</v>
      </c>
      <c r="H667" s="58">
        <f t="shared" si="675"/>
        <v>0</v>
      </c>
      <c r="I667" s="58">
        <f t="shared" si="675"/>
        <v>57</v>
      </c>
      <c r="J667" s="58">
        <f t="shared" si="675"/>
        <v>19</v>
      </c>
      <c r="K667" s="58">
        <f t="shared" si="675"/>
        <v>0</v>
      </c>
      <c r="L667" s="58">
        <f t="shared" si="675"/>
        <v>-35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0" customHeight="1">
      <c r="A668" s="70"/>
      <c r="B668" s="71"/>
      <c r="C668" s="66"/>
      <c r="D668" s="66">
        <f t="shared" si="333"/>
        <v>0</v>
      </c>
      <c r="E668" s="67"/>
      <c r="F668" s="58">
        <f t="shared" ref="F668:L668" si="676">SUMIFS($C668,$B668,F$7)+F667</f>
        <v>25</v>
      </c>
      <c r="G668" s="58">
        <f t="shared" si="676"/>
        <v>0</v>
      </c>
      <c r="H668" s="58">
        <f t="shared" si="676"/>
        <v>0</v>
      </c>
      <c r="I668" s="58">
        <f t="shared" si="676"/>
        <v>57</v>
      </c>
      <c r="J668" s="58">
        <f t="shared" si="676"/>
        <v>19</v>
      </c>
      <c r="K668" s="58">
        <f t="shared" si="676"/>
        <v>0</v>
      </c>
      <c r="L668" s="58">
        <f t="shared" si="676"/>
        <v>-35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0" customHeight="1">
      <c r="A669" s="70"/>
      <c r="B669" s="71"/>
      <c r="C669" s="66"/>
      <c r="D669" s="66">
        <f t="shared" si="333"/>
        <v>0</v>
      </c>
      <c r="E669" s="67"/>
      <c r="F669" s="58">
        <f t="shared" ref="F669:L669" si="677">SUMIFS($C669,$B669,F$7)+F668</f>
        <v>25</v>
      </c>
      <c r="G669" s="58">
        <f t="shared" si="677"/>
        <v>0</v>
      </c>
      <c r="H669" s="58">
        <f t="shared" si="677"/>
        <v>0</v>
      </c>
      <c r="I669" s="58">
        <f t="shared" si="677"/>
        <v>57</v>
      </c>
      <c r="J669" s="58">
        <f t="shared" si="677"/>
        <v>19</v>
      </c>
      <c r="K669" s="58">
        <f t="shared" si="677"/>
        <v>0</v>
      </c>
      <c r="L669" s="58">
        <f t="shared" si="677"/>
        <v>-35</v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0" customHeight="1">
      <c r="A670" s="70"/>
      <c r="B670" s="71"/>
      <c r="C670" s="66"/>
      <c r="D670" s="66">
        <f t="shared" si="333"/>
        <v>0</v>
      </c>
      <c r="E670" s="67"/>
      <c r="F670" s="58">
        <f t="shared" ref="F670:L670" si="678">SUMIFS($C670,$B670,F$7)+F669</f>
        <v>25</v>
      </c>
      <c r="G670" s="58">
        <f t="shared" si="678"/>
        <v>0</v>
      </c>
      <c r="H670" s="58">
        <f t="shared" si="678"/>
        <v>0</v>
      </c>
      <c r="I670" s="58">
        <f t="shared" si="678"/>
        <v>57</v>
      </c>
      <c r="J670" s="58">
        <f t="shared" si="678"/>
        <v>19</v>
      </c>
      <c r="K670" s="58">
        <f t="shared" si="678"/>
        <v>0</v>
      </c>
      <c r="L670" s="58">
        <f t="shared" si="678"/>
        <v>-35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0" customHeight="1">
      <c r="A671" s="70"/>
      <c r="B671" s="71"/>
      <c r="C671" s="66"/>
      <c r="D671" s="66">
        <f t="shared" si="333"/>
        <v>0</v>
      </c>
      <c r="E671" s="67"/>
      <c r="F671" s="58">
        <f t="shared" ref="F671:L671" si="679">SUMIFS($C671,$B671,F$7)+F670</f>
        <v>25</v>
      </c>
      <c r="G671" s="58">
        <f t="shared" si="679"/>
        <v>0</v>
      </c>
      <c r="H671" s="58">
        <f t="shared" si="679"/>
        <v>0</v>
      </c>
      <c r="I671" s="58">
        <f t="shared" si="679"/>
        <v>57</v>
      </c>
      <c r="J671" s="58">
        <f t="shared" si="679"/>
        <v>19</v>
      </c>
      <c r="K671" s="58">
        <f t="shared" si="679"/>
        <v>0</v>
      </c>
      <c r="L671" s="58">
        <f t="shared" si="679"/>
        <v>-35</v>
      </c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0" customHeight="1">
      <c r="A672" s="70"/>
      <c r="B672" s="71"/>
      <c r="C672" s="66"/>
      <c r="D672" s="66">
        <f t="shared" si="333"/>
        <v>0</v>
      </c>
      <c r="E672" s="67"/>
      <c r="F672" s="58">
        <f t="shared" ref="F672:L672" si="680">SUMIFS($C672,$B672,F$7)+F671</f>
        <v>25</v>
      </c>
      <c r="G672" s="58">
        <f t="shared" si="680"/>
        <v>0</v>
      </c>
      <c r="H672" s="58">
        <f t="shared" si="680"/>
        <v>0</v>
      </c>
      <c r="I672" s="58">
        <f t="shared" si="680"/>
        <v>57</v>
      </c>
      <c r="J672" s="58">
        <f t="shared" si="680"/>
        <v>19</v>
      </c>
      <c r="K672" s="58">
        <f t="shared" si="680"/>
        <v>0</v>
      </c>
      <c r="L672" s="58">
        <f t="shared" si="680"/>
        <v>-35</v>
      </c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0" customHeight="1">
      <c r="A673" s="70"/>
      <c r="B673" s="71"/>
      <c r="C673" s="66"/>
      <c r="D673" s="66">
        <f t="shared" si="333"/>
        <v>0</v>
      </c>
      <c r="E673" s="67"/>
      <c r="F673" s="58">
        <f t="shared" ref="F673:L673" si="681">SUMIFS($C673,$B673,F$7)+F672</f>
        <v>25</v>
      </c>
      <c r="G673" s="58">
        <f t="shared" si="681"/>
        <v>0</v>
      </c>
      <c r="H673" s="58">
        <f t="shared" si="681"/>
        <v>0</v>
      </c>
      <c r="I673" s="58">
        <f t="shared" si="681"/>
        <v>57</v>
      </c>
      <c r="J673" s="58">
        <f t="shared" si="681"/>
        <v>19</v>
      </c>
      <c r="K673" s="58">
        <f t="shared" si="681"/>
        <v>0</v>
      </c>
      <c r="L673" s="58">
        <f t="shared" si="681"/>
        <v>-35</v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0" customHeight="1">
      <c r="A674" s="70"/>
      <c r="B674" s="71"/>
      <c r="C674" s="66"/>
      <c r="D674" s="66">
        <f t="shared" si="333"/>
        <v>0</v>
      </c>
      <c r="E674" s="67"/>
      <c r="F674" s="58">
        <f t="shared" ref="F674:L674" si="682">SUMIFS($C674,$B674,F$7)+F673</f>
        <v>25</v>
      </c>
      <c r="G674" s="58">
        <f t="shared" si="682"/>
        <v>0</v>
      </c>
      <c r="H674" s="58">
        <f t="shared" si="682"/>
        <v>0</v>
      </c>
      <c r="I674" s="58">
        <f t="shared" si="682"/>
        <v>57</v>
      </c>
      <c r="J674" s="58">
        <f t="shared" si="682"/>
        <v>19</v>
      </c>
      <c r="K674" s="58">
        <f t="shared" si="682"/>
        <v>0</v>
      </c>
      <c r="L674" s="58">
        <f t="shared" si="682"/>
        <v>-35</v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0" customHeight="1">
      <c r="A675" s="70"/>
      <c r="B675" s="71"/>
      <c r="C675" s="66"/>
      <c r="D675" s="66">
        <f t="shared" si="333"/>
        <v>0</v>
      </c>
      <c r="E675" s="67"/>
      <c r="F675" s="58">
        <f t="shared" ref="F675:L675" si="683">SUMIFS($C675,$B675,F$7)+F674</f>
        <v>25</v>
      </c>
      <c r="G675" s="58">
        <f t="shared" si="683"/>
        <v>0</v>
      </c>
      <c r="H675" s="58">
        <f t="shared" si="683"/>
        <v>0</v>
      </c>
      <c r="I675" s="58">
        <f t="shared" si="683"/>
        <v>57</v>
      </c>
      <c r="J675" s="58">
        <f t="shared" si="683"/>
        <v>19</v>
      </c>
      <c r="K675" s="58">
        <f t="shared" si="683"/>
        <v>0</v>
      </c>
      <c r="L675" s="58">
        <f t="shared" si="683"/>
        <v>-35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0" customHeight="1">
      <c r="A676" s="70"/>
      <c r="B676" s="71"/>
      <c r="C676" s="66"/>
      <c r="D676" s="66">
        <f t="shared" si="333"/>
        <v>0</v>
      </c>
      <c r="E676" s="67"/>
      <c r="F676" s="58">
        <f t="shared" ref="F676:L676" si="684">SUMIFS($C676,$B676,F$7)+F675</f>
        <v>25</v>
      </c>
      <c r="G676" s="58">
        <f t="shared" si="684"/>
        <v>0</v>
      </c>
      <c r="H676" s="58">
        <f t="shared" si="684"/>
        <v>0</v>
      </c>
      <c r="I676" s="58">
        <f t="shared" si="684"/>
        <v>57</v>
      </c>
      <c r="J676" s="58">
        <f t="shared" si="684"/>
        <v>19</v>
      </c>
      <c r="K676" s="58">
        <f t="shared" si="684"/>
        <v>0</v>
      </c>
      <c r="L676" s="58">
        <f t="shared" si="684"/>
        <v>-35</v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0" customHeight="1">
      <c r="A677" s="70"/>
      <c r="B677" s="71"/>
      <c r="C677" s="66"/>
      <c r="D677" s="66">
        <f t="shared" si="333"/>
        <v>0</v>
      </c>
      <c r="E677" s="67"/>
      <c r="F677" s="58">
        <f t="shared" ref="F677:L677" si="685">SUMIFS($C677,$B677,F$7)+F676</f>
        <v>25</v>
      </c>
      <c r="G677" s="58">
        <f t="shared" si="685"/>
        <v>0</v>
      </c>
      <c r="H677" s="58">
        <f t="shared" si="685"/>
        <v>0</v>
      </c>
      <c r="I677" s="58">
        <f t="shared" si="685"/>
        <v>57</v>
      </c>
      <c r="J677" s="58">
        <f t="shared" si="685"/>
        <v>19</v>
      </c>
      <c r="K677" s="58">
        <f t="shared" si="685"/>
        <v>0</v>
      </c>
      <c r="L677" s="58">
        <f t="shared" si="685"/>
        <v>-35</v>
      </c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0" customHeight="1">
      <c r="A678" s="70"/>
      <c r="B678" s="71"/>
      <c r="C678" s="66"/>
      <c r="D678" s="66">
        <f t="shared" si="333"/>
        <v>0</v>
      </c>
      <c r="E678" s="67"/>
      <c r="F678" s="58">
        <f t="shared" ref="F678:L678" si="686">SUMIFS($C678,$B678,F$7)+F677</f>
        <v>25</v>
      </c>
      <c r="G678" s="58">
        <f t="shared" si="686"/>
        <v>0</v>
      </c>
      <c r="H678" s="58">
        <f t="shared" si="686"/>
        <v>0</v>
      </c>
      <c r="I678" s="58">
        <f t="shared" si="686"/>
        <v>57</v>
      </c>
      <c r="J678" s="58">
        <f t="shared" si="686"/>
        <v>19</v>
      </c>
      <c r="K678" s="58">
        <f t="shared" si="686"/>
        <v>0</v>
      </c>
      <c r="L678" s="58">
        <f t="shared" si="686"/>
        <v>-35</v>
      </c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0" customHeight="1">
      <c r="A679" s="70"/>
      <c r="B679" s="71"/>
      <c r="C679" s="66"/>
      <c r="D679" s="66">
        <f t="shared" si="333"/>
        <v>0</v>
      </c>
      <c r="E679" s="67"/>
      <c r="F679" s="58">
        <f t="shared" ref="F679:L679" si="687">SUMIFS($C679,$B679,F$7)+F678</f>
        <v>25</v>
      </c>
      <c r="G679" s="58">
        <f t="shared" si="687"/>
        <v>0</v>
      </c>
      <c r="H679" s="58">
        <f t="shared" si="687"/>
        <v>0</v>
      </c>
      <c r="I679" s="58">
        <f t="shared" si="687"/>
        <v>57</v>
      </c>
      <c r="J679" s="58">
        <f t="shared" si="687"/>
        <v>19</v>
      </c>
      <c r="K679" s="58">
        <f t="shared" si="687"/>
        <v>0</v>
      </c>
      <c r="L679" s="58">
        <f t="shared" si="687"/>
        <v>-35</v>
      </c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0" customHeight="1">
      <c r="A680" s="70"/>
      <c r="B680" s="71"/>
      <c r="C680" s="66"/>
      <c r="D680" s="66">
        <f t="shared" si="333"/>
        <v>0</v>
      </c>
      <c r="E680" s="67"/>
      <c r="F680" s="58">
        <f t="shared" ref="F680:L680" si="688">SUMIFS($C680,$B680,F$7)+F679</f>
        <v>25</v>
      </c>
      <c r="G680" s="58">
        <f t="shared" si="688"/>
        <v>0</v>
      </c>
      <c r="H680" s="58">
        <f t="shared" si="688"/>
        <v>0</v>
      </c>
      <c r="I680" s="58">
        <f t="shared" si="688"/>
        <v>57</v>
      </c>
      <c r="J680" s="58">
        <f t="shared" si="688"/>
        <v>19</v>
      </c>
      <c r="K680" s="58">
        <f t="shared" si="688"/>
        <v>0</v>
      </c>
      <c r="L680" s="58">
        <f t="shared" si="688"/>
        <v>-35</v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0" customHeight="1">
      <c r="A681" s="70"/>
      <c r="B681" s="71"/>
      <c r="C681" s="66"/>
      <c r="D681" s="66">
        <f t="shared" si="333"/>
        <v>0</v>
      </c>
      <c r="E681" s="67"/>
      <c r="F681" s="58">
        <f t="shared" ref="F681:L681" si="689">SUMIFS($C681,$B681,F$7)+F680</f>
        <v>25</v>
      </c>
      <c r="G681" s="58">
        <f t="shared" si="689"/>
        <v>0</v>
      </c>
      <c r="H681" s="58">
        <f t="shared" si="689"/>
        <v>0</v>
      </c>
      <c r="I681" s="58">
        <f t="shared" si="689"/>
        <v>57</v>
      </c>
      <c r="J681" s="58">
        <f t="shared" si="689"/>
        <v>19</v>
      </c>
      <c r="K681" s="58">
        <f t="shared" si="689"/>
        <v>0</v>
      </c>
      <c r="L681" s="58">
        <f t="shared" si="689"/>
        <v>-35</v>
      </c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0" customHeight="1">
      <c r="A682" s="70"/>
      <c r="B682" s="71"/>
      <c r="C682" s="66"/>
      <c r="D682" s="66">
        <f t="shared" si="333"/>
        <v>0</v>
      </c>
      <c r="E682" s="67"/>
      <c r="F682" s="58">
        <f t="shared" ref="F682:L682" si="690">SUMIFS($C682,$B682,F$7)+F681</f>
        <v>25</v>
      </c>
      <c r="G682" s="58">
        <f t="shared" si="690"/>
        <v>0</v>
      </c>
      <c r="H682" s="58">
        <f t="shared" si="690"/>
        <v>0</v>
      </c>
      <c r="I682" s="58">
        <f t="shared" si="690"/>
        <v>57</v>
      </c>
      <c r="J682" s="58">
        <f t="shared" si="690"/>
        <v>19</v>
      </c>
      <c r="K682" s="58">
        <f t="shared" si="690"/>
        <v>0</v>
      </c>
      <c r="L682" s="58">
        <f t="shared" si="690"/>
        <v>-35</v>
      </c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0" customHeight="1">
      <c r="A683" s="70"/>
      <c r="B683" s="71"/>
      <c r="C683" s="66"/>
      <c r="D683" s="66">
        <f t="shared" si="333"/>
        <v>0</v>
      </c>
      <c r="E683" s="67"/>
      <c r="F683" s="58">
        <f t="shared" ref="F683:L683" si="691">SUMIFS($C683,$B683,F$7)+F682</f>
        <v>25</v>
      </c>
      <c r="G683" s="58">
        <f t="shared" si="691"/>
        <v>0</v>
      </c>
      <c r="H683" s="58">
        <f t="shared" si="691"/>
        <v>0</v>
      </c>
      <c r="I683" s="58">
        <f t="shared" si="691"/>
        <v>57</v>
      </c>
      <c r="J683" s="58">
        <f t="shared" si="691"/>
        <v>19</v>
      </c>
      <c r="K683" s="58">
        <f t="shared" si="691"/>
        <v>0</v>
      </c>
      <c r="L683" s="58">
        <f t="shared" si="691"/>
        <v>-35</v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0" customHeight="1">
      <c r="A684" s="70"/>
      <c r="B684" s="71"/>
      <c r="C684" s="66"/>
      <c r="D684" s="66">
        <f t="shared" si="333"/>
        <v>0</v>
      </c>
      <c r="E684" s="67"/>
      <c r="F684" s="58">
        <f t="shared" ref="F684:L684" si="692">SUMIFS($C684,$B684,F$7)+F683</f>
        <v>25</v>
      </c>
      <c r="G684" s="58">
        <f t="shared" si="692"/>
        <v>0</v>
      </c>
      <c r="H684" s="58">
        <f t="shared" si="692"/>
        <v>0</v>
      </c>
      <c r="I684" s="58">
        <f t="shared" si="692"/>
        <v>57</v>
      </c>
      <c r="J684" s="58">
        <f t="shared" si="692"/>
        <v>19</v>
      </c>
      <c r="K684" s="58">
        <f t="shared" si="692"/>
        <v>0</v>
      </c>
      <c r="L684" s="58">
        <f t="shared" si="692"/>
        <v>-35</v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0" customHeight="1">
      <c r="A685" s="70"/>
      <c r="B685" s="71"/>
      <c r="C685" s="66"/>
      <c r="D685" s="66">
        <f t="shared" si="333"/>
        <v>0</v>
      </c>
      <c r="E685" s="67"/>
      <c r="F685" s="58">
        <f t="shared" ref="F685:L685" si="693">SUMIFS($C685,$B685,F$7)+F684</f>
        <v>25</v>
      </c>
      <c r="G685" s="58">
        <f t="shared" si="693"/>
        <v>0</v>
      </c>
      <c r="H685" s="58">
        <f t="shared" si="693"/>
        <v>0</v>
      </c>
      <c r="I685" s="58">
        <f t="shared" si="693"/>
        <v>57</v>
      </c>
      <c r="J685" s="58">
        <f t="shared" si="693"/>
        <v>19</v>
      </c>
      <c r="K685" s="58">
        <f t="shared" si="693"/>
        <v>0</v>
      </c>
      <c r="L685" s="58">
        <f t="shared" si="693"/>
        <v>-35</v>
      </c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0" customHeight="1">
      <c r="A686" s="70"/>
      <c r="B686" s="71"/>
      <c r="C686" s="66"/>
      <c r="D686" s="66">
        <f t="shared" si="333"/>
        <v>0</v>
      </c>
      <c r="E686" s="67"/>
      <c r="F686" s="58">
        <f t="shared" ref="F686:L686" si="694">SUMIFS($C686,$B686,F$7)+F685</f>
        <v>25</v>
      </c>
      <c r="G686" s="58">
        <f t="shared" si="694"/>
        <v>0</v>
      </c>
      <c r="H686" s="58">
        <f t="shared" si="694"/>
        <v>0</v>
      </c>
      <c r="I686" s="58">
        <f t="shared" si="694"/>
        <v>57</v>
      </c>
      <c r="J686" s="58">
        <f t="shared" si="694"/>
        <v>19</v>
      </c>
      <c r="K686" s="58">
        <f t="shared" si="694"/>
        <v>0</v>
      </c>
      <c r="L686" s="58">
        <f t="shared" si="694"/>
        <v>-35</v>
      </c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0" customHeight="1">
      <c r="A687" s="70"/>
      <c r="B687" s="71"/>
      <c r="C687" s="66"/>
      <c r="D687" s="66">
        <f t="shared" si="333"/>
        <v>0</v>
      </c>
      <c r="E687" s="67"/>
      <c r="F687" s="58">
        <f t="shared" ref="F687:L687" si="695">SUMIFS($C687,$B687,F$7)+F686</f>
        <v>25</v>
      </c>
      <c r="G687" s="58">
        <f t="shared" si="695"/>
        <v>0</v>
      </c>
      <c r="H687" s="58">
        <f t="shared" si="695"/>
        <v>0</v>
      </c>
      <c r="I687" s="58">
        <f t="shared" si="695"/>
        <v>57</v>
      </c>
      <c r="J687" s="58">
        <f t="shared" si="695"/>
        <v>19</v>
      </c>
      <c r="K687" s="58">
        <f t="shared" si="695"/>
        <v>0</v>
      </c>
      <c r="L687" s="58">
        <f t="shared" si="695"/>
        <v>-35</v>
      </c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0" customHeight="1">
      <c r="A688" s="70"/>
      <c r="B688" s="71"/>
      <c r="C688" s="66"/>
      <c r="D688" s="66">
        <f t="shared" si="333"/>
        <v>0</v>
      </c>
      <c r="E688" s="67"/>
      <c r="F688" s="58">
        <f t="shared" ref="F688:L688" si="696">SUMIFS($C688,$B688,F$7)+F687</f>
        <v>25</v>
      </c>
      <c r="G688" s="58">
        <f t="shared" si="696"/>
        <v>0</v>
      </c>
      <c r="H688" s="58">
        <f t="shared" si="696"/>
        <v>0</v>
      </c>
      <c r="I688" s="58">
        <f t="shared" si="696"/>
        <v>57</v>
      </c>
      <c r="J688" s="58">
        <f t="shared" si="696"/>
        <v>19</v>
      </c>
      <c r="K688" s="58">
        <f t="shared" si="696"/>
        <v>0</v>
      </c>
      <c r="L688" s="58">
        <f t="shared" si="696"/>
        <v>-35</v>
      </c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0" customHeight="1">
      <c r="A689" s="70"/>
      <c r="B689" s="71"/>
      <c r="C689" s="66"/>
      <c r="D689" s="66">
        <f t="shared" si="333"/>
        <v>0</v>
      </c>
      <c r="E689" s="67"/>
      <c r="F689" s="58">
        <f t="shared" ref="F689:L689" si="697">SUMIFS($C689,$B689,F$7)+F688</f>
        <v>25</v>
      </c>
      <c r="G689" s="58">
        <f t="shared" si="697"/>
        <v>0</v>
      </c>
      <c r="H689" s="58">
        <f t="shared" si="697"/>
        <v>0</v>
      </c>
      <c r="I689" s="58">
        <f t="shared" si="697"/>
        <v>57</v>
      </c>
      <c r="J689" s="58">
        <f t="shared" si="697"/>
        <v>19</v>
      </c>
      <c r="K689" s="58">
        <f t="shared" si="697"/>
        <v>0</v>
      </c>
      <c r="L689" s="58">
        <f t="shared" si="697"/>
        <v>-35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0" customHeight="1">
      <c r="A690" s="70"/>
      <c r="B690" s="71"/>
      <c r="C690" s="66"/>
      <c r="D690" s="66">
        <f t="shared" si="333"/>
        <v>0</v>
      </c>
      <c r="E690" s="67"/>
      <c r="F690" s="58">
        <f t="shared" ref="F690:L690" si="698">SUMIFS($C690,$B690,F$7)+F689</f>
        <v>25</v>
      </c>
      <c r="G690" s="58">
        <f t="shared" si="698"/>
        <v>0</v>
      </c>
      <c r="H690" s="58">
        <f t="shared" si="698"/>
        <v>0</v>
      </c>
      <c r="I690" s="58">
        <f t="shared" si="698"/>
        <v>57</v>
      </c>
      <c r="J690" s="58">
        <f t="shared" si="698"/>
        <v>19</v>
      </c>
      <c r="K690" s="58">
        <f t="shared" si="698"/>
        <v>0</v>
      </c>
      <c r="L690" s="58">
        <f t="shared" si="698"/>
        <v>-35</v>
      </c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0" customHeight="1">
      <c r="A691" s="70"/>
      <c r="B691" s="71"/>
      <c r="C691" s="66"/>
      <c r="D691" s="66">
        <f t="shared" si="333"/>
        <v>0</v>
      </c>
      <c r="E691" s="67"/>
      <c r="F691" s="58">
        <f t="shared" ref="F691:L691" si="699">SUMIFS($C691,$B691,F$7)+F690</f>
        <v>25</v>
      </c>
      <c r="G691" s="58">
        <f t="shared" si="699"/>
        <v>0</v>
      </c>
      <c r="H691" s="58">
        <f t="shared" si="699"/>
        <v>0</v>
      </c>
      <c r="I691" s="58">
        <f t="shared" si="699"/>
        <v>57</v>
      </c>
      <c r="J691" s="58">
        <f t="shared" si="699"/>
        <v>19</v>
      </c>
      <c r="K691" s="58">
        <f t="shared" si="699"/>
        <v>0</v>
      </c>
      <c r="L691" s="58">
        <f t="shared" si="699"/>
        <v>-35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0" customHeight="1">
      <c r="A692" s="70"/>
      <c r="B692" s="71"/>
      <c r="C692" s="66"/>
      <c r="D692" s="66">
        <f t="shared" si="333"/>
        <v>0</v>
      </c>
      <c r="E692" s="67"/>
      <c r="F692" s="58">
        <f t="shared" ref="F692:L692" si="700">SUMIFS($C692,$B692,F$7)+F691</f>
        <v>25</v>
      </c>
      <c r="G692" s="58">
        <f t="shared" si="700"/>
        <v>0</v>
      </c>
      <c r="H692" s="58">
        <f t="shared" si="700"/>
        <v>0</v>
      </c>
      <c r="I692" s="58">
        <f t="shared" si="700"/>
        <v>57</v>
      </c>
      <c r="J692" s="58">
        <f t="shared" si="700"/>
        <v>19</v>
      </c>
      <c r="K692" s="58">
        <f t="shared" si="700"/>
        <v>0</v>
      </c>
      <c r="L692" s="58">
        <f t="shared" si="700"/>
        <v>-35</v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0" customHeight="1">
      <c r="A693" s="70"/>
      <c r="B693" s="71"/>
      <c r="C693" s="66"/>
      <c r="D693" s="66">
        <f t="shared" si="333"/>
        <v>0</v>
      </c>
      <c r="E693" s="67"/>
      <c r="F693" s="58">
        <f t="shared" ref="F693:L693" si="701">SUMIFS($C693,$B693,F$7)+F692</f>
        <v>25</v>
      </c>
      <c r="G693" s="58">
        <f t="shared" si="701"/>
        <v>0</v>
      </c>
      <c r="H693" s="58">
        <f t="shared" si="701"/>
        <v>0</v>
      </c>
      <c r="I693" s="58">
        <f t="shared" si="701"/>
        <v>57</v>
      </c>
      <c r="J693" s="58">
        <f t="shared" si="701"/>
        <v>19</v>
      </c>
      <c r="K693" s="58">
        <f t="shared" si="701"/>
        <v>0</v>
      </c>
      <c r="L693" s="58">
        <f t="shared" si="701"/>
        <v>-35</v>
      </c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0" customHeight="1">
      <c r="A694" s="70"/>
      <c r="B694" s="71"/>
      <c r="C694" s="66"/>
      <c r="D694" s="66">
        <f t="shared" si="333"/>
        <v>0</v>
      </c>
      <c r="E694" s="67"/>
      <c r="F694" s="58">
        <f t="shared" ref="F694:L694" si="702">SUMIFS($C694,$B694,F$7)+F693</f>
        <v>25</v>
      </c>
      <c r="G694" s="58">
        <f t="shared" si="702"/>
        <v>0</v>
      </c>
      <c r="H694" s="58">
        <f t="shared" si="702"/>
        <v>0</v>
      </c>
      <c r="I694" s="58">
        <f t="shared" si="702"/>
        <v>57</v>
      </c>
      <c r="J694" s="58">
        <f t="shared" si="702"/>
        <v>19</v>
      </c>
      <c r="K694" s="58">
        <f t="shared" si="702"/>
        <v>0</v>
      </c>
      <c r="L694" s="58">
        <f t="shared" si="702"/>
        <v>-35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0" customHeight="1">
      <c r="A695" s="70"/>
      <c r="B695" s="71"/>
      <c r="C695" s="66"/>
      <c r="D695" s="66">
        <f t="shared" si="333"/>
        <v>0</v>
      </c>
      <c r="E695" s="67"/>
      <c r="F695" s="58">
        <f t="shared" ref="F695:L695" si="703">SUMIFS($C695,$B695,F$7)+F694</f>
        <v>25</v>
      </c>
      <c r="G695" s="58">
        <f t="shared" si="703"/>
        <v>0</v>
      </c>
      <c r="H695" s="58">
        <f t="shared" si="703"/>
        <v>0</v>
      </c>
      <c r="I695" s="58">
        <f t="shared" si="703"/>
        <v>57</v>
      </c>
      <c r="J695" s="58">
        <f t="shared" si="703"/>
        <v>19</v>
      </c>
      <c r="K695" s="58">
        <f t="shared" si="703"/>
        <v>0</v>
      </c>
      <c r="L695" s="58">
        <f t="shared" si="703"/>
        <v>-35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0" customHeight="1">
      <c r="A696" s="70"/>
      <c r="B696" s="71"/>
      <c r="C696" s="66"/>
      <c r="D696" s="66">
        <f t="shared" si="333"/>
        <v>0</v>
      </c>
      <c r="E696" s="67"/>
      <c r="F696" s="58">
        <f t="shared" ref="F696:L696" si="704">SUMIFS($C696,$B696,F$7)+F695</f>
        <v>25</v>
      </c>
      <c r="G696" s="58">
        <f t="shared" si="704"/>
        <v>0</v>
      </c>
      <c r="H696" s="58">
        <f t="shared" si="704"/>
        <v>0</v>
      </c>
      <c r="I696" s="58">
        <f t="shared" si="704"/>
        <v>57</v>
      </c>
      <c r="J696" s="58">
        <f t="shared" si="704"/>
        <v>19</v>
      </c>
      <c r="K696" s="58">
        <f t="shared" si="704"/>
        <v>0</v>
      </c>
      <c r="L696" s="58">
        <f t="shared" si="704"/>
        <v>-35</v>
      </c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0" customHeight="1">
      <c r="A697" s="70"/>
      <c r="B697" s="71"/>
      <c r="C697" s="66"/>
      <c r="D697" s="66">
        <f t="shared" si="333"/>
        <v>0</v>
      </c>
      <c r="E697" s="67"/>
      <c r="F697" s="58">
        <f t="shared" ref="F697:L697" si="705">SUMIFS($C697,$B697,F$7)+F696</f>
        <v>25</v>
      </c>
      <c r="G697" s="58">
        <f t="shared" si="705"/>
        <v>0</v>
      </c>
      <c r="H697" s="58">
        <f t="shared" si="705"/>
        <v>0</v>
      </c>
      <c r="I697" s="58">
        <f t="shared" si="705"/>
        <v>57</v>
      </c>
      <c r="J697" s="58">
        <f t="shared" si="705"/>
        <v>19</v>
      </c>
      <c r="K697" s="58">
        <f t="shared" si="705"/>
        <v>0</v>
      </c>
      <c r="L697" s="58">
        <f t="shared" si="705"/>
        <v>-35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0" customHeight="1">
      <c r="A698" s="70"/>
      <c r="B698" s="71"/>
      <c r="C698" s="66"/>
      <c r="D698" s="66">
        <f t="shared" si="333"/>
        <v>0</v>
      </c>
      <c r="E698" s="67"/>
      <c r="F698" s="58">
        <f t="shared" ref="F698:L698" si="706">SUMIFS($C698,$B698,F$7)+F697</f>
        <v>25</v>
      </c>
      <c r="G698" s="58">
        <f t="shared" si="706"/>
        <v>0</v>
      </c>
      <c r="H698" s="58">
        <f t="shared" si="706"/>
        <v>0</v>
      </c>
      <c r="I698" s="58">
        <f t="shared" si="706"/>
        <v>57</v>
      </c>
      <c r="J698" s="58">
        <f t="shared" si="706"/>
        <v>19</v>
      </c>
      <c r="K698" s="58">
        <f t="shared" si="706"/>
        <v>0</v>
      </c>
      <c r="L698" s="58">
        <f t="shared" si="706"/>
        <v>-35</v>
      </c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0" customHeight="1">
      <c r="A699" s="70"/>
      <c r="B699" s="71"/>
      <c r="C699" s="66"/>
      <c r="D699" s="66">
        <f t="shared" si="333"/>
        <v>0</v>
      </c>
      <c r="E699" s="67"/>
      <c r="F699" s="58">
        <f t="shared" ref="F699:L699" si="707">SUMIFS($C699,$B699,F$7)+F698</f>
        <v>25</v>
      </c>
      <c r="G699" s="58">
        <f t="shared" si="707"/>
        <v>0</v>
      </c>
      <c r="H699" s="58">
        <f t="shared" si="707"/>
        <v>0</v>
      </c>
      <c r="I699" s="58">
        <f t="shared" si="707"/>
        <v>57</v>
      </c>
      <c r="J699" s="58">
        <f t="shared" si="707"/>
        <v>19</v>
      </c>
      <c r="K699" s="58">
        <f t="shared" si="707"/>
        <v>0</v>
      </c>
      <c r="L699" s="58">
        <f t="shared" si="707"/>
        <v>-35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0" customHeight="1">
      <c r="A700" s="70"/>
      <c r="B700" s="71"/>
      <c r="C700" s="66"/>
      <c r="D700" s="66">
        <f t="shared" si="333"/>
        <v>0</v>
      </c>
      <c r="E700" s="67"/>
      <c r="F700" s="58">
        <f t="shared" ref="F700:L700" si="708">SUMIFS($C700,$B700,F$7)+F699</f>
        <v>25</v>
      </c>
      <c r="G700" s="58">
        <f t="shared" si="708"/>
        <v>0</v>
      </c>
      <c r="H700" s="58">
        <f t="shared" si="708"/>
        <v>0</v>
      </c>
      <c r="I700" s="58">
        <f t="shared" si="708"/>
        <v>57</v>
      </c>
      <c r="J700" s="58">
        <f t="shared" si="708"/>
        <v>19</v>
      </c>
      <c r="K700" s="58">
        <f t="shared" si="708"/>
        <v>0</v>
      </c>
      <c r="L700" s="58">
        <f t="shared" si="708"/>
        <v>-35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0" customHeight="1">
      <c r="A701" s="70"/>
      <c r="B701" s="71"/>
      <c r="C701" s="66"/>
      <c r="D701" s="66">
        <f t="shared" si="333"/>
        <v>0</v>
      </c>
      <c r="E701" s="67"/>
      <c r="F701" s="58">
        <f t="shared" ref="F701:L701" si="709">SUMIFS($C701,$B701,F$7)+F700</f>
        <v>25</v>
      </c>
      <c r="G701" s="58">
        <f t="shared" si="709"/>
        <v>0</v>
      </c>
      <c r="H701" s="58">
        <f t="shared" si="709"/>
        <v>0</v>
      </c>
      <c r="I701" s="58">
        <f t="shared" si="709"/>
        <v>57</v>
      </c>
      <c r="J701" s="58">
        <f t="shared" si="709"/>
        <v>19</v>
      </c>
      <c r="K701" s="58">
        <f t="shared" si="709"/>
        <v>0</v>
      </c>
      <c r="L701" s="58">
        <f t="shared" si="709"/>
        <v>-35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0" customHeight="1">
      <c r="A702" s="70"/>
      <c r="B702" s="71"/>
      <c r="C702" s="66"/>
      <c r="D702" s="66">
        <f t="shared" si="333"/>
        <v>0</v>
      </c>
      <c r="E702" s="67"/>
      <c r="F702" s="58">
        <f t="shared" ref="F702:L702" si="710">SUMIFS($C702,$B702,F$7)+F701</f>
        <v>25</v>
      </c>
      <c r="G702" s="58">
        <f t="shared" si="710"/>
        <v>0</v>
      </c>
      <c r="H702" s="58">
        <f t="shared" si="710"/>
        <v>0</v>
      </c>
      <c r="I702" s="58">
        <f t="shared" si="710"/>
        <v>57</v>
      </c>
      <c r="J702" s="58">
        <f t="shared" si="710"/>
        <v>19</v>
      </c>
      <c r="K702" s="58">
        <f t="shared" si="710"/>
        <v>0</v>
      </c>
      <c r="L702" s="58">
        <f t="shared" si="710"/>
        <v>-35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0" customHeight="1">
      <c r="A703" s="70"/>
      <c r="B703" s="71"/>
      <c r="C703" s="66"/>
      <c r="D703" s="66">
        <f t="shared" si="333"/>
        <v>0</v>
      </c>
      <c r="E703" s="67"/>
      <c r="F703" s="58">
        <f t="shared" ref="F703:L703" si="711">SUMIFS($C703,$B703,F$7)+F702</f>
        <v>25</v>
      </c>
      <c r="G703" s="58">
        <f t="shared" si="711"/>
        <v>0</v>
      </c>
      <c r="H703" s="58">
        <f t="shared" si="711"/>
        <v>0</v>
      </c>
      <c r="I703" s="58">
        <f t="shared" si="711"/>
        <v>57</v>
      </c>
      <c r="J703" s="58">
        <f t="shared" si="711"/>
        <v>19</v>
      </c>
      <c r="K703" s="58">
        <f t="shared" si="711"/>
        <v>0</v>
      </c>
      <c r="L703" s="58">
        <f t="shared" si="711"/>
        <v>-35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0" customHeight="1">
      <c r="A704" s="70"/>
      <c r="B704" s="71"/>
      <c r="C704" s="66"/>
      <c r="D704" s="66">
        <f t="shared" si="333"/>
        <v>0</v>
      </c>
      <c r="E704" s="67"/>
      <c r="F704" s="58">
        <f t="shared" ref="F704:L704" si="712">SUMIFS($C704,$B704,F$7)+F703</f>
        <v>25</v>
      </c>
      <c r="G704" s="58">
        <f t="shared" si="712"/>
        <v>0</v>
      </c>
      <c r="H704" s="58">
        <f t="shared" si="712"/>
        <v>0</v>
      </c>
      <c r="I704" s="58">
        <f t="shared" si="712"/>
        <v>57</v>
      </c>
      <c r="J704" s="58">
        <f t="shared" si="712"/>
        <v>19</v>
      </c>
      <c r="K704" s="58">
        <f t="shared" si="712"/>
        <v>0</v>
      </c>
      <c r="L704" s="58">
        <f t="shared" si="712"/>
        <v>-35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0" customHeight="1">
      <c r="A705" s="70"/>
      <c r="B705" s="71"/>
      <c r="C705" s="66"/>
      <c r="D705" s="66">
        <f t="shared" si="333"/>
        <v>0</v>
      </c>
      <c r="E705" s="67"/>
      <c r="F705" s="58">
        <f t="shared" ref="F705:L705" si="713">SUMIFS($C705,$B705,F$7)+F704</f>
        <v>25</v>
      </c>
      <c r="G705" s="58">
        <f t="shared" si="713"/>
        <v>0</v>
      </c>
      <c r="H705" s="58">
        <f t="shared" si="713"/>
        <v>0</v>
      </c>
      <c r="I705" s="58">
        <f t="shared" si="713"/>
        <v>57</v>
      </c>
      <c r="J705" s="58">
        <f t="shared" si="713"/>
        <v>19</v>
      </c>
      <c r="K705" s="58">
        <f t="shared" si="713"/>
        <v>0</v>
      </c>
      <c r="L705" s="58">
        <f t="shared" si="713"/>
        <v>-35</v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0" customHeight="1">
      <c r="A706" s="70"/>
      <c r="B706" s="71"/>
      <c r="C706" s="66"/>
      <c r="D706" s="66">
        <f t="shared" si="333"/>
        <v>0</v>
      </c>
      <c r="E706" s="67"/>
      <c r="F706" s="58">
        <f t="shared" ref="F706:L706" si="714">SUMIFS($C706,$B706,F$7)+F705</f>
        <v>25</v>
      </c>
      <c r="G706" s="58">
        <f t="shared" si="714"/>
        <v>0</v>
      </c>
      <c r="H706" s="58">
        <f t="shared" si="714"/>
        <v>0</v>
      </c>
      <c r="I706" s="58">
        <f t="shared" si="714"/>
        <v>57</v>
      </c>
      <c r="J706" s="58">
        <f t="shared" si="714"/>
        <v>19</v>
      </c>
      <c r="K706" s="58">
        <f t="shared" si="714"/>
        <v>0</v>
      </c>
      <c r="L706" s="58">
        <f t="shared" si="714"/>
        <v>-35</v>
      </c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0" customHeight="1">
      <c r="A707" s="70"/>
      <c r="B707" s="71"/>
      <c r="C707" s="66"/>
      <c r="D707" s="66">
        <f t="shared" si="333"/>
        <v>0</v>
      </c>
      <c r="E707" s="67"/>
      <c r="F707" s="58">
        <f t="shared" ref="F707:L707" si="715">SUMIFS($C707,$B707,F$7)+F706</f>
        <v>25</v>
      </c>
      <c r="G707" s="58">
        <f t="shared" si="715"/>
        <v>0</v>
      </c>
      <c r="H707" s="58">
        <f t="shared" si="715"/>
        <v>0</v>
      </c>
      <c r="I707" s="58">
        <f t="shared" si="715"/>
        <v>57</v>
      </c>
      <c r="J707" s="58">
        <f t="shared" si="715"/>
        <v>19</v>
      </c>
      <c r="K707" s="58">
        <f t="shared" si="715"/>
        <v>0</v>
      </c>
      <c r="L707" s="58">
        <f t="shared" si="715"/>
        <v>-35</v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0" customHeight="1">
      <c r="A708" s="70"/>
      <c r="B708" s="71"/>
      <c r="C708" s="66"/>
      <c r="D708" s="66">
        <f t="shared" si="333"/>
        <v>0</v>
      </c>
      <c r="E708" s="67"/>
      <c r="F708" s="58">
        <f t="shared" ref="F708:L708" si="716">SUMIFS($C708,$B708,F$7)+F707</f>
        <v>25</v>
      </c>
      <c r="G708" s="58">
        <f t="shared" si="716"/>
        <v>0</v>
      </c>
      <c r="H708" s="58">
        <f t="shared" si="716"/>
        <v>0</v>
      </c>
      <c r="I708" s="58">
        <f t="shared" si="716"/>
        <v>57</v>
      </c>
      <c r="J708" s="58">
        <f t="shared" si="716"/>
        <v>19</v>
      </c>
      <c r="K708" s="58">
        <f t="shared" si="716"/>
        <v>0</v>
      </c>
      <c r="L708" s="58">
        <f t="shared" si="716"/>
        <v>-35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0" customHeight="1">
      <c r="A709" s="70"/>
      <c r="B709" s="71"/>
      <c r="C709" s="66"/>
      <c r="D709" s="66">
        <f t="shared" si="333"/>
        <v>0</v>
      </c>
      <c r="E709" s="67"/>
      <c r="F709" s="58">
        <f t="shared" ref="F709:L709" si="717">SUMIFS($C709,$B709,F$7)+F708</f>
        <v>25</v>
      </c>
      <c r="G709" s="58">
        <f t="shared" si="717"/>
        <v>0</v>
      </c>
      <c r="H709" s="58">
        <f t="shared" si="717"/>
        <v>0</v>
      </c>
      <c r="I709" s="58">
        <f t="shared" si="717"/>
        <v>57</v>
      </c>
      <c r="J709" s="58">
        <f t="shared" si="717"/>
        <v>19</v>
      </c>
      <c r="K709" s="58">
        <f t="shared" si="717"/>
        <v>0</v>
      </c>
      <c r="L709" s="58">
        <f t="shared" si="717"/>
        <v>-35</v>
      </c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0" customHeight="1">
      <c r="A710" s="70"/>
      <c r="B710" s="71"/>
      <c r="C710" s="66"/>
      <c r="D710" s="66">
        <f t="shared" si="333"/>
        <v>0</v>
      </c>
      <c r="E710" s="67"/>
      <c r="F710" s="58">
        <f t="shared" ref="F710:L710" si="718">SUMIFS($C710,$B710,F$7)+F709</f>
        <v>25</v>
      </c>
      <c r="G710" s="58">
        <f t="shared" si="718"/>
        <v>0</v>
      </c>
      <c r="H710" s="58">
        <f t="shared" si="718"/>
        <v>0</v>
      </c>
      <c r="I710" s="58">
        <f t="shared" si="718"/>
        <v>57</v>
      </c>
      <c r="J710" s="58">
        <f t="shared" si="718"/>
        <v>19</v>
      </c>
      <c r="K710" s="58">
        <f t="shared" si="718"/>
        <v>0</v>
      </c>
      <c r="L710" s="58">
        <f t="shared" si="718"/>
        <v>-35</v>
      </c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0" customHeight="1">
      <c r="A711" s="70"/>
      <c r="B711" s="71"/>
      <c r="C711" s="66"/>
      <c r="D711" s="66">
        <f t="shared" si="333"/>
        <v>0</v>
      </c>
      <c r="E711" s="67"/>
      <c r="F711" s="58">
        <f t="shared" ref="F711:L711" si="719">SUMIFS($C711,$B711,F$7)+F710</f>
        <v>25</v>
      </c>
      <c r="G711" s="58">
        <f t="shared" si="719"/>
        <v>0</v>
      </c>
      <c r="H711" s="58">
        <f t="shared" si="719"/>
        <v>0</v>
      </c>
      <c r="I711" s="58">
        <f t="shared" si="719"/>
        <v>57</v>
      </c>
      <c r="J711" s="58">
        <f t="shared" si="719"/>
        <v>19</v>
      </c>
      <c r="K711" s="58">
        <f t="shared" si="719"/>
        <v>0</v>
      </c>
      <c r="L711" s="58">
        <f t="shared" si="719"/>
        <v>-35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0" customHeight="1">
      <c r="A712" s="70"/>
      <c r="B712" s="71"/>
      <c r="C712" s="66"/>
      <c r="D712" s="66">
        <f t="shared" si="333"/>
        <v>0</v>
      </c>
      <c r="E712" s="67"/>
      <c r="F712" s="58">
        <f t="shared" ref="F712:L712" si="720">SUMIFS($C712,$B712,F$7)+F711</f>
        <v>25</v>
      </c>
      <c r="G712" s="58">
        <f t="shared" si="720"/>
        <v>0</v>
      </c>
      <c r="H712" s="58">
        <f t="shared" si="720"/>
        <v>0</v>
      </c>
      <c r="I712" s="58">
        <f t="shared" si="720"/>
        <v>57</v>
      </c>
      <c r="J712" s="58">
        <f t="shared" si="720"/>
        <v>19</v>
      </c>
      <c r="K712" s="58">
        <f t="shared" si="720"/>
        <v>0</v>
      </c>
      <c r="L712" s="58">
        <f t="shared" si="720"/>
        <v>-35</v>
      </c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0" customHeight="1">
      <c r="A713" s="70"/>
      <c r="B713" s="71"/>
      <c r="C713" s="66"/>
      <c r="D713" s="66">
        <f t="shared" si="333"/>
        <v>0</v>
      </c>
      <c r="E713" s="67"/>
      <c r="F713" s="58">
        <f t="shared" ref="F713:L713" si="721">SUMIFS($C713,$B713,F$7)+F712</f>
        <v>25</v>
      </c>
      <c r="G713" s="58">
        <f t="shared" si="721"/>
        <v>0</v>
      </c>
      <c r="H713" s="58">
        <f t="shared" si="721"/>
        <v>0</v>
      </c>
      <c r="I713" s="58">
        <f t="shared" si="721"/>
        <v>57</v>
      </c>
      <c r="J713" s="58">
        <f t="shared" si="721"/>
        <v>19</v>
      </c>
      <c r="K713" s="58">
        <f t="shared" si="721"/>
        <v>0</v>
      </c>
      <c r="L713" s="58">
        <f t="shared" si="721"/>
        <v>-35</v>
      </c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0" customHeight="1">
      <c r="A714" s="70"/>
      <c r="B714" s="71"/>
      <c r="C714" s="66"/>
      <c r="D714" s="66">
        <f t="shared" si="333"/>
        <v>0</v>
      </c>
      <c r="E714" s="67"/>
      <c r="F714" s="58">
        <f t="shared" ref="F714:L714" si="722">SUMIFS($C714,$B714,F$7)+F713</f>
        <v>25</v>
      </c>
      <c r="G714" s="58">
        <f t="shared" si="722"/>
        <v>0</v>
      </c>
      <c r="H714" s="58">
        <f t="shared" si="722"/>
        <v>0</v>
      </c>
      <c r="I714" s="58">
        <f t="shared" si="722"/>
        <v>57</v>
      </c>
      <c r="J714" s="58">
        <f t="shared" si="722"/>
        <v>19</v>
      </c>
      <c r="K714" s="58">
        <f t="shared" si="722"/>
        <v>0</v>
      </c>
      <c r="L714" s="58">
        <f t="shared" si="722"/>
        <v>-35</v>
      </c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0" customHeight="1">
      <c r="A715" s="70"/>
      <c r="B715" s="71"/>
      <c r="C715" s="66"/>
      <c r="D715" s="66">
        <f t="shared" si="333"/>
        <v>0</v>
      </c>
      <c r="E715" s="67"/>
      <c r="F715" s="58">
        <f t="shared" ref="F715:L715" si="723">SUMIFS($C715,$B715,F$7)+F714</f>
        <v>25</v>
      </c>
      <c r="G715" s="58">
        <f t="shared" si="723"/>
        <v>0</v>
      </c>
      <c r="H715" s="58">
        <f t="shared" si="723"/>
        <v>0</v>
      </c>
      <c r="I715" s="58">
        <f t="shared" si="723"/>
        <v>57</v>
      </c>
      <c r="J715" s="58">
        <f t="shared" si="723"/>
        <v>19</v>
      </c>
      <c r="K715" s="58">
        <f t="shared" si="723"/>
        <v>0</v>
      </c>
      <c r="L715" s="58">
        <f t="shared" si="723"/>
        <v>-35</v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0" customHeight="1">
      <c r="A716" s="70"/>
      <c r="B716" s="71"/>
      <c r="C716" s="66"/>
      <c r="D716" s="66">
        <f t="shared" si="333"/>
        <v>0</v>
      </c>
      <c r="E716" s="67"/>
      <c r="F716" s="58">
        <f t="shared" ref="F716:L716" si="724">SUMIFS($C716,$B716,F$7)+F715</f>
        <v>25</v>
      </c>
      <c r="G716" s="58">
        <f t="shared" si="724"/>
        <v>0</v>
      </c>
      <c r="H716" s="58">
        <f t="shared" si="724"/>
        <v>0</v>
      </c>
      <c r="I716" s="58">
        <f t="shared" si="724"/>
        <v>57</v>
      </c>
      <c r="J716" s="58">
        <f t="shared" si="724"/>
        <v>19</v>
      </c>
      <c r="K716" s="58">
        <f t="shared" si="724"/>
        <v>0</v>
      </c>
      <c r="L716" s="58">
        <f t="shared" si="724"/>
        <v>-35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0" customHeight="1">
      <c r="A717" s="70"/>
      <c r="B717" s="71"/>
      <c r="C717" s="66"/>
      <c r="D717" s="66">
        <f t="shared" si="333"/>
        <v>0</v>
      </c>
      <c r="E717" s="67"/>
      <c r="F717" s="58">
        <f t="shared" ref="F717:L717" si="725">SUMIFS($C717,$B717,F$7)+F716</f>
        <v>25</v>
      </c>
      <c r="G717" s="58">
        <f t="shared" si="725"/>
        <v>0</v>
      </c>
      <c r="H717" s="58">
        <f t="shared" si="725"/>
        <v>0</v>
      </c>
      <c r="I717" s="58">
        <f t="shared" si="725"/>
        <v>57</v>
      </c>
      <c r="J717" s="58">
        <f t="shared" si="725"/>
        <v>19</v>
      </c>
      <c r="K717" s="58">
        <f t="shared" si="725"/>
        <v>0</v>
      </c>
      <c r="L717" s="58">
        <f t="shared" si="725"/>
        <v>-35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0" customHeight="1">
      <c r="A718" s="70"/>
      <c r="B718" s="71"/>
      <c r="C718" s="66"/>
      <c r="D718" s="66">
        <f t="shared" si="333"/>
        <v>0</v>
      </c>
      <c r="E718" s="67"/>
      <c r="F718" s="58">
        <f t="shared" ref="F718:L718" si="726">SUMIFS($C718,$B718,F$7)+F717</f>
        <v>25</v>
      </c>
      <c r="G718" s="58">
        <f t="shared" si="726"/>
        <v>0</v>
      </c>
      <c r="H718" s="58">
        <f t="shared" si="726"/>
        <v>0</v>
      </c>
      <c r="I718" s="58">
        <f t="shared" si="726"/>
        <v>57</v>
      </c>
      <c r="J718" s="58">
        <f t="shared" si="726"/>
        <v>19</v>
      </c>
      <c r="K718" s="58">
        <f t="shared" si="726"/>
        <v>0</v>
      </c>
      <c r="L718" s="58">
        <f t="shared" si="726"/>
        <v>-35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0" customHeight="1">
      <c r="A719" s="70"/>
      <c r="B719" s="71"/>
      <c r="C719" s="66"/>
      <c r="D719" s="66">
        <f t="shared" si="333"/>
        <v>0</v>
      </c>
      <c r="E719" s="67"/>
      <c r="F719" s="58">
        <f t="shared" ref="F719:L719" si="727">SUMIFS($C719,$B719,F$7)+F718</f>
        <v>25</v>
      </c>
      <c r="G719" s="58">
        <f t="shared" si="727"/>
        <v>0</v>
      </c>
      <c r="H719" s="58">
        <f t="shared" si="727"/>
        <v>0</v>
      </c>
      <c r="I719" s="58">
        <f t="shared" si="727"/>
        <v>57</v>
      </c>
      <c r="J719" s="58">
        <f t="shared" si="727"/>
        <v>19</v>
      </c>
      <c r="K719" s="58">
        <f t="shared" si="727"/>
        <v>0</v>
      </c>
      <c r="L719" s="58">
        <f t="shared" si="727"/>
        <v>-35</v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0" customHeight="1">
      <c r="A720" s="70"/>
      <c r="B720" s="71"/>
      <c r="C720" s="66"/>
      <c r="D720" s="66">
        <f t="shared" si="333"/>
        <v>0</v>
      </c>
      <c r="E720" s="67"/>
      <c r="F720" s="58">
        <f t="shared" ref="F720:L720" si="728">SUMIFS($C720,$B720,F$7)+F719</f>
        <v>25</v>
      </c>
      <c r="G720" s="58">
        <f t="shared" si="728"/>
        <v>0</v>
      </c>
      <c r="H720" s="58">
        <f t="shared" si="728"/>
        <v>0</v>
      </c>
      <c r="I720" s="58">
        <f t="shared" si="728"/>
        <v>57</v>
      </c>
      <c r="J720" s="58">
        <f t="shared" si="728"/>
        <v>19</v>
      </c>
      <c r="K720" s="58">
        <f t="shared" si="728"/>
        <v>0</v>
      </c>
      <c r="L720" s="58">
        <f t="shared" si="728"/>
        <v>-35</v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0" customHeight="1">
      <c r="A721" s="70"/>
      <c r="B721" s="71"/>
      <c r="C721" s="66"/>
      <c r="D721" s="66">
        <f t="shared" si="333"/>
        <v>0</v>
      </c>
      <c r="E721" s="67"/>
      <c r="F721" s="58">
        <f t="shared" ref="F721:L721" si="729">SUMIFS($C721,$B721,F$7)+F720</f>
        <v>25</v>
      </c>
      <c r="G721" s="58">
        <f t="shared" si="729"/>
        <v>0</v>
      </c>
      <c r="H721" s="58">
        <f t="shared" si="729"/>
        <v>0</v>
      </c>
      <c r="I721" s="58">
        <f t="shared" si="729"/>
        <v>57</v>
      </c>
      <c r="J721" s="58">
        <f t="shared" si="729"/>
        <v>19</v>
      </c>
      <c r="K721" s="58">
        <f t="shared" si="729"/>
        <v>0</v>
      </c>
      <c r="L721" s="58">
        <f t="shared" si="729"/>
        <v>-35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0" customHeight="1">
      <c r="A722" s="70"/>
      <c r="B722" s="71"/>
      <c r="C722" s="66"/>
      <c r="D722" s="66">
        <f t="shared" si="333"/>
        <v>0</v>
      </c>
      <c r="E722" s="67"/>
      <c r="F722" s="58">
        <f t="shared" ref="F722:L722" si="730">SUMIFS($C722,$B722,F$7)+F721</f>
        <v>25</v>
      </c>
      <c r="G722" s="58">
        <f t="shared" si="730"/>
        <v>0</v>
      </c>
      <c r="H722" s="58">
        <f t="shared" si="730"/>
        <v>0</v>
      </c>
      <c r="I722" s="58">
        <f t="shared" si="730"/>
        <v>57</v>
      </c>
      <c r="J722" s="58">
        <f t="shared" si="730"/>
        <v>19</v>
      </c>
      <c r="K722" s="58">
        <f t="shared" si="730"/>
        <v>0</v>
      </c>
      <c r="L722" s="58">
        <f t="shared" si="730"/>
        <v>-35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0" customHeight="1">
      <c r="A723" s="70"/>
      <c r="B723" s="71"/>
      <c r="C723" s="66"/>
      <c r="D723" s="66">
        <f t="shared" si="333"/>
        <v>0</v>
      </c>
      <c r="E723" s="67"/>
      <c r="F723" s="58">
        <f t="shared" ref="F723:L723" si="731">SUMIFS($C723,$B723,F$7)+F722</f>
        <v>25</v>
      </c>
      <c r="G723" s="58">
        <f t="shared" si="731"/>
        <v>0</v>
      </c>
      <c r="H723" s="58">
        <f t="shared" si="731"/>
        <v>0</v>
      </c>
      <c r="I723" s="58">
        <f t="shared" si="731"/>
        <v>57</v>
      </c>
      <c r="J723" s="58">
        <f t="shared" si="731"/>
        <v>19</v>
      </c>
      <c r="K723" s="58">
        <f t="shared" si="731"/>
        <v>0</v>
      </c>
      <c r="L723" s="58">
        <f t="shared" si="731"/>
        <v>-35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0" customHeight="1">
      <c r="A724" s="70"/>
      <c r="B724" s="71"/>
      <c r="C724" s="66"/>
      <c r="D724" s="66">
        <f t="shared" si="333"/>
        <v>0</v>
      </c>
      <c r="E724" s="67"/>
      <c r="F724" s="58">
        <f t="shared" ref="F724:L724" si="732">SUMIFS($C724,$B724,F$7)+F723</f>
        <v>25</v>
      </c>
      <c r="G724" s="58">
        <f t="shared" si="732"/>
        <v>0</v>
      </c>
      <c r="H724" s="58">
        <f t="shared" si="732"/>
        <v>0</v>
      </c>
      <c r="I724" s="58">
        <f t="shared" si="732"/>
        <v>57</v>
      </c>
      <c r="J724" s="58">
        <f t="shared" si="732"/>
        <v>19</v>
      </c>
      <c r="K724" s="58">
        <f t="shared" si="732"/>
        <v>0</v>
      </c>
      <c r="L724" s="58">
        <f t="shared" si="732"/>
        <v>-35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0" customHeight="1">
      <c r="A725" s="70"/>
      <c r="B725" s="71"/>
      <c r="C725" s="66"/>
      <c r="D725" s="66">
        <f t="shared" si="333"/>
        <v>0</v>
      </c>
      <c r="E725" s="67"/>
      <c r="F725" s="58">
        <f t="shared" ref="F725:L725" si="733">SUMIFS($C725,$B725,F$7)+F724</f>
        <v>25</v>
      </c>
      <c r="G725" s="58">
        <f t="shared" si="733"/>
        <v>0</v>
      </c>
      <c r="H725" s="58">
        <f t="shared" si="733"/>
        <v>0</v>
      </c>
      <c r="I725" s="58">
        <f t="shared" si="733"/>
        <v>57</v>
      </c>
      <c r="J725" s="58">
        <f t="shared" si="733"/>
        <v>19</v>
      </c>
      <c r="K725" s="58">
        <f t="shared" si="733"/>
        <v>0</v>
      </c>
      <c r="L725" s="58">
        <f t="shared" si="733"/>
        <v>-35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0" customHeight="1">
      <c r="A726" s="70"/>
      <c r="B726" s="71"/>
      <c r="C726" s="66"/>
      <c r="D726" s="66">
        <f t="shared" si="333"/>
        <v>0</v>
      </c>
      <c r="E726" s="67"/>
      <c r="F726" s="58">
        <f t="shared" ref="F726:L726" si="734">SUMIFS($C726,$B726,F$7)+F725</f>
        <v>25</v>
      </c>
      <c r="G726" s="58">
        <f t="shared" si="734"/>
        <v>0</v>
      </c>
      <c r="H726" s="58">
        <f t="shared" si="734"/>
        <v>0</v>
      </c>
      <c r="I726" s="58">
        <f t="shared" si="734"/>
        <v>57</v>
      </c>
      <c r="J726" s="58">
        <f t="shared" si="734"/>
        <v>19</v>
      </c>
      <c r="K726" s="58">
        <f t="shared" si="734"/>
        <v>0</v>
      </c>
      <c r="L726" s="58">
        <f t="shared" si="734"/>
        <v>-35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0" customHeight="1">
      <c r="A727" s="70"/>
      <c r="B727" s="71"/>
      <c r="C727" s="66"/>
      <c r="D727" s="66">
        <f t="shared" si="333"/>
        <v>0</v>
      </c>
      <c r="E727" s="67"/>
      <c r="F727" s="58">
        <f t="shared" ref="F727:L727" si="735">SUMIFS($C727,$B727,F$7)+F726</f>
        <v>25</v>
      </c>
      <c r="G727" s="58">
        <f t="shared" si="735"/>
        <v>0</v>
      </c>
      <c r="H727" s="58">
        <f t="shared" si="735"/>
        <v>0</v>
      </c>
      <c r="I727" s="58">
        <f t="shared" si="735"/>
        <v>57</v>
      </c>
      <c r="J727" s="58">
        <f t="shared" si="735"/>
        <v>19</v>
      </c>
      <c r="K727" s="58">
        <f t="shared" si="735"/>
        <v>0</v>
      </c>
      <c r="L727" s="58">
        <f t="shared" si="735"/>
        <v>-35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0" customHeight="1">
      <c r="A728" s="70"/>
      <c r="B728" s="71"/>
      <c r="C728" s="66"/>
      <c r="D728" s="66">
        <f t="shared" si="333"/>
        <v>0</v>
      </c>
      <c r="E728" s="67"/>
      <c r="F728" s="58">
        <f t="shared" ref="F728:L728" si="736">SUMIFS($C728,$B728,F$7)+F727</f>
        <v>25</v>
      </c>
      <c r="G728" s="58">
        <f t="shared" si="736"/>
        <v>0</v>
      </c>
      <c r="H728" s="58">
        <f t="shared" si="736"/>
        <v>0</v>
      </c>
      <c r="I728" s="58">
        <f t="shared" si="736"/>
        <v>57</v>
      </c>
      <c r="J728" s="58">
        <f t="shared" si="736"/>
        <v>19</v>
      </c>
      <c r="K728" s="58">
        <f t="shared" si="736"/>
        <v>0</v>
      </c>
      <c r="L728" s="58">
        <f t="shared" si="736"/>
        <v>-35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0" customHeight="1">
      <c r="A729" s="70"/>
      <c r="B729" s="71"/>
      <c r="C729" s="66"/>
      <c r="D729" s="66">
        <f t="shared" si="333"/>
        <v>0</v>
      </c>
      <c r="E729" s="67"/>
      <c r="F729" s="58">
        <f t="shared" ref="F729:L729" si="737">SUMIFS($C729,$B729,F$7)+F728</f>
        <v>25</v>
      </c>
      <c r="G729" s="58">
        <f t="shared" si="737"/>
        <v>0</v>
      </c>
      <c r="H729" s="58">
        <f t="shared" si="737"/>
        <v>0</v>
      </c>
      <c r="I729" s="58">
        <f t="shared" si="737"/>
        <v>57</v>
      </c>
      <c r="J729" s="58">
        <f t="shared" si="737"/>
        <v>19</v>
      </c>
      <c r="K729" s="58">
        <f t="shared" si="737"/>
        <v>0</v>
      </c>
      <c r="L729" s="58">
        <f t="shared" si="737"/>
        <v>-35</v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0" customHeight="1">
      <c r="A730" s="70"/>
      <c r="B730" s="71"/>
      <c r="C730" s="66"/>
      <c r="D730" s="66">
        <f t="shared" si="333"/>
        <v>0</v>
      </c>
      <c r="E730" s="67"/>
      <c r="F730" s="58">
        <f t="shared" ref="F730:L730" si="738">SUMIFS($C730,$B730,F$7)+F729</f>
        <v>25</v>
      </c>
      <c r="G730" s="58">
        <f t="shared" si="738"/>
        <v>0</v>
      </c>
      <c r="H730" s="58">
        <f t="shared" si="738"/>
        <v>0</v>
      </c>
      <c r="I730" s="58">
        <f t="shared" si="738"/>
        <v>57</v>
      </c>
      <c r="J730" s="58">
        <f t="shared" si="738"/>
        <v>19</v>
      </c>
      <c r="K730" s="58">
        <f t="shared" si="738"/>
        <v>0</v>
      </c>
      <c r="L730" s="58">
        <f t="shared" si="738"/>
        <v>-35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0" customHeight="1">
      <c r="A731" s="70"/>
      <c r="B731" s="71"/>
      <c r="C731" s="66"/>
      <c r="D731" s="66">
        <f t="shared" si="333"/>
        <v>0</v>
      </c>
      <c r="E731" s="67"/>
      <c r="F731" s="58">
        <f t="shared" ref="F731:L731" si="739">SUMIFS($C731,$B731,F$7)+F730</f>
        <v>25</v>
      </c>
      <c r="G731" s="58">
        <f t="shared" si="739"/>
        <v>0</v>
      </c>
      <c r="H731" s="58">
        <f t="shared" si="739"/>
        <v>0</v>
      </c>
      <c r="I731" s="58">
        <f t="shared" si="739"/>
        <v>57</v>
      </c>
      <c r="J731" s="58">
        <f t="shared" si="739"/>
        <v>19</v>
      </c>
      <c r="K731" s="58">
        <f t="shared" si="739"/>
        <v>0</v>
      </c>
      <c r="L731" s="58">
        <f t="shared" si="739"/>
        <v>-35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0" customHeight="1">
      <c r="A732" s="70"/>
      <c r="B732" s="71"/>
      <c r="C732" s="66"/>
      <c r="D732" s="66">
        <f t="shared" si="333"/>
        <v>0</v>
      </c>
      <c r="E732" s="67"/>
      <c r="F732" s="58">
        <f t="shared" ref="F732:L732" si="740">SUMIFS($C732,$B732,F$7)+F731</f>
        <v>25</v>
      </c>
      <c r="G732" s="58">
        <f t="shared" si="740"/>
        <v>0</v>
      </c>
      <c r="H732" s="58">
        <f t="shared" si="740"/>
        <v>0</v>
      </c>
      <c r="I732" s="58">
        <f t="shared" si="740"/>
        <v>57</v>
      </c>
      <c r="J732" s="58">
        <f t="shared" si="740"/>
        <v>19</v>
      </c>
      <c r="K732" s="58">
        <f t="shared" si="740"/>
        <v>0</v>
      </c>
      <c r="L732" s="58">
        <f t="shared" si="740"/>
        <v>-35</v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0" customHeight="1">
      <c r="A733" s="70"/>
      <c r="B733" s="71"/>
      <c r="C733" s="66"/>
      <c r="D733" s="66">
        <f t="shared" si="333"/>
        <v>0</v>
      </c>
      <c r="E733" s="67"/>
      <c r="F733" s="58">
        <f t="shared" ref="F733:L733" si="741">SUMIFS($C733,$B733,F$7)+F732</f>
        <v>25</v>
      </c>
      <c r="G733" s="58">
        <f t="shared" si="741"/>
        <v>0</v>
      </c>
      <c r="H733" s="58">
        <f t="shared" si="741"/>
        <v>0</v>
      </c>
      <c r="I733" s="58">
        <f t="shared" si="741"/>
        <v>57</v>
      </c>
      <c r="J733" s="58">
        <f t="shared" si="741"/>
        <v>19</v>
      </c>
      <c r="K733" s="58">
        <f t="shared" si="741"/>
        <v>0</v>
      </c>
      <c r="L733" s="58">
        <f t="shared" si="741"/>
        <v>-35</v>
      </c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0" customHeight="1">
      <c r="A734" s="70"/>
      <c r="B734" s="71"/>
      <c r="C734" s="66"/>
      <c r="D734" s="66">
        <f t="shared" si="333"/>
        <v>0</v>
      </c>
      <c r="E734" s="67"/>
      <c r="F734" s="58">
        <f t="shared" ref="F734:L734" si="742">SUMIFS($C734,$B734,F$7)+F733</f>
        <v>25</v>
      </c>
      <c r="G734" s="58">
        <f t="shared" si="742"/>
        <v>0</v>
      </c>
      <c r="H734" s="58">
        <f t="shared" si="742"/>
        <v>0</v>
      </c>
      <c r="I734" s="58">
        <f t="shared" si="742"/>
        <v>57</v>
      </c>
      <c r="J734" s="58">
        <f t="shared" si="742"/>
        <v>19</v>
      </c>
      <c r="K734" s="58">
        <f t="shared" si="742"/>
        <v>0</v>
      </c>
      <c r="L734" s="58">
        <f t="shared" si="742"/>
        <v>-35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0" customHeight="1">
      <c r="A735" s="70"/>
      <c r="B735" s="71"/>
      <c r="C735" s="66"/>
      <c r="D735" s="66">
        <f t="shared" si="333"/>
        <v>0</v>
      </c>
      <c r="E735" s="67"/>
      <c r="F735" s="58">
        <f t="shared" ref="F735:L735" si="743">SUMIFS($C735,$B735,F$7)+F734</f>
        <v>25</v>
      </c>
      <c r="G735" s="58">
        <f t="shared" si="743"/>
        <v>0</v>
      </c>
      <c r="H735" s="58">
        <f t="shared" si="743"/>
        <v>0</v>
      </c>
      <c r="I735" s="58">
        <f t="shared" si="743"/>
        <v>57</v>
      </c>
      <c r="J735" s="58">
        <f t="shared" si="743"/>
        <v>19</v>
      </c>
      <c r="K735" s="58">
        <f t="shared" si="743"/>
        <v>0</v>
      </c>
      <c r="L735" s="58">
        <f t="shared" si="743"/>
        <v>-35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0" customHeight="1">
      <c r="A736" s="70"/>
      <c r="B736" s="71"/>
      <c r="C736" s="66"/>
      <c r="D736" s="66">
        <f t="shared" si="333"/>
        <v>0</v>
      </c>
      <c r="E736" s="67"/>
      <c r="F736" s="58">
        <f t="shared" ref="F736:L736" si="744">SUMIFS($C736,$B736,F$7)+F735</f>
        <v>25</v>
      </c>
      <c r="G736" s="58">
        <f t="shared" si="744"/>
        <v>0</v>
      </c>
      <c r="H736" s="58">
        <f t="shared" si="744"/>
        <v>0</v>
      </c>
      <c r="I736" s="58">
        <f t="shared" si="744"/>
        <v>57</v>
      </c>
      <c r="J736" s="58">
        <f t="shared" si="744"/>
        <v>19</v>
      </c>
      <c r="K736" s="58">
        <f t="shared" si="744"/>
        <v>0</v>
      </c>
      <c r="L736" s="58">
        <f t="shared" si="744"/>
        <v>-35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0" customHeight="1">
      <c r="A737" s="70"/>
      <c r="B737" s="71"/>
      <c r="C737" s="66"/>
      <c r="D737" s="66">
        <f t="shared" si="333"/>
        <v>0</v>
      </c>
      <c r="E737" s="67"/>
      <c r="F737" s="58">
        <f t="shared" ref="F737:L737" si="745">SUMIFS($C737,$B737,F$7)+F736</f>
        <v>25</v>
      </c>
      <c r="G737" s="58">
        <f t="shared" si="745"/>
        <v>0</v>
      </c>
      <c r="H737" s="58">
        <f t="shared" si="745"/>
        <v>0</v>
      </c>
      <c r="I737" s="58">
        <f t="shared" si="745"/>
        <v>57</v>
      </c>
      <c r="J737" s="58">
        <f t="shared" si="745"/>
        <v>19</v>
      </c>
      <c r="K737" s="58">
        <f t="shared" si="745"/>
        <v>0</v>
      </c>
      <c r="L737" s="58">
        <f t="shared" si="745"/>
        <v>-35</v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0" customHeight="1">
      <c r="A738" s="70"/>
      <c r="B738" s="71"/>
      <c r="C738" s="66"/>
      <c r="D738" s="66">
        <f t="shared" si="333"/>
        <v>0</v>
      </c>
      <c r="E738" s="67"/>
      <c r="F738" s="58">
        <f t="shared" ref="F738:L738" si="746">SUMIFS($C738,$B738,F$7)+F737</f>
        <v>25</v>
      </c>
      <c r="G738" s="58">
        <f t="shared" si="746"/>
        <v>0</v>
      </c>
      <c r="H738" s="58">
        <f t="shared" si="746"/>
        <v>0</v>
      </c>
      <c r="I738" s="58">
        <f t="shared" si="746"/>
        <v>57</v>
      </c>
      <c r="J738" s="58">
        <f t="shared" si="746"/>
        <v>19</v>
      </c>
      <c r="K738" s="58">
        <f t="shared" si="746"/>
        <v>0</v>
      </c>
      <c r="L738" s="58">
        <f t="shared" si="746"/>
        <v>-35</v>
      </c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0" customHeight="1">
      <c r="A739" s="70"/>
      <c r="B739" s="71"/>
      <c r="C739" s="66"/>
      <c r="D739" s="66">
        <f t="shared" si="333"/>
        <v>0</v>
      </c>
      <c r="E739" s="67"/>
      <c r="F739" s="58">
        <f t="shared" ref="F739:L739" si="747">SUMIFS($C739,$B739,F$7)+F738</f>
        <v>25</v>
      </c>
      <c r="G739" s="58">
        <f t="shared" si="747"/>
        <v>0</v>
      </c>
      <c r="H739" s="58">
        <f t="shared" si="747"/>
        <v>0</v>
      </c>
      <c r="I739" s="58">
        <f t="shared" si="747"/>
        <v>57</v>
      </c>
      <c r="J739" s="58">
        <f t="shared" si="747"/>
        <v>19</v>
      </c>
      <c r="K739" s="58">
        <f t="shared" si="747"/>
        <v>0</v>
      </c>
      <c r="L739" s="58">
        <f t="shared" si="747"/>
        <v>-35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0" customHeight="1">
      <c r="A740" s="70"/>
      <c r="B740" s="71"/>
      <c r="C740" s="66"/>
      <c r="D740" s="66">
        <f t="shared" si="333"/>
        <v>0</v>
      </c>
      <c r="E740" s="67"/>
      <c r="F740" s="58">
        <f t="shared" ref="F740:L740" si="748">SUMIFS($C740,$B740,F$7)+F739</f>
        <v>25</v>
      </c>
      <c r="G740" s="58">
        <f t="shared" si="748"/>
        <v>0</v>
      </c>
      <c r="H740" s="58">
        <f t="shared" si="748"/>
        <v>0</v>
      </c>
      <c r="I740" s="58">
        <f t="shared" si="748"/>
        <v>57</v>
      </c>
      <c r="J740" s="58">
        <f t="shared" si="748"/>
        <v>19</v>
      </c>
      <c r="K740" s="58">
        <f t="shared" si="748"/>
        <v>0</v>
      </c>
      <c r="L740" s="58">
        <f t="shared" si="748"/>
        <v>-35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0" customHeight="1">
      <c r="A741" s="70"/>
      <c r="B741" s="71"/>
      <c r="C741" s="66"/>
      <c r="D741" s="66">
        <f t="shared" si="333"/>
        <v>0</v>
      </c>
      <c r="E741" s="67"/>
      <c r="F741" s="58">
        <f t="shared" ref="F741:L741" si="749">SUMIFS($C741,$B741,F$7)+F740</f>
        <v>25</v>
      </c>
      <c r="G741" s="58">
        <f t="shared" si="749"/>
        <v>0</v>
      </c>
      <c r="H741" s="58">
        <f t="shared" si="749"/>
        <v>0</v>
      </c>
      <c r="I741" s="58">
        <f t="shared" si="749"/>
        <v>57</v>
      </c>
      <c r="J741" s="58">
        <f t="shared" si="749"/>
        <v>19</v>
      </c>
      <c r="K741" s="58">
        <f t="shared" si="749"/>
        <v>0</v>
      </c>
      <c r="L741" s="58">
        <f t="shared" si="749"/>
        <v>-35</v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0" customHeight="1">
      <c r="A742" s="70"/>
      <c r="B742" s="71"/>
      <c r="C742" s="66"/>
      <c r="D742" s="66">
        <f t="shared" si="333"/>
        <v>0</v>
      </c>
      <c r="E742" s="67"/>
      <c r="F742" s="58">
        <f t="shared" ref="F742:L742" si="750">SUMIFS($C742,$B742,F$7)+F741</f>
        <v>25</v>
      </c>
      <c r="G742" s="58">
        <f t="shared" si="750"/>
        <v>0</v>
      </c>
      <c r="H742" s="58">
        <f t="shared" si="750"/>
        <v>0</v>
      </c>
      <c r="I742" s="58">
        <f t="shared" si="750"/>
        <v>57</v>
      </c>
      <c r="J742" s="58">
        <f t="shared" si="750"/>
        <v>19</v>
      </c>
      <c r="K742" s="58">
        <f t="shared" si="750"/>
        <v>0</v>
      </c>
      <c r="L742" s="58">
        <f t="shared" si="750"/>
        <v>-35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0" customHeight="1">
      <c r="A743" s="70"/>
      <c r="B743" s="71"/>
      <c r="C743" s="66"/>
      <c r="D743" s="66">
        <f t="shared" si="333"/>
        <v>0</v>
      </c>
      <c r="E743" s="67"/>
      <c r="F743" s="58">
        <f t="shared" ref="F743:L743" si="751">SUMIFS($C743,$B743,F$7)+F742</f>
        <v>25</v>
      </c>
      <c r="G743" s="58">
        <f t="shared" si="751"/>
        <v>0</v>
      </c>
      <c r="H743" s="58">
        <f t="shared" si="751"/>
        <v>0</v>
      </c>
      <c r="I743" s="58">
        <f t="shared" si="751"/>
        <v>57</v>
      </c>
      <c r="J743" s="58">
        <f t="shared" si="751"/>
        <v>19</v>
      </c>
      <c r="K743" s="58">
        <f t="shared" si="751"/>
        <v>0</v>
      </c>
      <c r="L743" s="58">
        <f t="shared" si="751"/>
        <v>-35</v>
      </c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0" customHeight="1">
      <c r="A744" s="70"/>
      <c r="B744" s="71"/>
      <c r="C744" s="66"/>
      <c r="D744" s="66">
        <f t="shared" si="333"/>
        <v>0</v>
      </c>
      <c r="E744" s="67"/>
      <c r="F744" s="58">
        <f t="shared" ref="F744:L744" si="752">SUMIFS($C744,$B744,F$7)+F743</f>
        <v>25</v>
      </c>
      <c r="G744" s="58">
        <f t="shared" si="752"/>
        <v>0</v>
      </c>
      <c r="H744" s="58">
        <f t="shared" si="752"/>
        <v>0</v>
      </c>
      <c r="I744" s="58">
        <f t="shared" si="752"/>
        <v>57</v>
      </c>
      <c r="J744" s="58">
        <f t="shared" si="752"/>
        <v>19</v>
      </c>
      <c r="K744" s="58">
        <f t="shared" si="752"/>
        <v>0</v>
      </c>
      <c r="L744" s="58">
        <f t="shared" si="752"/>
        <v>-35</v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0" customHeight="1">
      <c r="A745" s="70"/>
      <c r="B745" s="71"/>
      <c r="C745" s="66"/>
      <c r="D745" s="66">
        <f t="shared" si="333"/>
        <v>0</v>
      </c>
      <c r="E745" s="67"/>
      <c r="F745" s="58">
        <f t="shared" ref="F745:L745" si="753">SUMIFS($C745,$B745,F$7)+F744</f>
        <v>25</v>
      </c>
      <c r="G745" s="58">
        <f t="shared" si="753"/>
        <v>0</v>
      </c>
      <c r="H745" s="58">
        <f t="shared" si="753"/>
        <v>0</v>
      </c>
      <c r="I745" s="58">
        <f t="shared" si="753"/>
        <v>57</v>
      </c>
      <c r="J745" s="58">
        <f t="shared" si="753"/>
        <v>19</v>
      </c>
      <c r="K745" s="58">
        <f t="shared" si="753"/>
        <v>0</v>
      </c>
      <c r="L745" s="58">
        <f t="shared" si="753"/>
        <v>-35</v>
      </c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0" customHeight="1">
      <c r="A746" s="70"/>
      <c r="B746" s="71"/>
      <c r="C746" s="66"/>
      <c r="D746" s="66">
        <f t="shared" si="333"/>
        <v>0</v>
      </c>
      <c r="E746" s="67"/>
      <c r="F746" s="58">
        <f t="shared" ref="F746:L746" si="754">SUMIFS($C746,$B746,F$7)+F745</f>
        <v>25</v>
      </c>
      <c r="G746" s="58">
        <f t="shared" si="754"/>
        <v>0</v>
      </c>
      <c r="H746" s="58">
        <f t="shared" si="754"/>
        <v>0</v>
      </c>
      <c r="I746" s="58">
        <f t="shared" si="754"/>
        <v>57</v>
      </c>
      <c r="J746" s="58">
        <f t="shared" si="754"/>
        <v>19</v>
      </c>
      <c r="K746" s="58">
        <f t="shared" si="754"/>
        <v>0</v>
      </c>
      <c r="L746" s="58">
        <f t="shared" si="754"/>
        <v>-35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0" customHeight="1">
      <c r="A747" s="70"/>
      <c r="B747" s="71"/>
      <c r="C747" s="66"/>
      <c r="D747" s="66">
        <f t="shared" si="333"/>
        <v>0</v>
      </c>
      <c r="E747" s="67"/>
      <c r="F747" s="58">
        <f t="shared" ref="F747:L747" si="755">SUMIFS($C747,$B747,F$7)+F746</f>
        <v>25</v>
      </c>
      <c r="G747" s="58">
        <f t="shared" si="755"/>
        <v>0</v>
      </c>
      <c r="H747" s="58">
        <f t="shared" si="755"/>
        <v>0</v>
      </c>
      <c r="I747" s="58">
        <f t="shared" si="755"/>
        <v>57</v>
      </c>
      <c r="J747" s="58">
        <f t="shared" si="755"/>
        <v>19</v>
      </c>
      <c r="K747" s="58">
        <f t="shared" si="755"/>
        <v>0</v>
      </c>
      <c r="L747" s="58">
        <f t="shared" si="755"/>
        <v>-35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0" customHeight="1">
      <c r="A748" s="70"/>
      <c r="B748" s="71"/>
      <c r="C748" s="66"/>
      <c r="D748" s="66">
        <f t="shared" si="333"/>
        <v>0</v>
      </c>
      <c r="E748" s="67"/>
      <c r="F748" s="58">
        <f t="shared" ref="F748:L748" si="756">SUMIFS($C748,$B748,F$7)+F747</f>
        <v>25</v>
      </c>
      <c r="G748" s="58">
        <f t="shared" si="756"/>
        <v>0</v>
      </c>
      <c r="H748" s="58">
        <f t="shared" si="756"/>
        <v>0</v>
      </c>
      <c r="I748" s="58">
        <f t="shared" si="756"/>
        <v>57</v>
      </c>
      <c r="J748" s="58">
        <f t="shared" si="756"/>
        <v>19</v>
      </c>
      <c r="K748" s="58">
        <f t="shared" si="756"/>
        <v>0</v>
      </c>
      <c r="L748" s="58">
        <f t="shared" si="756"/>
        <v>-35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0" customHeight="1">
      <c r="A749" s="70"/>
      <c r="B749" s="71"/>
      <c r="C749" s="66"/>
      <c r="D749" s="66">
        <f t="shared" si="333"/>
        <v>0</v>
      </c>
      <c r="E749" s="67"/>
      <c r="F749" s="58">
        <f t="shared" ref="F749:L749" si="757">SUMIFS($C749,$B749,F$7)+F748</f>
        <v>25</v>
      </c>
      <c r="G749" s="58">
        <f t="shared" si="757"/>
        <v>0</v>
      </c>
      <c r="H749" s="58">
        <f t="shared" si="757"/>
        <v>0</v>
      </c>
      <c r="I749" s="58">
        <f t="shared" si="757"/>
        <v>57</v>
      </c>
      <c r="J749" s="58">
        <f t="shared" si="757"/>
        <v>19</v>
      </c>
      <c r="K749" s="58">
        <f t="shared" si="757"/>
        <v>0</v>
      </c>
      <c r="L749" s="58">
        <f t="shared" si="757"/>
        <v>-35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0" customHeight="1">
      <c r="A750" s="70"/>
      <c r="B750" s="71"/>
      <c r="C750" s="66"/>
      <c r="D750" s="66">
        <f t="shared" si="333"/>
        <v>0</v>
      </c>
      <c r="E750" s="67"/>
      <c r="F750" s="58">
        <f t="shared" ref="F750:L750" si="758">SUMIFS($C750,$B750,F$7)+F749</f>
        <v>25</v>
      </c>
      <c r="G750" s="58">
        <f t="shared" si="758"/>
        <v>0</v>
      </c>
      <c r="H750" s="58">
        <f t="shared" si="758"/>
        <v>0</v>
      </c>
      <c r="I750" s="58">
        <f t="shared" si="758"/>
        <v>57</v>
      </c>
      <c r="J750" s="58">
        <f t="shared" si="758"/>
        <v>19</v>
      </c>
      <c r="K750" s="58">
        <f t="shared" si="758"/>
        <v>0</v>
      </c>
      <c r="L750" s="58">
        <f t="shared" si="758"/>
        <v>-35</v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0" customHeight="1">
      <c r="A751" s="70"/>
      <c r="B751" s="71"/>
      <c r="C751" s="66"/>
      <c r="D751" s="66">
        <f t="shared" si="333"/>
        <v>0</v>
      </c>
      <c r="E751" s="67"/>
      <c r="F751" s="58">
        <f t="shared" ref="F751:L751" si="759">SUMIFS($C751,$B751,F$7)+F750</f>
        <v>25</v>
      </c>
      <c r="G751" s="58">
        <f t="shared" si="759"/>
        <v>0</v>
      </c>
      <c r="H751" s="58">
        <f t="shared" si="759"/>
        <v>0</v>
      </c>
      <c r="I751" s="58">
        <f t="shared" si="759"/>
        <v>57</v>
      </c>
      <c r="J751" s="58">
        <f t="shared" si="759"/>
        <v>19</v>
      </c>
      <c r="K751" s="58">
        <f t="shared" si="759"/>
        <v>0</v>
      </c>
      <c r="L751" s="58">
        <f t="shared" si="759"/>
        <v>-35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0" customHeight="1">
      <c r="A752" s="70"/>
      <c r="B752" s="71"/>
      <c r="C752" s="66"/>
      <c r="D752" s="66">
        <f t="shared" si="333"/>
        <v>0</v>
      </c>
      <c r="E752" s="67"/>
      <c r="F752" s="58">
        <f t="shared" ref="F752:L752" si="760">SUMIFS($C752,$B752,F$7)+F751</f>
        <v>25</v>
      </c>
      <c r="G752" s="58">
        <f t="shared" si="760"/>
        <v>0</v>
      </c>
      <c r="H752" s="58">
        <f t="shared" si="760"/>
        <v>0</v>
      </c>
      <c r="I752" s="58">
        <f t="shared" si="760"/>
        <v>57</v>
      </c>
      <c r="J752" s="58">
        <f t="shared" si="760"/>
        <v>19</v>
      </c>
      <c r="K752" s="58">
        <f t="shared" si="760"/>
        <v>0</v>
      </c>
      <c r="L752" s="58">
        <f t="shared" si="760"/>
        <v>-35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0" customHeight="1">
      <c r="A753" s="70"/>
      <c r="B753" s="71"/>
      <c r="C753" s="66"/>
      <c r="D753" s="66">
        <f t="shared" si="333"/>
        <v>0</v>
      </c>
      <c r="E753" s="67"/>
      <c r="F753" s="58">
        <f t="shared" ref="F753:L753" si="761">SUMIFS($C753,$B753,F$7)+F752</f>
        <v>25</v>
      </c>
      <c r="G753" s="58">
        <f t="shared" si="761"/>
        <v>0</v>
      </c>
      <c r="H753" s="58">
        <f t="shared" si="761"/>
        <v>0</v>
      </c>
      <c r="I753" s="58">
        <f t="shared" si="761"/>
        <v>57</v>
      </c>
      <c r="J753" s="58">
        <f t="shared" si="761"/>
        <v>19</v>
      </c>
      <c r="K753" s="58">
        <f t="shared" si="761"/>
        <v>0</v>
      </c>
      <c r="L753" s="58">
        <f t="shared" si="761"/>
        <v>-35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0" customHeight="1">
      <c r="A754" s="70"/>
      <c r="B754" s="71"/>
      <c r="C754" s="66"/>
      <c r="D754" s="66">
        <f t="shared" si="333"/>
        <v>0</v>
      </c>
      <c r="E754" s="67"/>
      <c r="F754" s="58">
        <f t="shared" ref="F754:L754" si="762">SUMIFS($C754,$B754,F$7)+F753</f>
        <v>25</v>
      </c>
      <c r="G754" s="58">
        <f t="shared" si="762"/>
        <v>0</v>
      </c>
      <c r="H754" s="58">
        <f t="shared" si="762"/>
        <v>0</v>
      </c>
      <c r="I754" s="58">
        <f t="shared" si="762"/>
        <v>57</v>
      </c>
      <c r="J754" s="58">
        <f t="shared" si="762"/>
        <v>19</v>
      </c>
      <c r="K754" s="58">
        <f t="shared" si="762"/>
        <v>0</v>
      </c>
      <c r="L754" s="58">
        <f t="shared" si="762"/>
        <v>-35</v>
      </c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0" customHeight="1">
      <c r="A755" s="70"/>
      <c r="B755" s="71"/>
      <c r="C755" s="66"/>
      <c r="D755" s="66">
        <f t="shared" si="333"/>
        <v>0</v>
      </c>
      <c r="E755" s="67"/>
      <c r="F755" s="58">
        <f t="shared" ref="F755:L755" si="763">SUMIFS($C755,$B755,F$7)+F754</f>
        <v>25</v>
      </c>
      <c r="G755" s="58">
        <f t="shared" si="763"/>
        <v>0</v>
      </c>
      <c r="H755" s="58">
        <f t="shared" si="763"/>
        <v>0</v>
      </c>
      <c r="I755" s="58">
        <f t="shared" si="763"/>
        <v>57</v>
      </c>
      <c r="J755" s="58">
        <f t="shared" si="763"/>
        <v>19</v>
      </c>
      <c r="K755" s="58">
        <f t="shared" si="763"/>
        <v>0</v>
      </c>
      <c r="L755" s="58">
        <f t="shared" si="763"/>
        <v>-35</v>
      </c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0" customHeight="1">
      <c r="A756" s="70"/>
      <c r="B756" s="71"/>
      <c r="C756" s="66"/>
      <c r="D756" s="66">
        <f t="shared" si="333"/>
        <v>0</v>
      </c>
      <c r="E756" s="67"/>
      <c r="F756" s="58">
        <f t="shared" ref="F756:L756" si="764">SUMIFS($C756,$B756,F$7)+F755</f>
        <v>25</v>
      </c>
      <c r="G756" s="58">
        <f t="shared" si="764"/>
        <v>0</v>
      </c>
      <c r="H756" s="58">
        <f t="shared" si="764"/>
        <v>0</v>
      </c>
      <c r="I756" s="58">
        <f t="shared" si="764"/>
        <v>57</v>
      </c>
      <c r="J756" s="58">
        <f t="shared" si="764"/>
        <v>19</v>
      </c>
      <c r="K756" s="58">
        <f t="shared" si="764"/>
        <v>0</v>
      </c>
      <c r="L756" s="58">
        <f t="shared" si="764"/>
        <v>-35</v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0" customHeight="1">
      <c r="A757" s="70"/>
      <c r="B757" s="71"/>
      <c r="C757" s="66"/>
      <c r="D757" s="66">
        <f t="shared" si="333"/>
        <v>0</v>
      </c>
      <c r="E757" s="67"/>
      <c r="F757" s="58">
        <f t="shared" ref="F757:L757" si="765">SUMIFS($C757,$B757,F$7)+F756</f>
        <v>25</v>
      </c>
      <c r="G757" s="58">
        <f t="shared" si="765"/>
        <v>0</v>
      </c>
      <c r="H757" s="58">
        <f t="shared" si="765"/>
        <v>0</v>
      </c>
      <c r="I757" s="58">
        <f t="shared" si="765"/>
        <v>57</v>
      </c>
      <c r="J757" s="58">
        <f t="shared" si="765"/>
        <v>19</v>
      </c>
      <c r="K757" s="58">
        <f t="shared" si="765"/>
        <v>0</v>
      </c>
      <c r="L757" s="58">
        <f t="shared" si="765"/>
        <v>-35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0" customHeight="1">
      <c r="A758" s="70"/>
      <c r="B758" s="71"/>
      <c r="C758" s="66"/>
      <c r="D758" s="66">
        <f t="shared" si="333"/>
        <v>0</v>
      </c>
      <c r="E758" s="67"/>
      <c r="F758" s="58">
        <f t="shared" ref="F758:L758" si="766">SUMIFS($C758,$B758,F$7)+F757</f>
        <v>25</v>
      </c>
      <c r="G758" s="58">
        <f t="shared" si="766"/>
        <v>0</v>
      </c>
      <c r="H758" s="58">
        <f t="shared" si="766"/>
        <v>0</v>
      </c>
      <c r="I758" s="58">
        <f t="shared" si="766"/>
        <v>57</v>
      </c>
      <c r="J758" s="58">
        <f t="shared" si="766"/>
        <v>19</v>
      </c>
      <c r="K758" s="58">
        <f t="shared" si="766"/>
        <v>0</v>
      </c>
      <c r="L758" s="58">
        <f t="shared" si="766"/>
        <v>-35</v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0" customHeight="1">
      <c r="A759" s="70"/>
      <c r="B759" s="71"/>
      <c r="C759" s="66"/>
      <c r="D759" s="66">
        <f t="shared" si="333"/>
        <v>0</v>
      </c>
      <c r="E759" s="67"/>
      <c r="F759" s="58">
        <f t="shared" ref="F759:L759" si="767">SUMIFS($C759,$B759,F$7)+F758</f>
        <v>25</v>
      </c>
      <c r="G759" s="58">
        <f t="shared" si="767"/>
        <v>0</v>
      </c>
      <c r="H759" s="58">
        <f t="shared" si="767"/>
        <v>0</v>
      </c>
      <c r="I759" s="58">
        <f t="shared" si="767"/>
        <v>57</v>
      </c>
      <c r="J759" s="58">
        <f t="shared" si="767"/>
        <v>19</v>
      </c>
      <c r="K759" s="58">
        <f t="shared" si="767"/>
        <v>0</v>
      </c>
      <c r="L759" s="58">
        <f t="shared" si="767"/>
        <v>-35</v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0" customHeight="1">
      <c r="A760" s="70"/>
      <c r="B760" s="71"/>
      <c r="C760" s="66"/>
      <c r="D760" s="66">
        <f t="shared" si="333"/>
        <v>0</v>
      </c>
      <c r="E760" s="67"/>
      <c r="F760" s="58">
        <f t="shared" ref="F760:L760" si="768">SUMIFS($C760,$B760,F$7)+F759</f>
        <v>25</v>
      </c>
      <c r="G760" s="58">
        <f t="shared" si="768"/>
        <v>0</v>
      </c>
      <c r="H760" s="58">
        <f t="shared" si="768"/>
        <v>0</v>
      </c>
      <c r="I760" s="58">
        <f t="shared" si="768"/>
        <v>57</v>
      </c>
      <c r="J760" s="58">
        <f t="shared" si="768"/>
        <v>19</v>
      </c>
      <c r="K760" s="58">
        <f t="shared" si="768"/>
        <v>0</v>
      </c>
      <c r="L760" s="58">
        <f t="shared" si="768"/>
        <v>-35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0" customHeight="1">
      <c r="A761" s="70"/>
      <c r="B761" s="71"/>
      <c r="C761" s="66"/>
      <c r="D761" s="66">
        <f t="shared" si="333"/>
        <v>0</v>
      </c>
      <c r="E761" s="67"/>
      <c r="F761" s="58">
        <f t="shared" ref="F761:L761" si="769">SUMIFS($C761,$B761,F$7)+F760</f>
        <v>25</v>
      </c>
      <c r="G761" s="58">
        <f t="shared" si="769"/>
        <v>0</v>
      </c>
      <c r="H761" s="58">
        <f t="shared" si="769"/>
        <v>0</v>
      </c>
      <c r="I761" s="58">
        <f t="shared" si="769"/>
        <v>57</v>
      </c>
      <c r="J761" s="58">
        <f t="shared" si="769"/>
        <v>19</v>
      </c>
      <c r="K761" s="58">
        <f t="shared" si="769"/>
        <v>0</v>
      </c>
      <c r="L761" s="58">
        <f t="shared" si="769"/>
        <v>-35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0" customHeight="1">
      <c r="A762" s="70"/>
      <c r="B762" s="71"/>
      <c r="C762" s="66"/>
      <c r="D762" s="66">
        <f t="shared" si="333"/>
        <v>0</v>
      </c>
      <c r="E762" s="67"/>
      <c r="F762" s="58">
        <f t="shared" ref="F762:L762" si="770">SUMIFS($C762,$B762,F$7)+F761</f>
        <v>25</v>
      </c>
      <c r="G762" s="58">
        <f t="shared" si="770"/>
        <v>0</v>
      </c>
      <c r="H762" s="58">
        <f t="shared" si="770"/>
        <v>0</v>
      </c>
      <c r="I762" s="58">
        <f t="shared" si="770"/>
        <v>57</v>
      </c>
      <c r="J762" s="58">
        <f t="shared" si="770"/>
        <v>19</v>
      </c>
      <c r="K762" s="58">
        <f t="shared" si="770"/>
        <v>0</v>
      </c>
      <c r="L762" s="58">
        <f t="shared" si="770"/>
        <v>-35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0" customHeight="1">
      <c r="A763" s="70"/>
      <c r="B763" s="71"/>
      <c r="C763" s="66"/>
      <c r="D763" s="66">
        <f t="shared" si="333"/>
        <v>0</v>
      </c>
      <c r="E763" s="67"/>
      <c r="F763" s="58">
        <f t="shared" ref="F763:L763" si="771">SUMIFS($C763,$B763,F$7)+F762</f>
        <v>25</v>
      </c>
      <c r="G763" s="58">
        <f t="shared" si="771"/>
        <v>0</v>
      </c>
      <c r="H763" s="58">
        <f t="shared" si="771"/>
        <v>0</v>
      </c>
      <c r="I763" s="58">
        <f t="shared" si="771"/>
        <v>57</v>
      </c>
      <c r="J763" s="58">
        <f t="shared" si="771"/>
        <v>19</v>
      </c>
      <c r="K763" s="58">
        <f t="shared" si="771"/>
        <v>0</v>
      </c>
      <c r="L763" s="58">
        <f t="shared" si="771"/>
        <v>-35</v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0" customHeight="1">
      <c r="A764" s="70"/>
      <c r="B764" s="71"/>
      <c r="C764" s="66"/>
      <c r="D764" s="66">
        <f t="shared" si="333"/>
        <v>0</v>
      </c>
      <c r="E764" s="67"/>
      <c r="F764" s="58">
        <f t="shared" ref="F764:L764" si="772">SUMIFS($C764,$B764,F$7)+F763</f>
        <v>25</v>
      </c>
      <c r="G764" s="58">
        <f t="shared" si="772"/>
        <v>0</v>
      </c>
      <c r="H764" s="58">
        <f t="shared" si="772"/>
        <v>0</v>
      </c>
      <c r="I764" s="58">
        <f t="shared" si="772"/>
        <v>57</v>
      </c>
      <c r="J764" s="58">
        <f t="shared" si="772"/>
        <v>19</v>
      </c>
      <c r="K764" s="58">
        <f t="shared" si="772"/>
        <v>0</v>
      </c>
      <c r="L764" s="58">
        <f t="shared" si="772"/>
        <v>-35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0" customHeight="1">
      <c r="A765" s="70"/>
      <c r="B765" s="71"/>
      <c r="C765" s="66"/>
      <c r="D765" s="66">
        <f t="shared" si="333"/>
        <v>0</v>
      </c>
      <c r="E765" s="67"/>
      <c r="F765" s="58">
        <f t="shared" ref="F765:L765" si="773">SUMIFS($C765,$B765,F$7)+F764</f>
        <v>25</v>
      </c>
      <c r="G765" s="58">
        <f t="shared" si="773"/>
        <v>0</v>
      </c>
      <c r="H765" s="58">
        <f t="shared" si="773"/>
        <v>0</v>
      </c>
      <c r="I765" s="58">
        <f t="shared" si="773"/>
        <v>57</v>
      </c>
      <c r="J765" s="58">
        <f t="shared" si="773"/>
        <v>19</v>
      </c>
      <c r="K765" s="58">
        <f t="shared" si="773"/>
        <v>0</v>
      </c>
      <c r="L765" s="58">
        <f t="shared" si="773"/>
        <v>-35</v>
      </c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0" customHeight="1">
      <c r="A766" s="70"/>
      <c r="B766" s="71"/>
      <c r="C766" s="66"/>
      <c r="D766" s="66">
        <f t="shared" si="333"/>
        <v>0</v>
      </c>
      <c r="E766" s="67"/>
      <c r="F766" s="58">
        <f t="shared" ref="F766:L766" si="774">SUMIFS($C766,$B766,F$7)+F765</f>
        <v>25</v>
      </c>
      <c r="G766" s="58">
        <f t="shared" si="774"/>
        <v>0</v>
      </c>
      <c r="H766" s="58">
        <f t="shared" si="774"/>
        <v>0</v>
      </c>
      <c r="I766" s="58">
        <f t="shared" si="774"/>
        <v>57</v>
      </c>
      <c r="J766" s="58">
        <f t="shared" si="774"/>
        <v>19</v>
      </c>
      <c r="K766" s="58">
        <f t="shared" si="774"/>
        <v>0</v>
      </c>
      <c r="L766" s="58">
        <f t="shared" si="774"/>
        <v>-35</v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0" customHeight="1">
      <c r="A767" s="70"/>
      <c r="B767" s="71"/>
      <c r="C767" s="66"/>
      <c r="D767" s="66">
        <f t="shared" si="333"/>
        <v>0</v>
      </c>
      <c r="E767" s="67"/>
      <c r="F767" s="58">
        <f t="shared" ref="F767:L767" si="775">SUMIFS($C767,$B767,F$7)+F766</f>
        <v>25</v>
      </c>
      <c r="G767" s="58">
        <f t="shared" si="775"/>
        <v>0</v>
      </c>
      <c r="H767" s="58">
        <f t="shared" si="775"/>
        <v>0</v>
      </c>
      <c r="I767" s="58">
        <f t="shared" si="775"/>
        <v>57</v>
      </c>
      <c r="J767" s="58">
        <f t="shared" si="775"/>
        <v>19</v>
      </c>
      <c r="K767" s="58">
        <f t="shared" si="775"/>
        <v>0</v>
      </c>
      <c r="L767" s="58">
        <f t="shared" si="775"/>
        <v>-35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0" customHeight="1">
      <c r="A768" s="70"/>
      <c r="B768" s="71"/>
      <c r="C768" s="66"/>
      <c r="D768" s="66">
        <f t="shared" si="333"/>
        <v>0</v>
      </c>
      <c r="E768" s="67"/>
      <c r="F768" s="58">
        <f t="shared" ref="F768:L768" si="776">SUMIFS($C768,$B768,F$7)+F767</f>
        <v>25</v>
      </c>
      <c r="G768" s="58">
        <f t="shared" si="776"/>
        <v>0</v>
      </c>
      <c r="H768" s="58">
        <f t="shared" si="776"/>
        <v>0</v>
      </c>
      <c r="I768" s="58">
        <f t="shared" si="776"/>
        <v>57</v>
      </c>
      <c r="J768" s="58">
        <f t="shared" si="776"/>
        <v>19</v>
      </c>
      <c r="K768" s="58">
        <f t="shared" si="776"/>
        <v>0</v>
      </c>
      <c r="L768" s="58">
        <f t="shared" si="776"/>
        <v>-35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0" customHeight="1">
      <c r="A769" s="70"/>
      <c r="B769" s="71"/>
      <c r="C769" s="66"/>
      <c r="D769" s="66">
        <f t="shared" si="333"/>
        <v>0</v>
      </c>
      <c r="E769" s="67"/>
      <c r="F769" s="58">
        <f t="shared" ref="F769:L769" si="777">SUMIFS($C769,$B769,F$7)+F768</f>
        <v>25</v>
      </c>
      <c r="G769" s="58">
        <f t="shared" si="777"/>
        <v>0</v>
      </c>
      <c r="H769" s="58">
        <f t="shared" si="777"/>
        <v>0</v>
      </c>
      <c r="I769" s="58">
        <f t="shared" si="777"/>
        <v>57</v>
      </c>
      <c r="J769" s="58">
        <f t="shared" si="777"/>
        <v>19</v>
      </c>
      <c r="K769" s="58">
        <f t="shared" si="777"/>
        <v>0</v>
      </c>
      <c r="L769" s="58">
        <f t="shared" si="777"/>
        <v>-35</v>
      </c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0" customHeight="1">
      <c r="A770" s="70"/>
      <c r="B770" s="71"/>
      <c r="C770" s="66"/>
      <c r="D770" s="66">
        <f t="shared" si="333"/>
        <v>0</v>
      </c>
      <c r="E770" s="67"/>
      <c r="F770" s="58">
        <f t="shared" ref="F770:L770" si="778">SUMIFS($C770,$B770,F$7)+F769</f>
        <v>25</v>
      </c>
      <c r="G770" s="58">
        <f t="shared" si="778"/>
        <v>0</v>
      </c>
      <c r="H770" s="58">
        <f t="shared" si="778"/>
        <v>0</v>
      </c>
      <c r="I770" s="58">
        <f t="shared" si="778"/>
        <v>57</v>
      </c>
      <c r="J770" s="58">
        <f t="shared" si="778"/>
        <v>19</v>
      </c>
      <c r="K770" s="58">
        <f t="shared" si="778"/>
        <v>0</v>
      </c>
      <c r="L770" s="58">
        <f t="shared" si="778"/>
        <v>-35</v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0" customHeight="1">
      <c r="A771" s="70"/>
      <c r="B771" s="71"/>
      <c r="C771" s="66"/>
      <c r="D771" s="66">
        <f t="shared" si="333"/>
        <v>0</v>
      </c>
      <c r="E771" s="67"/>
      <c r="F771" s="58">
        <f t="shared" ref="F771:L771" si="779">SUMIFS($C771,$B771,F$7)+F770</f>
        <v>25</v>
      </c>
      <c r="G771" s="58">
        <f t="shared" si="779"/>
        <v>0</v>
      </c>
      <c r="H771" s="58">
        <f t="shared" si="779"/>
        <v>0</v>
      </c>
      <c r="I771" s="58">
        <f t="shared" si="779"/>
        <v>57</v>
      </c>
      <c r="J771" s="58">
        <f t="shared" si="779"/>
        <v>19</v>
      </c>
      <c r="K771" s="58">
        <f t="shared" si="779"/>
        <v>0</v>
      </c>
      <c r="L771" s="58">
        <f t="shared" si="779"/>
        <v>-35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0" customHeight="1">
      <c r="A772" s="70"/>
      <c r="B772" s="71"/>
      <c r="C772" s="66"/>
      <c r="D772" s="66">
        <f t="shared" si="333"/>
        <v>0</v>
      </c>
      <c r="E772" s="67"/>
      <c r="F772" s="58">
        <f t="shared" ref="F772:L772" si="780">SUMIFS($C772,$B772,F$7)+F771</f>
        <v>25</v>
      </c>
      <c r="G772" s="58">
        <f t="shared" si="780"/>
        <v>0</v>
      </c>
      <c r="H772" s="58">
        <f t="shared" si="780"/>
        <v>0</v>
      </c>
      <c r="I772" s="58">
        <f t="shared" si="780"/>
        <v>57</v>
      </c>
      <c r="J772" s="58">
        <f t="shared" si="780"/>
        <v>19</v>
      </c>
      <c r="K772" s="58">
        <f t="shared" si="780"/>
        <v>0</v>
      </c>
      <c r="L772" s="58">
        <f t="shared" si="780"/>
        <v>-35</v>
      </c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0" customHeight="1">
      <c r="A773" s="70"/>
      <c r="B773" s="71"/>
      <c r="C773" s="66"/>
      <c r="D773" s="66">
        <f t="shared" si="333"/>
        <v>0</v>
      </c>
      <c r="E773" s="67"/>
      <c r="F773" s="58">
        <f t="shared" ref="F773:L773" si="781">SUMIFS($C773,$B773,F$7)+F772</f>
        <v>25</v>
      </c>
      <c r="G773" s="58">
        <f t="shared" si="781"/>
        <v>0</v>
      </c>
      <c r="H773" s="58">
        <f t="shared" si="781"/>
        <v>0</v>
      </c>
      <c r="I773" s="58">
        <f t="shared" si="781"/>
        <v>57</v>
      </c>
      <c r="J773" s="58">
        <f t="shared" si="781"/>
        <v>19</v>
      </c>
      <c r="K773" s="58">
        <f t="shared" si="781"/>
        <v>0</v>
      </c>
      <c r="L773" s="58">
        <f t="shared" si="781"/>
        <v>-35</v>
      </c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0" customHeight="1">
      <c r="A774" s="70"/>
      <c r="B774" s="71"/>
      <c r="C774" s="66"/>
      <c r="D774" s="66">
        <f t="shared" si="333"/>
        <v>0</v>
      </c>
      <c r="E774" s="67"/>
      <c r="F774" s="58">
        <f t="shared" ref="F774:L774" si="782">SUMIFS($C774,$B774,F$7)+F773</f>
        <v>25</v>
      </c>
      <c r="G774" s="58">
        <f t="shared" si="782"/>
        <v>0</v>
      </c>
      <c r="H774" s="58">
        <f t="shared" si="782"/>
        <v>0</v>
      </c>
      <c r="I774" s="58">
        <f t="shared" si="782"/>
        <v>57</v>
      </c>
      <c r="J774" s="58">
        <f t="shared" si="782"/>
        <v>19</v>
      </c>
      <c r="K774" s="58">
        <f t="shared" si="782"/>
        <v>0</v>
      </c>
      <c r="L774" s="58">
        <f t="shared" si="782"/>
        <v>-35</v>
      </c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0" customHeight="1">
      <c r="A775" s="70"/>
      <c r="B775" s="71"/>
      <c r="C775" s="66"/>
      <c r="D775" s="66">
        <f t="shared" si="333"/>
        <v>0</v>
      </c>
      <c r="E775" s="67"/>
      <c r="F775" s="58">
        <f t="shared" ref="F775:L775" si="783">SUMIFS($C775,$B775,F$7)+F774</f>
        <v>25</v>
      </c>
      <c r="G775" s="58">
        <f t="shared" si="783"/>
        <v>0</v>
      </c>
      <c r="H775" s="58">
        <f t="shared" si="783"/>
        <v>0</v>
      </c>
      <c r="I775" s="58">
        <f t="shared" si="783"/>
        <v>57</v>
      </c>
      <c r="J775" s="58">
        <f t="shared" si="783"/>
        <v>19</v>
      </c>
      <c r="K775" s="58">
        <f t="shared" si="783"/>
        <v>0</v>
      </c>
      <c r="L775" s="58">
        <f t="shared" si="783"/>
        <v>-35</v>
      </c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0" customHeight="1">
      <c r="A776" s="70"/>
      <c r="B776" s="71"/>
      <c r="C776" s="66"/>
      <c r="D776" s="66">
        <f t="shared" si="333"/>
        <v>0</v>
      </c>
      <c r="E776" s="67"/>
      <c r="F776" s="58">
        <f t="shared" ref="F776:L776" si="784">SUMIFS($C776,$B776,F$7)+F775</f>
        <v>25</v>
      </c>
      <c r="G776" s="58">
        <f t="shared" si="784"/>
        <v>0</v>
      </c>
      <c r="H776" s="58">
        <f t="shared" si="784"/>
        <v>0</v>
      </c>
      <c r="I776" s="58">
        <f t="shared" si="784"/>
        <v>57</v>
      </c>
      <c r="J776" s="58">
        <f t="shared" si="784"/>
        <v>19</v>
      </c>
      <c r="K776" s="58">
        <f t="shared" si="784"/>
        <v>0</v>
      </c>
      <c r="L776" s="58">
        <f t="shared" si="784"/>
        <v>-35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0" customHeight="1">
      <c r="A777" s="70"/>
      <c r="B777" s="71"/>
      <c r="C777" s="66"/>
      <c r="D777" s="66">
        <f t="shared" si="333"/>
        <v>0</v>
      </c>
      <c r="E777" s="67"/>
      <c r="F777" s="58">
        <f t="shared" ref="F777:L777" si="785">SUMIFS($C777,$B777,F$7)+F776</f>
        <v>25</v>
      </c>
      <c r="G777" s="58">
        <f t="shared" si="785"/>
        <v>0</v>
      </c>
      <c r="H777" s="58">
        <f t="shared" si="785"/>
        <v>0</v>
      </c>
      <c r="I777" s="58">
        <f t="shared" si="785"/>
        <v>57</v>
      </c>
      <c r="J777" s="58">
        <f t="shared" si="785"/>
        <v>19</v>
      </c>
      <c r="K777" s="58">
        <f t="shared" si="785"/>
        <v>0</v>
      </c>
      <c r="L777" s="58">
        <f t="shared" si="785"/>
        <v>-35</v>
      </c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0" customHeight="1">
      <c r="A778" s="70"/>
      <c r="B778" s="71"/>
      <c r="C778" s="66"/>
      <c r="D778" s="66">
        <f t="shared" si="333"/>
        <v>0</v>
      </c>
      <c r="E778" s="67"/>
      <c r="F778" s="58">
        <f t="shared" ref="F778:L778" si="786">SUMIFS($C778,$B778,F$7)+F777</f>
        <v>25</v>
      </c>
      <c r="G778" s="58">
        <f t="shared" si="786"/>
        <v>0</v>
      </c>
      <c r="H778" s="58">
        <f t="shared" si="786"/>
        <v>0</v>
      </c>
      <c r="I778" s="58">
        <f t="shared" si="786"/>
        <v>57</v>
      </c>
      <c r="J778" s="58">
        <f t="shared" si="786"/>
        <v>19</v>
      </c>
      <c r="K778" s="58">
        <f t="shared" si="786"/>
        <v>0</v>
      </c>
      <c r="L778" s="58">
        <f t="shared" si="786"/>
        <v>-35</v>
      </c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0" customHeight="1">
      <c r="A779" s="70"/>
      <c r="B779" s="71"/>
      <c r="C779" s="66"/>
      <c r="D779" s="66">
        <f t="shared" si="333"/>
        <v>0</v>
      </c>
      <c r="E779" s="67"/>
      <c r="F779" s="58">
        <f t="shared" ref="F779:L779" si="787">SUMIFS($C779,$B779,F$7)+F778</f>
        <v>25</v>
      </c>
      <c r="G779" s="58">
        <f t="shared" si="787"/>
        <v>0</v>
      </c>
      <c r="H779" s="58">
        <f t="shared" si="787"/>
        <v>0</v>
      </c>
      <c r="I779" s="58">
        <f t="shared" si="787"/>
        <v>57</v>
      </c>
      <c r="J779" s="58">
        <f t="shared" si="787"/>
        <v>19</v>
      </c>
      <c r="K779" s="58">
        <f t="shared" si="787"/>
        <v>0</v>
      </c>
      <c r="L779" s="58">
        <f t="shared" si="787"/>
        <v>-35</v>
      </c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0" customHeight="1">
      <c r="A780" s="70"/>
      <c r="B780" s="71"/>
      <c r="C780" s="66"/>
      <c r="D780" s="66">
        <f t="shared" si="333"/>
        <v>0</v>
      </c>
      <c r="E780" s="67"/>
      <c r="F780" s="58">
        <f t="shared" ref="F780:L780" si="788">SUMIFS($C780,$B780,F$7)+F779</f>
        <v>25</v>
      </c>
      <c r="G780" s="58">
        <f t="shared" si="788"/>
        <v>0</v>
      </c>
      <c r="H780" s="58">
        <f t="shared" si="788"/>
        <v>0</v>
      </c>
      <c r="I780" s="58">
        <f t="shared" si="788"/>
        <v>57</v>
      </c>
      <c r="J780" s="58">
        <f t="shared" si="788"/>
        <v>19</v>
      </c>
      <c r="K780" s="58">
        <f t="shared" si="788"/>
        <v>0</v>
      </c>
      <c r="L780" s="58">
        <f t="shared" si="788"/>
        <v>-35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0" customHeight="1">
      <c r="A781" s="70"/>
      <c r="B781" s="71"/>
      <c r="C781" s="66"/>
      <c r="D781" s="66">
        <f t="shared" si="333"/>
        <v>0</v>
      </c>
      <c r="E781" s="67"/>
      <c r="F781" s="58">
        <f t="shared" ref="F781:L781" si="789">SUMIFS($C781,$B781,F$7)+F780</f>
        <v>25</v>
      </c>
      <c r="G781" s="58">
        <f t="shared" si="789"/>
        <v>0</v>
      </c>
      <c r="H781" s="58">
        <f t="shared" si="789"/>
        <v>0</v>
      </c>
      <c r="I781" s="58">
        <f t="shared" si="789"/>
        <v>57</v>
      </c>
      <c r="J781" s="58">
        <f t="shared" si="789"/>
        <v>19</v>
      </c>
      <c r="K781" s="58">
        <f t="shared" si="789"/>
        <v>0</v>
      </c>
      <c r="L781" s="58">
        <f t="shared" si="789"/>
        <v>-35</v>
      </c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0" customHeight="1">
      <c r="A782" s="70"/>
      <c r="B782" s="71"/>
      <c r="C782" s="66"/>
      <c r="D782" s="66">
        <f t="shared" si="333"/>
        <v>0</v>
      </c>
      <c r="E782" s="67"/>
      <c r="F782" s="58">
        <f t="shared" ref="F782:L782" si="790">SUMIFS($C782,$B782,F$7)+F781</f>
        <v>25</v>
      </c>
      <c r="G782" s="58">
        <f t="shared" si="790"/>
        <v>0</v>
      </c>
      <c r="H782" s="58">
        <f t="shared" si="790"/>
        <v>0</v>
      </c>
      <c r="I782" s="58">
        <f t="shared" si="790"/>
        <v>57</v>
      </c>
      <c r="J782" s="58">
        <f t="shared" si="790"/>
        <v>19</v>
      </c>
      <c r="K782" s="58">
        <f t="shared" si="790"/>
        <v>0</v>
      </c>
      <c r="L782" s="58">
        <f t="shared" si="790"/>
        <v>-35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0" customHeight="1">
      <c r="A783" s="70"/>
      <c r="B783" s="71"/>
      <c r="C783" s="66"/>
      <c r="D783" s="66">
        <f t="shared" si="333"/>
        <v>0</v>
      </c>
      <c r="E783" s="67"/>
      <c r="F783" s="58">
        <f t="shared" ref="F783:L783" si="791">SUMIFS($C783,$B783,F$7)+F782</f>
        <v>25</v>
      </c>
      <c r="G783" s="58">
        <f t="shared" si="791"/>
        <v>0</v>
      </c>
      <c r="H783" s="58">
        <f t="shared" si="791"/>
        <v>0</v>
      </c>
      <c r="I783" s="58">
        <f t="shared" si="791"/>
        <v>57</v>
      </c>
      <c r="J783" s="58">
        <f t="shared" si="791"/>
        <v>19</v>
      </c>
      <c r="K783" s="58">
        <f t="shared" si="791"/>
        <v>0</v>
      </c>
      <c r="L783" s="58">
        <f t="shared" si="791"/>
        <v>-35</v>
      </c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0" customHeight="1">
      <c r="A784" s="70"/>
      <c r="B784" s="71"/>
      <c r="C784" s="66"/>
      <c r="D784" s="66">
        <f t="shared" si="333"/>
        <v>0</v>
      </c>
      <c r="E784" s="67"/>
      <c r="F784" s="58">
        <f t="shared" ref="F784:L784" si="792">SUMIFS($C784,$B784,F$7)+F783</f>
        <v>25</v>
      </c>
      <c r="G784" s="58">
        <f t="shared" si="792"/>
        <v>0</v>
      </c>
      <c r="H784" s="58">
        <f t="shared" si="792"/>
        <v>0</v>
      </c>
      <c r="I784" s="58">
        <f t="shared" si="792"/>
        <v>57</v>
      </c>
      <c r="J784" s="58">
        <f t="shared" si="792"/>
        <v>19</v>
      </c>
      <c r="K784" s="58">
        <f t="shared" si="792"/>
        <v>0</v>
      </c>
      <c r="L784" s="58">
        <f t="shared" si="792"/>
        <v>-35</v>
      </c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0" customHeight="1">
      <c r="A785" s="70"/>
      <c r="B785" s="71"/>
      <c r="C785" s="66"/>
      <c r="D785" s="66">
        <f t="shared" si="333"/>
        <v>0</v>
      </c>
      <c r="E785" s="67"/>
      <c r="F785" s="58">
        <f t="shared" ref="F785:L785" si="793">SUMIFS($C785,$B785,F$7)+F784</f>
        <v>25</v>
      </c>
      <c r="G785" s="58">
        <f t="shared" si="793"/>
        <v>0</v>
      </c>
      <c r="H785" s="58">
        <f t="shared" si="793"/>
        <v>0</v>
      </c>
      <c r="I785" s="58">
        <f t="shared" si="793"/>
        <v>57</v>
      </c>
      <c r="J785" s="58">
        <f t="shared" si="793"/>
        <v>19</v>
      </c>
      <c r="K785" s="58">
        <f t="shared" si="793"/>
        <v>0</v>
      </c>
      <c r="L785" s="58">
        <f t="shared" si="793"/>
        <v>-35</v>
      </c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0" customHeight="1">
      <c r="A786" s="70"/>
      <c r="B786" s="71"/>
      <c r="C786" s="66"/>
      <c r="D786" s="66">
        <f t="shared" si="333"/>
        <v>0</v>
      </c>
      <c r="E786" s="67"/>
      <c r="F786" s="58">
        <f t="shared" ref="F786:L786" si="794">SUMIFS($C786,$B786,F$7)+F785</f>
        <v>25</v>
      </c>
      <c r="G786" s="58">
        <f t="shared" si="794"/>
        <v>0</v>
      </c>
      <c r="H786" s="58">
        <f t="shared" si="794"/>
        <v>0</v>
      </c>
      <c r="I786" s="58">
        <f t="shared" si="794"/>
        <v>57</v>
      </c>
      <c r="J786" s="58">
        <f t="shared" si="794"/>
        <v>19</v>
      </c>
      <c r="K786" s="58">
        <f t="shared" si="794"/>
        <v>0</v>
      </c>
      <c r="L786" s="58">
        <f t="shared" si="794"/>
        <v>-35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0" customHeight="1">
      <c r="A787" s="70"/>
      <c r="B787" s="71"/>
      <c r="C787" s="66"/>
      <c r="D787" s="66">
        <f t="shared" si="333"/>
        <v>0</v>
      </c>
      <c r="E787" s="67"/>
      <c r="F787" s="58">
        <f t="shared" ref="F787:L787" si="795">SUMIFS($C787,$B787,F$7)+F786</f>
        <v>25</v>
      </c>
      <c r="G787" s="58">
        <f t="shared" si="795"/>
        <v>0</v>
      </c>
      <c r="H787" s="58">
        <f t="shared" si="795"/>
        <v>0</v>
      </c>
      <c r="I787" s="58">
        <f t="shared" si="795"/>
        <v>57</v>
      </c>
      <c r="J787" s="58">
        <f t="shared" si="795"/>
        <v>19</v>
      </c>
      <c r="K787" s="58">
        <f t="shared" si="795"/>
        <v>0</v>
      </c>
      <c r="L787" s="58">
        <f t="shared" si="795"/>
        <v>-35</v>
      </c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0" customHeight="1">
      <c r="A788" s="70"/>
      <c r="B788" s="71"/>
      <c r="C788" s="66"/>
      <c r="D788" s="66">
        <f t="shared" si="333"/>
        <v>0</v>
      </c>
      <c r="E788" s="67"/>
      <c r="F788" s="58">
        <f t="shared" ref="F788:L788" si="796">SUMIFS($C788,$B788,F$7)+F787</f>
        <v>25</v>
      </c>
      <c r="G788" s="58">
        <f t="shared" si="796"/>
        <v>0</v>
      </c>
      <c r="H788" s="58">
        <f t="shared" si="796"/>
        <v>0</v>
      </c>
      <c r="I788" s="58">
        <f t="shared" si="796"/>
        <v>57</v>
      </c>
      <c r="J788" s="58">
        <f t="shared" si="796"/>
        <v>19</v>
      </c>
      <c r="K788" s="58">
        <f t="shared" si="796"/>
        <v>0</v>
      </c>
      <c r="L788" s="58">
        <f t="shared" si="796"/>
        <v>-35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0" customHeight="1">
      <c r="A789" s="70"/>
      <c r="B789" s="71"/>
      <c r="C789" s="66"/>
      <c r="D789" s="66">
        <f t="shared" si="333"/>
        <v>0</v>
      </c>
      <c r="E789" s="67"/>
      <c r="F789" s="58">
        <f t="shared" ref="F789:L789" si="797">SUMIFS($C789,$B789,F$7)+F788</f>
        <v>25</v>
      </c>
      <c r="G789" s="58">
        <f t="shared" si="797"/>
        <v>0</v>
      </c>
      <c r="H789" s="58">
        <f t="shared" si="797"/>
        <v>0</v>
      </c>
      <c r="I789" s="58">
        <f t="shared" si="797"/>
        <v>57</v>
      </c>
      <c r="J789" s="58">
        <f t="shared" si="797"/>
        <v>19</v>
      </c>
      <c r="K789" s="58">
        <f t="shared" si="797"/>
        <v>0</v>
      </c>
      <c r="L789" s="58">
        <f t="shared" si="797"/>
        <v>-35</v>
      </c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0" customHeight="1">
      <c r="A790" s="70"/>
      <c r="B790" s="71"/>
      <c r="C790" s="66"/>
      <c r="D790" s="66">
        <f t="shared" si="333"/>
        <v>0</v>
      </c>
      <c r="E790" s="67"/>
      <c r="F790" s="58">
        <f t="shared" ref="F790:L790" si="798">SUMIFS($C790,$B790,F$7)+F789</f>
        <v>25</v>
      </c>
      <c r="G790" s="58">
        <f t="shared" si="798"/>
        <v>0</v>
      </c>
      <c r="H790" s="58">
        <f t="shared" si="798"/>
        <v>0</v>
      </c>
      <c r="I790" s="58">
        <f t="shared" si="798"/>
        <v>57</v>
      </c>
      <c r="J790" s="58">
        <f t="shared" si="798"/>
        <v>19</v>
      </c>
      <c r="K790" s="58">
        <f t="shared" si="798"/>
        <v>0</v>
      </c>
      <c r="L790" s="58">
        <f t="shared" si="798"/>
        <v>-35</v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0" customHeight="1">
      <c r="A791" s="70"/>
      <c r="B791" s="71"/>
      <c r="C791" s="66"/>
      <c r="D791" s="66">
        <f t="shared" si="333"/>
        <v>0</v>
      </c>
      <c r="E791" s="67"/>
      <c r="F791" s="58">
        <f t="shared" ref="F791:L791" si="799">SUMIFS($C791,$B791,F$7)+F790</f>
        <v>25</v>
      </c>
      <c r="G791" s="58">
        <f t="shared" si="799"/>
        <v>0</v>
      </c>
      <c r="H791" s="58">
        <f t="shared" si="799"/>
        <v>0</v>
      </c>
      <c r="I791" s="58">
        <f t="shared" si="799"/>
        <v>57</v>
      </c>
      <c r="J791" s="58">
        <f t="shared" si="799"/>
        <v>19</v>
      </c>
      <c r="K791" s="58">
        <f t="shared" si="799"/>
        <v>0</v>
      </c>
      <c r="L791" s="58">
        <f t="shared" si="799"/>
        <v>-35</v>
      </c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0" customHeight="1">
      <c r="A792" s="70"/>
      <c r="B792" s="71"/>
      <c r="C792" s="66"/>
      <c r="D792" s="66">
        <f t="shared" si="333"/>
        <v>0</v>
      </c>
      <c r="E792" s="67"/>
      <c r="F792" s="58">
        <f t="shared" ref="F792:L792" si="800">SUMIFS($C792,$B792,F$7)+F791</f>
        <v>25</v>
      </c>
      <c r="G792" s="58">
        <f t="shared" si="800"/>
        <v>0</v>
      </c>
      <c r="H792" s="58">
        <f t="shared" si="800"/>
        <v>0</v>
      </c>
      <c r="I792" s="58">
        <f t="shared" si="800"/>
        <v>57</v>
      </c>
      <c r="J792" s="58">
        <f t="shared" si="800"/>
        <v>19</v>
      </c>
      <c r="K792" s="58">
        <f t="shared" si="800"/>
        <v>0</v>
      </c>
      <c r="L792" s="58">
        <f t="shared" si="800"/>
        <v>-35</v>
      </c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0" customHeight="1">
      <c r="A793" s="70"/>
      <c r="B793" s="71"/>
      <c r="C793" s="66"/>
      <c r="D793" s="66">
        <f t="shared" si="333"/>
        <v>0</v>
      </c>
      <c r="E793" s="67"/>
      <c r="F793" s="58">
        <f t="shared" ref="F793:L793" si="801">SUMIFS($C793,$B793,F$7)+F792</f>
        <v>25</v>
      </c>
      <c r="G793" s="58">
        <f t="shared" si="801"/>
        <v>0</v>
      </c>
      <c r="H793" s="58">
        <f t="shared" si="801"/>
        <v>0</v>
      </c>
      <c r="I793" s="58">
        <f t="shared" si="801"/>
        <v>57</v>
      </c>
      <c r="J793" s="58">
        <f t="shared" si="801"/>
        <v>19</v>
      </c>
      <c r="K793" s="58">
        <f t="shared" si="801"/>
        <v>0</v>
      </c>
      <c r="L793" s="58">
        <f t="shared" si="801"/>
        <v>-35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0" customHeight="1">
      <c r="A794" s="70"/>
      <c r="B794" s="71"/>
      <c r="C794" s="66"/>
      <c r="D794" s="66">
        <f t="shared" si="333"/>
        <v>0</v>
      </c>
      <c r="E794" s="67"/>
      <c r="F794" s="58">
        <f t="shared" ref="F794:L794" si="802">SUMIFS($C794,$B794,F$7)+F793</f>
        <v>25</v>
      </c>
      <c r="G794" s="58">
        <f t="shared" si="802"/>
        <v>0</v>
      </c>
      <c r="H794" s="58">
        <f t="shared" si="802"/>
        <v>0</v>
      </c>
      <c r="I794" s="58">
        <f t="shared" si="802"/>
        <v>57</v>
      </c>
      <c r="J794" s="58">
        <f t="shared" si="802"/>
        <v>19</v>
      </c>
      <c r="K794" s="58">
        <f t="shared" si="802"/>
        <v>0</v>
      </c>
      <c r="L794" s="58">
        <f t="shared" si="802"/>
        <v>-35</v>
      </c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0" customHeight="1">
      <c r="A795" s="70"/>
      <c r="B795" s="71"/>
      <c r="C795" s="66"/>
      <c r="D795" s="66">
        <f t="shared" si="333"/>
        <v>0</v>
      </c>
      <c r="E795" s="67"/>
      <c r="F795" s="58">
        <f t="shared" ref="F795:L795" si="803">SUMIFS($C795,$B795,F$7)+F794</f>
        <v>25</v>
      </c>
      <c r="G795" s="58">
        <f t="shared" si="803"/>
        <v>0</v>
      </c>
      <c r="H795" s="58">
        <f t="shared" si="803"/>
        <v>0</v>
      </c>
      <c r="I795" s="58">
        <f t="shared" si="803"/>
        <v>57</v>
      </c>
      <c r="J795" s="58">
        <f t="shared" si="803"/>
        <v>19</v>
      </c>
      <c r="K795" s="58">
        <f t="shared" si="803"/>
        <v>0</v>
      </c>
      <c r="L795" s="58">
        <f t="shared" si="803"/>
        <v>-35</v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0" customHeight="1">
      <c r="A796" s="70"/>
      <c r="B796" s="71"/>
      <c r="C796" s="66"/>
      <c r="D796" s="66">
        <f t="shared" si="333"/>
        <v>0</v>
      </c>
      <c r="E796" s="67"/>
      <c r="F796" s="58">
        <f t="shared" ref="F796:L796" si="804">SUMIFS($C796,$B796,F$7)+F795</f>
        <v>25</v>
      </c>
      <c r="G796" s="58">
        <f t="shared" si="804"/>
        <v>0</v>
      </c>
      <c r="H796" s="58">
        <f t="shared" si="804"/>
        <v>0</v>
      </c>
      <c r="I796" s="58">
        <f t="shared" si="804"/>
        <v>57</v>
      </c>
      <c r="J796" s="58">
        <f t="shared" si="804"/>
        <v>19</v>
      </c>
      <c r="K796" s="58">
        <f t="shared" si="804"/>
        <v>0</v>
      </c>
      <c r="L796" s="58">
        <f t="shared" si="804"/>
        <v>-35</v>
      </c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0" customHeight="1">
      <c r="A797" s="70"/>
      <c r="B797" s="71"/>
      <c r="C797" s="66"/>
      <c r="D797" s="66">
        <f t="shared" si="333"/>
        <v>0</v>
      </c>
      <c r="E797" s="67"/>
      <c r="F797" s="58">
        <f t="shared" ref="F797:L797" si="805">SUMIFS($C797,$B797,F$7)+F796</f>
        <v>25</v>
      </c>
      <c r="G797" s="58">
        <f t="shared" si="805"/>
        <v>0</v>
      </c>
      <c r="H797" s="58">
        <f t="shared" si="805"/>
        <v>0</v>
      </c>
      <c r="I797" s="58">
        <f t="shared" si="805"/>
        <v>57</v>
      </c>
      <c r="J797" s="58">
        <f t="shared" si="805"/>
        <v>19</v>
      </c>
      <c r="K797" s="58">
        <f t="shared" si="805"/>
        <v>0</v>
      </c>
      <c r="L797" s="58">
        <f t="shared" si="805"/>
        <v>-35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0" customHeight="1">
      <c r="A798" s="70"/>
      <c r="B798" s="71"/>
      <c r="C798" s="66"/>
      <c r="D798" s="66">
        <f t="shared" si="333"/>
        <v>0</v>
      </c>
      <c r="E798" s="67"/>
      <c r="F798" s="58">
        <f t="shared" ref="F798:L798" si="806">SUMIFS($C798,$B798,F$7)+F797</f>
        <v>25</v>
      </c>
      <c r="G798" s="58">
        <f t="shared" si="806"/>
        <v>0</v>
      </c>
      <c r="H798" s="58">
        <f t="shared" si="806"/>
        <v>0</v>
      </c>
      <c r="I798" s="58">
        <f t="shared" si="806"/>
        <v>57</v>
      </c>
      <c r="J798" s="58">
        <f t="shared" si="806"/>
        <v>19</v>
      </c>
      <c r="K798" s="58">
        <f t="shared" si="806"/>
        <v>0</v>
      </c>
      <c r="L798" s="58">
        <f t="shared" si="806"/>
        <v>-35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0" customHeight="1">
      <c r="A799" s="70"/>
      <c r="B799" s="71"/>
      <c r="C799" s="66"/>
      <c r="D799" s="66">
        <f t="shared" si="333"/>
        <v>0</v>
      </c>
      <c r="E799" s="67"/>
      <c r="F799" s="58">
        <f t="shared" ref="F799:L799" si="807">SUMIFS($C799,$B799,F$7)+F798</f>
        <v>25</v>
      </c>
      <c r="G799" s="58">
        <f t="shared" si="807"/>
        <v>0</v>
      </c>
      <c r="H799" s="58">
        <f t="shared" si="807"/>
        <v>0</v>
      </c>
      <c r="I799" s="58">
        <f t="shared" si="807"/>
        <v>57</v>
      </c>
      <c r="J799" s="58">
        <f t="shared" si="807"/>
        <v>19</v>
      </c>
      <c r="K799" s="58">
        <f t="shared" si="807"/>
        <v>0</v>
      </c>
      <c r="L799" s="58">
        <f t="shared" si="807"/>
        <v>-35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0" customHeight="1">
      <c r="A800" s="70"/>
      <c r="B800" s="71"/>
      <c r="C800" s="66"/>
      <c r="D800" s="66">
        <f t="shared" si="333"/>
        <v>0</v>
      </c>
      <c r="E800" s="67"/>
      <c r="F800" s="58">
        <f t="shared" ref="F800:L800" si="808">SUMIFS($C800,$B800,F$7)+F799</f>
        <v>25</v>
      </c>
      <c r="G800" s="58">
        <f t="shared" si="808"/>
        <v>0</v>
      </c>
      <c r="H800" s="58">
        <f t="shared" si="808"/>
        <v>0</v>
      </c>
      <c r="I800" s="58">
        <f t="shared" si="808"/>
        <v>57</v>
      </c>
      <c r="J800" s="58">
        <f t="shared" si="808"/>
        <v>19</v>
      </c>
      <c r="K800" s="58">
        <f t="shared" si="808"/>
        <v>0</v>
      </c>
      <c r="L800" s="58">
        <f t="shared" si="808"/>
        <v>-35</v>
      </c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0" customHeight="1">
      <c r="A801" s="70"/>
      <c r="B801" s="71"/>
      <c r="C801" s="66"/>
      <c r="D801" s="66">
        <f t="shared" si="333"/>
        <v>0</v>
      </c>
      <c r="E801" s="67"/>
      <c r="F801" s="58">
        <f t="shared" ref="F801:L801" si="809">SUMIFS($C801,$B801,F$7)+F800</f>
        <v>25</v>
      </c>
      <c r="G801" s="58">
        <f t="shared" si="809"/>
        <v>0</v>
      </c>
      <c r="H801" s="58">
        <f t="shared" si="809"/>
        <v>0</v>
      </c>
      <c r="I801" s="58">
        <f t="shared" si="809"/>
        <v>57</v>
      </c>
      <c r="J801" s="58">
        <f t="shared" si="809"/>
        <v>19</v>
      </c>
      <c r="K801" s="58">
        <f t="shared" si="809"/>
        <v>0</v>
      </c>
      <c r="L801" s="58">
        <f t="shared" si="809"/>
        <v>-35</v>
      </c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0" customHeight="1">
      <c r="A802" s="70"/>
      <c r="B802" s="71"/>
      <c r="C802" s="66"/>
      <c r="D802" s="66">
        <f t="shared" si="333"/>
        <v>0</v>
      </c>
      <c r="E802" s="67"/>
      <c r="F802" s="58">
        <f t="shared" ref="F802:L802" si="810">SUMIFS($C802,$B802,F$7)+F801</f>
        <v>25</v>
      </c>
      <c r="G802" s="58">
        <f t="shared" si="810"/>
        <v>0</v>
      </c>
      <c r="H802" s="58">
        <f t="shared" si="810"/>
        <v>0</v>
      </c>
      <c r="I802" s="58">
        <f t="shared" si="810"/>
        <v>57</v>
      </c>
      <c r="J802" s="58">
        <f t="shared" si="810"/>
        <v>19</v>
      </c>
      <c r="K802" s="58">
        <f t="shared" si="810"/>
        <v>0</v>
      </c>
      <c r="L802" s="58">
        <f t="shared" si="810"/>
        <v>-35</v>
      </c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0" customHeight="1">
      <c r="A803" s="70"/>
      <c r="B803" s="71"/>
      <c r="C803" s="66"/>
      <c r="D803" s="66">
        <f t="shared" si="333"/>
        <v>0</v>
      </c>
      <c r="E803" s="67"/>
      <c r="F803" s="58">
        <f t="shared" ref="F803:L803" si="811">SUMIFS($C803,$B803,F$7)+F802</f>
        <v>25</v>
      </c>
      <c r="G803" s="58">
        <f t="shared" si="811"/>
        <v>0</v>
      </c>
      <c r="H803" s="58">
        <f t="shared" si="811"/>
        <v>0</v>
      </c>
      <c r="I803" s="58">
        <f t="shared" si="811"/>
        <v>57</v>
      </c>
      <c r="J803" s="58">
        <f t="shared" si="811"/>
        <v>19</v>
      </c>
      <c r="K803" s="58">
        <f t="shared" si="811"/>
        <v>0</v>
      </c>
      <c r="L803" s="58">
        <f t="shared" si="811"/>
        <v>-35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0" customHeight="1">
      <c r="A804" s="70"/>
      <c r="B804" s="71"/>
      <c r="C804" s="66"/>
      <c r="D804" s="66">
        <f t="shared" si="333"/>
        <v>0</v>
      </c>
      <c r="E804" s="67"/>
      <c r="F804" s="58">
        <f t="shared" ref="F804:L804" si="812">SUMIFS($C804,$B804,F$7)+F803</f>
        <v>25</v>
      </c>
      <c r="G804" s="58">
        <f t="shared" si="812"/>
        <v>0</v>
      </c>
      <c r="H804" s="58">
        <f t="shared" si="812"/>
        <v>0</v>
      </c>
      <c r="I804" s="58">
        <f t="shared" si="812"/>
        <v>57</v>
      </c>
      <c r="J804" s="58">
        <f t="shared" si="812"/>
        <v>19</v>
      </c>
      <c r="K804" s="58">
        <f t="shared" si="812"/>
        <v>0</v>
      </c>
      <c r="L804" s="58">
        <f t="shared" si="812"/>
        <v>-35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0" customHeight="1">
      <c r="A805" s="70"/>
      <c r="B805" s="71"/>
      <c r="C805" s="66"/>
      <c r="D805" s="66">
        <f t="shared" si="333"/>
        <v>0</v>
      </c>
      <c r="E805" s="67"/>
      <c r="F805" s="58">
        <f t="shared" ref="F805:L805" si="813">SUMIFS($C805,$B805,F$7)+F804</f>
        <v>25</v>
      </c>
      <c r="G805" s="58">
        <f t="shared" si="813"/>
        <v>0</v>
      </c>
      <c r="H805" s="58">
        <f t="shared" si="813"/>
        <v>0</v>
      </c>
      <c r="I805" s="58">
        <f t="shared" si="813"/>
        <v>57</v>
      </c>
      <c r="J805" s="58">
        <f t="shared" si="813"/>
        <v>19</v>
      </c>
      <c r="K805" s="58">
        <f t="shared" si="813"/>
        <v>0</v>
      </c>
      <c r="L805" s="58">
        <f t="shared" si="813"/>
        <v>-35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0" customHeight="1">
      <c r="A806" s="70"/>
      <c r="B806" s="71"/>
      <c r="C806" s="66"/>
      <c r="D806" s="66">
        <f t="shared" si="333"/>
        <v>0</v>
      </c>
      <c r="E806" s="67"/>
      <c r="F806" s="58">
        <f t="shared" ref="F806:L806" si="814">SUMIFS($C806,$B806,F$7)+F805</f>
        <v>25</v>
      </c>
      <c r="G806" s="58">
        <f t="shared" si="814"/>
        <v>0</v>
      </c>
      <c r="H806" s="58">
        <f t="shared" si="814"/>
        <v>0</v>
      </c>
      <c r="I806" s="58">
        <f t="shared" si="814"/>
        <v>57</v>
      </c>
      <c r="J806" s="58">
        <f t="shared" si="814"/>
        <v>19</v>
      </c>
      <c r="K806" s="58">
        <f t="shared" si="814"/>
        <v>0</v>
      </c>
      <c r="L806" s="58">
        <f t="shared" si="814"/>
        <v>-35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0" customHeight="1">
      <c r="A807" s="70"/>
      <c r="B807" s="71"/>
      <c r="C807" s="66"/>
      <c r="D807" s="66">
        <f t="shared" si="333"/>
        <v>0</v>
      </c>
      <c r="E807" s="67"/>
      <c r="F807" s="58">
        <f t="shared" ref="F807:L807" si="815">SUMIFS($C807,$B807,F$7)+F806</f>
        <v>25</v>
      </c>
      <c r="G807" s="58">
        <f t="shared" si="815"/>
        <v>0</v>
      </c>
      <c r="H807" s="58">
        <f t="shared" si="815"/>
        <v>0</v>
      </c>
      <c r="I807" s="58">
        <f t="shared" si="815"/>
        <v>57</v>
      </c>
      <c r="J807" s="58">
        <f t="shared" si="815"/>
        <v>19</v>
      </c>
      <c r="K807" s="58">
        <f t="shared" si="815"/>
        <v>0</v>
      </c>
      <c r="L807" s="58">
        <f t="shared" si="815"/>
        <v>-35</v>
      </c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0" customHeight="1">
      <c r="A808" s="70"/>
      <c r="B808" s="71"/>
      <c r="C808" s="66"/>
      <c r="D808" s="66">
        <f t="shared" si="333"/>
        <v>0</v>
      </c>
      <c r="E808" s="67"/>
      <c r="F808" s="58">
        <f t="shared" ref="F808:L808" si="816">SUMIFS($C808,$B808,F$7)+F807</f>
        <v>25</v>
      </c>
      <c r="G808" s="58">
        <f t="shared" si="816"/>
        <v>0</v>
      </c>
      <c r="H808" s="58">
        <f t="shared" si="816"/>
        <v>0</v>
      </c>
      <c r="I808" s="58">
        <f t="shared" si="816"/>
        <v>57</v>
      </c>
      <c r="J808" s="58">
        <f t="shared" si="816"/>
        <v>19</v>
      </c>
      <c r="K808" s="58">
        <f t="shared" si="816"/>
        <v>0</v>
      </c>
      <c r="L808" s="58">
        <f t="shared" si="816"/>
        <v>-35</v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0" customHeight="1">
      <c r="A809" s="70"/>
      <c r="B809" s="71"/>
      <c r="C809" s="66"/>
      <c r="D809" s="66">
        <f t="shared" si="333"/>
        <v>0</v>
      </c>
      <c r="E809" s="67"/>
      <c r="F809" s="58">
        <f t="shared" ref="F809:L809" si="817">SUMIFS($C809,$B809,F$7)+F808</f>
        <v>25</v>
      </c>
      <c r="G809" s="58">
        <f t="shared" si="817"/>
        <v>0</v>
      </c>
      <c r="H809" s="58">
        <f t="shared" si="817"/>
        <v>0</v>
      </c>
      <c r="I809" s="58">
        <f t="shared" si="817"/>
        <v>57</v>
      </c>
      <c r="J809" s="58">
        <f t="shared" si="817"/>
        <v>19</v>
      </c>
      <c r="K809" s="58">
        <f t="shared" si="817"/>
        <v>0</v>
      </c>
      <c r="L809" s="58">
        <f t="shared" si="817"/>
        <v>-35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0" customHeight="1">
      <c r="A810" s="70"/>
      <c r="B810" s="71"/>
      <c r="C810" s="66"/>
      <c r="D810" s="66">
        <f t="shared" si="333"/>
        <v>0</v>
      </c>
      <c r="E810" s="67"/>
      <c r="F810" s="58">
        <f t="shared" ref="F810:L810" si="818">SUMIFS($C810,$B810,F$7)+F809</f>
        <v>25</v>
      </c>
      <c r="G810" s="58">
        <f t="shared" si="818"/>
        <v>0</v>
      </c>
      <c r="H810" s="58">
        <f t="shared" si="818"/>
        <v>0</v>
      </c>
      <c r="I810" s="58">
        <f t="shared" si="818"/>
        <v>57</v>
      </c>
      <c r="J810" s="58">
        <f t="shared" si="818"/>
        <v>19</v>
      </c>
      <c r="K810" s="58">
        <f t="shared" si="818"/>
        <v>0</v>
      </c>
      <c r="L810" s="58">
        <f t="shared" si="818"/>
        <v>-35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0" customHeight="1">
      <c r="A811" s="70"/>
      <c r="B811" s="71"/>
      <c r="C811" s="66"/>
      <c r="D811" s="66">
        <f t="shared" si="333"/>
        <v>0</v>
      </c>
      <c r="E811" s="67"/>
      <c r="F811" s="58">
        <f t="shared" ref="F811:L811" si="819">SUMIFS($C811,$B811,F$7)+F810</f>
        <v>25</v>
      </c>
      <c r="G811" s="58">
        <f t="shared" si="819"/>
        <v>0</v>
      </c>
      <c r="H811" s="58">
        <f t="shared" si="819"/>
        <v>0</v>
      </c>
      <c r="I811" s="58">
        <f t="shared" si="819"/>
        <v>57</v>
      </c>
      <c r="J811" s="58">
        <f t="shared" si="819"/>
        <v>19</v>
      </c>
      <c r="K811" s="58">
        <f t="shared" si="819"/>
        <v>0</v>
      </c>
      <c r="L811" s="58">
        <f t="shared" si="819"/>
        <v>-35</v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0" customHeight="1">
      <c r="A812" s="70"/>
      <c r="B812" s="71"/>
      <c r="C812" s="66"/>
      <c r="D812" s="66">
        <f t="shared" si="333"/>
        <v>0</v>
      </c>
      <c r="E812" s="67"/>
      <c r="F812" s="58">
        <f t="shared" ref="F812:L812" si="820">SUMIFS($C812,$B812,F$7)+F811</f>
        <v>25</v>
      </c>
      <c r="G812" s="58">
        <f t="shared" si="820"/>
        <v>0</v>
      </c>
      <c r="H812" s="58">
        <f t="shared" si="820"/>
        <v>0</v>
      </c>
      <c r="I812" s="58">
        <f t="shared" si="820"/>
        <v>57</v>
      </c>
      <c r="J812" s="58">
        <f t="shared" si="820"/>
        <v>19</v>
      </c>
      <c r="K812" s="58">
        <f t="shared" si="820"/>
        <v>0</v>
      </c>
      <c r="L812" s="58">
        <f t="shared" si="820"/>
        <v>-35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0" customHeight="1">
      <c r="A813" s="70"/>
      <c r="B813" s="71"/>
      <c r="C813" s="66"/>
      <c r="D813" s="66">
        <f t="shared" si="333"/>
        <v>0</v>
      </c>
      <c r="E813" s="67"/>
      <c r="F813" s="58">
        <f t="shared" ref="F813:L813" si="821">SUMIFS($C813,$B813,F$7)+F812</f>
        <v>25</v>
      </c>
      <c r="G813" s="58">
        <f t="shared" si="821"/>
        <v>0</v>
      </c>
      <c r="H813" s="58">
        <f t="shared" si="821"/>
        <v>0</v>
      </c>
      <c r="I813" s="58">
        <f t="shared" si="821"/>
        <v>57</v>
      </c>
      <c r="J813" s="58">
        <f t="shared" si="821"/>
        <v>19</v>
      </c>
      <c r="K813" s="58">
        <f t="shared" si="821"/>
        <v>0</v>
      </c>
      <c r="L813" s="58">
        <f t="shared" si="821"/>
        <v>-35</v>
      </c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0" customHeight="1">
      <c r="A814" s="70"/>
      <c r="B814" s="71"/>
      <c r="C814" s="66"/>
      <c r="D814" s="66">
        <f t="shared" si="333"/>
        <v>0</v>
      </c>
      <c r="E814" s="67"/>
      <c r="F814" s="58">
        <f t="shared" ref="F814:L814" si="822">SUMIFS($C814,$B814,F$7)+F813</f>
        <v>25</v>
      </c>
      <c r="G814" s="58">
        <f t="shared" si="822"/>
        <v>0</v>
      </c>
      <c r="H814" s="58">
        <f t="shared" si="822"/>
        <v>0</v>
      </c>
      <c r="I814" s="58">
        <f t="shared" si="822"/>
        <v>57</v>
      </c>
      <c r="J814" s="58">
        <f t="shared" si="822"/>
        <v>19</v>
      </c>
      <c r="K814" s="58">
        <f t="shared" si="822"/>
        <v>0</v>
      </c>
      <c r="L814" s="58">
        <f t="shared" si="822"/>
        <v>-35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0" customHeight="1">
      <c r="A815" s="70"/>
      <c r="B815" s="71"/>
      <c r="C815" s="66"/>
      <c r="D815" s="66">
        <f t="shared" si="333"/>
        <v>0</v>
      </c>
      <c r="E815" s="67"/>
      <c r="F815" s="58">
        <f t="shared" ref="F815:L815" si="823">SUMIFS($C815,$B815,F$7)+F814</f>
        <v>25</v>
      </c>
      <c r="G815" s="58">
        <f t="shared" si="823"/>
        <v>0</v>
      </c>
      <c r="H815" s="58">
        <f t="shared" si="823"/>
        <v>0</v>
      </c>
      <c r="I815" s="58">
        <f t="shared" si="823"/>
        <v>57</v>
      </c>
      <c r="J815" s="58">
        <f t="shared" si="823"/>
        <v>19</v>
      </c>
      <c r="K815" s="58">
        <f t="shared" si="823"/>
        <v>0</v>
      </c>
      <c r="L815" s="58">
        <f t="shared" si="823"/>
        <v>-35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0" customHeight="1">
      <c r="A816" s="70"/>
      <c r="B816" s="71"/>
      <c r="C816" s="66"/>
      <c r="D816" s="66">
        <f t="shared" si="333"/>
        <v>0</v>
      </c>
      <c r="E816" s="67"/>
      <c r="F816" s="58">
        <f t="shared" ref="F816:L816" si="824">SUMIFS($C816,$B816,F$7)+F815</f>
        <v>25</v>
      </c>
      <c r="G816" s="58">
        <f t="shared" si="824"/>
        <v>0</v>
      </c>
      <c r="H816" s="58">
        <f t="shared" si="824"/>
        <v>0</v>
      </c>
      <c r="I816" s="58">
        <f t="shared" si="824"/>
        <v>57</v>
      </c>
      <c r="J816" s="58">
        <f t="shared" si="824"/>
        <v>19</v>
      </c>
      <c r="K816" s="58">
        <f t="shared" si="824"/>
        <v>0</v>
      </c>
      <c r="L816" s="58">
        <f t="shared" si="824"/>
        <v>-35</v>
      </c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0" customHeight="1">
      <c r="A817" s="70"/>
      <c r="B817" s="71"/>
      <c r="C817" s="66"/>
      <c r="D817" s="66">
        <f t="shared" si="333"/>
        <v>0</v>
      </c>
      <c r="E817" s="67"/>
      <c r="F817" s="58">
        <f t="shared" ref="F817:L817" si="825">SUMIFS($C817,$B817,F$7)+F816</f>
        <v>25</v>
      </c>
      <c r="G817" s="58">
        <f t="shared" si="825"/>
        <v>0</v>
      </c>
      <c r="H817" s="58">
        <f t="shared" si="825"/>
        <v>0</v>
      </c>
      <c r="I817" s="58">
        <f t="shared" si="825"/>
        <v>57</v>
      </c>
      <c r="J817" s="58">
        <f t="shared" si="825"/>
        <v>19</v>
      </c>
      <c r="K817" s="58">
        <f t="shared" si="825"/>
        <v>0</v>
      </c>
      <c r="L817" s="58">
        <f t="shared" si="825"/>
        <v>-35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0" customHeight="1">
      <c r="A818" s="70"/>
      <c r="B818" s="71"/>
      <c r="C818" s="66"/>
      <c r="D818" s="66">
        <f t="shared" si="333"/>
        <v>0</v>
      </c>
      <c r="E818" s="67"/>
      <c r="F818" s="58">
        <f t="shared" ref="F818:L818" si="826">SUMIFS($C818,$B818,F$7)+F817</f>
        <v>25</v>
      </c>
      <c r="G818" s="58">
        <f t="shared" si="826"/>
        <v>0</v>
      </c>
      <c r="H818" s="58">
        <f t="shared" si="826"/>
        <v>0</v>
      </c>
      <c r="I818" s="58">
        <f t="shared" si="826"/>
        <v>57</v>
      </c>
      <c r="J818" s="58">
        <f t="shared" si="826"/>
        <v>19</v>
      </c>
      <c r="K818" s="58">
        <f t="shared" si="826"/>
        <v>0</v>
      </c>
      <c r="L818" s="58">
        <f t="shared" si="826"/>
        <v>-35</v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0" customHeight="1">
      <c r="A819" s="70"/>
      <c r="B819" s="71"/>
      <c r="C819" s="66"/>
      <c r="D819" s="66">
        <f t="shared" si="333"/>
        <v>0</v>
      </c>
      <c r="E819" s="67"/>
      <c r="F819" s="58">
        <f t="shared" ref="F819:L819" si="827">SUMIFS($C819,$B819,F$7)+F818</f>
        <v>25</v>
      </c>
      <c r="G819" s="58">
        <f t="shared" si="827"/>
        <v>0</v>
      </c>
      <c r="H819" s="58">
        <f t="shared" si="827"/>
        <v>0</v>
      </c>
      <c r="I819" s="58">
        <f t="shared" si="827"/>
        <v>57</v>
      </c>
      <c r="J819" s="58">
        <f t="shared" si="827"/>
        <v>19</v>
      </c>
      <c r="K819" s="58">
        <f t="shared" si="827"/>
        <v>0</v>
      </c>
      <c r="L819" s="58">
        <f t="shared" si="827"/>
        <v>-35</v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0" customHeight="1">
      <c r="A820" s="70"/>
      <c r="B820" s="71"/>
      <c r="C820" s="66"/>
      <c r="D820" s="66">
        <f t="shared" si="333"/>
        <v>0</v>
      </c>
      <c r="E820" s="67"/>
      <c r="F820" s="58">
        <f t="shared" ref="F820:L820" si="828">SUMIFS($C820,$B820,F$7)+F819</f>
        <v>25</v>
      </c>
      <c r="G820" s="58">
        <f t="shared" si="828"/>
        <v>0</v>
      </c>
      <c r="H820" s="58">
        <f t="shared" si="828"/>
        <v>0</v>
      </c>
      <c r="I820" s="58">
        <f t="shared" si="828"/>
        <v>57</v>
      </c>
      <c r="J820" s="58">
        <f t="shared" si="828"/>
        <v>19</v>
      </c>
      <c r="K820" s="58">
        <f t="shared" si="828"/>
        <v>0</v>
      </c>
      <c r="L820" s="58">
        <f t="shared" si="828"/>
        <v>-35</v>
      </c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0" customHeight="1">
      <c r="A821" s="70"/>
      <c r="B821" s="71"/>
      <c r="C821" s="66"/>
      <c r="D821" s="66">
        <f t="shared" si="333"/>
        <v>0</v>
      </c>
      <c r="E821" s="67"/>
      <c r="F821" s="58">
        <f t="shared" ref="F821:L821" si="829">SUMIFS($C821,$B821,F$7)+F820</f>
        <v>25</v>
      </c>
      <c r="G821" s="58">
        <f t="shared" si="829"/>
        <v>0</v>
      </c>
      <c r="H821" s="58">
        <f t="shared" si="829"/>
        <v>0</v>
      </c>
      <c r="I821" s="58">
        <f t="shared" si="829"/>
        <v>57</v>
      </c>
      <c r="J821" s="58">
        <f t="shared" si="829"/>
        <v>19</v>
      </c>
      <c r="K821" s="58">
        <f t="shared" si="829"/>
        <v>0</v>
      </c>
      <c r="L821" s="58">
        <f t="shared" si="829"/>
        <v>-35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0" customHeight="1">
      <c r="A822" s="70"/>
      <c r="B822" s="71"/>
      <c r="C822" s="66"/>
      <c r="D822" s="66">
        <f t="shared" si="333"/>
        <v>0</v>
      </c>
      <c r="E822" s="67"/>
      <c r="F822" s="58">
        <f t="shared" ref="F822:L822" si="830">SUMIFS($C822,$B822,F$7)+F821</f>
        <v>25</v>
      </c>
      <c r="G822" s="58">
        <f t="shared" si="830"/>
        <v>0</v>
      </c>
      <c r="H822" s="58">
        <f t="shared" si="830"/>
        <v>0</v>
      </c>
      <c r="I822" s="58">
        <f t="shared" si="830"/>
        <v>57</v>
      </c>
      <c r="J822" s="58">
        <f t="shared" si="830"/>
        <v>19</v>
      </c>
      <c r="K822" s="58">
        <f t="shared" si="830"/>
        <v>0</v>
      </c>
      <c r="L822" s="58">
        <f t="shared" si="830"/>
        <v>-35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0" customHeight="1">
      <c r="A823" s="70"/>
      <c r="B823" s="71"/>
      <c r="C823" s="66"/>
      <c r="D823" s="66">
        <f t="shared" si="333"/>
        <v>0</v>
      </c>
      <c r="E823" s="67"/>
      <c r="F823" s="58">
        <f t="shared" ref="F823:L823" si="831">SUMIFS($C823,$B823,F$7)+F822</f>
        <v>25</v>
      </c>
      <c r="G823" s="58">
        <f t="shared" si="831"/>
        <v>0</v>
      </c>
      <c r="H823" s="58">
        <f t="shared" si="831"/>
        <v>0</v>
      </c>
      <c r="I823" s="58">
        <f t="shared" si="831"/>
        <v>57</v>
      </c>
      <c r="J823" s="58">
        <f t="shared" si="831"/>
        <v>19</v>
      </c>
      <c r="K823" s="58">
        <f t="shared" si="831"/>
        <v>0</v>
      </c>
      <c r="L823" s="58">
        <f t="shared" si="831"/>
        <v>-35</v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0" customHeight="1">
      <c r="A824" s="70"/>
      <c r="B824" s="71"/>
      <c r="C824" s="66"/>
      <c r="D824" s="66">
        <f t="shared" si="333"/>
        <v>0</v>
      </c>
      <c r="E824" s="67"/>
      <c r="F824" s="58">
        <f t="shared" ref="F824:L824" si="832">SUMIFS($C824,$B824,F$7)+F823</f>
        <v>25</v>
      </c>
      <c r="G824" s="58">
        <f t="shared" si="832"/>
        <v>0</v>
      </c>
      <c r="H824" s="58">
        <f t="shared" si="832"/>
        <v>0</v>
      </c>
      <c r="I824" s="58">
        <f t="shared" si="832"/>
        <v>57</v>
      </c>
      <c r="J824" s="58">
        <f t="shared" si="832"/>
        <v>19</v>
      </c>
      <c r="K824" s="58">
        <f t="shared" si="832"/>
        <v>0</v>
      </c>
      <c r="L824" s="58">
        <f t="shared" si="832"/>
        <v>-35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0" customHeight="1">
      <c r="A825" s="70"/>
      <c r="B825" s="71"/>
      <c r="C825" s="66"/>
      <c r="D825" s="66">
        <f t="shared" si="333"/>
        <v>0</v>
      </c>
      <c r="E825" s="67"/>
      <c r="F825" s="58">
        <f t="shared" ref="F825:L825" si="833">SUMIFS($C825,$B825,F$7)+F824</f>
        <v>25</v>
      </c>
      <c r="G825" s="58">
        <f t="shared" si="833"/>
        <v>0</v>
      </c>
      <c r="H825" s="58">
        <f t="shared" si="833"/>
        <v>0</v>
      </c>
      <c r="I825" s="58">
        <f t="shared" si="833"/>
        <v>57</v>
      </c>
      <c r="J825" s="58">
        <f t="shared" si="833"/>
        <v>19</v>
      </c>
      <c r="K825" s="58">
        <f t="shared" si="833"/>
        <v>0</v>
      </c>
      <c r="L825" s="58">
        <f t="shared" si="833"/>
        <v>-35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0" customHeight="1">
      <c r="A826" s="70"/>
      <c r="B826" s="71"/>
      <c r="C826" s="66"/>
      <c r="D826" s="66">
        <f t="shared" si="333"/>
        <v>0</v>
      </c>
      <c r="E826" s="67"/>
      <c r="F826" s="58">
        <f t="shared" ref="F826:L826" si="834">SUMIFS($C826,$B826,F$7)+F825</f>
        <v>25</v>
      </c>
      <c r="G826" s="58">
        <f t="shared" si="834"/>
        <v>0</v>
      </c>
      <c r="H826" s="58">
        <f t="shared" si="834"/>
        <v>0</v>
      </c>
      <c r="I826" s="58">
        <f t="shared" si="834"/>
        <v>57</v>
      </c>
      <c r="J826" s="58">
        <f t="shared" si="834"/>
        <v>19</v>
      </c>
      <c r="K826" s="58">
        <f t="shared" si="834"/>
        <v>0</v>
      </c>
      <c r="L826" s="58">
        <f t="shared" si="834"/>
        <v>-35</v>
      </c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0" customHeight="1">
      <c r="A827" s="70"/>
      <c r="B827" s="71"/>
      <c r="C827" s="66"/>
      <c r="D827" s="66">
        <f t="shared" si="333"/>
        <v>0</v>
      </c>
      <c r="E827" s="67"/>
      <c r="F827" s="58">
        <f t="shared" ref="F827:L827" si="835">SUMIFS($C827,$B827,F$7)+F826</f>
        <v>25</v>
      </c>
      <c r="G827" s="58">
        <f t="shared" si="835"/>
        <v>0</v>
      </c>
      <c r="H827" s="58">
        <f t="shared" si="835"/>
        <v>0</v>
      </c>
      <c r="I827" s="58">
        <f t="shared" si="835"/>
        <v>57</v>
      </c>
      <c r="J827" s="58">
        <f t="shared" si="835"/>
        <v>19</v>
      </c>
      <c r="K827" s="58">
        <f t="shared" si="835"/>
        <v>0</v>
      </c>
      <c r="L827" s="58">
        <f t="shared" si="835"/>
        <v>-35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0" customHeight="1">
      <c r="A828" s="70"/>
      <c r="B828" s="71"/>
      <c r="C828" s="66"/>
      <c r="D828" s="66">
        <f t="shared" si="333"/>
        <v>0</v>
      </c>
      <c r="E828" s="67"/>
      <c r="F828" s="58">
        <f t="shared" ref="F828:L828" si="836">SUMIFS($C828,$B828,F$7)+F827</f>
        <v>25</v>
      </c>
      <c r="G828" s="58">
        <f t="shared" si="836"/>
        <v>0</v>
      </c>
      <c r="H828" s="58">
        <f t="shared" si="836"/>
        <v>0</v>
      </c>
      <c r="I828" s="58">
        <f t="shared" si="836"/>
        <v>57</v>
      </c>
      <c r="J828" s="58">
        <f t="shared" si="836"/>
        <v>19</v>
      </c>
      <c r="K828" s="58">
        <f t="shared" si="836"/>
        <v>0</v>
      </c>
      <c r="L828" s="58">
        <f t="shared" si="836"/>
        <v>-35</v>
      </c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0" customHeight="1">
      <c r="A829" s="70"/>
      <c r="B829" s="71"/>
      <c r="C829" s="66"/>
      <c r="D829" s="66">
        <f t="shared" si="333"/>
        <v>0</v>
      </c>
      <c r="E829" s="67"/>
      <c r="F829" s="58">
        <f t="shared" ref="F829:L829" si="837">SUMIFS($C829,$B829,F$7)+F828</f>
        <v>25</v>
      </c>
      <c r="G829" s="58">
        <f t="shared" si="837"/>
        <v>0</v>
      </c>
      <c r="H829" s="58">
        <f t="shared" si="837"/>
        <v>0</v>
      </c>
      <c r="I829" s="58">
        <f t="shared" si="837"/>
        <v>57</v>
      </c>
      <c r="J829" s="58">
        <f t="shared" si="837"/>
        <v>19</v>
      </c>
      <c r="K829" s="58">
        <f t="shared" si="837"/>
        <v>0</v>
      </c>
      <c r="L829" s="58">
        <f t="shared" si="837"/>
        <v>-35</v>
      </c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0" customHeight="1">
      <c r="A830" s="70"/>
      <c r="B830" s="71"/>
      <c r="C830" s="66"/>
      <c r="D830" s="66">
        <f t="shared" si="333"/>
        <v>0</v>
      </c>
      <c r="E830" s="67"/>
      <c r="F830" s="58">
        <f t="shared" ref="F830:L830" si="838">SUMIFS($C830,$B830,F$7)+F829</f>
        <v>25</v>
      </c>
      <c r="G830" s="58">
        <f t="shared" si="838"/>
        <v>0</v>
      </c>
      <c r="H830" s="58">
        <f t="shared" si="838"/>
        <v>0</v>
      </c>
      <c r="I830" s="58">
        <f t="shared" si="838"/>
        <v>57</v>
      </c>
      <c r="J830" s="58">
        <f t="shared" si="838"/>
        <v>19</v>
      </c>
      <c r="K830" s="58">
        <f t="shared" si="838"/>
        <v>0</v>
      </c>
      <c r="L830" s="58">
        <f t="shared" si="838"/>
        <v>-35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0" customHeight="1">
      <c r="A831" s="70"/>
      <c r="B831" s="71"/>
      <c r="C831" s="66"/>
      <c r="D831" s="66">
        <f t="shared" si="333"/>
        <v>0</v>
      </c>
      <c r="E831" s="67"/>
      <c r="F831" s="58">
        <f t="shared" ref="F831:L831" si="839">SUMIFS($C831,$B831,F$7)+F830</f>
        <v>25</v>
      </c>
      <c r="G831" s="58">
        <f t="shared" si="839"/>
        <v>0</v>
      </c>
      <c r="H831" s="58">
        <f t="shared" si="839"/>
        <v>0</v>
      </c>
      <c r="I831" s="58">
        <f t="shared" si="839"/>
        <v>57</v>
      </c>
      <c r="J831" s="58">
        <f t="shared" si="839"/>
        <v>19</v>
      </c>
      <c r="K831" s="58">
        <f t="shared" si="839"/>
        <v>0</v>
      </c>
      <c r="L831" s="58">
        <f t="shared" si="839"/>
        <v>-35</v>
      </c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0" customHeight="1">
      <c r="A832" s="70"/>
      <c r="B832" s="71"/>
      <c r="C832" s="66"/>
      <c r="D832" s="66">
        <f t="shared" si="333"/>
        <v>0</v>
      </c>
      <c r="E832" s="67"/>
      <c r="F832" s="58">
        <f t="shared" ref="F832:L832" si="840">SUMIFS($C832,$B832,F$7)+F831</f>
        <v>25</v>
      </c>
      <c r="G832" s="58">
        <f t="shared" si="840"/>
        <v>0</v>
      </c>
      <c r="H832" s="58">
        <f t="shared" si="840"/>
        <v>0</v>
      </c>
      <c r="I832" s="58">
        <f t="shared" si="840"/>
        <v>57</v>
      </c>
      <c r="J832" s="58">
        <f t="shared" si="840"/>
        <v>19</v>
      </c>
      <c r="K832" s="58">
        <f t="shared" si="840"/>
        <v>0</v>
      </c>
      <c r="L832" s="58">
        <f t="shared" si="840"/>
        <v>-35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0" customHeight="1">
      <c r="A833" s="70"/>
      <c r="B833" s="71"/>
      <c r="C833" s="66"/>
      <c r="D833" s="66">
        <f t="shared" si="333"/>
        <v>0</v>
      </c>
      <c r="E833" s="67"/>
      <c r="F833" s="58">
        <f t="shared" ref="F833:L833" si="841">SUMIFS($C833,$B833,F$7)+F832</f>
        <v>25</v>
      </c>
      <c r="G833" s="58">
        <f t="shared" si="841"/>
        <v>0</v>
      </c>
      <c r="H833" s="58">
        <f t="shared" si="841"/>
        <v>0</v>
      </c>
      <c r="I833" s="58">
        <f t="shared" si="841"/>
        <v>57</v>
      </c>
      <c r="J833" s="58">
        <f t="shared" si="841"/>
        <v>19</v>
      </c>
      <c r="K833" s="58">
        <f t="shared" si="841"/>
        <v>0</v>
      </c>
      <c r="L833" s="58">
        <f t="shared" si="841"/>
        <v>-35</v>
      </c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0" customHeight="1">
      <c r="A834" s="70"/>
      <c r="B834" s="71"/>
      <c r="C834" s="66"/>
      <c r="D834" s="66">
        <f t="shared" si="333"/>
        <v>0</v>
      </c>
      <c r="E834" s="67"/>
      <c r="F834" s="58">
        <f t="shared" ref="F834:L834" si="842">SUMIFS($C834,$B834,F$7)+F833</f>
        <v>25</v>
      </c>
      <c r="G834" s="58">
        <f t="shared" si="842"/>
        <v>0</v>
      </c>
      <c r="H834" s="58">
        <f t="shared" si="842"/>
        <v>0</v>
      </c>
      <c r="I834" s="58">
        <f t="shared" si="842"/>
        <v>57</v>
      </c>
      <c r="J834" s="58">
        <f t="shared" si="842"/>
        <v>19</v>
      </c>
      <c r="K834" s="58">
        <f t="shared" si="842"/>
        <v>0</v>
      </c>
      <c r="L834" s="58">
        <f t="shared" si="842"/>
        <v>-35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0" customHeight="1">
      <c r="A835" s="70"/>
      <c r="B835" s="71"/>
      <c r="C835" s="66"/>
      <c r="D835" s="66">
        <f t="shared" si="333"/>
        <v>0</v>
      </c>
      <c r="E835" s="67"/>
      <c r="F835" s="58">
        <f t="shared" ref="F835:L835" si="843">SUMIFS($C835,$B835,F$7)+F834</f>
        <v>25</v>
      </c>
      <c r="G835" s="58">
        <f t="shared" si="843"/>
        <v>0</v>
      </c>
      <c r="H835" s="58">
        <f t="shared" si="843"/>
        <v>0</v>
      </c>
      <c r="I835" s="58">
        <f t="shared" si="843"/>
        <v>57</v>
      </c>
      <c r="J835" s="58">
        <f t="shared" si="843"/>
        <v>19</v>
      </c>
      <c r="K835" s="58">
        <f t="shared" si="843"/>
        <v>0</v>
      </c>
      <c r="L835" s="58">
        <f t="shared" si="843"/>
        <v>-35</v>
      </c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0" customHeight="1">
      <c r="A836" s="70"/>
      <c r="B836" s="71"/>
      <c r="C836" s="66"/>
      <c r="D836" s="66">
        <f t="shared" si="333"/>
        <v>0</v>
      </c>
      <c r="E836" s="67"/>
      <c r="F836" s="58">
        <f t="shared" ref="F836:L836" si="844">SUMIFS($C836,$B836,F$7)+F835</f>
        <v>25</v>
      </c>
      <c r="G836" s="58">
        <f t="shared" si="844"/>
        <v>0</v>
      </c>
      <c r="H836" s="58">
        <f t="shared" si="844"/>
        <v>0</v>
      </c>
      <c r="I836" s="58">
        <f t="shared" si="844"/>
        <v>57</v>
      </c>
      <c r="J836" s="58">
        <f t="shared" si="844"/>
        <v>19</v>
      </c>
      <c r="K836" s="58">
        <f t="shared" si="844"/>
        <v>0</v>
      </c>
      <c r="L836" s="58">
        <f t="shared" si="844"/>
        <v>-35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0" customHeight="1">
      <c r="A837" s="70"/>
      <c r="B837" s="71"/>
      <c r="C837" s="66"/>
      <c r="D837" s="66">
        <f t="shared" si="333"/>
        <v>0</v>
      </c>
      <c r="E837" s="67"/>
      <c r="F837" s="58">
        <f t="shared" ref="F837:L837" si="845">SUMIFS($C837,$B837,F$7)+F836</f>
        <v>25</v>
      </c>
      <c r="G837" s="58">
        <f t="shared" si="845"/>
        <v>0</v>
      </c>
      <c r="H837" s="58">
        <f t="shared" si="845"/>
        <v>0</v>
      </c>
      <c r="I837" s="58">
        <f t="shared" si="845"/>
        <v>57</v>
      </c>
      <c r="J837" s="58">
        <f t="shared" si="845"/>
        <v>19</v>
      </c>
      <c r="K837" s="58">
        <f t="shared" si="845"/>
        <v>0</v>
      </c>
      <c r="L837" s="58">
        <f t="shared" si="845"/>
        <v>-35</v>
      </c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0" customHeight="1">
      <c r="A838" s="70"/>
      <c r="B838" s="71"/>
      <c r="C838" s="66"/>
      <c r="D838" s="66">
        <f t="shared" si="333"/>
        <v>0</v>
      </c>
      <c r="E838" s="67"/>
      <c r="F838" s="58">
        <f t="shared" ref="F838:L838" si="846">SUMIFS($C838,$B838,F$7)+F837</f>
        <v>25</v>
      </c>
      <c r="G838" s="58">
        <f t="shared" si="846"/>
        <v>0</v>
      </c>
      <c r="H838" s="58">
        <f t="shared" si="846"/>
        <v>0</v>
      </c>
      <c r="I838" s="58">
        <f t="shared" si="846"/>
        <v>57</v>
      </c>
      <c r="J838" s="58">
        <f t="shared" si="846"/>
        <v>19</v>
      </c>
      <c r="K838" s="58">
        <f t="shared" si="846"/>
        <v>0</v>
      </c>
      <c r="L838" s="58">
        <f t="shared" si="846"/>
        <v>-35</v>
      </c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0" customHeight="1">
      <c r="A839" s="70"/>
      <c r="B839" s="71"/>
      <c r="C839" s="66"/>
      <c r="D839" s="66">
        <f t="shared" si="333"/>
        <v>0</v>
      </c>
      <c r="E839" s="67"/>
      <c r="F839" s="58">
        <f t="shared" ref="F839:L839" si="847">SUMIFS($C839,$B839,F$7)+F838</f>
        <v>25</v>
      </c>
      <c r="G839" s="58">
        <f t="shared" si="847"/>
        <v>0</v>
      </c>
      <c r="H839" s="58">
        <f t="shared" si="847"/>
        <v>0</v>
      </c>
      <c r="I839" s="58">
        <f t="shared" si="847"/>
        <v>57</v>
      </c>
      <c r="J839" s="58">
        <f t="shared" si="847"/>
        <v>19</v>
      </c>
      <c r="K839" s="58">
        <f t="shared" si="847"/>
        <v>0</v>
      </c>
      <c r="L839" s="58">
        <f t="shared" si="847"/>
        <v>-35</v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0" customHeight="1">
      <c r="A840" s="70"/>
      <c r="B840" s="71"/>
      <c r="C840" s="66"/>
      <c r="D840" s="66">
        <f t="shared" si="333"/>
        <v>0</v>
      </c>
      <c r="E840" s="67"/>
      <c r="F840" s="58">
        <f t="shared" ref="F840:L840" si="848">SUMIFS($C840,$B840,F$7)+F839</f>
        <v>25</v>
      </c>
      <c r="G840" s="58">
        <f t="shared" si="848"/>
        <v>0</v>
      </c>
      <c r="H840" s="58">
        <f t="shared" si="848"/>
        <v>0</v>
      </c>
      <c r="I840" s="58">
        <f t="shared" si="848"/>
        <v>57</v>
      </c>
      <c r="J840" s="58">
        <f t="shared" si="848"/>
        <v>19</v>
      </c>
      <c r="K840" s="58">
        <f t="shared" si="848"/>
        <v>0</v>
      </c>
      <c r="L840" s="58">
        <f t="shared" si="848"/>
        <v>-35</v>
      </c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0" customHeight="1">
      <c r="A841" s="70"/>
      <c r="B841" s="71"/>
      <c r="C841" s="66"/>
      <c r="D841" s="66">
        <f t="shared" si="333"/>
        <v>0</v>
      </c>
      <c r="E841" s="67"/>
      <c r="F841" s="58">
        <f t="shared" ref="F841:L841" si="849">SUMIFS($C841,$B841,F$7)+F840</f>
        <v>25</v>
      </c>
      <c r="G841" s="58">
        <f t="shared" si="849"/>
        <v>0</v>
      </c>
      <c r="H841" s="58">
        <f t="shared" si="849"/>
        <v>0</v>
      </c>
      <c r="I841" s="58">
        <f t="shared" si="849"/>
        <v>57</v>
      </c>
      <c r="J841" s="58">
        <f t="shared" si="849"/>
        <v>19</v>
      </c>
      <c r="K841" s="58">
        <f t="shared" si="849"/>
        <v>0</v>
      </c>
      <c r="L841" s="58">
        <f t="shared" si="849"/>
        <v>-35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0" customHeight="1">
      <c r="A842" s="70"/>
      <c r="B842" s="71"/>
      <c r="C842" s="66"/>
      <c r="D842" s="66">
        <f t="shared" si="333"/>
        <v>0</v>
      </c>
      <c r="E842" s="67"/>
      <c r="F842" s="58">
        <f t="shared" ref="F842:L842" si="850">SUMIFS($C842,$B842,F$7)+F841</f>
        <v>25</v>
      </c>
      <c r="G842" s="58">
        <f t="shared" si="850"/>
        <v>0</v>
      </c>
      <c r="H842" s="58">
        <f t="shared" si="850"/>
        <v>0</v>
      </c>
      <c r="I842" s="58">
        <f t="shared" si="850"/>
        <v>57</v>
      </c>
      <c r="J842" s="58">
        <f t="shared" si="850"/>
        <v>19</v>
      </c>
      <c r="K842" s="58">
        <f t="shared" si="850"/>
        <v>0</v>
      </c>
      <c r="L842" s="58">
        <f t="shared" si="850"/>
        <v>-35</v>
      </c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0" customHeight="1">
      <c r="A843" s="70"/>
      <c r="B843" s="71"/>
      <c r="C843" s="66"/>
      <c r="D843" s="66">
        <f t="shared" si="333"/>
        <v>0</v>
      </c>
      <c r="E843" s="67"/>
      <c r="F843" s="58">
        <f t="shared" ref="F843:L843" si="851">SUMIFS($C843,$B843,F$7)+F842</f>
        <v>25</v>
      </c>
      <c r="G843" s="58">
        <f t="shared" si="851"/>
        <v>0</v>
      </c>
      <c r="H843" s="58">
        <f t="shared" si="851"/>
        <v>0</v>
      </c>
      <c r="I843" s="58">
        <f t="shared" si="851"/>
        <v>57</v>
      </c>
      <c r="J843" s="58">
        <f t="shared" si="851"/>
        <v>19</v>
      </c>
      <c r="K843" s="58">
        <f t="shared" si="851"/>
        <v>0</v>
      </c>
      <c r="L843" s="58">
        <f t="shared" si="851"/>
        <v>-35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0" customHeight="1">
      <c r="A844" s="70"/>
      <c r="B844" s="71"/>
      <c r="C844" s="66"/>
      <c r="D844" s="66">
        <f t="shared" si="333"/>
        <v>0</v>
      </c>
      <c r="E844" s="67"/>
      <c r="F844" s="58">
        <f t="shared" ref="F844:L844" si="852">SUMIFS($C844,$B844,F$7)+F843</f>
        <v>25</v>
      </c>
      <c r="G844" s="58">
        <f t="shared" si="852"/>
        <v>0</v>
      </c>
      <c r="H844" s="58">
        <f t="shared" si="852"/>
        <v>0</v>
      </c>
      <c r="I844" s="58">
        <f t="shared" si="852"/>
        <v>57</v>
      </c>
      <c r="J844" s="58">
        <f t="shared" si="852"/>
        <v>19</v>
      </c>
      <c r="K844" s="58">
        <f t="shared" si="852"/>
        <v>0</v>
      </c>
      <c r="L844" s="58">
        <f t="shared" si="852"/>
        <v>-35</v>
      </c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0" customHeight="1">
      <c r="A845" s="70"/>
      <c r="B845" s="71"/>
      <c r="C845" s="66"/>
      <c r="D845" s="66">
        <f t="shared" si="333"/>
        <v>0</v>
      </c>
      <c r="E845" s="67"/>
      <c r="F845" s="58">
        <f t="shared" ref="F845:L845" si="853">SUMIFS($C845,$B845,F$7)+F844</f>
        <v>25</v>
      </c>
      <c r="G845" s="58">
        <f t="shared" si="853"/>
        <v>0</v>
      </c>
      <c r="H845" s="58">
        <f t="shared" si="853"/>
        <v>0</v>
      </c>
      <c r="I845" s="58">
        <f t="shared" si="853"/>
        <v>57</v>
      </c>
      <c r="J845" s="58">
        <f t="shared" si="853"/>
        <v>19</v>
      </c>
      <c r="K845" s="58">
        <f t="shared" si="853"/>
        <v>0</v>
      </c>
      <c r="L845" s="58">
        <f t="shared" si="853"/>
        <v>-35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0" customHeight="1">
      <c r="A846" s="70"/>
      <c r="B846" s="71"/>
      <c r="C846" s="66"/>
      <c r="D846" s="66">
        <f t="shared" si="333"/>
        <v>0</v>
      </c>
      <c r="E846" s="67"/>
      <c r="F846" s="58">
        <f t="shared" ref="F846:L846" si="854">SUMIFS($C846,$B846,F$7)+F845</f>
        <v>25</v>
      </c>
      <c r="G846" s="58">
        <f t="shared" si="854"/>
        <v>0</v>
      </c>
      <c r="H846" s="58">
        <f t="shared" si="854"/>
        <v>0</v>
      </c>
      <c r="I846" s="58">
        <f t="shared" si="854"/>
        <v>57</v>
      </c>
      <c r="J846" s="58">
        <f t="shared" si="854"/>
        <v>19</v>
      </c>
      <c r="K846" s="58">
        <f t="shared" si="854"/>
        <v>0</v>
      </c>
      <c r="L846" s="58">
        <f t="shared" si="854"/>
        <v>-35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0" customHeight="1">
      <c r="A847" s="70"/>
      <c r="B847" s="71"/>
      <c r="C847" s="66"/>
      <c r="D847" s="66">
        <f t="shared" si="333"/>
        <v>0</v>
      </c>
      <c r="E847" s="67"/>
      <c r="F847" s="58">
        <f t="shared" ref="F847:L847" si="855">SUMIFS($C847,$B847,F$7)+F846</f>
        <v>25</v>
      </c>
      <c r="G847" s="58">
        <f t="shared" si="855"/>
        <v>0</v>
      </c>
      <c r="H847" s="58">
        <f t="shared" si="855"/>
        <v>0</v>
      </c>
      <c r="I847" s="58">
        <f t="shared" si="855"/>
        <v>57</v>
      </c>
      <c r="J847" s="58">
        <f t="shared" si="855"/>
        <v>19</v>
      </c>
      <c r="K847" s="58">
        <f t="shared" si="855"/>
        <v>0</v>
      </c>
      <c r="L847" s="58">
        <f t="shared" si="855"/>
        <v>-35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0" customHeight="1">
      <c r="A848" s="70"/>
      <c r="B848" s="71"/>
      <c r="C848" s="66"/>
      <c r="D848" s="66">
        <f t="shared" si="333"/>
        <v>0</v>
      </c>
      <c r="E848" s="67"/>
      <c r="F848" s="58">
        <f t="shared" ref="F848:L848" si="856">SUMIFS($C848,$B848,F$7)+F847</f>
        <v>25</v>
      </c>
      <c r="G848" s="58">
        <f t="shared" si="856"/>
        <v>0</v>
      </c>
      <c r="H848" s="58">
        <f t="shared" si="856"/>
        <v>0</v>
      </c>
      <c r="I848" s="58">
        <f t="shared" si="856"/>
        <v>57</v>
      </c>
      <c r="J848" s="58">
        <f t="shared" si="856"/>
        <v>19</v>
      </c>
      <c r="K848" s="58">
        <f t="shared" si="856"/>
        <v>0</v>
      </c>
      <c r="L848" s="58">
        <f t="shared" si="856"/>
        <v>-35</v>
      </c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0" customHeight="1">
      <c r="A849" s="70"/>
      <c r="B849" s="71"/>
      <c r="C849" s="66"/>
      <c r="D849" s="66">
        <f t="shared" si="333"/>
        <v>0</v>
      </c>
      <c r="E849" s="67"/>
      <c r="F849" s="58">
        <f t="shared" ref="F849:L849" si="857">SUMIFS($C849,$B849,F$7)+F848</f>
        <v>25</v>
      </c>
      <c r="G849" s="58">
        <f t="shared" si="857"/>
        <v>0</v>
      </c>
      <c r="H849" s="58">
        <f t="shared" si="857"/>
        <v>0</v>
      </c>
      <c r="I849" s="58">
        <f t="shared" si="857"/>
        <v>57</v>
      </c>
      <c r="J849" s="58">
        <f t="shared" si="857"/>
        <v>19</v>
      </c>
      <c r="K849" s="58">
        <f t="shared" si="857"/>
        <v>0</v>
      </c>
      <c r="L849" s="58">
        <f t="shared" si="857"/>
        <v>-35</v>
      </c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0" customHeight="1">
      <c r="A850" s="70"/>
      <c r="B850" s="71"/>
      <c r="C850" s="66"/>
      <c r="D850" s="66">
        <f t="shared" si="333"/>
        <v>0</v>
      </c>
      <c r="E850" s="67"/>
      <c r="F850" s="58">
        <f t="shared" ref="F850:L850" si="858">SUMIFS($C850,$B850,F$7)+F849</f>
        <v>25</v>
      </c>
      <c r="G850" s="58">
        <f t="shared" si="858"/>
        <v>0</v>
      </c>
      <c r="H850" s="58">
        <f t="shared" si="858"/>
        <v>0</v>
      </c>
      <c r="I850" s="58">
        <f t="shared" si="858"/>
        <v>57</v>
      </c>
      <c r="J850" s="58">
        <f t="shared" si="858"/>
        <v>19</v>
      </c>
      <c r="K850" s="58">
        <f t="shared" si="858"/>
        <v>0</v>
      </c>
      <c r="L850" s="58">
        <f t="shared" si="858"/>
        <v>-35</v>
      </c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0" customHeight="1">
      <c r="A851" s="70"/>
      <c r="B851" s="71"/>
      <c r="C851" s="66"/>
      <c r="D851" s="66">
        <f t="shared" si="333"/>
        <v>0</v>
      </c>
      <c r="E851" s="67"/>
      <c r="F851" s="58">
        <f t="shared" ref="F851:L851" si="859">SUMIFS($C851,$B851,F$7)+F850</f>
        <v>25</v>
      </c>
      <c r="G851" s="58">
        <f t="shared" si="859"/>
        <v>0</v>
      </c>
      <c r="H851" s="58">
        <f t="shared" si="859"/>
        <v>0</v>
      </c>
      <c r="I851" s="58">
        <f t="shared" si="859"/>
        <v>57</v>
      </c>
      <c r="J851" s="58">
        <f t="shared" si="859"/>
        <v>19</v>
      </c>
      <c r="K851" s="58">
        <f t="shared" si="859"/>
        <v>0</v>
      </c>
      <c r="L851" s="58">
        <f t="shared" si="859"/>
        <v>-35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0" customHeight="1">
      <c r="A852" s="70"/>
      <c r="B852" s="71"/>
      <c r="C852" s="66"/>
      <c r="D852" s="66">
        <f t="shared" si="333"/>
        <v>0</v>
      </c>
      <c r="E852" s="67"/>
      <c r="F852" s="58">
        <f t="shared" ref="F852:L852" si="860">SUMIFS($C852,$B852,F$7)+F851</f>
        <v>25</v>
      </c>
      <c r="G852" s="58">
        <f t="shared" si="860"/>
        <v>0</v>
      </c>
      <c r="H852" s="58">
        <f t="shared" si="860"/>
        <v>0</v>
      </c>
      <c r="I852" s="58">
        <f t="shared" si="860"/>
        <v>57</v>
      </c>
      <c r="J852" s="58">
        <f t="shared" si="860"/>
        <v>19</v>
      </c>
      <c r="K852" s="58">
        <f t="shared" si="860"/>
        <v>0</v>
      </c>
      <c r="L852" s="58">
        <f t="shared" si="860"/>
        <v>-35</v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0" customHeight="1">
      <c r="A853" s="70"/>
      <c r="B853" s="71"/>
      <c r="C853" s="66"/>
      <c r="D853" s="66">
        <f t="shared" si="333"/>
        <v>0</v>
      </c>
      <c r="E853" s="67"/>
      <c r="F853" s="58">
        <f t="shared" ref="F853:L853" si="861">SUMIFS($C853,$B853,F$7)+F852</f>
        <v>25</v>
      </c>
      <c r="G853" s="58">
        <f t="shared" si="861"/>
        <v>0</v>
      </c>
      <c r="H853" s="58">
        <f t="shared" si="861"/>
        <v>0</v>
      </c>
      <c r="I853" s="58">
        <f t="shared" si="861"/>
        <v>57</v>
      </c>
      <c r="J853" s="58">
        <f t="shared" si="861"/>
        <v>19</v>
      </c>
      <c r="K853" s="58">
        <f t="shared" si="861"/>
        <v>0</v>
      </c>
      <c r="L853" s="58">
        <f t="shared" si="861"/>
        <v>-35</v>
      </c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0" customHeight="1">
      <c r="A854" s="70"/>
      <c r="B854" s="71"/>
      <c r="C854" s="66"/>
      <c r="D854" s="66">
        <f t="shared" si="333"/>
        <v>0</v>
      </c>
      <c r="E854" s="67"/>
      <c r="F854" s="58">
        <f t="shared" ref="F854:L854" si="862">SUMIFS($C854,$B854,F$7)+F853</f>
        <v>25</v>
      </c>
      <c r="G854" s="58">
        <f t="shared" si="862"/>
        <v>0</v>
      </c>
      <c r="H854" s="58">
        <f t="shared" si="862"/>
        <v>0</v>
      </c>
      <c r="I854" s="58">
        <f t="shared" si="862"/>
        <v>57</v>
      </c>
      <c r="J854" s="58">
        <f t="shared" si="862"/>
        <v>19</v>
      </c>
      <c r="K854" s="58">
        <f t="shared" si="862"/>
        <v>0</v>
      </c>
      <c r="L854" s="58">
        <f t="shared" si="862"/>
        <v>-35</v>
      </c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0" customHeight="1">
      <c r="A855" s="70"/>
      <c r="B855" s="71"/>
      <c r="C855" s="66"/>
      <c r="D855" s="66">
        <f t="shared" si="333"/>
        <v>0</v>
      </c>
      <c r="E855" s="67"/>
      <c r="F855" s="58">
        <f t="shared" ref="F855:L855" si="863">SUMIFS($C855,$B855,F$7)+F854</f>
        <v>25</v>
      </c>
      <c r="G855" s="58">
        <f t="shared" si="863"/>
        <v>0</v>
      </c>
      <c r="H855" s="58">
        <f t="shared" si="863"/>
        <v>0</v>
      </c>
      <c r="I855" s="58">
        <f t="shared" si="863"/>
        <v>57</v>
      </c>
      <c r="J855" s="58">
        <f t="shared" si="863"/>
        <v>19</v>
      </c>
      <c r="K855" s="58">
        <f t="shared" si="863"/>
        <v>0</v>
      </c>
      <c r="L855" s="58">
        <f t="shared" si="863"/>
        <v>-35</v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0" customHeight="1">
      <c r="A856" s="70"/>
      <c r="B856" s="71"/>
      <c r="C856" s="66"/>
      <c r="D856" s="66">
        <f t="shared" si="333"/>
        <v>0</v>
      </c>
      <c r="E856" s="67"/>
      <c r="F856" s="58">
        <f t="shared" ref="F856:L856" si="864">SUMIFS($C856,$B856,F$7)+F855</f>
        <v>25</v>
      </c>
      <c r="G856" s="58">
        <f t="shared" si="864"/>
        <v>0</v>
      </c>
      <c r="H856" s="58">
        <f t="shared" si="864"/>
        <v>0</v>
      </c>
      <c r="I856" s="58">
        <f t="shared" si="864"/>
        <v>57</v>
      </c>
      <c r="J856" s="58">
        <f t="shared" si="864"/>
        <v>19</v>
      </c>
      <c r="K856" s="58">
        <f t="shared" si="864"/>
        <v>0</v>
      </c>
      <c r="L856" s="58">
        <f t="shared" si="864"/>
        <v>-35</v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0" customHeight="1">
      <c r="A857" s="70"/>
      <c r="B857" s="71"/>
      <c r="C857" s="66"/>
      <c r="D857" s="66">
        <f t="shared" si="333"/>
        <v>0</v>
      </c>
      <c r="E857" s="67"/>
      <c r="F857" s="58">
        <f t="shared" ref="F857:L857" si="865">SUMIFS($C857,$B857,F$7)+F856</f>
        <v>25</v>
      </c>
      <c r="G857" s="58">
        <f t="shared" si="865"/>
        <v>0</v>
      </c>
      <c r="H857" s="58">
        <f t="shared" si="865"/>
        <v>0</v>
      </c>
      <c r="I857" s="58">
        <f t="shared" si="865"/>
        <v>57</v>
      </c>
      <c r="J857" s="58">
        <f t="shared" si="865"/>
        <v>19</v>
      </c>
      <c r="K857" s="58">
        <f t="shared" si="865"/>
        <v>0</v>
      </c>
      <c r="L857" s="58">
        <f t="shared" si="865"/>
        <v>-35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0" customHeight="1">
      <c r="A858" s="70"/>
      <c r="B858" s="71"/>
      <c r="C858" s="66"/>
      <c r="D858" s="66">
        <f t="shared" si="333"/>
        <v>0</v>
      </c>
      <c r="E858" s="67"/>
      <c r="F858" s="58">
        <f t="shared" ref="F858:L858" si="866">SUMIFS($C858,$B858,F$7)+F857</f>
        <v>25</v>
      </c>
      <c r="G858" s="58">
        <f t="shared" si="866"/>
        <v>0</v>
      </c>
      <c r="H858" s="58">
        <f t="shared" si="866"/>
        <v>0</v>
      </c>
      <c r="I858" s="58">
        <f t="shared" si="866"/>
        <v>57</v>
      </c>
      <c r="J858" s="58">
        <f t="shared" si="866"/>
        <v>19</v>
      </c>
      <c r="K858" s="58">
        <f t="shared" si="866"/>
        <v>0</v>
      </c>
      <c r="L858" s="58">
        <f t="shared" si="866"/>
        <v>-35</v>
      </c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0" customHeight="1">
      <c r="A859" s="70"/>
      <c r="B859" s="71"/>
      <c r="C859" s="66"/>
      <c r="D859" s="66">
        <f t="shared" si="333"/>
        <v>0</v>
      </c>
      <c r="E859" s="67"/>
      <c r="F859" s="58">
        <f t="shared" ref="F859:L859" si="867">SUMIFS($C859,$B859,F$7)+F858</f>
        <v>25</v>
      </c>
      <c r="G859" s="58">
        <f t="shared" si="867"/>
        <v>0</v>
      </c>
      <c r="H859" s="58">
        <f t="shared" si="867"/>
        <v>0</v>
      </c>
      <c r="I859" s="58">
        <f t="shared" si="867"/>
        <v>57</v>
      </c>
      <c r="J859" s="58">
        <f t="shared" si="867"/>
        <v>19</v>
      </c>
      <c r="K859" s="58">
        <f t="shared" si="867"/>
        <v>0</v>
      </c>
      <c r="L859" s="58">
        <f t="shared" si="867"/>
        <v>-35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0" customHeight="1">
      <c r="A860" s="70"/>
      <c r="B860" s="71"/>
      <c r="C860" s="66"/>
      <c r="D860" s="66">
        <f t="shared" si="333"/>
        <v>0</v>
      </c>
      <c r="E860" s="67"/>
      <c r="F860" s="58">
        <f t="shared" ref="F860:L860" si="868">SUMIFS($C860,$B860,F$7)+F859</f>
        <v>25</v>
      </c>
      <c r="G860" s="58">
        <f t="shared" si="868"/>
        <v>0</v>
      </c>
      <c r="H860" s="58">
        <f t="shared" si="868"/>
        <v>0</v>
      </c>
      <c r="I860" s="58">
        <f t="shared" si="868"/>
        <v>57</v>
      </c>
      <c r="J860" s="58">
        <f t="shared" si="868"/>
        <v>19</v>
      </c>
      <c r="K860" s="58">
        <f t="shared" si="868"/>
        <v>0</v>
      </c>
      <c r="L860" s="58">
        <f t="shared" si="868"/>
        <v>-35</v>
      </c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0" customHeight="1">
      <c r="A861" s="70"/>
      <c r="B861" s="71"/>
      <c r="C861" s="66"/>
      <c r="D861" s="66">
        <f t="shared" si="333"/>
        <v>0</v>
      </c>
      <c r="E861" s="67"/>
      <c r="F861" s="58">
        <f t="shared" ref="F861:L861" si="869">SUMIFS($C861,$B861,F$7)+F860</f>
        <v>25</v>
      </c>
      <c r="G861" s="58">
        <f t="shared" si="869"/>
        <v>0</v>
      </c>
      <c r="H861" s="58">
        <f t="shared" si="869"/>
        <v>0</v>
      </c>
      <c r="I861" s="58">
        <f t="shared" si="869"/>
        <v>57</v>
      </c>
      <c r="J861" s="58">
        <f t="shared" si="869"/>
        <v>19</v>
      </c>
      <c r="K861" s="58">
        <f t="shared" si="869"/>
        <v>0</v>
      </c>
      <c r="L861" s="58">
        <f t="shared" si="869"/>
        <v>-35</v>
      </c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0" customHeight="1">
      <c r="A862" s="70"/>
      <c r="B862" s="71"/>
      <c r="C862" s="66"/>
      <c r="D862" s="66">
        <f t="shared" si="333"/>
        <v>0</v>
      </c>
      <c r="E862" s="67"/>
      <c r="F862" s="58">
        <f t="shared" ref="F862:L862" si="870">SUMIFS($C862,$B862,F$7)+F861</f>
        <v>25</v>
      </c>
      <c r="G862" s="58">
        <f t="shared" si="870"/>
        <v>0</v>
      </c>
      <c r="H862" s="58">
        <f t="shared" si="870"/>
        <v>0</v>
      </c>
      <c r="I862" s="58">
        <f t="shared" si="870"/>
        <v>57</v>
      </c>
      <c r="J862" s="58">
        <f t="shared" si="870"/>
        <v>19</v>
      </c>
      <c r="K862" s="58">
        <f t="shared" si="870"/>
        <v>0</v>
      </c>
      <c r="L862" s="58">
        <f t="shared" si="870"/>
        <v>-35</v>
      </c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0" customHeight="1">
      <c r="A863" s="70"/>
      <c r="B863" s="71"/>
      <c r="C863" s="66"/>
      <c r="D863" s="66">
        <f t="shared" si="333"/>
        <v>0</v>
      </c>
      <c r="E863" s="67"/>
      <c r="F863" s="58">
        <f t="shared" ref="F863:L863" si="871">SUMIFS($C863,$B863,F$7)+F862</f>
        <v>25</v>
      </c>
      <c r="G863" s="58">
        <f t="shared" si="871"/>
        <v>0</v>
      </c>
      <c r="H863" s="58">
        <f t="shared" si="871"/>
        <v>0</v>
      </c>
      <c r="I863" s="58">
        <f t="shared" si="871"/>
        <v>57</v>
      </c>
      <c r="J863" s="58">
        <f t="shared" si="871"/>
        <v>19</v>
      </c>
      <c r="K863" s="58">
        <f t="shared" si="871"/>
        <v>0</v>
      </c>
      <c r="L863" s="58">
        <f t="shared" si="871"/>
        <v>-35</v>
      </c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0" customHeight="1">
      <c r="A864" s="70"/>
      <c r="B864" s="71"/>
      <c r="C864" s="66"/>
      <c r="D864" s="66">
        <f t="shared" si="333"/>
        <v>0</v>
      </c>
      <c r="E864" s="67"/>
      <c r="F864" s="58">
        <f t="shared" ref="F864:L864" si="872">SUMIFS($C864,$B864,F$7)+F863</f>
        <v>25</v>
      </c>
      <c r="G864" s="58">
        <f t="shared" si="872"/>
        <v>0</v>
      </c>
      <c r="H864" s="58">
        <f t="shared" si="872"/>
        <v>0</v>
      </c>
      <c r="I864" s="58">
        <f t="shared" si="872"/>
        <v>57</v>
      </c>
      <c r="J864" s="58">
        <f t="shared" si="872"/>
        <v>19</v>
      </c>
      <c r="K864" s="58">
        <f t="shared" si="872"/>
        <v>0</v>
      </c>
      <c r="L864" s="58">
        <f t="shared" si="872"/>
        <v>-35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0" customHeight="1">
      <c r="A865" s="70"/>
      <c r="B865" s="71"/>
      <c r="C865" s="66"/>
      <c r="D865" s="66">
        <f t="shared" si="333"/>
        <v>0</v>
      </c>
      <c r="E865" s="67"/>
      <c r="F865" s="58">
        <f t="shared" ref="F865:L865" si="873">SUMIFS($C865,$B865,F$7)+F864</f>
        <v>25</v>
      </c>
      <c r="G865" s="58">
        <f t="shared" si="873"/>
        <v>0</v>
      </c>
      <c r="H865" s="58">
        <f t="shared" si="873"/>
        <v>0</v>
      </c>
      <c r="I865" s="58">
        <f t="shared" si="873"/>
        <v>57</v>
      </c>
      <c r="J865" s="58">
        <f t="shared" si="873"/>
        <v>19</v>
      </c>
      <c r="K865" s="58">
        <f t="shared" si="873"/>
        <v>0</v>
      </c>
      <c r="L865" s="58">
        <f t="shared" si="873"/>
        <v>-35</v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0" customHeight="1">
      <c r="A866" s="70"/>
      <c r="B866" s="71"/>
      <c r="C866" s="66"/>
      <c r="D866" s="66">
        <f t="shared" si="333"/>
        <v>0</v>
      </c>
      <c r="E866" s="67"/>
      <c r="F866" s="58">
        <f t="shared" ref="F866:L866" si="874">SUMIFS($C866,$B866,F$7)+F865</f>
        <v>25</v>
      </c>
      <c r="G866" s="58">
        <f t="shared" si="874"/>
        <v>0</v>
      </c>
      <c r="H866" s="58">
        <f t="shared" si="874"/>
        <v>0</v>
      </c>
      <c r="I866" s="58">
        <f t="shared" si="874"/>
        <v>57</v>
      </c>
      <c r="J866" s="58">
        <f t="shared" si="874"/>
        <v>19</v>
      </c>
      <c r="K866" s="58">
        <f t="shared" si="874"/>
        <v>0</v>
      </c>
      <c r="L866" s="58">
        <f t="shared" si="874"/>
        <v>-35</v>
      </c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0" customHeight="1">
      <c r="A867" s="70"/>
      <c r="B867" s="71"/>
      <c r="C867" s="66"/>
      <c r="D867" s="66">
        <f t="shared" si="333"/>
        <v>0</v>
      </c>
      <c r="E867" s="67"/>
      <c r="F867" s="58">
        <f t="shared" ref="F867:L867" si="875">SUMIFS($C867,$B867,F$7)+F866</f>
        <v>25</v>
      </c>
      <c r="G867" s="58">
        <f t="shared" si="875"/>
        <v>0</v>
      </c>
      <c r="H867" s="58">
        <f t="shared" si="875"/>
        <v>0</v>
      </c>
      <c r="I867" s="58">
        <f t="shared" si="875"/>
        <v>57</v>
      </c>
      <c r="J867" s="58">
        <f t="shared" si="875"/>
        <v>19</v>
      </c>
      <c r="K867" s="58">
        <f t="shared" si="875"/>
        <v>0</v>
      </c>
      <c r="L867" s="58">
        <f t="shared" si="875"/>
        <v>-35</v>
      </c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0" customHeight="1">
      <c r="A868" s="70"/>
      <c r="B868" s="71"/>
      <c r="C868" s="66"/>
      <c r="D868" s="66">
        <f t="shared" si="333"/>
        <v>0</v>
      </c>
      <c r="E868" s="67"/>
      <c r="F868" s="58">
        <f t="shared" ref="F868:L868" si="876">SUMIFS($C868,$B868,F$7)+F867</f>
        <v>25</v>
      </c>
      <c r="G868" s="58">
        <f t="shared" si="876"/>
        <v>0</v>
      </c>
      <c r="H868" s="58">
        <f t="shared" si="876"/>
        <v>0</v>
      </c>
      <c r="I868" s="58">
        <f t="shared" si="876"/>
        <v>57</v>
      </c>
      <c r="J868" s="58">
        <f t="shared" si="876"/>
        <v>19</v>
      </c>
      <c r="K868" s="58">
        <f t="shared" si="876"/>
        <v>0</v>
      </c>
      <c r="L868" s="58">
        <f t="shared" si="876"/>
        <v>-35</v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0" customHeight="1">
      <c r="A869" s="70"/>
      <c r="B869" s="71"/>
      <c r="C869" s="66"/>
      <c r="D869" s="66">
        <f t="shared" si="333"/>
        <v>0</v>
      </c>
      <c r="E869" s="67"/>
      <c r="F869" s="58">
        <f t="shared" ref="F869:L869" si="877">SUMIFS($C869,$B869,F$7)+F868</f>
        <v>25</v>
      </c>
      <c r="G869" s="58">
        <f t="shared" si="877"/>
        <v>0</v>
      </c>
      <c r="H869" s="58">
        <f t="shared" si="877"/>
        <v>0</v>
      </c>
      <c r="I869" s="58">
        <f t="shared" si="877"/>
        <v>57</v>
      </c>
      <c r="J869" s="58">
        <f t="shared" si="877"/>
        <v>19</v>
      </c>
      <c r="K869" s="58">
        <f t="shared" si="877"/>
        <v>0</v>
      </c>
      <c r="L869" s="58">
        <f t="shared" si="877"/>
        <v>-35</v>
      </c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0" customHeight="1">
      <c r="A870" s="70"/>
      <c r="B870" s="71"/>
      <c r="C870" s="66"/>
      <c r="D870" s="66">
        <f t="shared" si="333"/>
        <v>0</v>
      </c>
      <c r="E870" s="67"/>
      <c r="F870" s="58">
        <f t="shared" ref="F870:L870" si="878">SUMIFS($C870,$B870,F$7)+F869</f>
        <v>25</v>
      </c>
      <c r="G870" s="58">
        <f t="shared" si="878"/>
        <v>0</v>
      </c>
      <c r="H870" s="58">
        <f t="shared" si="878"/>
        <v>0</v>
      </c>
      <c r="I870" s="58">
        <f t="shared" si="878"/>
        <v>57</v>
      </c>
      <c r="J870" s="58">
        <f t="shared" si="878"/>
        <v>19</v>
      </c>
      <c r="K870" s="58">
        <f t="shared" si="878"/>
        <v>0</v>
      </c>
      <c r="L870" s="58">
        <f t="shared" si="878"/>
        <v>-35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0" customHeight="1">
      <c r="A871" s="70"/>
      <c r="B871" s="71"/>
      <c r="C871" s="66"/>
      <c r="D871" s="66">
        <f t="shared" si="333"/>
        <v>0</v>
      </c>
      <c r="E871" s="67"/>
      <c r="F871" s="58">
        <f t="shared" ref="F871:L871" si="879">SUMIFS($C871,$B871,F$7)+F870</f>
        <v>25</v>
      </c>
      <c r="G871" s="58">
        <f t="shared" si="879"/>
        <v>0</v>
      </c>
      <c r="H871" s="58">
        <f t="shared" si="879"/>
        <v>0</v>
      </c>
      <c r="I871" s="58">
        <f t="shared" si="879"/>
        <v>57</v>
      </c>
      <c r="J871" s="58">
        <f t="shared" si="879"/>
        <v>19</v>
      </c>
      <c r="K871" s="58">
        <f t="shared" si="879"/>
        <v>0</v>
      </c>
      <c r="L871" s="58">
        <f t="shared" si="879"/>
        <v>-35</v>
      </c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0" customHeight="1">
      <c r="A872" s="70"/>
      <c r="B872" s="71"/>
      <c r="C872" s="66"/>
      <c r="D872" s="66">
        <f t="shared" si="333"/>
        <v>0</v>
      </c>
      <c r="E872" s="67"/>
      <c r="F872" s="58">
        <f t="shared" ref="F872:L872" si="880">SUMIFS($C872,$B872,F$7)+F871</f>
        <v>25</v>
      </c>
      <c r="G872" s="58">
        <f t="shared" si="880"/>
        <v>0</v>
      </c>
      <c r="H872" s="58">
        <f t="shared" si="880"/>
        <v>0</v>
      </c>
      <c r="I872" s="58">
        <f t="shared" si="880"/>
        <v>57</v>
      </c>
      <c r="J872" s="58">
        <f t="shared" si="880"/>
        <v>19</v>
      </c>
      <c r="K872" s="58">
        <f t="shared" si="880"/>
        <v>0</v>
      </c>
      <c r="L872" s="58">
        <f t="shared" si="880"/>
        <v>-35</v>
      </c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0" customHeight="1">
      <c r="A873" s="70"/>
      <c r="B873" s="71"/>
      <c r="C873" s="66"/>
      <c r="D873" s="66">
        <f t="shared" si="333"/>
        <v>0</v>
      </c>
      <c r="E873" s="67"/>
      <c r="F873" s="58">
        <f t="shared" ref="F873:L873" si="881">SUMIFS($C873,$B873,F$7)+F872</f>
        <v>25</v>
      </c>
      <c r="G873" s="58">
        <f t="shared" si="881"/>
        <v>0</v>
      </c>
      <c r="H873" s="58">
        <f t="shared" si="881"/>
        <v>0</v>
      </c>
      <c r="I873" s="58">
        <f t="shared" si="881"/>
        <v>57</v>
      </c>
      <c r="J873" s="58">
        <f t="shared" si="881"/>
        <v>19</v>
      </c>
      <c r="K873" s="58">
        <f t="shared" si="881"/>
        <v>0</v>
      </c>
      <c r="L873" s="58">
        <f t="shared" si="881"/>
        <v>-35</v>
      </c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0" customHeight="1">
      <c r="A874" s="70"/>
      <c r="B874" s="71"/>
      <c r="C874" s="66"/>
      <c r="D874" s="66">
        <f t="shared" si="333"/>
        <v>0</v>
      </c>
      <c r="E874" s="67"/>
      <c r="F874" s="58">
        <f t="shared" ref="F874:L874" si="882">SUMIFS($C874,$B874,F$7)+F873</f>
        <v>25</v>
      </c>
      <c r="G874" s="58">
        <f t="shared" si="882"/>
        <v>0</v>
      </c>
      <c r="H874" s="58">
        <f t="shared" si="882"/>
        <v>0</v>
      </c>
      <c r="I874" s="58">
        <f t="shared" si="882"/>
        <v>57</v>
      </c>
      <c r="J874" s="58">
        <f t="shared" si="882"/>
        <v>19</v>
      </c>
      <c r="K874" s="58">
        <f t="shared" si="882"/>
        <v>0</v>
      </c>
      <c r="L874" s="58">
        <f t="shared" si="882"/>
        <v>-35</v>
      </c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0" customHeight="1">
      <c r="A875" s="70"/>
      <c r="B875" s="71"/>
      <c r="C875" s="66"/>
      <c r="D875" s="66">
        <f t="shared" si="333"/>
        <v>0</v>
      </c>
      <c r="E875" s="67"/>
      <c r="F875" s="58">
        <f t="shared" ref="F875:L875" si="883">SUMIFS($C875,$B875,F$7)+F874</f>
        <v>25</v>
      </c>
      <c r="G875" s="58">
        <f t="shared" si="883"/>
        <v>0</v>
      </c>
      <c r="H875" s="58">
        <f t="shared" si="883"/>
        <v>0</v>
      </c>
      <c r="I875" s="58">
        <f t="shared" si="883"/>
        <v>57</v>
      </c>
      <c r="J875" s="58">
        <f t="shared" si="883"/>
        <v>19</v>
      </c>
      <c r="K875" s="58">
        <f t="shared" si="883"/>
        <v>0</v>
      </c>
      <c r="L875" s="58">
        <f t="shared" si="883"/>
        <v>-35</v>
      </c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0" customHeight="1">
      <c r="A876" s="70"/>
      <c r="B876" s="71"/>
      <c r="C876" s="66"/>
      <c r="D876" s="66">
        <f t="shared" si="333"/>
        <v>0</v>
      </c>
      <c r="E876" s="67"/>
      <c r="F876" s="58">
        <f t="shared" ref="F876:L876" si="884">SUMIFS($C876,$B876,F$7)+F875</f>
        <v>25</v>
      </c>
      <c r="G876" s="58">
        <f t="shared" si="884"/>
        <v>0</v>
      </c>
      <c r="H876" s="58">
        <f t="shared" si="884"/>
        <v>0</v>
      </c>
      <c r="I876" s="58">
        <f t="shared" si="884"/>
        <v>57</v>
      </c>
      <c r="J876" s="58">
        <f t="shared" si="884"/>
        <v>19</v>
      </c>
      <c r="K876" s="58">
        <f t="shared" si="884"/>
        <v>0</v>
      </c>
      <c r="L876" s="58">
        <f t="shared" si="884"/>
        <v>-35</v>
      </c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0" customHeight="1">
      <c r="A877" s="70"/>
      <c r="B877" s="71"/>
      <c r="C877" s="66"/>
      <c r="D877" s="66">
        <f t="shared" si="333"/>
        <v>0</v>
      </c>
      <c r="E877" s="67"/>
      <c r="F877" s="58">
        <f t="shared" ref="F877:L877" si="885">SUMIFS($C877,$B877,F$7)+F876</f>
        <v>25</v>
      </c>
      <c r="G877" s="58">
        <f t="shared" si="885"/>
        <v>0</v>
      </c>
      <c r="H877" s="58">
        <f t="shared" si="885"/>
        <v>0</v>
      </c>
      <c r="I877" s="58">
        <f t="shared" si="885"/>
        <v>57</v>
      </c>
      <c r="J877" s="58">
        <f t="shared" si="885"/>
        <v>19</v>
      </c>
      <c r="K877" s="58">
        <f t="shared" si="885"/>
        <v>0</v>
      </c>
      <c r="L877" s="58">
        <f t="shared" si="885"/>
        <v>-35</v>
      </c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0" customHeight="1">
      <c r="A878" s="70"/>
      <c r="B878" s="71"/>
      <c r="C878" s="66"/>
      <c r="D878" s="66">
        <f t="shared" si="333"/>
        <v>0</v>
      </c>
      <c r="E878" s="67"/>
      <c r="F878" s="58">
        <f t="shared" ref="F878:L878" si="886">SUMIFS($C878,$B878,F$7)+F877</f>
        <v>25</v>
      </c>
      <c r="G878" s="58">
        <f t="shared" si="886"/>
        <v>0</v>
      </c>
      <c r="H878" s="58">
        <f t="shared" si="886"/>
        <v>0</v>
      </c>
      <c r="I878" s="58">
        <f t="shared" si="886"/>
        <v>57</v>
      </c>
      <c r="J878" s="58">
        <f t="shared" si="886"/>
        <v>19</v>
      </c>
      <c r="K878" s="58">
        <f t="shared" si="886"/>
        <v>0</v>
      </c>
      <c r="L878" s="58">
        <f t="shared" si="886"/>
        <v>-35</v>
      </c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0" customHeight="1">
      <c r="A879" s="70"/>
      <c r="B879" s="71"/>
      <c r="C879" s="66"/>
      <c r="D879" s="66">
        <f t="shared" si="333"/>
        <v>0</v>
      </c>
      <c r="E879" s="67"/>
      <c r="F879" s="58">
        <f t="shared" ref="F879:L879" si="887">SUMIFS($C879,$B879,F$7)+F878</f>
        <v>25</v>
      </c>
      <c r="G879" s="58">
        <f t="shared" si="887"/>
        <v>0</v>
      </c>
      <c r="H879" s="58">
        <f t="shared" si="887"/>
        <v>0</v>
      </c>
      <c r="I879" s="58">
        <f t="shared" si="887"/>
        <v>57</v>
      </c>
      <c r="J879" s="58">
        <f t="shared" si="887"/>
        <v>19</v>
      </c>
      <c r="K879" s="58">
        <f t="shared" si="887"/>
        <v>0</v>
      </c>
      <c r="L879" s="58">
        <f t="shared" si="887"/>
        <v>-35</v>
      </c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0" customHeight="1">
      <c r="A880" s="70"/>
      <c r="B880" s="71"/>
      <c r="C880" s="66"/>
      <c r="D880" s="66">
        <f t="shared" si="333"/>
        <v>0</v>
      </c>
      <c r="E880" s="67"/>
      <c r="F880" s="58">
        <f t="shared" ref="F880:L880" si="888">SUMIFS($C880,$B880,F$7)+F879</f>
        <v>25</v>
      </c>
      <c r="G880" s="58">
        <f t="shared" si="888"/>
        <v>0</v>
      </c>
      <c r="H880" s="58">
        <f t="shared" si="888"/>
        <v>0</v>
      </c>
      <c r="I880" s="58">
        <f t="shared" si="888"/>
        <v>57</v>
      </c>
      <c r="J880" s="58">
        <f t="shared" si="888"/>
        <v>19</v>
      </c>
      <c r="K880" s="58">
        <f t="shared" si="888"/>
        <v>0</v>
      </c>
      <c r="L880" s="58">
        <f t="shared" si="888"/>
        <v>-35</v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0" customHeight="1">
      <c r="A881" s="70"/>
      <c r="B881" s="71"/>
      <c r="C881" s="66"/>
      <c r="D881" s="66">
        <f t="shared" si="333"/>
        <v>0</v>
      </c>
      <c r="E881" s="67"/>
      <c r="F881" s="58">
        <f t="shared" ref="F881:L881" si="889">SUMIFS($C881,$B881,F$7)+F880</f>
        <v>25</v>
      </c>
      <c r="G881" s="58">
        <f t="shared" si="889"/>
        <v>0</v>
      </c>
      <c r="H881" s="58">
        <f t="shared" si="889"/>
        <v>0</v>
      </c>
      <c r="I881" s="58">
        <f t="shared" si="889"/>
        <v>57</v>
      </c>
      <c r="J881" s="58">
        <f t="shared" si="889"/>
        <v>19</v>
      </c>
      <c r="K881" s="58">
        <f t="shared" si="889"/>
        <v>0</v>
      </c>
      <c r="L881" s="58">
        <f t="shared" si="889"/>
        <v>-35</v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0" customHeight="1">
      <c r="A882" s="70"/>
      <c r="B882" s="71"/>
      <c r="C882" s="66"/>
      <c r="D882" s="66">
        <f t="shared" si="333"/>
        <v>0</v>
      </c>
      <c r="E882" s="67"/>
      <c r="F882" s="58">
        <f t="shared" ref="F882:L882" si="890">SUMIFS($C882,$B882,F$7)+F881</f>
        <v>25</v>
      </c>
      <c r="G882" s="58">
        <f t="shared" si="890"/>
        <v>0</v>
      </c>
      <c r="H882" s="58">
        <f t="shared" si="890"/>
        <v>0</v>
      </c>
      <c r="I882" s="58">
        <f t="shared" si="890"/>
        <v>57</v>
      </c>
      <c r="J882" s="58">
        <f t="shared" si="890"/>
        <v>19</v>
      </c>
      <c r="K882" s="58">
        <f t="shared" si="890"/>
        <v>0</v>
      </c>
      <c r="L882" s="58">
        <f t="shared" si="890"/>
        <v>-35</v>
      </c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0" customHeight="1">
      <c r="A883" s="70"/>
      <c r="B883" s="71"/>
      <c r="C883" s="66"/>
      <c r="D883" s="66">
        <f t="shared" si="333"/>
        <v>0</v>
      </c>
      <c r="E883" s="67"/>
      <c r="F883" s="58">
        <f t="shared" ref="F883:L883" si="891">SUMIFS($C883,$B883,F$7)+F882</f>
        <v>25</v>
      </c>
      <c r="G883" s="58">
        <f t="shared" si="891"/>
        <v>0</v>
      </c>
      <c r="H883" s="58">
        <f t="shared" si="891"/>
        <v>0</v>
      </c>
      <c r="I883" s="58">
        <f t="shared" si="891"/>
        <v>57</v>
      </c>
      <c r="J883" s="58">
        <f t="shared" si="891"/>
        <v>19</v>
      </c>
      <c r="K883" s="58">
        <f t="shared" si="891"/>
        <v>0</v>
      </c>
      <c r="L883" s="58">
        <f t="shared" si="891"/>
        <v>-35</v>
      </c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0" customHeight="1">
      <c r="A884" s="70"/>
      <c r="B884" s="71"/>
      <c r="C884" s="66"/>
      <c r="D884" s="66">
        <f t="shared" si="333"/>
        <v>0</v>
      </c>
      <c r="E884" s="67"/>
      <c r="F884" s="58">
        <f t="shared" ref="F884:L884" si="892">SUMIFS($C884,$B884,F$7)+F883</f>
        <v>25</v>
      </c>
      <c r="G884" s="58">
        <f t="shared" si="892"/>
        <v>0</v>
      </c>
      <c r="H884" s="58">
        <f t="shared" si="892"/>
        <v>0</v>
      </c>
      <c r="I884" s="58">
        <f t="shared" si="892"/>
        <v>57</v>
      </c>
      <c r="J884" s="58">
        <f t="shared" si="892"/>
        <v>19</v>
      </c>
      <c r="K884" s="58">
        <f t="shared" si="892"/>
        <v>0</v>
      </c>
      <c r="L884" s="58">
        <f t="shared" si="892"/>
        <v>-35</v>
      </c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0" customHeight="1">
      <c r="A885" s="70"/>
      <c r="B885" s="71"/>
      <c r="C885" s="66"/>
      <c r="D885" s="66">
        <f t="shared" si="333"/>
        <v>0</v>
      </c>
      <c r="E885" s="67"/>
      <c r="F885" s="58">
        <f t="shared" ref="F885:L885" si="893">SUMIFS($C885,$B885,F$7)+F884</f>
        <v>25</v>
      </c>
      <c r="G885" s="58">
        <f t="shared" si="893"/>
        <v>0</v>
      </c>
      <c r="H885" s="58">
        <f t="shared" si="893"/>
        <v>0</v>
      </c>
      <c r="I885" s="58">
        <f t="shared" si="893"/>
        <v>57</v>
      </c>
      <c r="J885" s="58">
        <f t="shared" si="893"/>
        <v>19</v>
      </c>
      <c r="K885" s="58">
        <f t="shared" si="893"/>
        <v>0</v>
      </c>
      <c r="L885" s="58">
        <f t="shared" si="893"/>
        <v>-35</v>
      </c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0" customHeight="1">
      <c r="A886" s="70"/>
      <c r="B886" s="71"/>
      <c r="C886" s="66"/>
      <c r="D886" s="66">
        <f t="shared" si="333"/>
        <v>0</v>
      </c>
      <c r="E886" s="67"/>
      <c r="F886" s="58">
        <f t="shared" ref="F886:L886" si="894">SUMIFS($C886,$B886,F$7)+F885</f>
        <v>25</v>
      </c>
      <c r="G886" s="58">
        <f t="shared" si="894"/>
        <v>0</v>
      </c>
      <c r="H886" s="58">
        <f t="shared" si="894"/>
        <v>0</v>
      </c>
      <c r="I886" s="58">
        <f t="shared" si="894"/>
        <v>57</v>
      </c>
      <c r="J886" s="58">
        <f t="shared" si="894"/>
        <v>19</v>
      </c>
      <c r="K886" s="58">
        <f t="shared" si="894"/>
        <v>0</v>
      </c>
      <c r="L886" s="58">
        <f t="shared" si="894"/>
        <v>-35</v>
      </c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0" customHeight="1">
      <c r="A887" s="70"/>
      <c r="B887" s="71"/>
      <c r="C887" s="66"/>
      <c r="D887" s="66">
        <f t="shared" si="333"/>
        <v>0</v>
      </c>
      <c r="E887" s="67"/>
      <c r="F887" s="58">
        <f t="shared" ref="F887:L887" si="895">SUMIFS($C887,$B887,F$7)+F886</f>
        <v>25</v>
      </c>
      <c r="G887" s="58">
        <f t="shared" si="895"/>
        <v>0</v>
      </c>
      <c r="H887" s="58">
        <f t="shared" si="895"/>
        <v>0</v>
      </c>
      <c r="I887" s="58">
        <f t="shared" si="895"/>
        <v>57</v>
      </c>
      <c r="J887" s="58">
        <f t="shared" si="895"/>
        <v>19</v>
      </c>
      <c r="K887" s="58">
        <f t="shared" si="895"/>
        <v>0</v>
      </c>
      <c r="L887" s="58">
        <f t="shared" si="895"/>
        <v>-35</v>
      </c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0" customHeight="1">
      <c r="A888" s="70"/>
      <c r="B888" s="71"/>
      <c r="C888" s="66"/>
      <c r="D888" s="66">
        <f t="shared" si="333"/>
        <v>0</v>
      </c>
      <c r="E888" s="67"/>
      <c r="F888" s="58">
        <f t="shared" ref="F888:L888" si="896">SUMIFS($C888,$B888,F$7)+F887</f>
        <v>25</v>
      </c>
      <c r="G888" s="58">
        <f t="shared" si="896"/>
        <v>0</v>
      </c>
      <c r="H888" s="58">
        <f t="shared" si="896"/>
        <v>0</v>
      </c>
      <c r="I888" s="58">
        <f t="shared" si="896"/>
        <v>57</v>
      </c>
      <c r="J888" s="58">
        <f t="shared" si="896"/>
        <v>19</v>
      </c>
      <c r="K888" s="58">
        <f t="shared" si="896"/>
        <v>0</v>
      </c>
      <c r="L888" s="58">
        <f t="shared" si="896"/>
        <v>-35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0" customHeight="1">
      <c r="A889" s="70"/>
      <c r="B889" s="71"/>
      <c r="C889" s="66"/>
      <c r="D889" s="66">
        <f t="shared" si="333"/>
        <v>0</v>
      </c>
      <c r="E889" s="67"/>
      <c r="F889" s="58">
        <f t="shared" ref="F889:L889" si="897">SUMIFS($C889,$B889,F$7)+F888</f>
        <v>25</v>
      </c>
      <c r="G889" s="58">
        <f t="shared" si="897"/>
        <v>0</v>
      </c>
      <c r="H889" s="58">
        <f t="shared" si="897"/>
        <v>0</v>
      </c>
      <c r="I889" s="58">
        <f t="shared" si="897"/>
        <v>57</v>
      </c>
      <c r="J889" s="58">
        <f t="shared" si="897"/>
        <v>19</v>
      </c>
      <c r="K889" s="58">
        <f t="shared" si="897"/>
        <v>0</v>
      </c>
      <c r="L889" s="58">
        <f t="shared" si="897"/>
        <v>-35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0" customHeight="1">
      <c r="A890" s="70"/>
      <c r="B890" s="71"/>
      <c r="C890" s="66"/>
      <c r="D890" s="66">
        <f t="shared" si="333"/>
        <v>0</v>
      </c>
      <c r="E890" s="67"/>
      <c r="F890" s="58">
        <f t="shared" ref="F890:L890" si="898">SUMIFS($C890,$B890,F$7)+F889</f>
        <v>25</v>
      </c>
      <c r="G890" s="58">
        <f t="shared" si="898"/>
        <v>0</v>
      </c>
      <c r="H890" s="58">
        <f t="shared" si="898"/>
        <v>0</v>
      </c>
      <c r="I890" s="58">
        <f t="shared" si="898"/>
        <v>57</v>
      </c>
      <c r="J890" s="58">
        <f t="shared" si="898"/>
        <v>19</v>
      </c>
      <c r="K890" s="58">
        <f t="shared" si="898"/>
        <v>0</v>
      </c>
      <c r="L890" s="58">
        <f t="shared" si="898"/>
        <v>-35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0" customHeight="1">
      <c r="A891" s="70"/>
      <c r="B891" s="71"/>
      <c r="C891" s="66"/>
      <c r="D891" s="66">
        <f t="shared" si="333"/>
        <v>0</v>
      </c>
      <c r="E891" s="67"/>
      <c r="F891" s="58">
        <f t="shared" ref="F891:L891" si="899">SUMIFS($C891,$B891,F$7)+F890</f>
        <v>25</v>
      </c>
      <c r="G891" s="58">
        <f t="shared" si="899"/>
        <v>0</v>
      </c>
      <c r="H891" s="58">
        <f t="shared" si="899"/>
        <v>0</v>
      </c>
      <c r="I891" s="58">
        <f t="shared" si="899"/>
        <v>57</v>
      </c>
      <c r="J891" s="58">
        <f t="shared" si="899"/>
        <v>19</v>
      </c>
      <c r="K891" s="58">
        <f t="shared" si="899"/>
        <v>0</v>
      </c>
      <c r="L891" s="58">
        <f t="shared" si="899"/>
        <v>-35</v>
      </c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0" customHeight="1">
      <c r="A892" s="70"/>
      <c r="B892" s="71"/>
      <c r="C892" s="66"/>
      <c r="D892" s="66">
        <f t="shared" si="333"/>
        <v>0</v>
      </c>
      <c r="E892" s="67"/>
      <c r="F892" s="58">
        <f t="shared" ref="F892:L892" si="900">SUMIFS($C892,$B892,F$7)+F891</f>
        <v>25</v>
      </c>
      <c r="G892" s="58">
        <f t="shared" si="900"/>
        <v>0</v>
      </c>
      <c r="H892" s="58">
        <f t="shared" si="900"/>
        <v>0</v>
      </c>
      <c r="I892" s="58">
        <f t="shared" si="900"/>
        <v>57</v>
      </c>
      <c r="J892" s="58">
        <f t="shared" si="900"/>
        <v>19</v>
      </c>
      <c r="K892" s="58">
        <f t="shared" si="900"/>
        <v>0</v>
      </c>
      <c r="L892" s="58">
        <f t="shared" si="900"/>
        <v>-35</v>
      </c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0" customHeight="1">
      <c r="A893" s="70"/>
      <c r="B893" s="71"/>
      <c r="C893" s="66"/>
      <c r="D893" s="66">
        <f t="shared" si="333"/>
        <v>0</v>
      </c>
      <c r="E893" s="67"/>
      <c r="F893" s="58">
        <f t="shared" ref="F893:L893" si="901">SUMIFS($C893,$B893,F$7)+F892</f>
        <v>25</v>
      </c>
      <c r="G893" s="58">
        <f t="shared" si="901"/>
        <v>0</v>
      </c>
      <c r="H893" s="58">
        <f t="shared" si="901"/>
        <v>0</v>
      </c>
      <c r="I893" s="58">
        <f t="shared" si="901"/>
        <v>57</v>
      </c>
      <c r="J893" s="58">
        <f t="shared" si="901"/>
        <v>19</v>
      </c>
      <c r="K893" s="58">
        <f t="shared" si="901"/>
        <v>0</v>
      </c>
      <c r="L893" s="58">
        <f t="shared" si="901"/>
        <v>-35</v>
      </c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0" customHeight="1">
      <c r="A894" s="70"/>
      <c r="B894" s="71"/>
      <c r="C894" s="66"/>
      <c r="D894" s="66">
        <f t="shared" si="333"/>
        <v>0</v>
      </c>
      <c r="E894" s="67"/>
      <c r="F894" s="58">
        <f t="shared" ref="F894:L894" si="902">SUMIFS($C894,$B894,F$7)+F893</f>
        <v>25</v>
      </c>
      <c r="G894" s="58">
        <f t="shared" si="902"/>
        <v>0</v>
      </c>
      <c r="H894" s="58">
        <f t="shared" si="902"/>
        <v>0</v>
      </c>
      <c r="I894" s="58">
        <f t="shared" si="902"/>
        <v>57</v>
      </c>
      <c r="J894" s="58">
        <f t="shared" si="902"/>
        <v>19</v>
      </c>
      <c r="K894" s="58">
        <f t="shared" si="902"/>
        <v>0</v>
      </c>
      <c r="L894" s="58">
        <f t="shared" si="902"/>
        <v>-35</v>
      </c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0" customHeight="1">
      <c r="A895" s="70"/>
      <c r="B895" s="71"/>
      <c r="C895" s="66"/>
      <c r="D895" s="66">
        <f t="shared" si="333"/>
        <v>0</v>
      </c>
      <c r="E895" s="67"/>
      <c r="F895" s="58">
        <f t="shared" ref="F895:L895" si="903">SUMIFS($C895,$B895,F$7)+F894</f>
        <v>25</v>
      </c>
      <c r="G895" s="58">
        <f t="shared" si="903"/>
        <v>0</v>
      </c>
      <c r="H895" s="58">
        <f t="shared" si="903"/>
        <v>0</v>
      </c>
      <c r="I895" s="58">
        <f t="shared" si="903"/>
        <v>57</v>
      </c>
      <c r="J895" s="58">
        <f t="shared" si="903"/>
        <v>19</v>
      </c>
      <c r="K895" s="58">
        <f t="shared" si="903"/>
        <v>0</v>
      </c>
      <c r="L895" s="58">
        <f t="shared" si="903"/>
        <v>-35</v>
      </c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0" customHeight="1">
      <c r="A896" s="70"/>
      <c r="B896" s="71"/>
      <c r="C896" s="66"/>
      <c r="D896" s="66">
        <f t="shared" si="333"/>
        <v>0</v>
      </c>
      <c r="E896" s="67"/>
      <c r="F896" s="58">
        <f t="shared" ref="F896:L896" si="904">SUMIFS($C896,$B896,F$7)+F895</f>
        <v>25</v>
      </c>
      <c r="G896" s="58">
        <f t="shared" si="904"/>
        <v>0</v>
      </c>
      <c r="H896" s="58">
        <f t="shared" si="904"/>
        <v>0</v>
      </c>
      <c r="I896" s="58">
        <f t="shared" si="904"/>
        <v>57</v>
      </c>
      <c r="J896" s="58">
        <f t="shared" si="904"/>
        <v>19</v>
      </c>
      <c r="K896" s="58">
        <f t="shared" si="904"/>
        <v>0</v>
      </c>
      <c r="L896" s="58">
        <f t="shared" si="904"/>
        <v>-35</v>
      </c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0" customHeight="1">
      <c r="A897" s="70"/>
      <c r="B897" s="71"/>
      <c r="C897" s="66"/>
      <c r="D897" s="66">
        <f t="shared" si="333"/>
        <v>0</v>
      </c>
      <c r="E897" s="67"/>
      <c r="F897" s="58">
        <f t="shared" ref="F897:L897" si="905">SUMIFS($C897,$B897,F$7)+F896</f>
        <v>25</v>
      </c>
      <c r="G897" s="58">
        <f t="shared" si="905"/>
        <v>0</v>
      </c>
      <c r="H897" s="58">
        <f t="shared" si="905"/>
        <v>0</v>
      </c>
      <c r="I897" s="58">
        <f t="shared" si="905"/>
        <v>57</v>
      </c>
      <c r="J897" s="58">
        <f t="shared" si="905"/>
        <v>19</v>
      </c>
      <c r="K897" s="58">
        <f t="shared" si="905"/>
        <v>0</v>
      </c>
      <c r="L897" s="58">
        <f t="shared" si="905"/>
        <v>-35</v>
      </c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0" customHeight="1">
      <c r="A898" s="70"/>
      <c r="B898" s="71"/>
      <c r="C898" s="66"/>
      <c r="D898" s="66">
        <f t="shared" si="333"/>
        <v>0</v>
      </c>
      <c r="E898" s="67"/>
      <c r="F898" s="58">
        <f t="shared" ref="F898:L898" si="906">SUMIFS($C898,$B898,F$7)+F897</f>
        <v>25</v>
      </c>
      <c r="G898" s="58">
        <f t="shared" si="906"/>
        <v>0</v>
      </c>
      <c r="H898" s="58">
        <f t="shared" si="906"/>
        <v>0</v>
      </c>
      <c r="I898" s="58">
        <f t="shared" si="906"/>
        <v>57</v>
      </c>
      <c r="J898" s="58">
        <f t="shared" si="906"/>
        <v>19</v>
      </c>
      <c r="K898" s="58">
        <f t="shared" si="906"/>
        <v>0</v>
      </c>
      <c r="L898" s="58">
        <f t="shared" si="906"/>
        <v>-35</v>
      </c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0" customHeight="1">
      <c r="A899" s="70"/>
      <c r="B899" s="71"/>
      <c r="C899" s="66"/>
      <c r="D899" s="66">
        <f t="shared" si="333"/>
        <v>0</v>
      </c>
      <c r="E899" s="67"/>
      <c r="F899" s="58">
        <f t="shared" ref="F899:L899" si="907">SUMIFS($C899,$B899,F$7)+F898</f>
        <v>25</v>
      </c>
      <c r="G899" s="58">
        <f t="shared" si="907"/>
        <v>0</v>
      </c>
      <c r="H899" s="58">
        <f t="shared" si="907"/>
        <v>0</v>
      </c>
      <c r="I899" s="58">
        <f t="shared" si="907"/>
        <v>57</v>
      </c>
      <c r="J899" s="58">
        <f t="shared" si="907"/>
        <v>19</v>
      </c>
      <c r="K899" s="58">
        <f t="shared" si="907"/>
        <v>0</v>
      </c>
      <c r="L899" s="58">
        <f t="shared" si="907"/>
        <v>-35</v>
      </c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0" customHeight="1">
      <c r="A900" s="70"/>
      <c r="B900" s="71"/>
      <c r="C900" s="66"/>
      <c r="D900" s="66">
        <f t="shared" si="333"/>
        <v>0</v>
      </c>
      <c r="E900" s="67"/>
      <c r="F900" s="58">
        <f t="shared" ref="F900:L900" si="908">SUMIFS($C900,$B900,F$7)+F899</f>
        <v>25</v>
      </c>
      <c r="G900" s="58">
        <f t="shared" si="908"/>
        <v>0</v>
      </c>
      <c r="H900" s="58">
        <f t="shared" si="908"/>
        <v>0</v>
      </c>
      <c r="I900" s="58">
        <f t="shared" si="908"/>
        <v>57</v>
      </c>
      <c r="J900" s="58">
        <f t="shared" si="908"/>
        <v>19</v>
      </c>
      <c r="K900" s="58">
        <f t="shared" si="908"/>
        <v>0</v>
      </c>
      <c r="L900" s="58">
        <f t="shared" si="908"/>
        <v>-35</v>
      </c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0" customHeight="1">
      <c r="A901" s="70"/>
      <c r="B901" s="71"/>
      <c r="C901" s="66"/>
      <c r="D901" s="66">
        <f t="shared" si="333"/>
        <v>0</v>
      </c>
      <c r="E901" s="67"/>
      <c r="F901" s="58">
        <f t="shared" ref="F901:L901" si="909">SUMIFS($C901,$B901,F$7)+F900</f>
        <v>25</v>
      </c>
      <c r="G901" s="58">
        <f t="shared" si="909"/>
        <v>0</v>
      </c>
      <c r="H901" s="58">
        <f t="shared" si="909"/>
        <v>0</v>
      </c>
      <c r="I901" s="58">
        <f t="shared" si="909"/>
        <v>57</v>
      </c>
      <c r="J901" s="58">
        <f t="shared" si="909"/>
        <v>19</v>
      </c>
      <c r="K901" s="58">
        <f t="shared" si="909"/>
        <v>0</v>
      </c>
      <c r="L901" s="58">
        <f t="shared" si="909"/>
        <v>-35</v>
      </c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0" customHeight="1">
      <c r="A902" s="70"/>
      <c r="B902" s="71"/>
      <c r="C902" s="66"/>
      <c r="D902" s="66">
        <f t="shared" si="333"/>
        <v>0</v>
      </c>
      <c r="E902" s="67"/>
      <c r="F902" s="58">
        <f t="shared" ref="F902:L902" si="910">SUMIFS($C902,$B902,F$7)+F901</f>
        <v>25</v>
      </c>
      <c r="G902" s="58">
        <f t="shared" si="910"/>
        <v>0</v>
      </c>
      <c r="H902" s="58">
        <f t="shared" si="910"/>
        <v>0</v>
      </c>
      <c r="I902" s="58">
        <f t="shared" si="910"/>
        <v>57</v>
      </c>
      <c r="J902" s="58">
        <f t="shared" si="910"/>
        <v>19</v>
      </c>
      <c r="K902" s="58">
        <f t="shared" si="910"/>
        <v>0</v>
      </c>
      <c r="L902" s="58">
        <f t="shared" si="910"/>
        <v>-35</v>
      </c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0" customHeight="1">
      <c r="A903" s="70"/>
      <c r="B903" s="71"/>
      <c r="C903" s="66"/>
      <c r="D903" s="66">
        <f t="shared" si="333"/>
        <v>0</v>
      </c>
      <c r="E903" s="67"/>
      <c r="F903" s="58">
        <f t="shared" ref="F903:L903" si="911">SUMIFS($C903,$B903,F$7)+F902</f>
        <v>25</v>
      </c>
      <c r="G903" s="58">
        <f t="shared" si="911"/>
        <v>0</v>
      </c>
      <c r="H903" s="58">
        <f t="shared" si="911"/>
        <v>0</v>
      </c>
      <c r="I903" s="58">
        <f t="shared" si="911"/>
        <v>57</v>
      </c>
      <c r="J903" s="58">
        <f t="shared" si="911"/>
        <v>19</v>
      </c>
      <c r="K903" s="58">
        <f t="shared" si="911"/>
        <v>0</v>
      </c>
      <c r="L903" s="58">
        <f t="shared" si="911"/>
        <v>-35</v>
      </c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0" customHeight="1">
      <c r="A904" s="70"/>
      <c r="B904" s="71"/>
      <c r="C904" s="66"/>
      <c r="D904" s="66">
        <f t="shared" si="333"/>
        <v>0</v>
      </c>
      <c r="E904" s="67"/>
      <c r="F904" s="58">
        <f t="shared" ref="F904:L904" si="912">SUMIFS($C904,$B904,F$7)+F903</f>
        <v>25</v>
      </c>
      <c r="G904" s="58">
        <f t="shared" si="912"/>
        <v>0</v>
      </c>
      <c r="H904" s="58">
        <f t="shared" si="912"/>
        <v>0</v>
      </c>
      <c r="I904" s="58">
        <f t="shared" si="912"/>
        <v>57</v>
      </c>
      <c r="J904" s="58">
        <f t="shared" si="912"/>
        <v>19</v>
      </c>
      <c r="K904" s="58">
        <f t="shared" si="912"/>
        <v>0</v>
      </c>
      <c r="L904" s="58">
        <f t="shared" si="912"/>
        <v>-35</v>
      </c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0" customHeight="1">
      <c r="A905" s="70"/>
      <c r="B905" s="71"/>
      <c r="C905" s="66"/>
      <c r="D905" s="66">
        <f t="shared" si="333"/>
        <v>0</v>
      </c>
      <c r="E905" s="67"/>
      <c r="F905" s="58">
        <f t="shared" ref="F905:L905" si="913">SUMIFS($C905,$B905,F$7)+F904</f>
        <v>25</v>
      </c>
      <c r="G905" s="58">
        <f t="shared" si="913"/>
        <v>0</v>
      </c>
      <c r="H905" s="58">
        <f t="shared" si="913"/>
        <v>0</v>
      </c>
      <c r="I905" s="58">
        <f t="shared" si="913"/>
        <v>57</v>
      </c>
      <c r="J905" s="58">
        <f t="shared" si="913"/>
        <v>19</v>
      </c>
      <c r="K905" s="58">
        <f t="shared" si="913"/>
        <v>0</v>
      </c>
      <c r="L905" s="58">
        <f t="shared" si="913"/>
        <v>-35</v>
      </c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0" customHeight="1">
      <c r="A906" s="70"/>
      <c r="B906" s="71"/>
      <c r="C906" s="66"/>
      <c r="D906" s="66">
        <f t="shared" si="333"/>
        <v>0</v>
      </c>
      <c r="E906" s="67"/>
      <c r="F906" s="58">
        <f t="shared" ref="F906:L906" si="914">SUMIFS($C906,$B906,F$7)+F905</f>
        <v>25</v>
      </c>
      <c r="G906" s="58">
        <f t="shared" si="914"/>
        <v>0</v>
      </c>
      <c r="H906" s="58">
        <f t="shared" si="914"/>
        <v>0</v>
      </c>
      <c r="I906" s="58">
        <f t="shared" si="914"/>
        <v>57</v>
      </c>
      <c r="J906" s="58">
        <f t="shared" si="914"/>
        <v>19</v>
      </c>
      <c r="K906" s="58">
        <f t="shared" si="914"/>
        <v>0</v>
      </c>
      <c r="L906" s="58">
        <f t="shared" si="914"/>
        <v>-35</v>
      </c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0" customHeight="1">
      <c r="A907" s="70"/>
      <c r="B907" s="71"/>
      <c r="C907" s="66"/>
      <c r="D907" s="66">
        <f t="shared" si="333"/>
        <v>0</v>
      </c>
      <c r="E907" s="67"/>
      <c r="F907" s="58">
        <f t="shared" ref="F907:L907" si="915">SUMIFS($C907,$B907,F$7)+F906</f>
        <v>25</v>
      </c>
      <c r="G907" s="58">
        <f t="shared" si="915"/>
        <v>0</v>
      </c>
      <c r="H907" s="58">
        <f t="shared" si="915"/>
        <v>0</v>
      </c>
      <c r="I907" s="58">
        <f t="shared" si="915"/>
        <v>57</v>
      </c>
      <c r="J907" s="58">
        <f t="shared" si="915"/>
        <v>19</v>
      </c>
      <c r="K907" s="58">
        <f t="shared" si="915"/>
        <v>0</v>
      </c>
      <c r="L907" s="58">
        <f t="shared" si="915"/>
        <v>-35</v>
      </c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0" customHeight="1">
      <c r="A908" s="70"/>
      <c r="B908" s="71"/>
      <c r="C908" s="66"/>
      <c r="D908" s="66">
        <f t="shared" si="333"/>
        <v>0</v>
      </c>
      <c r="E908" s="67"/>
      <c r="F908" s="58">
        <f t="shared" ref="F908:L908" si="916">SUMIFS($C908,$B908,F$7)+F907</f>
        <v>25</v>
      </c>
      <c r="G908" s="58">
        <f t="shared" si="916"/>
        <v>0</v>
      </c>
      <c r="H908" s="58">
        <f t="shared" si="916"/>
        <v>0</v>
      </c>
      <c r="I908" s="58">
        <f t="shared" si="916"/>
        <v>57</v>
      </c>
      <c r="J908" s="58">
        <f t="shared" si="916"/>
        <v>19</v>
      </c>
      <c r="K908" s="58">
        <f t="shared" si="916"/>
        <v>0</v>
      </c>
      <c r="L908" s="58">
        <f t="shared" si="916"/>
        <v>-35</v>
      </c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0" customHeight="1">
      <c r="A909" s="70"/>
      <c r="B909" s="71"/>
      <c r="C909" s="66"/>
      <c r="D909" s="66">
        <f t="shared" si="333"/>
        <v>0</v>
      </c>
      <c r="E909" s="67"/>
      <c r="F909" s="58">
        <f t="shared" ref="F909:L909" si="917">SUMIFS($C909,$B909,F$7)+F908</f>
        <v>25</v>
      </c>
      <c r="G909" s="58">
        <f t="shared" si="917"/>
        <v>0</v>
      </c>
      <c r="H909" s="58">
        <f t="shared" si="917"/>
        <v>0</v>
      </c>
      <c r="I909" s="58">
        <f t="shared" si="917"/>
        <v>57</v>
      </c>
      <c r="J909" s="58">
        <f t="shared" si="917"/>
        <v>19</v>
      </c>
      <c r="K909" s="58">
        <f t="shared" si="917"/>
        <v>0</v>
      </c>
      <c r="L909" s="58">
        <f t="shared" si="917"/>
        <v>-35</v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0" customHeight="1">
      <c r="A910" s="70"/>
      <c r="B910" s="71"/>
      <c r="C910" s="66"/>
      <c r="D910" s="66">
        <f t="shared" si="333"/>
        <v>0</v>
      </c>
      <c r="E910" s="67"/>
      <c r="F910" s="58">
        <f t="shared" ref="F910:L910" si="918">SUMIFS($C910,$B910,F$7)+F909</f>
        <v>25</v>
      </c>
      <c r="G910" s="58">
        <f t="shared" si="918"/>
        <v>0</v>
      </c>
      <c r="H910" s="58">
        <f t="shared" si="918"/>
        <v>0</v>
      </c>
      <c r="I910" s="58">
        <f t="shared" si="918"/>
        <v>57</v>
      </c>
      <c r="J910" s="58">
        <f t="shared" si="918"/>
        <v>19</v>
      </c>
      <c r="K910" s="58">
        <f t="shared" si="918"/>
        <v>0</v>
      </c>
      <c r="L910" s="58">
        <f t="shared" si="918"/>
        <v>-35</v>
      </c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0" customHeight="1">
      <c r="A911" s="70"/>
      <c r="B911" s="71"/>
      <c r="C911" s="66"/>
      <c r="D911" s="66">
        <f t="shared" si="333"/>
        <v>0</v>
      </c>
      <c r="E911" s="67"/>
      <c r="F911" s="58">
        <f t="shared" ref="F911:L911" si="919">SUMIFS($C911,$B911,F$7)+F910</f>
        <v>25</v>
      </c>
      <c r="G911" s="58">
        <f t="shared" si="919"/>
        <v>0</v>
      </c>
      <c r="H911" s="58">
        <f t="shared" si="919"/>
        <v>0</v>
      </c>
      <c r="I911" s="58">
        <f t="shared" si="919"/>
        <v>57</v>
      </c>
      <c r="J911" s="58">
        <f t="shared" si="919"/>
        <v>19</v>
      </c>
      <c r="K911" s="58">
        <f t="shared" si="919"/>
        <v>0</v>
      </c>
      <c r="L911" s="58">
        <f t="shared" si="919"/>
        <v>-35</v>
      </c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0" customHeight="1">
      <c r="A912" s="70"/>
      <c r="B912" s="71"/>
      <c r="C912" s="66"/>
      <c r="D912" s="66">
        <f t="shared" si="333"/>
        <v>0</v>
      </c>
      <c r="E912" s="67"/>
      <c r="F912" s="58">
        <f t="shared" ref="F912:L912" si="920">SUMIFS($C912,$B912,F$7)+F911</f>
        <v>25</v>
      </c>
      <c r="G912" s="58">
        <f t="shared" si="920"/>
        <v>0</v>
      </c>
      <c r="H912" s="58">
        <f t="shared" si="920"/>
        <v>0</v>
      </c>
      <c r="I912" s="58">
        <f t="shared" si="920"/>
        <v>57</v>
      </c>
      <c r="J912" s="58">
        <f t="shared" si="920"/>
        <v>19</v>
      </c>
      <c r="K912" s="58">
        <f t="shared" si="920"/>
        <v>0</v>
      </c>
      <c r="L912" s="58">
        <f t="shared" si="920"/>
        <v>-35</v>
      </c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0" customHeight="1">
      <c r="A913" s="70"/>
      <c r="B913" s="71"/>
      <c r="C913" s="66"/>
      <c r="D913" s="66">
        <f t="shared" si="333"/>
        <v>0</v>
      </c>
      <c r="E913" s="67"/>
      <c r="F913" s="58">
        <f t="shared" ref="F913:L913" si="921">SUMIFS($C913,$B913,F$7)+F912</f>
        <v>25</v>
      </c>
      <c r="G913" s="58">
        <f t="shared" si="921"/>
        <v>0</v>
      </c>
      <c r="H913" s="58">
        <f t="shared" si="921"/>
        <v>0</v>
      </c>
      <c r="I913" s="58">
        <f t="shared" si="921"/>
        <v>57</v>
      </c>
      <c r="J913" s="58">
        <f t="shared" si="921"/>
        <v>19</v>
      </c>
      <c r="K913" s="58">
        <f t="shared" si="921"/>
        <v>0</v>
      </c>
      <c r="L913" s="58">
        <f t="shared" si="921"/>
        <v>-35</v>
      </c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0" customHeight="1">
      <c r="A914" s="70"/>
      <c r="B914" s="71"/>
      <c r="C914" s="66"/>
      <c r="D914" s="66">
        <f t="shared" si="333"/>
        <v>0</v>
      </c>
      <c r="E914" s="67"/>
      <c r="F914" s="58">
        <f t="shared" ref="F914:L914" si="922">SUMIFS($C914,$B914,F$7)+F913</f>
        <v>25</v>
      </c>
      <c r="G914" s="58">
        <f t="shared" si="922"/>
        <v>0</v>
      </c>
      <c r="H914" s="58">
        <f t="shared" si="922"/>
        <v>0</v>
      </c>
      <c r="I914" s="58">
        <f t="shared" si="922"/>
        <v>57</v>
      </c>
      <c r="J914" s="58">
        <f t="shared" si="922"/>
        <v>19</v>
      </c>
      <c r="K914" s="58">
        <f t="shared" si="922"/>
        <v>0</v>
      </c>
      <c r="L914" s="58">
        <f t="shared" si="922"/>
        <v>-35</v>
      </c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0" customHeight="1">
      <c r="A915" s="70"/>
      <c r="B915" s="71"/>
      <c r="C915" s="66"/>
      <c r="D915" s="66">
        <f t="shared" si="333"/>
        <v>0</v>
      </c>
      <c r="E915" s="67"/>
      <c r="F915" s="58">
        <f t="shared" ref="F915:L915" si="923">SUMIFS($C915,$B915,F$7)+F914</f>
        <v>25</v>
      </c>
      <c r="G915" s="58">
        <f t="shared" si="923"/>
        <v>0</v>
      </c>
      <c r="H915" s="58">
        <f t="shared" si="923"/>
        <v>0</v>
      </c>
      <c r="I915" s="58">
        <f t="shared" si="923"/>
        <v>57</v>
      </c>
      <c r="J915" s="58">
        <f t="shared" si="923"/>
        <v>19</v>
      </c>
      <c r="K915" s="58">
        <f t="shared" si="923"/>
        <v>0</v>
      </c>
      <c r="L915" s="58">
        <f t="shared" si="923"/>
        <v>-35</v>
      </c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0" customHeight="1">
      <c r="A916" s="70"/>
      <c r="B916" s="71"/>
      <c r="C916" s="66"/>
      <c r="D916" s="66">
        <f t="shared" si="333"/>
        <v>0</v>
      </c>
      <c r="E916" s="67"/>
      <c r="F916" s="58">
        <f t="shared" ref="F916:L916" si="924">SUMIFS($C916,$B916,F$7)+F915</f>
        <v>25</v>
      </c>
      <c r="G916" s="58">
        <f t="shared" si="924"/>
        <v>0</v>
      </c>
      <c r="H916" s="58">
        <f t="shared" si="924"/>
        <v>0</v>
      </c>
      <c r="I916" s="58">
        <f t="shared" si="924"/>
        <v>57</v>
      </c>
      <c r="J916" s="58">
        <f t="shared" si="924"/>
        <v>19</v>
      </c>
      <c r="K916" s="58">
        <f t="shared" si="924"/>
        <v>0</v>
      </c>
      <c r="L916" s="58">
        <f t="shared" si="924"/>
        <v>-35</v>
      </c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0" customHeight="1">
      <c r="A917" s="70"/>
      <c r="B917" s="71"/>
      <c r="C917" s="66"/>
      <c r="D917" s="66">
        <f t="shared" si="333"/>
        <v>0</v>
      </c>
      <c r="E917" s="67"/>
      <c r="F917" s="58">
        <f t="shared" ref="F917:L917" si="925">SUMIFS($C917,$B917,F$7)+F916</f>
        <v>25</v>
      </c>
      <c r="G917" s="58">
        <f t="shared" si="925"/>
        <v>0</v>
      </c>
      <c r="H917" s="58">
        <f t="shared" si="925"/>
        <v>0</v>
      </c>
      <c r="I917" s="58">
        <f t="shared" si="925"/>
        <v>57</v>
      </c>
      <c r="J917" s="58">
        <f t="shared" si="925"/>
        <v>19</v>
      </c>
      <c r="K917" s="58">
        <f t="shared" si="925"/>
        <v>0</v>
      </c>
      <c r="L917" s="58">
        <f t="shared" si="925"/>
        <v>-35</v>
      </c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0" customHeight="1">
      <c r="A918" s="70"/>
      <c r="B918" s="71"/>
      <c r="C918" s="66"/>
      <c r="D918" s="66">
        <f t="shared" si="333"/>
        <v>0</v>
      </c>
      <c r="E918" s="67"/>
      <c r="F918" s="58">
        <f t="shared" ref="F918:L918" si="926">SUMIFS($C918,$B918,F$7)+F917</f>
        <v>25</v>
      </c>
      <c r="G918" s="58">
        <f t="shared" si="926"/>
        <v>0</v>
      </c>
      <c r="H918" s="58">
        <f t="shared" si="926"/>
        <v>0</v>
      </c>
      <c r="I918" s="58">
        <f t="shared" si="926"/>
        <v>57</v>
      </c>
      <c r="J918" s="58">
        <f t="shared" si="926"/>
        <v>19</v>
      </c>
      <c r="K918" s="58">
        <f t="shared" si="926"/>
        <v>0</v>
      </c>
      <c r="L918" s="58">
        <f t="shared" si="926"/>
        <v>-35</v>
      </c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0" customHeight="1">
      <c r="A919" s="70"/>
      <c r="B919" s="71"/>
      <c r="C919" s="66"/>
      <c r="D919" s="66">
        <f t="shared" si="333"/>
        <v>0</v>
      </c>
      <c r="E919" s="67"/>
      <c r="F919" s="58">
        <f t="shared" ref="F919:L919" si="927">SUMIFS($C919,$B919,F$7)+F918</f>
        <v>25</v>
      </c>
      <c r="G919" s="58">
        <f t="shared" si="927"/>
        <v>0</v>
      </c>
      <c r="H919" s="58">
        <f t="shared" si="927"/>
        <v>0</v>
      </c>
      <c r="I919" s="58">
        <f t="shared" si="927"/>
        <v>57</v>
      </c>
      <c r="J919" s="58">
        <f t="shared" si="927"/>
        <v>19</v>
      </c>
      <c r="K919" s="58">
        <f t="shared" si="927"/>
        <v>0</v>
      </c>
      <c r="L919" s="58">
        <f t="shared" si="927"/>
        <v>-35</v>
      </c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0" customHeight="1">
      <c r="A920" s="70"/>
      <c r="B920" s="71"/>
      <c r="C920" s="66"/>
      <c r="D920" s="66">
        <f t="shared" si="333"/>
        <v>0</v>
      </c>
      <c r="E920" s="67"/>
      <c r="F920" s="58">
        <f t="shared" ref="F920:L920" si="928">SUMIFS($C920,$B920,F$7)+F919</f>
        <v>25</v>
      </c>
      <c r="G920" s="58">
        <f t="shared" si="928"/>
        <v>0</v>
      </c>
      <c r="H920" s="58">
        <f t="shared" si="928"/>
        <v>0</v>
      </c>
      <c r="I920" s="58">
        <f t="shared" si="928"/>
        <v>57</v>
      </c>
      <c r="J920" s="58">
        <f t="shared" si="928"/>
        <v>19</v>
      </c>
      <c r="K920" s="58">
        <f t="shared" si="928"/>
        <v>0</v>
      </c>
      <c r="L920" s="58">
        <f t="shared" si="928"/>
        <v>-35</v>
      </c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0" customHeight="1">
      <c r="A921" s="70"/>
      <c r="B921" s="71"/>
      <c r="C921" s="66"/>
      <c r="D921" s="66">
        <f t="shared" si="333"/>
        <v>0</v>
      </c>
      <c r="E921" s="67"/>
      <c r="F921" s="58">
        <f t="shared" ref="F921:L921" si="929">SUMIFS($C921,$B921,F$7)+F920</f>
        <v>25</v>
      </c>
      <c r="G921" s="58">
        <f t="shared" si="929"/>
        <v>0</v>
      </c>
      <c r="H921" s="58">
        <f t="shared" si="929"/>
        <v>0</v>
      </c>
      <c r="I921" s="58">
        <f t="shared" si="929"/>
        <v>57</v>
      </c>
      <c r="J921" s="58">
        <f t="shared" si="929"/>
        <v>19</v>
      </c>
      <c r="K921" s="58">
        <f t="shared" si="929"/>
        <v>0</v>
      </c>
      <c r="L921" s="58">
        <f t="shared" si="929"/>
        <v>-35</v>
      </c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0" customHeight="1">
      <c r="A922" s="70"/>
      <c r="B922" s="71"/>
      <c r="C922" s="66"/>
      <c r="D922" s="66">
        <f t="shared" si="333"/>
        <v>0</v>
      </c>
      <c r="E922" s="67"/>
      <c r="F922" s="58">
        <f t="shared" ref="F922:L922" si="930">SUMIFS($C922,$B922,F$7)+F921</f>
        <v>25</v>
      </c>
      <c r="G922" s="58">
        <f t="shared" si="930"/>
        <v>0</v>
      </c>
      <c r="H922" s="58">
        <f t="shared" si="930"/>
        <v>0</v>
      </c>
      <c r="I922" s="58">
        <f t="shared" si="930"/>
        <v>57</v>
      </c>
      <c r="J922" s="58">
        <f t="shared" si="930"/>
        <v>19</v>
      </c>
      <c r="K922" s="58">
        <f t="shared" si="930"/>
        <v>0</v>
      </c>
      <c r="L922" s="58">
        <f t="shared" si="930"/>
        <v>-35</v>
      </c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0" customHeight="1">
      <c r="A923" s="70"/>
      <c r="B923" s="71"/>
      <c r="C923" s="66"/>
      <c r="D923" s="66">
        <f t="shared" si="333"/>
        <v>0</v>
      </c>
      <c r="E923" s="67"/>
      <c r="F923" s="58">
        <f t="shared" ref="F923:L923" si="931">SUMIFS($C923,$B923,F$7)+F922</f>
        <v>25</v>
      </c>
      <c r="G923" s="58">
        <f t="shared" si="931"/>
        <v>0</v>
      </c>
      <c r="H923" s="58">
        <f t="shared" si="931"/>
        <v>0</v>
      </c>
      <c r="I923" s="58">
        <f t="shared" si="931"/>
        <v>57</v>
      </c>
      <c r="J923" s="58">
        <f t="shared" si="931"/>
        <v>19</v>
      </c>
      <c r="K923" s="58">
        <f t="shared" si="931"/>
        <v>0</v>
      </c>
      <c r="L923" s="58">
        <f t="shared" si="931"/>
        <v>-35</v>
      </c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0" customHeight="1">
      <c r="A924" s="70"/>
      <c r="B924" s="71"/>
      <c r="C924" s="66"/>
      <c r="D924" s="66">
        <f t="shared" si="333"/>
        <v>0</v>
      </c>
      <c r="E924" s="67"/>
      <c r="F924" s="58">
        <f t="shared" ref="F924:L924" si="932">SUMIFS($C924,$B924,F$7)+F923</f>
        <v>25</v>
      </c>
      <c r="G924" s="58">
        <f t="shared" si="932"/>
        <v>0</v>
      </c>
      <c r="H924" s="58">
        <f t="shared" si="932"/>
        <v>0</v>
      </c>
      <c r="I924" s="58">
        <f t="shared" si="932"/>
        <v>57</v>
      </c>
      <c r="J924" s="58">
        <f t="shared" si="932"/>
        <v>19</v>
      </c>
      <c r="K924" s="58">
        <f t="shared" si="932"/>
        <v>0</v>
      </c>
      <c r="L924" s="58">
        <f t="shared" si="932"/>
        <v>-35</v>
      </c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0" customHeight="1">
      <c r="A925" s="70"/>
      <c r="B925" s="71"/>
      <c r="C925" s="66"/>
      <c r="D925" s="66">
        <f t="shared" si="333"/>
        <v>0</v>
      </c>
      <c r="E925" s="67"/>
      <c r="F925" s="58">
        <f t="shared" ref="F925:L925" si="933">SUMIFS($C925,$B925,F$7)+F924</f>
        <v>25</v>
      </c>
      <c r="G925" s="58">
        <f t="shared" si="933"/>
        <v>0</v>
      </c>
      <c r="H925" s="58">
        <f t="shared" si="933"/>
        <v>0</v>
      </c>
      <c r="I925" s="58">
        <f t="shared" si="933"/>
        <v>57</v>
      </c>
      <c r="J925" s="58">
        <f t="shared" si="933"/>
        <v>19</v>
      </c>
      <c r="K925" s="58">
        <f t="shared" si="933"/>
        <v>0</v>
      </c>
      <c r="L925" s="58">
        <f t="shared" si="933"/>
        <v>-35</v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0" customHeight="1">
      <c r="A926" s="70"/>
      <c r="B926" s="71"/>
      <c r="C926" s="66"/>
      <c r="D926" s="66">
        <f t="shared" si="333"/>
        <v>0</v>
      </c>
      <c r="E926" s="67"/>
      <c r="F926" s="58">
        <f t="shared" ref="F926:L926" si="934">SUMIFS($C926,$B926,F$7)+F925</f>
        <v>25</v>
      </c>
      <c r="G926" s="58">
        <f t="shared" si="934"/>
        <v>0</v>
      </c>
      <c r="H926" s="58">
        <f t="shared" si="934"/>
        <v>0</v>
      </c>
      <c r="I926" s="58">
        <f t="shared" si="934"/>
        <v>57</v>
      </c>
      <c r="J926" s="58">
        <f t="shared" si="934"/>
        <v>19</v>
      </c>
      <c r="K926" s="58">
        <f t="shared" si="934"/>
        <v>0</v>
      </c>
      <c r="L926" s="58">
        <f t="shared" si="934"/>
        <v>-35</v>
      </c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0" customHeight="1">
      <c r="A927" s="70"/>
      <c r="B927" s="71"/>
      <c r="C927" s="66"/>
      <c r="D927" s="66">
        <f t="shared" si="333"/>
        <v>0</v>
      </c>
      <c r="E927" s="67"/>
      <c r="F927" s="58">
        <f t="shared" ref="F927:L927" si="935">SUMIFS($C927,$B927,F$7)+F926</f>
        <v>25</v>
      </c>
      <c r="G927" s="58">
        <f t="shared" si="935"/>
        <v>0</v>
      </c>
      <c r="H927" s="58">
        <f t="shared" si="935"/>
        <v>0</v>
      </c>
      <c r="I927" s="58">
        <f t="shared" si="935"/>
        <v>57</v>
      </c>
      <c r="J927" s="58">
        <f t="shared" si="935"/>
        <v>19</v>
      </c>
      <c r="K927" s="58">
        <f t="shared" si="935"/>
        <v>0</v>
      </c>
      <c r="L927" s="58">
        <f t="shared" si="935"/>
        <v>-35</v>
      </c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0" customHeight="1">
      <c r="A928" s="70"/>
      <c r="B928" s="71"/>
      <c r="C928" s="66"/>
      <c r="D928" s="66">
        <f t="shared" si="333"/>
        <v>0</v>
      </c>
      <c r="E928" s="67"/>
      <c r="F928" s="58">
        <f t="shared" ref="F928:L928" si="936">SUMIFS($C928,$B928,F$7)+F927</f>
        <v>25</v>
      </c>
      <c r="G928" s="58">
        <f t="shared" si="936"/>
        <v>0</v>
      </c>
      <c r="H928" s="58">
        <f t="shared" si="936"/>
        <v>0</v>
      </c>
      <c r="I928" s="58">
        <f t="shared" si="936"/>
        <v>57</v>
      </c>
      <c r="J928" s="58">
        <f t="shared" si="936"/>
        <v>19</v>
      </c>
      <c r="K928" s="58">
        <f t="shared" si="936"/>
        <v>0</v>
      </c>
      <c r="L928" s="58">
        <f t="shared" si="936"/>
        <v>-35</v>
      </c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0" customHeight="1">
      <c r="A929" s="70"/>
      <c r="B929" s="71"/>
      <c r="C929" s="66"/>
      <c r="D929" s="66">
        <f t="shared" si="333"/>
        <v>0</v>
      </c>
      <c r="E929" s="67"/>
      <c r="F929" s="58">
        <f t="shared" ref="F929:L929" si="937">SUMIFS($C929,$B929,F$7)+F928</f>
        <v>25</v>
      </c>
      <c r="G929" s="58">
        <f t="shared" si="937"/>
        <v>0</v>
      </c>
      <c r="H929" s="58">
        <f t="shared" si="937"/>
        <v>0</v>
      </c>
      <c r="I929" s="58">
        <f t="shared" si="937"/>
        <v>57</v>
      </c>
      <c r="J929" s="58">
        <f t="shared" si="937"/>
        <v>19</v>
      </c>
      <c r="K929" s="58">
        <f t="shared" si="937"/>
        <v>0</v>
      </c>
      <c r="L929" s="58">
        <f t="shared" si="937"/>
        <v>-35</v>
      </c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0" customHeight="1">
      <c r="A930" s="70"/>
      <c r="B930" s="71"/>
      <c r="C930" s="66"/>
      <c r="D930" s="66">
        <f t="shared" si="333"/>
        <v>0</v>
      </c>
      <c r="E930" s="67"/>
      <c r="F930" s="58">
        <f t="shared" ref="F930:L930" si="938">SUMIFS($C930,$B930,F$7)+F929</f>
        <v>25</v>
      </c>
      <c r="G930" s="58">
        <f t="shared" si="938"/>
        <v>0</v>
      </c>
      <c r="H930" s="58">
        <f t="shared" si="938"/>
        <v>0</v>
      </c>
      <c r="I930" s="58">
        <f t="shared" si="938"/>
        <v>57</v>
      </c>
      <c r="J930" s="58">
        <f t="shared" si="938"/>
        <v>19</v>
      </c>
      <c r="K930" s="58">
        <f t="shared" si="938"/>
        <v>0</v>
      </c>
      <c r="L930" s="58">
        <f t="shared" si="938"/>
        <v>-35</v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0" customHeight="1">
      <c r="A931" s="70"/>
      <c r="B931" s="71"/>
      <c r="C931" s="66"/>
      <c r="D931" s="66">
        <f t="shared" si="333"/>
        <v>0</v>
      </c>
      <c r="E931" s="67"/>
      <c r="F931" s="58">
        <f t="shared" ref="F931:L931" si="939">SUMIFS($C931,$B931,F$7)+F930</f>
        <v>25</v>
      </c>
      <c r="G931" s="58">
        <f t="shared" si="939"/>
        <v>0</v>
      </c>
      <c r="H931" s="58">
        <f t="shared" si="939"/>
        <v>0</v>
      </c>
      <c r="I931" s="58">
        <f t="shared" si="939"/>
        <v>57</v>
      </c>
      <c r="J931" s="58">
        <f t="shared" si="939"/>
        <v>19</v>
      </c>
      <c r="K931" s="58">
        <f t="shared" si="939"/>
        <v>0</v>
      </c>
      <c r="L931" s="58">
        <f t="shared" si="939"/>
        <v>-35</v>
      </c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0" customHeight="1">
      <c r="A932" s="70"/>
      <c r="B932" s="71"/>
      <c r="C932" s="66"/>
      <c r="D932" s="66">
        <f t="shared" si="333"/>
        <v>0</v>
      </c>
      <c r="E932" s="67"/>
      <c r="F932" s="58">
        <f t="shared" ref="F932:L932" si="940">SUMIFS($C932,$B932,F$7)+F931</f>
        <v>25</v>
      </c>
      <c r="G932" s="58">
        <f t="shared" si="940"/>
        <v>0</v>
      </c>
      <c r="H932" s="58">
        <f t="shared" si="940"/>
        <v>0</v>
      </c>
      <c r="I932" s="58">
        <f t="shared" si="940"/>
        <v>57</v>
      </c>
      <c r="J932" s="58">
        <f t="shared" si="940"/>
        <v>19</v>
      </c>
      <c r="K932" s="58">
        <f t="shared" si="940"/>
        <v>0</v>
      </c>
      <c r="L932" s="58">
        <f t="shared" si="940"/>
        <v>-35</v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0" customHeight="1">
      <c r="A933" s="70"/>
      <c r="B933" s="71"/>
      <c r="C933" s="66"/>
      <c r="D933" s="66">
        <f t="shared" si="333"/>
        <v>0</v>
      </c>
      <c r="E933" s="67"/>
      <c r="F933" s="58">
        <f t="shared" ref="F933:L933" si="941">SUMIFS($C933,$B933,F$7)+F932</f>
        <v>25</v>
      </c>
      <c r="G933" s="58">
        <f t="shared" si="941"/>
        <v>0</v>
      </c>
      <c r="H933" s="58">
        <f t="shared" si="941"/>
        <v>0</v>
      </c>
      <c r="I933" s="58">
        <f t="shared" si="941"/>
        <v>57</v>
      </c>
      <c r="J933" s="58">
        <f t="shared" si="941"/>
        <v>19</v>
      </c>
      <c r="K933" s="58">
        <f t="shared" si="941"/>
        <v>0</v>
      </c>
      <c r="L933" s="58">
        <f t="shared" si="941"/>
        <v>-35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0" customHeight="1">
      <c r="A934" s="70"/>
      <c r="B934" s="71"/>
      <c r="C934" s="66"/>
      <c r="D934" s="66">
        <f t="shared" si="333"/>
        <v>0</v>
      </c>
      <c r="E934" s="67"/>
      <c r="F934" s="58">
        <f t="shared" ref="F934:L934" si="942">SUMIFS($C934,$B934,F$7)+F933</f>
        <v>25</v>
      </c>
      <c r="G934" s="58">
        <f t="shared" si="942"/>
        <v>0</v>
      </c>
      <c r="H934" s="58">
        <f t="shared" si="942"/>
        <v>0</v>
      </c>
      <c r="I934" s="58">
        <f t="shared" si="942"/>
        <v>57</v>
      </c>
      <c r="J934" s="58">
        <f t="shared" si="942"/>
        <v>19</v>
      </c>
      <c r="K934" s="58">
        <f t="shared" si="942"/>
        <v>0</v>
      </c>
      <c r="L934" s="58">
        <f t="shared" si="942"/>
        <v>-35</v>
      </c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0" customHeight="1">
      <c r="A935" s="70"/>
      <c r="B935" s="71"/>
      <c r="C935" s="66"/>
      <c r="D935" s="66">
        <f t="shared" si="333"/>
        <v>0</v>
      </c>
      <c r="E935" s="67"/>
      <c r="F935" s="58">
        <f t="shared" ref="F935:L935" si="943">SUMIFS($C935,$B935,F$7)+F934</f>
        <v>25</v>
      </c>
      <c r="G935" s="58">
        <f t="shared" si="943"/>
        <v>0</v>
      </c>
      <c r="H935" s="58">
        <f t="shared" si="943"/>
        <v>0</v>
      </c>
      <c r="I935" s="58">
        <f t="shared" si="943"/>
        <v>57</v>
      </c>
      <c r="J935" s="58">
        <f t="shared" si="943"/>
        <v>19</v>
      </c>
      <c r="K935" s="58">
        <f t="shared" si="943"/>
        <v>0</v>
      </c>
      <c r="L935" s="58">
        <f t="shared" si="943"/>
        <v>-35</v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0" customHeight="1">
      <c r="A936" s="70"/>
      <c r="B936" s="71"/>
      <c r="C936" s="66"/>
      <c r="D936" s="66">
        <f t="shared" si="333"/>
        <v>0</v>
      </c>
      <c r="E936" s="67"/>
      <c r="F936" s="58">
        <f t="shared" ref="F936:L936" si="944">SUMIFS($C936,$B936,F$7)+F935</f>
        <v>25</v>
      </c>
      <c r="G936" s="58">
        <f t="shared" si="944"/>
        <v>0</v>
      </c>
      <c r="H936" s="58">
        <f t="shared" si="944"/>
        <v>0</v>
      </c>
      <c r="I936" s="58">
        <f t="shared" si="944"/>
        <v>57</v>
      </c>
      <c r="J936" s="58">
        <f t="shared" si="944"/>
        <v>19</v>
      </c>
      <c r="K936" s="58">
        <f t="shared" si="944"/>
        <v>0</v>
      </c>
      <c r="L936" s="58">
        <f t="shared" si="944"/>
        <v>-35</v>
      </c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0" customHeight="1">
      <c r="A937" s="70"/>
      <c r="B937" s="71"/>
      <c r="C937" s="66"/>
      <c r="D937" s="66">
        <f t="shared" si="333"/>
        <v>0</v>
      </c>
      <c r="E937" s="67"/>
      <c r="F937" s="58">
        <f t="shared" ref="F937:L937" si="945">SUMIFS($C937,$B937,F$7)+F936</f>
        <v>25</v>
      </c>
      <c r="G937" s="58">
        <f t="shared" si="945"/>
        <v>0</v>
      </c>
      <c r="H937" s="58">
        <f t="shared" si="945"/>
        <v>0</v>
      </c>
      <c r="I937" s="58">
        <f t="shared" si="945"/>
        <v>57</v>
      </c>
      <c r="J937" s="58">
        <f t="shared" si="945"/>
        <v>19</v>
      </c>
      <c r="K937" s="58">
        <f t="shared" si="945"/>
        <v>0</v>
      </c>
      <c r="L937" s="58">
        <f t="shared" si="945"/>
        <v>-35</v>
      </c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0" customHeight="1">
      <c r="A938" s="70"/>
      <c r="B938" s="71"/>
      <c r="C938" s="66"/>
      <c r="D938" s="66">
        <f t="shared" si="333"/>
        <v>0</v>
      </c>
      <c r="E938" s="67"/>
      <c r="F938" s="58">
        <f t="shared" ref="F938:L938" si="946">SUMIFS($C938,$B938,F$7)+F937</f>
        <v>25</v>
      </c>
      <c r="G938" s="58">
        <f t="shared" si="946"/>
        <v>0</v>
      </c>
      <c r="H938" s="58">
        <f t="shared" si="946"/>
        <v>0</v>
      </c>
      <c r="I938" s="58">
        <f t="shared" si="946"/>
        <v>57</v>
      </c>
      <c r="J938" s="58">
        <f t="shared" si="946"/>
        <v>19</v>
      </c>
      <c r="K938" s="58">
        <f t="shared" si="946"/>
        <v>0</v>
      </c>
      <c r="L938" s="58">
        <f t="shared" si="946"/>
        <v>-35</v>
      </c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0" customHeight="1">
      <c r="A939" s="70"/>
      <c r="B939" s="71"/>
      <c r="C939" s="66"/>
      <c r="D939" s="66">
        <f t="shared" si="333"/>
        <v>0</v>
      </c>
      <c r="E939" s="67"/>
      <c r="F939" s="58">
        <f t="shared" ref="F939:L939" si="947">SUMIFS($C939,$B939,F$7)+F938</f>
        <v>25</v>
      </c>
      <c r="G939" s="58">
        <f t="shared" si="947"/>
        <v>0</v>
      </c>
      <c r="H939" s="58">
        <f t="shared" si="947"/>
        <v>0</v>
      </c>
      <c r="I939" s="58">
        <f t="shared" si="947"/>
        <v>57</v>
      </c>
      <c r="J939" s="58">
        <f t="shared" si="947"/>
        <v>19</v>
      </c>
      <c r="K939" s="58">
        <f t="shared" si="947"/>
        <v>0</v>
      </c>
      <c r="L939" s="58">
        <f t="shared" si="947"/>
        <v>-35</v>
      </c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0" customHeight="1">
      <c r="A940" s="70"/>
      <c r="B940" s="71"/>
      <c r="C940" s="66"/>
      <c r="D940" s="66">
        <f t="shared" si="333"/>
        <v>0</v>
      </c>
      <c r="E940" s="67"/>
      <c r="F940" s="58">
        <f t="shared" ref="F940:L940" si="948">SUMIFS($C940,$B940,F$7)+F939</f>
        <v>25</v>
      </c>
      <c r="G940" s="58">
        <f t="shared" si="948"/>
        <v>0</v>
      </c>
      <c r="H940" s="58">
        <f t="shared" si="948"/>
        <v>0</v>
      </c>
      <c r="I940" s="58">
        <f t="shared" si="948"/>
        <v>57</v>
      </c>
      <c r="J940" s="58">
        <f t="shared" si="948"/>
        <v>19</v>
      </c>
      <c r="K940" s="58">
        <f t="shared" si="948"/>
        <v>0</v>
      </c>
      <c r="L940" s="58">
        <f t="shared" si="948"/>
        <v>-35</v>
      </c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0" customHeight="1">
      <c r="A941" s="70"/>
      <c r="B941" s="71"/>
      <c r="C941" s="66"/>
      <c r="D941" s="66">
        <f t="shared" si="333"/>
        <v>0</v>
      </c>
      <c r="E941" s="67"/>
      <c r="F941" s="58">
        <f t="shared" ref="F941:L941" si="949">SUMIFS($C941,$B941,F$7)+F940</f>
        <v>25</v>
      </c>
      <c r="G941" s="58">
        <f t="shared" si="949"/>
        <v>0</v>
      </c>
      <c r="H941" s="58">
        <f t="shared" si="949"/>
        <v>0</v>
      </c>
      <c r="I941" s="58">
        <f t="shared" si="949"/>
        <v>57</v>
      </c>
      <c r="J941" s="58">
        <f t="shared" si="949"/>
        <v>19</v>
      </c>
      <c r="K941" s="58">
        <f t="shared" si="949"/>
        <v>0</v>
      </c>
      <c r="L941" s="58">
        <f t="shared" si="949"/>
        <v>-35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0" customHeight="1">
      <c r="A942" s="70"/>
      <c r="B942" s="71"/>
      <c r="C942" s="66"/>
      <c r="D942" s="66">
        <f t="shared" si="333"/>
        <v>0</v>
      </c>
      <c r="E942" s="67"/>
      <c r="F942" s="58">
        <f t="shared" ref="F942:L942" si="950">SUMIFS($C942,$B942,F$7)+F941</f>
        <v>25</v>
      </c>
      <c r="G942" s="58">
        <f t="shared" si="950"/>
        <v>0</v>
      </c>
      <c r="H942" s="58">
        <f t="shared" si="950"/>
        <v>0</v>
      </c>
      <c r="I942" s="58">
        <f t="shared" si="950"/>
        <v>57</v>
      </c>
      <c r="J942" s="58">
        <f t="shared" si="950"/>
        <v>19</v>
      </c>
      <c r="K942" s="58">
        <f t="shared" si="950"/>
        <v>0</v>
      </c>
      <c r="L942" s="58">
        <f t="shared" si="950"/>
        <v>-35</v>
      </c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0" customHeight="1">
      <c r="A943" s="70"/>
      <c r="B943" s="71"/>
      <c r="C943" s="66"/>
      <c r="D943" s="66">
        <f t="shared" si="333"/>
        <v>0</v>
      </c>
      <c r="E943" s="67"/>
      <c r="F943" s="58">
        <f t="shared" ref="F943:L943" si="951">SUMIFS($C943,$B943,F$7)+F942</f>
        <v>25</v>
      </c>
      <c r="G943" s="58">
        <f t="shared" si="951"/>
        <v>0</v>
      </c>
      <c r="H943" s="58">
        <f t="shared" si="951"/>
        <v>0</v>
      </c>
      <c r="I943" s="58">
        <f t="shared" si="951"/>
        <v>57</v>
      </c>
      <c r="J943" s="58">
        <f t="shared" si="951"/>
        <v>19</v>
      </c>
      <c r="K943" s="58">
        <f t="shared" si="951"/>
        <v>0</v>
      </c>
      <c r="L943" s="58">
        <f t="shared" si="951"/>
        <v>-35</v>
      </c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0" customHeight="1">
      <c r="A944" s="70"/>
      <c r="B944" s="71"/>
      <c r="C944" s="66"/>
      <c r="D944" s="66">
        <f t="shared" si="333"/>
        <v>0</v>
      </c>
      <c r="E944" s="67"/>
      <c r="F944" s="58">
        <f t="shared" ref="F944:L944" si="952">SUMIFS($C944,$B944,F$7)+F943</f>
        <v>25</v>
      </c>
      <c r="G944" s="58">
        <f t="shared" si="952"/>
        <v>0</v>
      </c>
      <c r="H944" s="58">
        <f t="shared" si="952"/>
        <v>0</v>
      </c>
      <c r="I944" s="58">
        <f t="shared" si="952"/>
        <v>57</v>
      </c>
      <c r="J944" s="58">
        <f t="shared" si="952"/>
        <v>19</v>
      </c>
      <c r="K944" s="58">
        <f t="shared" si="952"/>
        <v>0</v>
      </c>
      <c r="L944" s="58">
        <f t="shared" si="952"/>
        <v>-35</v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0" customHeight="1">
      <c r="A945" s="70"/>
      <c r="B945" s="71"/>
      <c r="C945" s="66"/>
      <c r="D945" s="66">
        <f t="shared" si="333"/>
        <v>0</v>
      </c>
      <c r="E945" s="67"/>
      <c r="F945" s="58">
        <f t="shared" ref="F945:L945" si="953">SUMIFS($C945,$B945,F$7)+F944</f>
        <v>25</v>
      </c>
      <c r="G945" s="58">
        <f t="shared" si="953"/>
        <v>0</v>
      </c>
      <c r="H945" s="58">
        <f t="shared" si="953"/>
        <v>0</v>
      </c>
      <c r="I945" s="58">
        <f t="shared" si="953"/>
        <v>57</v>
      </c>
      <c r="J945" s="58">
        <f t="shared" si="953"/>
        <v>19</v>
      </c>
      <c r="K945" s="58">
        <f t="shared" si="953"/>
        <v>0</v>
      </c>
      <c r="L945" s="58">
        <f t="shared" si="953"/>
        <v>-35</v>
      </c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0" customHeight="1">
      <c r="A946" s="70"/>
      <c r="B946" s="71"/>
      <c r="C946" s="66"/>
      <c r="D946" s="66">
        <f t="shared" si="333"/>
        <v>0</v>
      </c>
      <c r="E946" s="67"/>
      <c r="F946" s="58">
        <f t="shared" ref="F946:L946" si="954">SUMIFS($C946,$B946,F$7)+F945</f>
        <v>25</v>
      </c>
      <c r="G946" s="58">
        <f t="shared" si="954"/>
        <v>0</v>
      </c>
      <c r="H946" s="58">
        <f t="shared" si="954"/>
        <v>0</v>
      </c>
      <c r="I946" s="58">
        <f t="shared" si="954"/>
        <v>57</v>
      </c>
      <c r="J946" s="58">
        <f t="shared" si="954"/>
        <v>19</v>
      </c>
      <c r="K946" s="58">
        <f t="shared" si="954"/>
        <v>0</v>
      </c>
      <c r="L946" s="58">
        <f t="shared" si="954"/>
        <v>-35</v>
      </c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0" customHeight="1">
      <c r="A947" s="70"/>
      <c r="B947" s="71"/>
      <c r="C947" s="66"/>
      <c r="D947" s="66">
        <f t="shared" si="333"/>
        <v>0</v>
      </c>
      <c r="E947" s="67"/>
      <c r="F947" s="58">
        <f t="shared" ref="F947:L947" si="955">SUMIFS($C947,$B947,F$7)+F946</f>
        <v>25</v>
      </c>
      <c r="G947" s="58">
        <f t="shared" si="955"/>
        <v>0</v>
      </c>
      <c r="H947" s="58">
        <f t="shared" si="955"/>
        <v>0</v>
      </c>
      <c r="I947" s="58">
        <f t="shared" si="955"/>
        <v>57</v>
      </c>
      <c r="J947" s="58">
        <f t="shared" si="955"/>
        <v>19</v>
      </c>
      <c r="K947" s="58">
        <f t="shared" si="955"/>
        <v>0</v>
      </c>
      <c r="L947" s="58">
        <f t="shared" si="955"/>
        <v>-35</v>
      </c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0" customHeight="1">
      <c r="A948" s="70"/>
      <c r="B948" s="71"/>
      <c r="C948" s="66"/>
      <c r="D948" s="66">
        <f t="shared" si="333"/>
        <v>0</v>
      </c>
      <c r="E948" s="67"/>
      <c r="F948" s="58">
        <f t="shared" ref="F948:L948" si="956">SUMIFS($C948,$B948,F$7)+F947</f>
        <v>25</v>
      </c>
      <c r="G948" s="58">
        <f t="shared" si="956"/>
        <v>0</v>
      </c>
      <c r="H948" s="58">
        <f t="shared" si="956"/>
        <v>0</v>
      </c>
      <c r="I948" s="58">
        <f t="shared" si="956"/>
        <v>57</v>
      </c>
      <c r="J948" s="58">
        <f t="shared" si="956"/>
        <v>19</v>
      </c>
      <c r="K948" s="58">
        <f t="shared" si="956"/>
        <v>0</v>
      </c>
      <c r="L948" s="58">
        <f t="shared" si="956"/>
        <v>-35</v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0" customHeight="1">
      <c r="A949" s="70"/>
      <c r="B949" s="71"/>
      <c r="C949" s="66"/>
      <c r="D949" s="66">
        <f t="shared" si="333"/>
        <v>0</v>
      </c>
      <c r="E949" s="67"/>
      <c r="F949" s="58">
        <f t="shared" ref="F949:L949" si="957">SUMIFS($C949,$B949,F$7)+F948</f>
        <v>25</v>
      </c>
      <c r="G949" s="58">
        <f t="shared" si="957"/>
        <v>0</v>
      </c>
      <c r="H949" s="58">
        <f t="shared" si="957"/>
        <v>0</v>
      </c>
      <c r="I949" s="58">
        <f t="shared" si="957"/>
        <v>57</v>
      </c>
      <c r="J949" s="58">
        <f t="shared" si="957"/>
        <v>19</v>
      </c>
      <c r="K949" s="58">
        <f t="shared" si="957"/>
        <v>0</v>
      </c>
      <c r="L949" s="58">
        <f t="shared" si="957"/>
        <v>-35</v>
      </c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0" customHeight="1">
      <c r="A950" s="70"/>
      <c r="B950" s="71"/>
      <c r="C950" s="66"/>
      <c r="D950" s="66">
        <f t="shared" si="333"/>
        <v>0</v>
      </c>
      <c r="E950" s="67"/>
      <c r="F950" s="58">
        <f t="shared" ref="F950:L950" si="958">SUMIFS($C950,$B950,F$7)+F949</f>
        <v>25</v>
      </c>
      <c r="G950" s="58">
        <f t="shared" si="958"/>
        <v>0</v>
      </c>
      <c r="H950" s="58">
        <f t="shared" si="958"/>
        <v>0</v>
      </c>
      <c r="I950" s="58">
        <f t="shared" si="958"/>
        <v>57</v>
      </c>
      <c r="J950" s="58">
        <f t="shared" si="958"/>
        <v>19</v>
      </c>
      <c r="K950" s="58">
        <f t="shared" si="958"/>
        <v>0</v>
      </c>
      <c r="L950" s="58">
        <f t="shared" si="958"/>
        <v>-35</v>
      </c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0" customHeight="1">
      <c r="A951" s="70"/>
      <c r="B951" s="71"/>
      <c r="C951" s="66"/>
      <c r="D951" s="66">
        <f t="shared" si="333"/>
        <v>0</v>
      </c>
      <c r="E951" s="67"/>
      <c r="F951" s="58">
        <f t="shared" ref="F951:L951" si="959">SUMIFS($C951,$B951,F$7)+F950</f>
        <v>25</v>
      </c>
      <c r="G951" s="58">
        <f t="shared" si="959"/>
        <v>0</v>
      </c>
      <c r="H951" s="58">
        <f t="shared" si="959"/>
        <v>0</v>
      </c>
      <c r="I951" s="58">
        <f t="shared" si="959"/>
        <v>57</v>
      </c>
      <c r="J951" s="58">
        <f t="shared" si="959"/>
        <v>19</v>
      </c>
      <c r="K951" s="58">
        <f t="shared" si="959"/>
        <v>0</v>
      </c>
      <c r="L951" s="58">
        <f t="shared" si="959"/>
        <v>-35</v>
      </c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0" customHeight="1">
      <c r="A952" s="70"/>
      <c r="B952" s="71"/>
      <c r="C952" s="66"/>
      <c r="D952" s="66">
        <f t="shared" si="333"/>
        <v>0</v>
      </c>
      <c r="E952" s="67"/>
      <c r="F952" s="58">
        <f t="shared" ref="F952:L952" si="960">SUMIFS($C952,$B952,F$7)+F951</f>
        <v>25</v>
      </c>
      <c r="G952" s="58">
        <f t="shared" si="960"/>
        <v>0</v>
      </c>
      <c r="H952" s="58">
        <f t="shared" si="960"/>
        <v>0</v>
      </c>
      <c r="I952" s="58">
        <f t="shared" si="960"/>
        <v>57</v>
      </c>
      <c r="J952" s="58">
        <f t="shared" si="960"/>
        <v>19</v>
      </c>
      <c r="K952" s="58">
        <f t="shared" si="960"/>
        <v>0</v>
      </c>
      <c r="L952" s="58">
        <f t="shared" si="960"/>
        <v>-35</v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0" customHeight="1">
      <c r="A953" s="70"/>
      <c r="B953" s="71"/>
      <c r="C953" s="66"/>
      <c r="D953" s="66">
        <f t="shared" si="333"/>
        <v>0</v>
      </c>
      <c r="E953" s="67"/>
      <c r="F953" s="58">
        <f t="shared" ref="F953:L953" si="961">SUMIFS($C953,$B953,F$7)+F952</f>
        <v>25</v>
      </c>
      <c r="G953" s="58">
        <f t="shared" si="961"/>
        <v>0</v>
      </c>
      <c r="H953" s="58">
        <f t="shared" si="961"/>
        <v>0</v>
      </c>
      <c r="I953" s="58">
        <f t="shared" si="961"/>
        <v>57</v>
      </c>
      <c r="J953" s="58">
        <f t="shared" si="961"/>
        <v>19</v>
      </c>
      <c r="K953" s="58">
        <f t="shared" si="961"/>
        <v>0</v>
      </c>
      <c r="L953" s="58">
        <f t="shared" si="961"/>
        <v>-35</v>
      </c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0" customHeight="1">
      <c r="A954" s="70"/>
      <c r="B954" s="71"/>
      <c r="C954" s="66"/>
      <c r="D954" s="66">
        <f t="shared" si="333"/>
        <v>0</v>
      </c>
      <c r="E954" s="67"/>
      <c r="F954" s="58">
        <f t="shared" ref="F954:L954" si="962">SUMIFS($C954,$B954,F$7)+F953</f>
        <v>25</v>
      </c>
      <c r="G954" s="58">
        <f t="shared" si="962"/>
        <v>0</v>
      </c>
      <c r="H954" s="58">
        <f t="shared" si="962"/>
        <v>0</v>
      </c>
      <c r="I954" s="58">
        <f t="shared" si="962"/>
        <v>57</v>
      </c>
      <c r="J954" s="58">
        <f t="shared" si="962"/>
        <v>19</v>
      </c>
      <c r="K954" s="58">
        <f t="shared" si="962"/>
        <v>0</v>
      </c>
      <c r="L954" s="58">
        <f t="shared" si="962"/>
        <v>-35</v>
      </c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0" customHeight="1">
      <c r="A955" s="70"/>
      <c r="B955" s="71"/>
      <c r="C955" s="66"/>
      <c r="D955" s="66">
        <f t="shared" si="333"/>
        <v>0</v>
      </c>
      <c r="E955" s="67"/>
      <c r="F955" s="58">
        <f t="shared" ref="F955:L955" si="963">SUMIFS($C955,$B955,F$7)+F954</f>
        <v>25</v>
      </c>
      <c r="G955" s="58">
        <f t="shared" si="963"/>
        <v>0</v>
      </c>
      <c r="H955" s="58">
        <f t="shared" si="963"/>
        <v>0</v>
      </c>
      <c r="I955" s="58">
        <f t="shared" si="963"/>
        <v>57</v>
      </c>
      <c r="J955" s="58">
        <f t="shared" si="963"/>
        <v>19</v>
      </c>
      <c r="K955" s="58">
        <f t="shared" si="963"/>
        <v>0</v>
      </c>
      <c r="L955" s="58">
        <f t="shared" si="963"/>
        <v>-35</v>
      </c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0" customHeight="1">
      <c r="A956" s="70"/>
      <c r="B956" s="71"/>
      <c r="C956" s="66"/>
      <c r="D956" s="66">
        <f t="shared" si="333"/>
        <v>0</v>
      </c>
      <c r="E956" s="67"/>
      <c r="F956" s="58">
        <f t="shared" ref="F956:L956" si="964">SUMIFS($C956,$B956,F$7)+F955</f>
        <v>25</v>
      </c>
      <c r="G956" s="58">
        <f t="shared" si="964"/>
        <v>0</v>
      </c>
      <c r="H956" s="58">
        <f t="shared" si="964"/>
        <v>0</v>
      </c>
      <c r="I956" s="58">
        <f t="shared" si="964"/>
        <v>57</v>
      </c>
      <c r="J956" s="58">
        <f t="shared" si="964"/>
        <v>19</v>
      </c>
      <c r="K956" s="58">
        <f t="shared" si="964"/>
        <v>0</v>
      </c>
      <c r="L956" s="58">
        <f t="shared" si="964"/>
        <v>-35</v>
      </c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0" customHeight="1">
      <c r="A957" s="70"/>
      <c r="B957" s="71"/>
      <c r="C957" s="66"/>
      <c r="D957" s="66">
        <f t="shared" si="333"/>
        <v>0</v>
      </c>
      <c r="E957" s="67"/>
      <c r="F957" s="58">
        <f t="shared" ref="F957:L957" si="965">SUMIFS($C957,$B957,F$7)+F956</f>
        <v>25</v>
      </c>
      <c r="G957" s="58">
        <f t="shared" si="965"/>
        <v>0</v>
      </c>
      <c r="H957" s="58">
        <f t="shared" si="965"/>
        <v>0</v>
      </c>
      <c r="I957" s="58">
        <f t="shared" si="965"/>
        <v>57</v>
      </c>
      <c r="J957" s="58">
        <f t="shared" si="965"/>
        <v>19</v>
      </c>
      <c r="K957" s="58">
        <f t="shared" si="965"/>
        <v>0</v>
      </c>
      <c r="L957" s="58">
        <f t="shared" si="965"/>
        <v>-35</v>
      </c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0" customHeight="1">
      <c r="A958" s="70"/>
      <c r="B958" s="71"/>
      <c r="C958" s="66"/>
      <c r="D958" s="66">
        <f t="shared" si="333"/>
        <v>0</v>
      </c>
      <c r="E958" s="67"/>
      <c r="F958" s="58">
        <f t="shared" ref="F958:L958" si="966">SUMIFS($C958,$B958,F$7)+F957</f>
        <v>25</v>
      </c>
      <c r="G958" s="58">
        <f t="shared" si="966"/>
        <v>0</v>
      </c>
      <c r="H958" s="58">
        <f t="shared" si="966"/>
        <v>0</v>
      </c>
      <c r="I958" s="58">
        <f t="shared" si="966"/>
        <v>57</v>
      </c>
      <c r="J958" s="58">
        <f t="shared" si="966"/>
        <v>19</v>
      </c>
      <c r="K958" s="58">
        <f t="shared" si="966"/>
        <v>0</v>
      </c>
      <c r="L958" s="58">
        <f t="shared" si="966"/>
        <v>-35</v>
      </c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0" customHeight="1">
      <c r="A959" s="70"/>
      <c r="B959" s="71"/>
      <c r="C959" s="66"/>
      <c r="D959" s="66">
        <f t="shared" si="333"/>
        <v>0</v>
      </c>
      <c r="E959" s="67"/>
      <c r="F959" s="58">
        <f t="shared" ref="F959:L959" si="967">SUMIFS($C959,$B959,F$7)+F958</f>
        <v>25</v>
      </c>
      <c r="G959" s="58">
        <f t="shared" si="967"/>
        <v>0</v>
      </c>
      <c r="H959" s="58">
        <f t="shared" si="967"/>
        <v>0</v>
      </c>
      <c r="I959" s="58">
        <f t="shared" si="967"/>
        <v>57</v>
      </c>
      <c r="J959" s="58">
        <f t="shared" si="967"/>
        <v>19</v>
      </c>
      <c r="K959" s="58">
        <f t="shared" si="967"/>
        <v>0</v>
      </c>
      <c r="L959" s="58">
        <f t="shared" si="967"/>
        <v>-35</v>
      </c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0" customHeight="1">
      <c r="A960" s="70"/>
      <c r="B960" s="71"/>
      <c r="C960" s="66"/>
      <c r="D960" s="66">
        <f t="shared" si="333"/>
        <v>0</v>
      </c>
      <c r="E960" s="67"/>
      <c r="F960" s="58">
        <f t="shared" ref="F960:L960" si="968">SUMIFS($C960,$B960,F$7)+F959</f>
        <v>25</v>
      </c>
      <c r="G960" s="58">
        <f t="shared" si="968"/>
        <v>0</v>
      </c>
      <c r="H960" s="58">
        <f t="shared" si="968"/>
        <v>0</v>
      </c>
      <c r="I960" s="58">
        <f t="shared" si="968"/>
        <v>57</v>
      </c>
      <c r="J960" s="58">
        <f t="shared" si="968"/>
        <v>19</v>
      </c>
      <c r="K960" s="58">
        <f t="shared" si="968"/>
        <v>0</v>
      </c>
      <c r="L960" s="58">
        <f t="shared" si="968"/>
        <v>-35</v>
      </c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0" customHeight="1">
      <c r="A961" s="70"/>
      <c r="B961" s="71"/>
      <c r="C961" s="66"/>
      <c r="D961" s="66">
        <f t="shared" si="333"/>
        <v>0</v>
      </c>
      <c r="E961" s="67"/>
      <c r="F961" s="58">
        <f t="shared" ref="F961:L961" si="969">SUMIFS($C961,$B961,F$7)+F960</f>
        <v>25</v>
      </c>
      <c r="G961" s="58">
        <f t="shared" si="969"/>
        <v>0</v>
      </c>
      <c r="H961" s="58">
        <f t="shared" si="969"/>
        <v>0</v>
      </c>
      <c r="I961" s="58">
        <f t="shared" si="969"/>
        <v>57</v>
      </c>
      <c r="J961" s="58">
        <f t="shared" si="969"/>
        <v>19</v>
      </c>
      <c r="K961" s="58">
        <f t="shared" si="969"/>
        <v>0</v>
      </c>
      <c r="L961" s="58">
        <f t="shared" si="969"/>
        <v>-35</v>
      </c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0" customHeight="1">
      <c r="A962" s="70"/>
      <c r="B962" s="71"/>
      <c r="C962" s="66"/>
      <c r="D962" s="66">
        <f t="shared" si="333"/>
        <v>0</v>
      </c>
      <c r="E962" s="67"/>
      <c r="F962" s="58">
        <f t="shared" ref="F962:L962" si="970">SUMIFS($C962,$B962,F$7)+F961</f>
        <v>25</v>
      </c>
      <c r="G962" s="58">
        <f t="shared" si="970"/>
        <v>0</v>
      </c>
      <c r="H962" s="58">
        <f t="shared" si="970"/>
        <v>0</v>
      </c>
      <c r="I962" s="58">
        <f t="shared" si="970"/>
        <v>57</v>
      </c>
      <c r="J962" s="58">
        <f t="shared" si="970"/>
        <v>19</v>
      </c>
      <c r="K962" s="58">
        <f t="shared" si="970"/>
        <v>0</v>
      </c>
      <c r="L962" s="58">
        <f t="shared" si="970"/>
        <v>-35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0" customHeight="1">
      <c r="A963" s="70"/>
      <c r="B963" s="71"/>
      <c r="C963" s="66"/>
      <c r="D963" s="66">
        <f t="shared" si="333"/>
        <v>0</v>
      </c>
      <c r="E963" s="67"/>
      <c r="F963" s="58">
        <f t="shared" ref="F963:L963" si="971">SUMIFS($C963,$B963,F$7)+F962</f>
        <v>25</v>
      </c>
      <c r="G963" s="58">
        <f t="shared" si="971"/>
        <v>0</v>
      </c>
      <c r="H963" s="58">
        <f t="shared" si="971"/>
        <v>0</v>
      </c>
      <c r="I963" s="58">
        <f t="shared" si="971"/>
        <v>57</v>
      </c>
      <c r="J963" s="58">
        <f t="shared" si="971"/>
        <v>19</v>
      </c>
      <c r="K963" s="58">
        <f t="shared" si="971"/>
        <v>0</v>
      </c>
      <c r="L963" s="58">
        <f t="shared" si="971"/>
        <v>-35</v>
      </c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0" customHeight="1">
      <c r="A964" s="70"/>
      <c r="B964" s="71"/>
      <c r="C964" s="66"/>
      <c r="D964" s="66">
        <f t="shared" si="333"/>
        <v>0</v>
      </c>
      <c r="E964" s="67"/>
      <c r="F964" s="58">
        <f t="shared" ref="F964:L964" si="972">SUMIFS($C964,$B964,F$7)+F963</f>
        <v>25</v>
      </c>
      <c r="G964" s="58">
        <f t="shared" si="972"/>
        <v>0</v>
      </c>
      <c r="H964" s="58">
        <f t="shared" si="972"/>
        <v>0</v>
      </c>
      <c r="I964" s="58">
        <f t="shared" si="972"/>
        <v>57</v>
      </c>
      <c r="J964" s="58">
        <f t="shared" si="972"/>
        <v>19</v>
      </c>
      <c r="K964" s="58">
        <f t="shared" si="972"/>
        <v>0</v>
      </c>
      <c r="L964" s="58">
        <f t="shared" si="972"/>
        <v>-35</v>
      </c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0" customHeight="1">
      <c r="A965" s="70"/>
      <c r="B965" s="71"/>
      <c r="C965" s="66"/>
      <c r="D965" s="66">
        <f t="shared" si="333"/>
        <v>0</v>
      </c>
      <c r="E965" s="67"/>
      <c r="F965" s="58">
        <f t="shared" ref="F965:L965" si="973">SUMIFS($C965,$B965,F$7)+F964</f>
        <v>25</v>
      </c>
      <c r="G965" s="58">
        <f t="shared" si="973"/>
        <v>0</v>
      </c>
      <c r="H965" s="58">
        <f t="shared" si="973"/>
        <v>0</v>
      </c>
      <c r="I965" s="58">
        <f t="shared" si="973"/>
        <v>57</v>
      </c>
      <c r="J965" s="58">
        <f t="shared" si="973"/>
        <v>19</v>
      </c>
      <c r="K965" s="58">
        <f t="shared" si="973"/>
        <v>0</v>
      </c>
      <c r="L965" s="58">
        <f t="shared" si="973"/>
        <v>-35</v>
      </c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0" customHeight="1">
      <c r="A966" s="70"/>
      <c r="B966" s="71"/>
      <c r="C966" s="66"/>
      <c r="D966" s="66">
        <f t="shared" si="333"/>
        <v>0</v>
      </c>
      <c r="E966" s="67"/>
      <c r="F966" s="58">
        <f t="shared" ref="F966:L966" si="974">SUMIFS($C966,$B966,F$7)+F965</f>
        <v>25</v>
      </c>
      <c r="G966" s="58">
        <f t="shared" si="974"/>
        <v>0</v>
      </c>
      <c r="H966" s="58">
        <f t="shared" si="974"/>
        <v>0</v>
      </c>
      <c r="I966" s="58">
        <f t="shared" si="974"/>
        <v>57</v>
      </c>
      <c r="J966" s="58">
        <f t="shared" si="974"/>
        <v>19</v>
      </c>
      <c r="K966" s="58">
        <f t="shared" si="974"/>
        <v>0</v>
      </c>
      <c r="L966" s="58">
        <f t="shared" si="974"/>
        <v>-35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0" customHeight="1">
      <c r="A967" s="70"/>
      <c r="B967" s="71"/>
      <c r="C967" s="66"/>
      <c r="D967" s="66">
        <f t="shared" si="333"/>
        <v>0</v>
      </c>
      <c r="E967" s="67"/>
      <c r="F967" s="58">
        <f t="shared" ref="F967:L967" si="975">SUMIFS($C967,$B967,F$7)+F966</f>
        <v>25</v>
      </c>
      <c r="G967" s="58">
        <f t="shared" si="975"/>
        <v>0</v>
      </c>
      <c r="H967" s="58">
        <f t="shared" si="975"/>
        <v>0</v>
      </c>
      <c r="I967" s="58">
        <f t="shared" si="975"/>
        <v>57</v>
      </c>
      <c r="J967" s="58">
        <f t="shared" si="975"/>
        <v>19</v>
      </c>
      <c r="K967" s="58">
        <f t="shared" si="975"/>
        <v>0</v>
      </c>
      <c r="L967" s="58">
        <f t="shared" si="975"/>
        <v>-35</v>
      </c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0" customHeight="1">
      <c r="A968" s="70"/>
      <c r="B968" s="71"/>
      <c r="C968" s="66"/>
      <c r="D968" s="66">
        <f t="shared" si="333"/>
        <v>0</v>
      </c>
      <c r="E968" s="67"/>
      <c r="F968" s="58">
        <f t="shared" ref="F968:L968" si="976">SUMIFS($C968,$B968,F$7)+F967</f>
        <v>25</v>
      </c>
      <c r="G968" s="58">
        <f t="shared" si="976"/>
        <v>0</v>
      </c>
      <c r="H968" s="58">
        <f t="shared" si="976"/>
        <v>0</v>
      </c>
      <c r="I968" s="58">
        <f t="shared" si="976"/>
        <v>57</v>
      </c>
      <c r="J968" s="58">
        <f t="shared" si="976"/>
        <v>19</v>
      </c>
      <c r="K968" s="58">
        <f t="shared" si="976"/>
        <v>0</v>
      </c>
      <c r="L968" s="58">
        <f t="shared" si="976"/>
        <v>-35</v>
      </c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0" customHeight="1">
      <c r="A969" s="70"/>
      <c r="B969" s="71"/>
      <c r="C969" s="66"/>
      <c r="D969" s="66">
        <f t="shared" si="333"/>
        <v>0</v>
      </c>
      <c r="E969" s="67"/>
      <c r="F969" s="58">
        <f t="shared" ref="F969:L969" si="977">SUMIFS($C969,$B969,F$7)+F968</f>
        <v>25</v>
      </c>
      <c r="G969" s="58">
        <f t="shared" si="977"/>
        <v>0</v>
      </c>
      <c r="H969" s="58">
        <f t="shared" si="977"/>
        <v>0</v>
      </c>
      <c r="I969" s="58">
        <f t="shared" si="977"/>
        <v>57</v>
      </c>
      <c r="J969" s="58">
        <f t="shared" si="977"/>
        <v>19</v>
      </c>
      <c r="K969" s="58">
        <f t="shared" si="977"/>
        <v>0</v>
      </c>
      <c r="L969" s="58">
        <f t="shared" si="977"/>
        <v>-35</v>
      </c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0" customHeight="1">
      <c r="A970" s="70"/>
      <c r="B970" s="71"/>
      <c r="C970" s="66"/>
      <c r="D970" s="66">
        <f t="shared" si="333"/>
        <v>0</v>
      </c>
      <c r="E970" s="67"/>
      <c r="F970" s="58">
        <f t="shared" ref="F970:L970" si="978">SUMIFS($C970,$B970,F$7)+F969</f>
        <v>25</v>
      </c>
      <c r="G970" s="58">
        <f t="shared" si="978"/>
        <v>0</v>
      </c>
      <c r="H970" s="58">
        <f t="shared" si="978"/>
        <v>0</v>
      </c>
      <c r="I970" s="58">
        <f t="shared" si="978"/>
        <v>57</v>
      </c>
      <c r="J970" s="58">
        <f t="shared" si="978"/>
        <v>19</v>
      </c>
      <c r="K970" s="58">
        <f t="shared" si="978"/>
        <v>0</v>
      </c>
      <c r="L970" s="58">
        <f t="shared" si="978"/>
        <v>-35</v>
      </c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0" customHeight="1">
      <c r="A971" s="70"/>
      <c r="B971" s="71"/>
      <c r="C971" s="66"/>
      <c r="D971" s="66">
        <f t="shared" si="333"/>
        <v>0</v>
      </c>
      <c r="E971" s="67"/>
      <c r="F971" s="58">
        <f t="shared" ref="F971:L971" si="979">SUMIFS($C971,$B971,F$7)+F970</f>
        <v>25</v>
      </c>
      <c r="G971" s="58">
        <f t="shared" si="979"/>
        <v>0</v>
      </c>
      <c r="H971" s="58">
        <f t="shared" si="979"/>
        <v>0</v>
      </c>
      <c r="I971" s="58">
        <f t="shared" si="979"/>
        <v>57</v>
      </c>
      <c r="J971" s="58">
        <f t="shared" si="979"/>
        <v>19</v>
      </c>
      <c r="K971" s="58">
        <f t="shared" si="979"/>
        <v>0</v>
      </c>
      <c r="L971" s="58">
        <f t="shared" si="979"/>
        <v>-35</v>
      </c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0" customHeight="1">
      <c r="A972" s="70"/>
      <c r="B972" s="71"/>
      <c r="C972" s="66"/>
      <c r="D972" s="66">
        <f t="shared" si="333"/>
        <v>0</v>
      </c>
      <c r="E972" s="67"/>
      <c r="F972" s="58">
        <f t="shared" ref="F972:L972" si="980">SUMIFS($C972,$B972,F$7)+F971</f>
        <v>25</v>
      </c>
      <c r="G972" s="58">
        <f t="shared" si="980"/>
        <v>0</v>
      </c>
      <c r="H972" s="58">
        <f t="shared" si="980"/>
        <v>0</v>
      </c>
      <c r="I972" s="58">
        <f t="shared" si="980"/>
        <v>57</v>
      </c>
      <c r="J972" s="58">
        <f t="shared" si="980"/>
        <v>19</v>
      </c>
      <c r="K972" s="58">
        <f t="shared" si="980"/>
        <v>0</v>
      </c>
      <c r="L972" s="58">
        <f t="shared" si="980"/>
        <v>-35</v>
      </c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0" customHeight="1">
      <c r="A973" s="70"/>
      <c r="B973" s="71"/>
      <c r="C973" s="66"/>
      <c r="D973" s="66">
        <f t="shared" si="333"/>
        <v>0</v>
      </c>
      <c r="E973" s="67"/>
      <c r="F973" s="58">
        <f t="shared" ref="F973:L973" si="981">SUMIFS($C973,$B973,F$7)+F972</f>
        <v>25</v>
      </c>
      <c r="G973" s="58">
        <f t="shared" si="981"/>
        <v>0</v>
      </c>
      <c r="H973" s="58">
        <f t="shared" si="981"/>
        <v>0</v>
      </c>
      <c r="I973" s="58">
        <f t="shared" si="981"/>
        <v>57</v>
      </c>
      <c r="J973" s="58">
        <f t="shared" si="981"/>
        <v>19</v>
      </c>
      <c r="K973" s="58">
        <f t="shared" si="981"/>
        <v>0</v>
      </c>
      <c r="L973" s="58">
        <f t="shared" si="981"/>
        <v>-35</v>
      </c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0" customHeight="1">
      <c r="A974" s="70"/>
      <c r="B974" s="71"/>
      <c r="C974" s="66"/>
      <c r="D974" s="66">
        <f t="shared" si="333"/>
        <v>0</v>
      </c>
      <c r="E974" s="67"/>
      <c r="F974" s="58">
        <f t="shared" ref="F974:L974" si="982">SUMIFS($C974,$B974,F$7)+F973</f>
        <v>25</v>
      </c>
      <c r="G974" s="58">
        <f t="shared" si="982"/>
        <v>0</v>
      </c>
      <c r="H974" s="58">
        <f t="shared" si="982"/>
        <v>0</v>
      </c>
      <c r="I974" s="58">
        <f t="shared" si="982"/>
        <v>57</v>
      </c>
      <c r="J974" s="58">
        <f t="shared" si="982"/>
        <v>19</v>
      </c>
      <c r="K974" s="58">
        <f t="shared" si="982"/>
        <v>0</v>
      </c>
      <c r="L974" s="58">
        <f t="shared" si="982"/>
        <v>-35</v>
      </c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0" customHeight="1">
      <c r="A975" s="70"/>
      <c r="B975" s="71"/>
      <c r="C975" s="66"/>
      <c r="D975" s="66">
        <f t="shared" si="333"/>
        <v>0</v>
      </c>
      <c r="E975" s="67"/>
      <c r="F975" s="58">
        <f t="shared" ref="F975:L975" si="983">SUMIFS($C975,$B975,F$7)+F974</f>
        <v>25</v>
      </c>
      <c r="G975" s="58">
        <f t="shared" si="983"/>
        <v>0</v>
      </c>
      <c r="H975" s="58">
        <f t="shared" si="983"/>
        <v>0</v>
      </c>
      <c r="I975" s="58">
        <f t="shared" si="983"/>
        <v>57</v>
      </c>
      <c r="J975" s="58">
        <f t="shared" si="983"/>
        <v>19</v>
      </c>
      <c r="K975" s="58">
        <f t="shared" si="983"/>
        <v>0</v>
      </c>
      <c r="L975" s="58">
        <f t="shared" si="983"/>
        <v>-35</v>
      </c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0" customHeight="1">
      <c r="A976" s="70"/>
      <c r="B976" s="71"/>
      <c r="C976" s="66"/>
      <c r="D976" s="66">
        <f t="shared" si="333"/>
        <v>0</v>
      </c>
      <c r="E976" s="67"/>
      <c r="F976" s="58">
        <f t="shared" ref="F976:L976" si="984">SUMIFS($C976,$B976,F$7)+F975</f>
        <v>25</v>
      </c>
      <c r="G976" s="58">
        <f t="shared" si="984"/>
        <v>0</v>
      </c>
      <c r="H976" s="58">
        <f t="shared" si="984"/>
        <v>0</v>
      </c>
      <c r="I976" s="58">
        <f t="shared" si="984"/>
        <v>57</v>
      </c>
      <c r="J976" s="58">
        <f t="shared" si="984"/>
        <v>19</v>
      </c>
      <c r="K976" s="58">
        <f t="shared" si="984"/>
        <v>0</v>
      </c>
      <c r="L976" s="58">
        <f t="shared" si="984"/>
        <v>-35</v>
      </c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0" customHeight="1">
      <c r="A977" s="70"/>
      <c r="B977" s="71"/>
      <c r="C977" s="66"/>
      <c r="D977" s="66">
        <f t="shared" si="333"/>
        <v>0</v>
      </c>
      <c r="E977" s="67"/>
      <c r="F977" s="58">
        <f t="shared" ref="F977:L977" si="985">SUMIFS($C977,$B977,F$7)+F976</f>
        <v>25</v>
      </c>
      <c r="G977" s="58">
        <f t="shared" si="985"/>
        <v>0</v>
      </c>
      <c r="H977" s="58">
        <f t="shared" si="985"/>
        <v>0</v>
      </c>
      <c r="I977" s="58">
        <f t="shared" si="985"/>
        <v>57</v>
      </c>
      <c r="J977" s="58">
        <f t="shared" si="985"/>
        <v>19</v>
      </c>
      <c r="K977" s="58">
        <f t="shared" si="985"/>
        <v>0</v>
      </c>
      <c r="L977" s="58">
        <f t="shared" si="985"/>
        <v>-35</v>
      </c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0" customHeight="1">
      <c r="A978" s="70"/>
      <c r="B978" s="71"/>
      <c r="C978" s="66"/>
      <c r="D978" s="66">
        <f t="shared" si="333"/>
        <v>0</v>
      </c>
      <c r="E978" s="67"/>
      <c r="F978" s="58">
        <f t="shared" ref="F978:L978" si="986">SUMIFS($C978,$B978,F$7)+F977</f>
        <v>25</v>
      </c>
      <c r="G978" s="58">
        <f t="shared" si="986"/>
        <v>0</v>
      </c>
      <c r="H978" s="58">
        <f t="shared" si="986"/>
        <v>0</v>
      </c>
      <c r="I978" s="58">
        <f t="shared" si="986"/>
        <v>57</v>
      </c>
      <c r="J978" s="58">
        <f t="shared" si="986"/>
        <v>19</v>
      </c>
      <c r="K978" s="58">
        <f t="shared" si="986"/>
        <v>0</v>
      </c>
      <c r="L978" s="58">
        <f t="shared" si="986"/>
        <v>-35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0" customHeight="1">
      <c r="A979" s="70"/>
      <c r="B979" s="71"/>
      <c r="C979" s="66"/>
      <c r="D979" s="66">
        <f t="shared" si="333"/>
        <v>0</v>
      </c>
      <c r="E979" s="67"/>
      <c r="F979" s="58">
        <f t="shared" ref="F979:L979" si="987">SUMIFS($C979,$B979,F$7)+F978</f>
        <v>25</v>
      </c>
      <c r="G979" s="58">
        <f t="shared" si="987"/>
        <v>0</v>
      </c>
      <c r="H979" s="58">
        <f t="shared" si="987"/>
        <v>0</v>
      </c>
      <c r="I979" s="58">
        <f t="shared" si="987"/>
        <v>57</v>
      </c>
      <c r="J979" s="58">
        <f t="shared" si="987"/>
        <v>19</v>
      </c>
      <c r="K979" s="58">
        <f t="shared" si="987"/>
        <v>0</v>
      </c>
      <c r="L979" s="58">
        <f t="shared" si="987"/>
        <v>-35</v>
      </c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0" customHeight="1">
      <c r="A980" s="70"/>
      <c r="B980" s="71"/>
      <c r="C980" s="66"/>
      <c r="D980" s="66">
        <f t="shared" si="333"/>
        <v>0</v>
      </c>
      <c r="E980" s="67"/>
      <c r="F980" s="58">
        <f t="shared" ref="F980:L980" si="988">SUMIFS($C980,$B980,F$7)+F979</f>
        <v>25</v>
      </c>
      <c r="G980" s="58">
        <f t="shared" si="988"/>
        <v>0</v>
      </c>
      <c r="H980" s="58">
        <f t="shared" si="988"/>
        <v>0</v>
      </c>
      <c r="I980" s="58">
        <f t="shared" si="988"/>
        <v>57</v>
      </c>
      <c r="J980" s="58">
        <f t="shared" si="988"/>
        <v>19</v>
      </c>
      <c r="K980" s="58">
        <f t="shared" si="988"/>
        <v>0</v>
      </c>
      <c r="L980" s="58">
        <f t="shared" si="988"/>
        <v>-35</v>
      </c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0" customHeight="1">
      <c r="A981" s="70"/>
      <c r="B981" s="71"/>
      <c r="C981" s="66"/>
      <c r="D981" s="66">
        <f t="shared" si="333"/>
        <v>0</v>
      </c>
      <c r="E981" s="67"/>
      <c r="F981" s="58">
        <f t="shared" ref="F981:L981" si="989">SUMIFS($C981,$B981,F$7)+F980</f>
        <v>25</v>
      </c>
      <c r="G981" s="58">
        <f t="shared" si="989"/>
        <v>0</v>
      </c>
      <c r="H981" s="58">
        <f t="shared" si="989"/>
        <v>0</v>
      </c>
      <c r="I981" s="58">
        <f t="shared" si="989"/>
        <v>57</v>
      </c>
      <c r="J981" s="58">
        <f t="shared" si="989"/>
        <v>19</v>
      </c>
      <c r="K981" s="58">
        <f t="shared" si="989"/>
        <v>0</v>
      </c>
      <c r="L981" s="58">
        <f t="shared" si="989"/>
        <v>-35</v>
      </c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0" customHeight="1">
      <c r="A982" s="70"/>
      <c r="B982" s="71"/>
      <c r="C982" s="66"/>
      <c r="D982" s="66">
        <f t="shared" si="333"/>
        <v>0</v>
      </c>
      <c r="E982" s="67"/>
      <c r="F982" s="58">
        <f t="shared" ref="F982:L982" si="990">SUMIFS($C982,$B982,F$7)+F981</f>
        <v>25</v>
      </c>
      <c r="G982" s="58">
        <f t="shared" si="990"/>
        <v>0</v>
      </c>
      <c r="H982" s="58">
        <f t="shared" si="990"/>
        <v>0</v>
      </c>
      <c r="I982" s="58">
        <f t="shared" si="990"/>
        <v>57</v>
      </c>
      <c r="J982" s="58">
        <f t="shared" si="990"/>
        <v>19</v>
      </c>
      <c r="K982" s="58">
        <f t="shared" si="990"/>
        <v>0</v>
      </c>
      <c r="L982" s="58">
        <f t="shared" si="990"/>
        <v>-35</v>
      </c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0" customHeight="1">
      <c r="A983" s="70"/>
      <c r="B983" s="71"/>
      <c r="C983" s="66"/>
      <c r="D983" s="66">
        <f t="shared" si="333"/>
        <v>0</v>
      </c>
      <c r="E983" s="67"/>
      <c r="F983" s="58">
        <f t="shared" ref="F983:L983" si="991">SUMIFS($C983,$B983,F$7)+F982</f>
        <v>25</v>
      </c>
      <c r="G983" s="58">
        <f t="shared" si="991"/>
        <v>0</v>
      </c>
      <c r="H983" s="58">
        <f t="shared" si="991"/>
        <v>0</v>
      </c>
      <c r="I983" s="58">
        <f t="shared" si="991"/>
        <v>57</v>
      </c>
      <c r="J983" s="58">
        <f t="shared" si="991"/>
        <v>19</v>
      </c>
      <c r="K983" s="58">
        <f t="shared" si="991"/>
        <v>0</v>
      </c>
      <c r="L983" s="58">
        <f t="shared" si="991"/>
        <v>-35</v>
      </c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0" customHeight="1">
      <c r="A984" s="70"/>
      <c r="B984" s="71"/>
      <c r="C984" s="66"/>
      <c r="D984" s="66">
        <f t="shared" si="333"/>
        <v>0</v>
      </c>
      <c r="E984" s="67"/>
      <c r="F984" s="58">
        <f t="shared" ref="F984:L984" si="992">SUMIFS($C984,$B984,F$7)+F983</f>
        <v>25</v>
      </c>
      <c r="G984" s="58">
        <f t="shared" si="992"/>
        <v>0</v>
      </c>
      <c r="H984" s="58">
        <f t="shared" si="992"/>
        <v>0</v>
      </c>
      <c r="I984" s="58">
        <f t="shared" si="992"/>
        <v>57</v>
      </c>
      <c r="J984" s="58">
        <f t="shared" si="992"/>
        <v>19</v>
      </c>
      <c r="K984" s="58">
        <f t="shared" si="992"/>
        <v>0</v>
      </c>
      <c r="L984" s="58">
        <f t="shared" si="992"/>
        <v>-35</v>
      </c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0" customHeight="1">
      <c r="A985" s="70"/>
      <c r="B985" s="71"/>
      <c r="C985" s="66"/>
      <c r="D985" s="66">
        <f t="shared" si="333"/>
        <v>0</v>
      </c>
      <c r="E985" s="67"/>
      <c r="F985" s="58">
        <f t="shared" ref="F985:L985" si="993">SUMIFS($C985,$B985,F$7)+F984</f>
        <v>25</v>
      </c>
      <c r="G985" s="58">
        <f t="shared" si="993"/>
        <v>0</v>
      </c>
      <c r="H985" s="58">
        <f t="shared" si="993"/>
        <v>0</v>
      </c>
      <c r="I985" s="58">
        <f t="shared" si="993"/>
        <v>57</v>
      </c>
      <c r="J985" s="58">
        <f t="shared" si="993"/>
        <v>19</v>
      </c>
      <c r="K985" s="58">
        <f t="shared" si="993"/>
        <v>0</v>
      </c>
      <c r="L985" s="58">
        <f t="shared" si="993"/>
        <v>-35</v>
      </c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0" customHeight="1">
      <c r="A986" s="70"/>
      <c r="B986" s="71"/>
      <c r="C986" s="66"/>
      <c r="D986" s="66">
        <f t="shared" si="333"/>
        <v>0</v>
      </c>
      <c r="E986" s="67"/>
      <c r="F986" s="58">
        <f t="shared" ref="F986:L986" si="994">SUMIFS($C986,$B986,F$7)+F985</f>
        <v>25</v>
      </c>
      <c r="G986" s="58">
        <f t="shared" si="994"/>
        <v>0</v>
      </c>
      <c r="H986" s="58">
        <f t="shared" si="994"/>
        <v>0</v>
      </c>
      <c r="I986" s="58">
        <f t="shared" si="994"/>
        <v>57</v>
      </c>
      <c r="J986" s="58">
        <f t="shared" si="994"/>
        <v>19</v>
      </c>
      <c r="K986" s="58">
        <f t="shared" si="994"/>
        <v>0</v>
      </c>
      <c r="L986" s="58">
        <f t="shared" si="994"/>
        <v>-35</v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0" customHeight="1">
      <c r="A987" s="70"/>
      <c r="B987" s="71"/>
      <c r="C987" s="66"/>
      <c r="D987" s="66">
        <f t="shared" si="333"/>
        <v>0</v>
      </c>
      <c r="E987" s="67"/>
      <c r="F987" s="58">
        <f t="shared" ref="F987:L987" si="995">SUMIFS($C987,$B987,F$7)+F986</f>
        <v>25</v>
      </c>
      <c r="G987" s="58">
        <f t="shared" si="995"/>
        <v>0</v>
      </c>
      <c r="H987" s="58">
        <f t="shared" si="995"/>
        <v>0</v>
      </c>
      <c r="I987" s="58">
        <f t="shared" si="995"/>
        <v>57</v>
      </c>
      <c r="J987" s="58">
        <f t="shared" si="995"/>
        <v>19</v>
      </c>
      <c r="K987" s="58">
        <f t="shared" si="995"/>
        <v>0</v>
      </c>
      <c r="L987" s="58">
        <f t="shared" si="995"/>
        <v>-35</v>
      </c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0" customHeight="1">
      <c r="A988" s="70"/>
      <c r="B988" s="71"/>
      <c r="C988" s="66"/>
      <c r="D988" s="66">
        <f t="shared" si="333"/>
        <v>0</v>
      </c>
      <c r="E988" s="67"/>
      <c r="F988" s="58">
        <f t="shared" ref="F988:L988" si="996">SUMIFS($C988,$B988,F$7)+F987</f>
        <v>25</v>
      </c>
      <c r="G988" s="58">
        <f t="shared" si="996"/>
        <v>0</v>
      </c>
      <c r="H988" s="58">
        <f t="shared" si="996"/>
        <v>0</v>
      </c>
      <c r="I988" s="58">
        <f t="shared" si="996"/>
        <v>57</v>
      </c>
      <c r="J988" s="58">
        <f t="shared" si="996"/>
        <v>19</v>
      </c>
      <c r="K988" s="58">
        <f t="shared" si="996"/>
        <v>0</v>
      </c>
      <c r="L988" s="58">
        <f t="shared" si="996"/>
        <v>-35</v>
      </c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0" customHeight="1">
      <c r="A989" s="70"/>
      <c r="B989" s="71"/>
      <c r="C989" s="66"/>
      <c r="D989" s="66">
        <f t="shared" si="333"/>
        <v>0</v>
      </c>
      <c r="E989" s="67"/>
      <c r="F989" s="58">
        <f t="shared" ref="F989:L989" si="997">SUMIFS($C989,$B989,F$7)+F988</f>
        <v>25</v>
      </c>
      <c r="G989" s="58">
        <f t="shared" si="997"/>
        <v>0</v>
      </c>
      <c r="H989" s="58">
        <f t="shared" si="997"/>
        <v>0</v>
      </c>
      <c r="I989" s="58">
        <f t="shared" si="997"/>
        <v>57</v>
      </c>
      <c r="J989" s="58">
        <f t="shared" si="997"/>
        <v>19</v>
      </c>
      <c r="K989" s="58">
        <f t="shared" si="997"/>
        <v>0</v>
      </c>
      <c r="L989" s="58">
        <f t="shared" si="997"/>
        <v>-35</v>
      </c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0" customHeight="1">
      <c r="A990" s="70"/>
      <c r="B990" s="71"/>
      <c r="C990" s="66"/>
      <c r="D990" s="66">
        <f t="shared" si="333"/>
        <v>0</v>
      </c>
      <c r="E990" s="67"/>
      <c r="F990" s="58">
        <f t="shared" ref="F990:L990" si="998">SUMIFS($C990,$B990,F$7)+F989</f>
        <v>25</v>
      </c>
      <c r="G990" s="58">
        <f t="shared" si="998"/>
        <v>0</v>
      </c>
      <c r="H990" s="58">
        <f t="shared" si="998"/>
        <v>0</v>
      </c>
      <c r="I990" s="58">
        <f t="shared" si="998"/>
        <v>57</v>
      </c>
      <c r="J990" s="58">
        <f t="shared" si="998"/>
        <v>19</v>
      </c>
      <c r="K990" s="58">
        <f t="shared" si="998"/>
        <v>0</v>
      </c>
      <c r="L990" s="58">
        <f t="shared" si="998"/>
        <v>-35</v>
      </c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0" customHeight="1">
      <c r="A991" s="70"/>
      <c r="B991" s="71"/>
      <c r="C991" s="66"/>
      <c r="D991" s="66">
        <f t="shared" si="333"/>
        <v>0</v>
      </c>
      <c r="E991" s="67"/>
      <c r="F991" s="58">
        <f t="shared" ref="F991:L991" si="999">SUMIFS($C991,$B991,F$7)+F990</f>
        <v>25</v>
      </c>
      <c r="G991" s="58">
        <f t="shared" si="999"/>
        <v>0</v>
      </c>
      <c r="H991" s="58">
        <f t="shared" si="999"/>
        <v>0</v>
      </c>
      <c r="I991" s="58">
        <f t="shared" si="999"/>
        <v>57</v>
      </c>
      <c r="J991" s="58">
        <f t="shared" si="999"/>
        <v>19</v>
      </c>
      <c r="K991" s="58">
        <f t="shared" si="999"/>
        <v>0</v>
      </c>
      <c r="L991" s="58">
        <f t="shared" si="999"/>
        <v>-35</v>
      </c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0" customHeight="1">
      <c r="A992" s="70"/>
      <c r="B992" s="71"/>
      <c r="C992" s="66"/>
      <c r="D992" s="66">
        <f t="shared" si="333"/>
        <v>0</v>
      </c>
      <c r="E992" s="67"/>
      <c r="F992" s="58">
        <f t="shared" ref="F992:L992" si="1000">SUMIFS($C992,$B992,F$7)+F991</f>
        <v>25</v>
      </c>
      <c r="G992" s="58">
        <f t="shared" si="1000"/>
        <v>0</v>
      </c>
      <c r="H992" s="58">
        <f t="shared" si="1000"/>
        <v>0</v>
      </c>
      <c r="I992" s="58">
        <f t="shared" si="1000"/>
        <v>57</v>
      </c>
      <c r="J992" s="58">
        <f t="shared" si="1000"/>
        <v>19</v>
      </c>
      <c r="K992" s="58">
        <f t="shared" si="1000"/>
        <v>0</v>
      </c>
      <c r="L992" s="58">
        <f t="shared" si="1000"/>
        <v>-35</v>
      </c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0" customHeight="1">
      <c r="A993" s="70"/>
      <c r="B993" s="71"/>
      <c r="C993" s="66"/>
      <c r="D993" s="66">
        <f t="shared" si="333"/>
        <v>0</v>
      </c>
      <c r="E993" s="67"/>
      <c r="F993" s="58">
        <f t="shared" ref="F993:L993" si="1001">SUMIFS($C993,$B993,F$7)+F992</f>
        <v>25</v>
      </c>
      <c r="G993" s="58">
        <f t="shared" si="1001"/>
        <v>0</v>
      </c>
      <c r="H993" s="58">
        <f t="shared" si="1001"/>
        <v>0</v>
      </c>
      <c r="I993" s="58">
        <f t="shared" si="1001"/>
        <v>57</v>
      </c>
      <c r="J993" s="58">
        <f t="shared" si="1001"/>
        <v>19</v>
      </c>
      <c r="K993" s="58">
        <f t="shared" si="1001"/>
        <v>0</v>
      </c>
      <c r="L993" s="58">
        <f t="shared" si="1001"/>
        <v>-35</v>
      </c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0" customHeight="1">
      <c r="A994" s="70"/>
      <c r="B994" s="71"/>
      <c r="C994" s="66"/>
      <c r="D994" s="66">
        <f t="shared" si="333"/>
        <v>0</v>
      </c>
      <c r="E994" s="67"/>
      <c r="F994" s="58">
        <f t="shared" ref="F994:L994" si="1002">SUMIFS($C994,$B994,F$7)+F993</f>
        <v>25</v>
      </c>
      <c r="G994" s="58">
        <f t="shared" si="1002"/>
        <v>0</v>
      </c>
      <c r="H994" s="58">
        <f t="shared" si="1002"/>
        <v>0</v>
      </c>
      <c r="I994" s="58">
        <f t="shared" si="1002"/>
        <v>57</v>
      </c>
      <c r="J994" s="58">
        <f t="shared" si="1002"/>
        <v>19</v>
      </c>
      <c r="K994" s="58">
        <f t="shared" si="1002"/>
        <v>0</v>
      </c>
      <c r="L994" s="58">
        <f t="shared" si="1002"/>
        <v>-35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0" customHeight="1">
      <c r="A995" s="70"/>
      <c r="B995" s="71"/>
      <c r="C995" s="66"/>
      <c r="D995" s="66">
        <f t="shared" si="333"/>
        <v>0</v>
      </c>
      <c r="E995" s="67"/>
      <c r="F995" s="58">
        <f t="shared" ref="F995:L995" si="1003">SUMIFS($C995,$B995,F$7)+F994</f>
        <v>25</v>
      </c>
      <c r="G995" s="58">
        <f t="shared" si="1003"/>
        <v>0</v>
      </c>
      <c r="H995" s="58">
        <f t="shared" si="1003"/>
        <v>0</v>
      </c>
      <c r="I995" s="58">
        <f t="shared" si="1003"/>
        <v>57</v>
      </c>
      <c r="J995" s="58">
        <f t="shared" si="1003"/>
        <v>19</v>
      </c>
      <c r="K995" s="58">
        <f t="shared" si="1003"/>
        <v>0</v>
      </c>
      <c r="L995" s="58">
        <f t="shared" si="1003"/>
        <v>-35</v>
      </c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0" customHeight="1">
      <c r="A996" s="70"/>
      <c r="B996" s="71"/>
      <c r="C996" s="66"/>
      <c r="D996" s="66">
        <f t="shared" si="333"/>
        <v>0</v>
      </c>
      <c r="E996" s="67"/>
      <c r="F996" s="58">
        <f t="shared" ref="F996:L996" si="1004">SUMIFS($C996,$B996,F$7)+F995</f>
        <v>25</v>
      </c>
      <c r="G996" s="58">
        <f t="shared" si="1004"/>
        <v>0</v>
      </c>
      <c r="H996" s="58">
        <f t="shared" si="1004"/>
        <v>0</v>
      </c>
      <c r="I996" s="58">
        <f t="shared" si="1004"/>
        <v>57</v>
      </c>
      <c r="J996" s="58">
        <f t="shared" si="1004"/>
        <v>19</v>
      </c>
      <c r="K996" s="58">
        <f t="shared" si="1004"/>
        <v>0</v>
      </c>
      <c r="L996" s="58">
        <f t="shared" si="1004"/>
        <v>-35</v>
      </c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0" customHeight="1">
      <c r="A997" s="70"/>
      <c r="B997" s="71"/>
      <c r="C997" s="66"/>
      <c r="D997" s="66">
        <f t="shared" si="333"/>
        <v>0</v>
      </c>
      <c r="E997" s="67"/>
      <c r="F997" s="58">
        <f t="shared" ref="F997:L997" si="1005">SUMIFS($C997,$B997,F$7)+F996</f>
        <v>25</v>
      </c>
      <c r="G997" s="58">
        <f t="shared" si="1005"/>
        <v>0</v>
      </c>
      <c r="H997" s="58">
        <f t="shared" si="1005"/>
        <v>0</v>
      </c>
      <c r="I997" s="58">
        <f t="shared" si="1005"/>
        <v>57</v>
      </c>
      <c r="J997" s="58">
        <f t="shared" si="1005"/>
        <v>19</v>
      </c>
      <c r="K997" s="58">
        <f t="shared" si="1005"/>
        <v>0</v>
      </c>
      <c r="L997" s="58">
        <f t="shared" si="1005"/>
        <v>-35</v>
      </c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0" customHeight="1">
      <c r="A998" s="70"/>
      <c r="B998" s="71"/>
      <c r="C998" s="66"/>
      <c r="D998" s="66">
        <f t="shared" si="333"/>
        <v>0</v>
      </c>
      <c r="E998" s="67"/>
      <c r="F998" s="58">
        <f t="shared" ref="F998:L998" si="1006">SUMIFS($C998,$B998,F$7)+F997</f>
        <v>25</v>
      </c>
      <c r="G998" s="58">
        <f t="shared" si="1006"/>
        <v>0</v>
      </c>
      <c r="H998" s="58">
        <f t="shared" si="1006"/>
        <v>0</v>
      </c>
      <c r="I998" s="58">
        <f t="shared" si="1006"/>
        <v>57</v>
      </c>
      <c r="J998" s="58">
        <f t="shared" si="1006"/>
        <v>19</v>
      </c>
      <c r="K998" s="58">
        <f t="shared" si="1006"/>
        <v>0</v>
      </c>
      <c r="L998" s="58">
        <f t="shared" si="1006"/>
        <v>-35</v>
      </c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0" customHeight="1">
      <c r="A999" s="70"/>
      <c r="B999" s="71"/>
      <c r="C999" s="66"/>
      <c r="D999" s="66">
        <f t="shared" si="333"/>
        <v>0</v>
      </c>
      <c r="E999" s="67"/>
      <c r="F999" s="58">
        <f t="shared" ref="F999:L999" si="1007">SUMIFS($C999,$B999,F$7)+F998</f>
        <v>25</v>
      </c>
      <c r="G999" s="58">
        <f t="shared" si="1007"/>
        <v>0</v>
      </c>
      <c r="H999" s="58">
        <f t="shared" si="1007"/>
        <v>0</v>
      </c>
      <c r="I999" s="58">
        <f t="shared" si="1007"/>
        <v>57</v>
      </c>
      <c r="J999" s="58">
        <f t="shared" si="1007"/>
        <v>19</v>
      </c>
      <c r="K999" s="58">
        <f t="shared" si="1007"/>
        <v>0</v>
      </c>
      <c r="L999" s="58">
        <f t="shared" si="1007"/>
        <v>-35</v>
      </c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0" customHeight="1">
      <c r="A1000" s="70"/>
      <c r="B1000" s="71"/>
      <c r="C1000" s="66"/>
      <c r="D1000" s="66">
        <f t="shared" si="333"/>
        <v>0</v>
      </c>
      <c r="E1000" s="67"/>
      <c r="F1000" s="58">
        <f t="shared" ref="F1000:L1000" si="1008">SUMIFS($C1000,$B1000,F$7)+F999</f>
        <v>25</v>
      </c>
      <c r="G1000" s="58">
        <f t="shared" si="1008"/>
        <v>0</v>
      </c>
      <c r="H1000" s="58">
        <f t="shared" si="1008"/>
        <v>0</v>
      </c>
      <c r="I1000" s="58">
        <f t="shared" si="1008"/>
        <v>57</v>
      </c>
      <c r="J1000" s="58">
        <f t="shared" si="1008"/>
        <v>19</v>
      </c>
      <c r="K1000" s="58">
        <f t="shared" si="1008"/>
        <v>0</v>
      </c>
      <c r="L1000" s="58">
        <f t="shared" si="1008"/>
        <v>-35</v>
      </c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ht="15.0" customHeight="1">
      <c r="A1001" s="70"/>
      <c r="B1001" s="71"/>
      <c r="C1001" s="66"/>
      <c r="D1001" s="66">
        <f t="shared" si="333"/>
        <v>0</v>
      </c>
      <c r="E1001" s="67"/>
      <c r="F1001" s="58">
        <f t="shared" ref="F1001:L1001" si="1009">SUMIFS($C1001,$B1001,F$7)+F1000</f>
        <v>25</v>
      </c>
      <c r="G1001" s="58">
        <f t="shared" si="1009"/>
        <v>0</v>
      </c>
      <c r="H1001" s="58">
        <f t="shared" si="1009"/>
        <v>0</v>
      </c>
      <c r="I1001" s="58">
        <f t="shared" si="1009"/>
        <v>57</v>
      </c>
      <c r="J1001" s="58">
        <f t="shared" si="1009"/>
        <v>19</v>
      </c>
      <c r="K1001" s="58">
        <f t="shared" si="1009"/>
        <v>0</v>
      </c>
      <c r="L1001" s="58">
        <f t="shared" si="1009"/>
        <v>-35</v>
      </c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ht="15.0" customHeight="1">
      <c r="A1002" s="70"/>
      <c r="B1002" s="71"/>
      <c r="C1002" s="66"/>
      <c r="D1002" s="66">
        <f t="shared" si="333"/>
        <v>0</v>
      </c>
      <c r="E1002" s="67"/>
      <c r="F1002" s="58">
        <f t="shared" ref="F1002:L1002" si="1010">SUMIFS($C1002,$B1002,F$7)+F1001</f>
        <v>25</v>
      </c>
      <c r="G1002" s="58">
        <f t="shared" si="1010"/>
        <v>0</v>
      </c>
      <c r="H1002" s="58">
        <f t="shared" si="1010"/>
        <v>0</v>
      </c>
      <c r="I1002" s="58">
        <f t="shared" si="1010"/>
        <v>57</v>
      </c>
      <c r="J1002" s="58">
        <f t="shared" si="1010"/>
        <v>19</v>
      </c>
      <c r="K1002" s="58">
        <f t="shared" si="1010"/>
        <v>0</v>
      </c>
      <c r="L1002" s="58">
        <f t="shared" si="1010"/>
        <v>-35</v>
      </c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ht="15.0" customHeight="1">
      <c r="A1003" s="70"/>
      <c r="B1003" s="71"/>
      <c r="C1003" s="66"/>
      <c r="D1003" s="66">
        <f t="shared" si="333"/>
        <v>0</v>
      </c>
      <c r="E1003" s="67"/>
      <c r="F1003" s="58">
        <f t="shared" ref="F1003:L1003" si="1011">SUMIFS($C1003,$B1003,F$7)+F1002</f>
        <v>25</v>
      </c>
      <c r="G1003" s="58">
        <f t="shared" si="1011"/>
        <v>0</v>
      </c>
      <c r="H1003" s="58">
        <f t="shared" si="1011"/>
        <v>0</v>
      </c>
      <c r="I1003" s="58">
        <f t="shared" si="1011"/>
        <v>57</v>
      </c>
      <c r="J1003" s="58">
        <f t="shared" si="1011"/>
        <v>19</v>
      </c>
      <c r="K1003" s="58">
        <f t="shared" si="1011"/>
        <v>0</v>
      </c>
      <c r="L1003" s="58">
        <f t="shared" si="1011"/>
        <v>-35</v>
      </c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ht="15.0" customHeight="1">
      <c r="A1004" s="70"/>
      <c r="B1004" s="71"/>
      <c r="C1004" s="66"/>
      <c r="D1004" s="66">
        <f t="shared" si="333"/>
        <v>0</v>
      </c>
      <c r="E1004" s="67"/>
      <c r="F1004" s="58">
        <f t="shared" ref="F1004:L1004" si="1012">SUMIFS($C1004,$B1004,F$7)+F1003</f>
        <v>25</v>
      </c>
      <c r="G1004" s="58">
        <f t="shared" si="1012"/>
        <v>0</v>
      </c>
      <c r="H1004" s="58">
        <f t="shared" si="1012"/>
        <v>0</v>
      </c>
      <c r="I1004" s="58">
        <f t="shared" si="1012"/>
        <v>57</v>
      </c>
      <c r="J1004" s="58">
        <f t="shared" si="1012"/>
        <v>19</v>
      </c>
      <c r="K1004" s="58">
        <f t="shared" si="1012"/>
        <v>0</v>
      </c>
      <c r="L1004" s="58">
        <f t="shared" si="1012"/>
        <v>-35</v>
      </c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ht="15.0" customHeight="1">
      <c r="A1005" s="70"/>
      <c r="B1005" s="71"/>
      <c r="C1005" s="66"/>
      <c r="D1005" s="66">
        <f t="shared" si="333"/>
        <v>0</v>
      </c>
      <c r="E1005" s="67"/>
      <c r="F1005" s="58">
        <f t="shared" ref="F1005:L1005" si="1013">SUMIFS($C1005,$B1005,F$7)+F1004</f>
        <v>25</v>
      </c>
      <c r="G1005" s="58">
        <f t="shared" si="1013"/>
        <v>0</v>
      </c>
      <c r="H1005" s="58">
        <f t="shared" si="1013"/>
        <v>0</v>
      </c>
      <c r="I1005" s="58">
        <f t="shared" si="1013"/>
        <v>57</v>
      </c>
      <c r="J1005" s="58">
        <f t="shared" si="1013"/>
        <v>19</v>
      </c>
      <c r="K1005" s="58">
        <f t="shared" si="1013"/>
        <v>0</v>
      </c>
      <c r="L1005" s="58">
        <f t="shared" si="1013"/>
        <v>-35</v>
      </c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ht="15.0" customHeight="1">
      <c r="A1006" s="70"/>
      <c r="B1006" s="71"/>
      <c r="C1006" s="66"/>
      <c r="D1006" s="66">
        <f t="shared" si="333"/>
        <v>0</v>
      </c>
      <c r="E1006" s="67"/>
      <c r="F1006" s="58">
        <f t="shared" ref="F1006:L1006" si="1014">SUMIFS($C1006,$B1006,F$7)+F1005</f>
        <v>25</v>
      </c>
      <c r="G1006" s="58">
        <f t="shared" si="1014"/>
        <v>0</v>
      </c>
      <c r="H1006" s="58">
        <f t="shared" si="1014"/>
        <v>0</v>
      </c>
      <c r="I1006" s="58">
        <f t="shared" si="1014"/>
        <v>57</v>
      </c>
      <c r="J1006" s="58">
        <f t="shared" si="1014"/>
        <v>19</v>
      </c>
      <c r="K1006" s="58">
        <f t="shared" si="1014"/>
        <v>0</v>
      </c>
      <c r="L1006" s="58">
        <f t="shared" si="1014"/>
        <v>-35</v>
      </c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ht="15.0" customHeight="1">
      <c r="A1007" s="70"/>
      <c r="B1007" s="71"/>
      <c r="C1007" s="66"/>
      <c r="D1007" s="66">
        <f t="shared" si="333"/>
        <v>0</v>
      </c>
      <c r="E1007" s="67"/>
      <c r="F1007" s="58">
        <f t="shared" ref="F1007:L1007" si="1015">SUMIFS($C1007,$B1007,F$7)+F1006</f>
        <v>25</v>
      </c>
      <c r="G1007" s="58">
        <f t="shared" si="1015"/>
        <v>0</v>
      </c>
      <c r="H1007" s="58">
        <f t="shared" si="1015"/>
        <v>0</v>
      </c>
      <c r="I1007" s="58">
        <f t="shared" si="1015"/>
        <v>57</v>
      </c>
      <c r="J1007" s="58">
        <f t="shared" si="1015"/>
        <v>19</v>
      </c>
      <c r="K1007" s="58">
        <f t="shared" si="1015"/>
        <v>0</v>
      </c>
      <c r="L1007" s="58">
        <f t="shared" si="1015"/>
        <v>-35</v>
      </c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ht="15.0" customHeight="1">
      <c r="A1008" s="70"/>
      <c r="B1008" s="71"/>
      <c r="C1008" s="66"/>
      <c r="D1008" s="66">
        <f t="shared" si="333"/>
        <v>0</v>
      </c>
      <c r="E1008" s="67"/>
      <c r="F1008" s="58">
        <f t="shared" ref="F1008:L1008" si="1016">SUMIFS($C1008,$B1008,F$7)+F1007</f>
        <v>25</v>
      </c>
      <c r="G1008" s="58">
        <f t="shared" si="1016"/>
        <v>0</v>
      </c>
      <c r="H1008" s="58">
        <f t="shared" si="1016"/>
        <v>0</v>
      </c>
      <c r="I1008" s="58">
        <f t="shared" si="1016"/>
        <v>57</v>
      </c>
      <c r="J1008" s="58">
        <f t="shared" si="1016"/>
        <v>19</v>
      </c>
      <c r="K1008" s="58">
        <f t="shared" si="1016"/>
        <v>0</v>
      </c>
      <c r="L1008" s="58">
        <f t="shared" si="1016"/>
        <v>-35</v>
      </c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ht="15.0" customHeight="1">
      <c r="A1009" s="70"/>
      <c r="B1009" s="71"/>
      <c r="C1009" s="66"/>
      <c r="D1009" s="66">
        <f t="shared" si="333"/>
        <v>0</v>
      </c>
      <c r="E1009" s="67"/>
      <c r="F1009" s="58">
        <f t="shared" ref="F1009:L1009" si="1017">SUMIFS($C1009,$B1009,F$7)+F1008</f>
        <v>25</v>
      </c>
      <c r="G1009" s="58">
        <f t="shared" si="1017"/>
        <v>0</v>
      </c>
      <c r="H1009" s="58">
        <f t="shared" si="1017"/>
        <v>0</v>
      </c>
      <c r="I1009" s="58">
        <f t="shared" si="1017"/>
        <v>57</v>
      </c>
      <c r="J1009" s="58">
        <f t="shared" si="1017"/>
        <v>19</v>
      </c>
      <c r="K1009" s="58">
        <f t="shared" si="1017"/>
        <v>0</v>
      </c>
      <c r="L1009" s="58">
        <f t="shared" si="1017"/>
        <v>-35</v>
      </c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ht="15.0" customHeight="1">
      <c r="A1010" s="70"/>
      <c r="B1010" s="71"/>
      <c r="C1010" s="66"/>
      <c r="D1010" s="66">
        <f t="shared" si="333"/>
        <v>0</v>
      </c>
      <c r="E1010" s="67"/>
      <c r="F1010" s="58">
        <f t="shared" ref="F1010:L1010" si="1018">SUMIFS($C1010,$B1010,F$7)+F1009</f>
        <v>25</v>
      </c>
      <c r="G1010" s="58">
        <f t="shared" si="1018"/>
        <v>0</v>
      </c>
      <c r="H1010" s="58">
        <f t="shared" si="1018"/>
        <v>0</v>
      </c>
      <c r="I1010" s="58">
        <f t="shared" si="1018"/>
        <v>57</v>
      </c>
      <c r="J1010" s="58">
        <f t="shared" si="1018"/>
        <v>19</v>
      </c>
      <c r="K1010" s="58">
        <f t="shared" si="1018"/>
        <v>0</v>
      </c>
      <c r="L1010" s="58">
        <f t="shared" si="1018"/>
        <v>-35</v>
      </c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ht="15.0" customHeight="1">
      <c r="A1011" s="70"/>
      <c r="B1011" s="71"/>
      <c r="C1011" s="66"/>
      <c r="D1011" s="66">
        <f t="shared" si="333"/>
        <v>0</v>
      </c>
      <c r="E1011" s="67"/>
      <c r="F1011" s="58">
        <f t="shared" ref="F1011:L1011" si="1019">SUMIFS($C1011,$B1011,F$7)+F1010</f>
        <v>25</v>
      </c>
      <c r="G1011" s="58">
        <f t="shared" si="1019"/>
        <v>0</v>
      </c>
      <c r="H1011" s="58">
        <f t="shared" si="1019"/>
        <v>0</v>
      </c>
      <c r="I1011" s="58">
        <f t="shared" si="1019"/>
        <v>57</v>
      </c>
      <c r="J1011" s="58">
        <f t="shared" si="1019"/>
        <v>19</v>
      </c>
      <c r="K1011" s="58">
        <f t="shared" si="1019"/>
        <v>0</v>
      </c>
      <c r="L1011" s="58">
        <f t="shared" si="1019"/>
        <v>-35</v>
      </c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ht="15.0" customHeight="1">
      <c r="A1012" s="70"/>
      <c r="B1012" s="71"/>
      <c r="C1012" s="66"/>
      <c r="D1012" s="66">
        <f t="shared" si="333"/>
        <v>0</v>
      </c>
      <c r="E1012" s="67"/>
      <c r="F1012" s="58">
        <f t="shared" ref="F1012:L1012" si="1020">SUMIFS($C1012,$B1012,F$7)+F1011</f>
        <v>25</v>
      </c>
      <c r="G1012" s="58">
        <f t="shared" si="1020"/>
        <v>0</v>
      </c>
      <c r="H1012" s="58">
        <f t="shared" si="1020"/>
        <v>0</v>
      </c>
      <c r="I1012" s="58">
        <f t="shared" si="1020"/>
        <v>57</v>
      </c>
      <c r="J1012" s="58">
        <f t="shared" si="1020"/>
        <v>19</v>
      </c>
      <c r="K1012" s="58">
        <f t="shared" si="1020"/>
        <v>0</v>
      </c>
      <c r="L1012" s="58">
        <f t="shared" si="1020"/>
        <v>-35</v>
      </c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ht="15.0" customHeight="1">
      <c r="A1013" s="70"/>
      <c r="B1013" s="71"/>
      <c r="C1013" s="66"/>
      <c r="D1013" s="66">
        <f t="shared" si="333"/>
        <v>0</v>
      </c>
      <c r="E1013" s="67"/>
      <c r="F1013" s="58">
        <f t="shared" ref="F1013:L1013" si="1021">SUMIFS($C1013,$B1013,F$7)+F1012</f>
        <v>25</v>
      </c>
      <c r="G1013" s="58">
        <f t="shared" si="1021"/>
        <v>0</v>
      </c>
      <c r="H1013" s="58">
        <f t="shared" si="1021"/>
        <v>0</v>
      </c>
      <c r="I1013" s="58">
        <f t="shared" si="1021"/>
        <v>57</v>
      </c>
      <c r="J1013" s="58">
        <f t="shared" si="1021"/>
        <v>19</v>
      </c>
      <c r="K1013" s="58">
        <f t="shared" si="1021"/>
        <v>0</v>
      </c>
      <c r="L1013" s="58">
        <f t="shared" si="1021"/>
        <v>-35</v>
      </c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ht="15.0" customHeight="1">
      <c r="A1014" s="70"/>
      <c r="B1014" s="71"/>
      <c r="C1014" s="66"/>
      <c r="D1014" s="66">
        <f t="shared" si="333"/>
        <v>0</v>
      </c>
      <c r="E1014" s="67"/>
      <c r="F1014" s="58">
        <f t="shared" ref="F1014:L1014" si="1022">SUMIFS($C1014,$B1014,F$7)+F1013</f>
        <v>25</v>
      </c>
      <c r="G1014" s="58">
        <f t="shared" si="1022"/>
        <v>0</v>
      </c>
      <c r="H1014" s="58">
        <f t="shared" si="1022"/>
        <v>0</v>
      </c>
      <c r="I1014" s="58">
        <f t="shared" si="1022"/>
        <v>57</v>
      </c>
      <c r="J1014" s="58">
        <f t="shared" si="1022"/>
        <v>19</v>
      </c>
      <c r="K1014" s="58">
        <f t="shared" si="1022"/>
        <v>0</v>
      </c>
      <c r="L1014" s="58">
        <f t="shared" si="1022"/>
        <v>-35</v>
      </c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ht="15.0" customHeight="1">
      <c r="A1015" s="70"/>
      <c r="B1015" s="71"/>
      <c r="C1015" s="66"/>
      <c r="D1015" s="66">
        <f t="shared" si="333"/>
        <v>0</v>
      </c>
      <c r="E1015" s="67"/>
      <c r="F1015" s="58">
        <f t="shared" ref="F1015:L1015" si="1023">SUMIFS($C1015,$B1015,F$7)+F1014</f>
        <v>25</v>
      </c>
      <c r="G1015" s="58">
        <f t="shared" si="1023"/>
        <v>0</v>
      </c>
      <c r="H1015" s="58">
        <f t="shared" si="1023"/>
        <v>0</v>
      </c>
      <c r="I1015" s="58">
        <f t="shared" si="1023"/>
        <v>57</v>
      </c>
      <c r="J1015" s="58">
        <f t="shared" si="1023"/>
        <v>19</v>
      </c>
      <c r="K1015" s="58">
        <f t="shared" si="1023"/>
        <v>0</v>
      </c>
      <c r="L1015" s="58">
        <f t="shared" si="1023"/>
        <v>-35</v>
      </c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ht="15.0" customHeight="1">
      <c r="A1016" s="70"/>
      <c r="B1016" s="71"/>
      <c r="C1016" s="66"/>
      <c r="D1016" s="66">
        <f t="shared" si="333"/>
        <v>0</v>
      </c>
      <c r="E1016" s="67"/>
      <c r="F1016" s="58">
        <f t="shared" ref="F1016:L1016" si="1024">SUMIFS($C1016,$B1016,F$7)+F1015</f>
        <v>25</v>
      </c>
      <c r="G1016" s="58">
        <f t="shared" si="1024"/>
        <v>0</v>
      </c>
      <c r="H1016" s="58">
        <f t="shared" si="1024"/>
        <v>0</v>
      </c>
      <c r="I1016" s="58">
        <f t="shared" si="1024"/>
        <v>57</v>
      </c>
      <c r="J1016" s="58">
        <f t="shared" si="1024"/>
        <v>19</v>
      </c>
      <c r="K1016" s="58">
        <f t="shared" si="1024"/>
        <v>0</v>
      </c>
      <c r="L1016" s="58">
        <f t="shared" si="1024"/>
        <v>-35</v>
      </c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ht="15.0" customHeight="1">
      <c r="A1017" s="70"/>
      <c r="B1017" s="71"/>
      <c r="C1017" s="66"/>
      <c r="D1017" s="66">
        <f t="shared" si="333"/>
        <v>0</v>
      </c>
      <c r="E1017" s="67"/>
      <c r="F1017" s="58">
        <f t="shared" ref="F1017:L1017" si="1025">SUMIFS($C1017,$B1017,F$7)+F1016</f>
        <v>25</v>
      </c>
      <c r="G1017" s="58">
        <f t="shared" si="1025"/>
        <v>0</v>
      </c>
      <c r="H1017" s="58">
        <f t="shared" si="1025"/>
        <v>0</v>
      </c>
      <c r="I1017" s="58">
        <f t="shared" si="1025"/>
        <v>57</v>
      </c>
      <c r="J1017" s="58">
        <f t="shared" si="1025"/>
        <v>19</v>
      </c>
      <c r="K1017" s="58">
        <f t="shared" si="1025"/>
        <v>0</v>
      </c>
      <c r="L1017" s="58">
        <f t="shared" si="1025"/>
        <v>-35</v>
      </c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ht="15.0" customHeight="1">
      <c r="A1018" s="70"/>
      <c r="B1018" s="71"/>
      <c r="C1018" s="66"/>
      <c r="D1018" s="66">
        <f t="shared" si="333"/>
        <v>0</v>
      </c>
      <c r="E1018" s="67"/>
      <c r="F1018" s="58">
        <f t="shared" ref="F1018:L1018" si="1026">SUMIFS($C1018,$B1018,F$7)+F1017</f>
        <v>25</v>
      </c>
      <c r="G1018" s="58">
        <f t="shared" si="1026"/>
        <v>0</v>
      </c>
      <c r="H1018" s="58">
        <f t="shared" si="1026"/>
        <v>0</v>
      </c>
      <c r="I1018" s="58">
        <f t="shared" si="1026"/>
        <v>57</v>
      </c>
      <c r="J1018" s="58">
        <f t="shared" si="1026"/>
        <v>19</v>
      </c>
      <c r="K1018" s="58">
        <f t="shared" si="1026"/>
        <v>0</v>
      </c>
      <c r="L1018" s="58">
        <f t="shared" si="1026"/>
        <v>-35</v>
      </c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ht="15.0" customHeight="1">
      <c r="A1019" s="70"/>
      <c r="B1019" s="71"/>
      <c r="C1019" s="66"/>
      <c r="D1019" s="66">
        <f t="shared" si="333"/>
        <v>0</v>
      </c>
      <c r="E1019" s="67"/>
      <c r="F1019" s="58">
        <f t="shared" ref="F1019:L1019" si="1027">SUMIFS($C1019,$B1019,F$7)+F1018</f>
        <v>25</v>
      </c>
      <c r="G1019" s="58">
        <f t="shared" si="1027"/>
        <v>0</v>
      </c>
      <c r="H1019" s="58">
        <f t="shared" si="1027"/>
        <v>0</v>
      </c>
      <c r="I1019" s="58">
        <f t="shared" si="1027"/>
        <v>57</v>
      </c>
      <c r="J1019" s="58">
        <f t="shared" si="1027"/>
        <v>19</v>
      </c>
      <c r="K1019" s="58">
        <f t="shared" si="1027"/>
        <v>0</v>
      </c>
      <c r="L1019" s="58">
        <f t="shared" si="1027"/>
        <v>-35</v>
      </c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ht="15.0" customHeight="1">
      <c r="A1020" s="70"/>
      <c r="B1020" s="71"/>
      <c r="C1020" s="66"/>
      <c r="D1020" s="66">
        <f t="shared" si="333"/>
        <v>0</v>
      </c>
      <c r="E1020" s="67"/>
      <c r="F1020" s="58">
        <f t="shared" ref="F1020:L1020" si="1028">SUMIFS($C1020,$B1020,F$7)+F1019</f>
        <v>25</v>
      </c>
      <c r="G1020" s="58">
        <f t="shared" si="1028"/>
        <v>0</v>
      </c>
      <c r="H1020" s="58">
        <f t="shared" si="1028"/>
        <v>0</v>
      </c>
      <c r="I1020" s="58">
        <f t="shared" si="1028"/>
        <v>57</v>
      </c>
      <c r="J1020" s="58">
        <f t="shared" si="1028"/>
        <v>19</v>
      </c>
      <c r="K1020" s="58">
        <f t="shared" si="1028"/>
        <v>0</v>
      </c>
      <c r="L1020" s="58">
        <f t="shared" si="1028"/>
        <v>-35</v>
      </c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ht="15.0" customHeight="1">
      <c r="A1021" s="70"/>
      <c r="B1021" s="71"/>
      <c r="C1021" s="66"/>
      <c r="D1021" s="66">
        <f t="shared" si="333"/>
        <v>0</v>
      </c>
      <c r="E1021" s="67"/>
      <c r="F1021" s="58">
        <f t="shared" ref="F1021:L1021" si="1029">SUMIFS($C1021,$B1021,F$7)+F1020</f>
        <v>25</v>
      </c>
      <c r="G1021" s="58">
        <f t="shared" si="1029"/>
        <v>0</v>
      </c>
      <c r="H1021" s="58">
        <f t="shared" si="1029"/>
        <v>0</v>
      </c>
      <c r="I1021" s="58">
        <f t="shared" si="1029"/>
        <v>57</v>
      </c>
      <c r="J1021" s="58">
        <f t="shared" si="1029"/>
        <v>19</v>
      </c>
      <c r="K1021" s="58">
        <f t="shared" si="1029"/>
        <v>0</v>
      </c>
      <c r="L1021" s="58">
        <f t="shared" si="1029"/>
        <v>-35</v>
      </c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</sheetData>
  <mergeCells count="3">
    <mergeCell ref="A1:L1"/>
    <mergeCell ref="F8:L8"/>
    <mergeCell ref="F10:L10"/>
  </mergeCells>
  <dataValidations>
    <dataValidation type="list" allowBlank="1" sqref="B13:B1021">
      <formula1>#REF!</formula1>
    </dataValidation>
    <dataValidation type="custom" allowBlank="1" showDropDown="1" sqref="C13:D1021 F13:F1021 I13:I1021">
      <formula1>AND(ISNUMBER(C13),(NOT(OR(NOT(ISERROR(DATEVALUE(C13))), AND(ISNUMBER(C13), LEFT(CELL("format", C13))="D")))))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4" width="9.75"/>
    <col customWidth="1" min="5" max="5" width="38.5"/>
    <col customWidth="1" min="6" max="13" width="8.75"/>
  </cols>
  <sheetData>
    <row r="1" ht="15.0" customHeight="1">
      <c r="A1" s="2" t="s">
        <v>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0" customHeight="1">
      <c r="A2" s="4" t="s">
        <v>4</v>
      </c>
      <c r="B2" s="5" t="s">
        <v>5</v>
      </c>
      <c r="C2" s="6" t="s">
        <v>6</v>
      </c>
      <c r="D2" s="6" t="s">
        <v>7</v>
      </c>
      <c r="E2" s="7" t="s">
        <v>8</v>
      </c>
      <c r="F2" s="8"/>
      <c r="G2" s="9"/>
      <c r="H2" s="9"/>
      <c r="I2" s="9"/>
      <c r="J2" s="8"/>
      <c r="K2" s="9"/>
      <c r="L2" s="9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0" customHeight="1">
      <c r="A3" s="11" t="s">
        <v>9</v>
      </c>
      <c r="B3" s="12">
        <f>F12</f>
        <v>0</v>
      </c>
      <c r="C3" s="13"/>
      <c r="D3" s="14"/>
      <c r="E3" s="15"/>
      <c r="F3" s="16"/>
      <c r="G3" s="18" t="s">
        <v>14</v>
      </c>
      <c r="H3" s="17"/>
      <c r="I3" s="17"/>
      <c r="J3" s="16"/>
      <c r="K3" s="17"/>
      <c r="L3" s="17"/>
      <c r="M3" s="1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0" customHeight="1">
      <c r="A4" s="19" t="s">
        <v>18</v>
      </c>
      <c r="B4" s="12">
        <f>G12</f>
        <v>110</v>
      </c>
      <c r="C4" s="13"/>
      <c r="D4" s="14"/>
      <c r="E4" s="15"/>
      <c r="F4" s="16"/>
      <c r="G4" s="18" t="s">
        <v>15</v>
      </c>
      <c r="H4" s="17"/>
      <c r="I4" s="17"/>
      <c r="J4" s="16"/>
      <c r="K4" s="17"/>
      <c r="L4" s="17"/>
      <c r="M4" s="1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0" customHeight="1">
      <c r="A5" s="11" t="s">
        <v>13</v>
      </c>
      <c r="B5" s="12">
        <f>H12</f>
        <v>0</v>
      </c>
      <c r="C5" s="13"/>
      <c r="D5" s="14"/>
      <c r="E5" s="15"/>
      <c r="F5" s="16"/>
      <c r="G5" s="17"/>
      <c r="H5" s="17"/>
      <c r="I5" s="17"/>
      <c r="J5" s="16"/>
      <c r="K5" s="17"/>
      <c r="L5" s="17"/>
      <c r="M5" s="17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0" customHeight="1">
      <c r="A6" s="11" t="s">
        <v>16</v>
      </c>
      <c r="B6" s="12">
        <f>I12</f>
        <v>0</v>
      </c>
      <c r="C6" s="13"/>
      <c r="D6" s="14"/>
      <c r="E6" s="15"/>
      <c r="F6" s="16"/>
      <c r="G6" s="17"/>
      <c r="H6" s="17"/>
      <c r="I6" s="17"/>
      <c r="J6" s="16"/>
      <c r="K6" s="17"/>
      <c r="L6" s="17"/>
      <c r="M6" s="17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0" customHeight="1">
      <c r="A7" s="11" t="s">
        <v>17</v>
      </c>
      <c r="B7" s="12">
        <f>J12</f>
        <v>36</v>
      </c>
      <c r="C7" s="13"/>
      <c r="D7" s="14"/>
      <c r="E7" s="15"/>
      <c r="F7" s="16"/>
      <c r="G7" s="20"/>
      <c r="H7" s="20"/>
      <c r="I7" s="21" t="s">
        <v>19</v>
      </c>
      <c r="J7" s="22">
        <f>J12/44</f>
        <v>0.8181818182</v>
      </c>
      <c r="K7" s="17"/>
      <c r="L7" s="17"/>
      <c r="M7" s="1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0" customHeight="1">
      <c r="A8" s="11" t="s">
        <v>20</v>
      </c>
      <c r="B8" s="12">
        <f>K12</f>
        <v>0</v>
      </c>
      <c r="C8" s="13"/>
      <c r="D8" s="14"/>
      <c r="E8" s="15"/>
      <c r="F8" s="23" t="s">
        <v>9</v>
      </c>
      <c r="G8" s="23" t="s">
        <v>18</v>
      </c>
      <c r="H8" s="24" t="s">
        <v>13</v>
      </c>
      <c r="I8" s="24" t="s">
        <v>16</v>
      </c>
      <c r="J8" s="23" t="s">
        <v>17</v>
      </c>
      <c r="K8" s="24" t="s">
        <v>20</v>
      </c>
      <c r="L8" s="24" t="s">
        <v>21</v>
      </c>
      <c r="M8" s="24" t="s">
        <v>22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0" customHeight="1">
      <c r="A9" s="19" t="s">
        <v>21</v>
      </c>
      <c r="B9" s="12">
        <f>L12</f>
        <v>0</v>
      </c>
      <c r="C9" s="13"/>
      <c r="D9" s="14"/>
      <c r="E9" s="15"/>
      <c r="F9" s="25" t="s">
        <v>23</v>
      </c>
      <c r="G9" s="26"/>
      <c r="H9" s="26"/>
      <c r="I9" s="26"/>
      <c r="J9" s="26"/>
      <c r="K9" s="26"/>
      <c r="L9" s="26"/>
      <c r="M9" s="27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0" customHeight="1">
      <c r="A10" s="28" t="s">
        <v>22</v>
      </c>
      <c r="B10" s="29">
        <f>M12</f>
        <v>0</v>
      </c>
      <c r="C10" s="30"/>
      <c r="D10" s="31"/>
      <c r="E10" s="32"/>
      <c r="F10" s="33">
        <v>0.0</v>
      </c>
      <c r="G10" s="33">
        <v>143.0</v>
      </c>
      <c r="H10" s="34"/>
      <c r="I10" s="34"/>
      <c r="J10" s="33">
        <v>0.0</v>
      </c>
      <c r="K10" s="34"/>
      <c r="L10" s="34"/>
      <c r="M10" s="34"/>
      <c r="N10" s="3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0" customHeight="1">
      <c r="A11" s="36"/>
      <c r="B11" s="37"/>
      <c r="C11" s="8"/>
      <c r="D11" s="8"/>
      <c r="E11" s="38"/>
      <c r="F11" s="39" t="s">
        <v>25</v>
      </c>
      <c r="G11" s="26"/>
      <c r="H11" s="26"/>
      <c r="I11" s="26"/>
      <c r="J11" s="26"/>
      <c r="K11" s="26"/>
      <c r="L11" s="26"/>
      <c r="M11" s="27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0" customHeight="1">
      <c r="A12" s="36"/>
      <c r="B12" s="37"/>
      <c r="C12" s="8"/>
      <c r="D12" s="8"/>
      <c r="E12" s="40"/>
      <c r="F12" s="44">
        <f t="shared" ref="F12:M12" si="1">SUMIFS($C$14:$C1010,$B$14:$B1010,F$8)+F$10</f>
        <v>0</v>
      </c>
      <c r="G12" s="44">
        <f t="shared" si="1"/>
        <v>110</v>
      </c>
      <c r="H12" s="44">
        <f t="shared" si="1"/>
        <v>0</v>
      </c>
      <c r="I12" s="44">
        <f t="shared" si="1"/>
        <v>0</v>
      </c>
      <c r="J12" s="44">
        <f t="shared" si="1"/>
        <v>36</v>
      </c>
      <c r="K12" s="44">
        <f t="shared" si="1"/>
        <v>0</v>
      </c>
      <c r="L12" s="44">
        <f t="shared" si="1"/>
        <v>0</v>
      </c>
      <c r="M12" s="44">
        <f t="shared" si="1"/>
        <v>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ht="24.75" customHeight="1">
      <c r="A13" s="45" t="s">
        <v>27</v>
      </c>
      <c r="B13" s="46" t="s">
        <v>4</v>
      </c>
      <c r="C13" s="47" t="s">
        <v>28</v>
      </c>
      <c r="D13" s="47" t="s">
        <v>6</v>
      </c>
      <c r="E13" s="48" t="s">
        <v>8</v>
      </c>
      <c r="F13" s="49" t="s">
        <v>9</v>
      </c>
      <c r="G13" s="51" t="s">
        <v>18</v>
      </c>
      <c r="H13" s="49" t="s">
        <v>13</v>
      </c>
      <c r="I13" s="49" t="s">
        <v>16</v>
      </c>
      <c r="J13" s="49" t="s">
        <v>17</v>
      </c>
      <c r="K13" s="49" t="s">
        <v>20</v>
      </c>
      <c r="L13" s="49" t="s">
        <v>21</v>
      </c>
      <c r="M13" s="49" t="s">
        <v>22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 ht="15.0" customHeight="1">
      <c r="A14" s="52">
        <v>46111.0</v>
      </c>
      <c r="B14" s="53" t="s">
        <v>18</v>
      </c>
      <c r="C14" s="54">
        <v>-1.0</v>
      </c>
      <c r="D14" s="55">
        <f t="shared" ref="D14:D1010" si="3">590*C14</f>
        <v>-590</v>
      </c>
      <c r="E14" s="56" t="s">
        <v>30</v>
      </c>
      <c r="F14" s="58">
        <f t="shared" ref="F14:M14" si="2">SUMIFS($C14,$B14,F$8)+F10</f>
        <v>0</v>
      </c>
      <c r="G14" s="58">
        <f t="shared" si="2"/>
        <v>142</v>
      </c>
      <c r="H14" s="58">
        <f t="shared" si="2"/>
        <v>0</v>
      </c>
      <c r="I14" s="58">
        <f t="shared" si="2"/>
        <v>0</v>
      </c>
      <c r="J14" s="58">
        <f t="shared" si="2"/>
        <v>0</v>
      </c>
      <c r="K14" s="58">
        <f t="shared" si="2"/>
        <v>0</v>
      </c>
      <c r="L14" s="58">
        <f t="shared" si="2"/>
        <v>0</v>
      </c>
      <c r="M14" s="58">
        <f t="shared" si="2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0" customHeight="1">
      <c r="A15" s="52">
        <v>46111.0</v>
      </c>
      <c r="B15" s="53" t="s">
        <v>9</v>
      </c>
      <c r="C15" s="54">
        <v>32.0</v>
      </c>
      <c r="D15" s="55">
        <f t="shared" si="3"/>
        <v>18880</v>
      </c>
      <c r="E15" s="60"/>
      <c r="F15" s="58">
        <f t="shared" ref="F15:M15" si="4">SUMIFS($C15,$B15,F$8)+F14</f>
        <v>32</v>
      </c>
      <c r="G15" s="58">
        <f t="shared" si="4"/>
        <v>142</v>
      </c>
      <c r="H15" s="58">
        <f t="shared" si="4"/>
        <v>0</v>
      </c>
      <c r="I15" s="58">
        <f t="shared" si="4"/>
        <v>0</v>
      </c>
      <c r="J15" s="58">
        <f t="shared" si="4"/>
        <v>0</v>
      </c>
      <c r="K15" s="58">
        <f t="shared" si="4"/>
        <v>0</v>
      </c>
      <c r="L15" s="58">
        <f t="shared" si="4"/>
        <v>0</v>
      </c>
      <c r="M15" s="58">
        <f t="shared" si="4"/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0" customHeight="1">
      <c r="A16" s="52"/>
      <c r="B16" s="53"/>
      <c r="C16" s="54"/>
      <c r="D16" s="55">
        <f t="shared" si="3"/>
        <v>0</v>
      </c>
      <c r="E16" s="57"/>
      <c r="F16" s="58">
        <f t="shared" ref="F16:M16" si="5">SUMIFS($C16,$B16,F$8)+F15</f>
        <v>32</v>
      </c>
      <c r="G16" s="58">
        <f t="shared" si="5"/>
        <v>142</v>
      </c>
      <c r="H16" s="58">
        <f t="shared" si="5"/>
        <v>0</v>
      </c>
      <c r="I16" s="58">
        <f t="shared" si="5"/>
        <v>0</v>
      </c>
      <c r="J16" s="58">
        <f t="shared" si="5"/>
        <v>0</v>
      </c>
      <c r="K16" s="58">
        <f t="shared" si="5"/>
        <v>0</v>
      </c>
      <c r="L16" s="58">
        <f t="shared" si="5"/>
        <v>0</v>
      </c>
      <c r="M16" s="58">
        <f t="shared" si="5"/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0" customHeight="1">
      <c r="A17" s="52">
        <v>46112.0</v>
      </c>
      <c r="B17" s="53" t="s">
        <v>18</v>
      </c>
      <c r="C17" s="54">
        <v>-1.0</v>
      </c>
      <c r="D17" s="55">
        <f t="shared" si="3"/>
        <v>-590</v>
      </c>
      <c r="E17" s="56" t="s">
        <v>30</v>
      </c>
      <c r="F17" s="58">
        <f t="shared" ref="F17:M17" si="6">SUMIFS($C17,$B17,F$8)+F16</f>
        <v>32</v>
      </c>
      <c r="G17" s="58">
        <f t="shared" si="6"/>
        <v>141</v>
      </c>
      <c r="H17" s="58">
        <f t="shared" si="6"/>
        <v>0</v>
      </c>
      <c r="I17" s="58">
        <f t="shared" si="6"/>
        <v>0</v>
      </c>
      <c r="J17" s="58">
        <f t="shared" si="6"/>
        <v>0</v>
      </c>
      <c r="K17" s="58">
        <f t="shared" si="6"/>
        <v>0</v>
      </c>
      <c r="L17" s="58">
        <f t="shared" si="6"/>
        <v>0</v>
      </c>
      <c r="M17" s="58">
        <f t="shared" si="6"/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0" customHeight="1">
      <c r="A18" s="52">
        <v>46112.0</v>
      </c>
      <c r="B18" s="53" t="s">
        <v>9</v>
      </c>
      <c r="C18" s="54">
        <v>47.0</v>
      </c>
      <c r="D18" s="55">
        <f t="shared" si="3"/>
        <v>27730</v>
      </c>
      <c r="E18" s="57"/>
      <c r="F18" s="58">
        <f t="shared" ref="F18:F25" si="8">SUMIFS($C18,$B18,F$8)+F17</f>
        <v>79</v>
      </c>
      <c r="G18" s="58">
        <f>SUMIFS($C18,$B18,G$8)+G14</f>
        <v>142</v>
      </c>
      <c r="H18" s="58">
        <f t="shared" ref="H18:M18" si="7">SUMIFS($C18,$B18,H$8)+H17</f>
        <v>0</v>
      </c>
      <c r="I18" s="58">
        <f t="shared" si="7"/>
        <v>0</v>
      </c>
      <c r="J18" s="58">
        <f t="shared" si="7"/>
        <v>0</v>
      </c>
      <c r="K18" s="58">
        <f t="shared" si="7"/>
        <v>0</v>
      </c>
      <c r="L18" s="58">
        <f t="shared" si="7"/>
        <v>0</v>
      </c>
      <c r="M18" s="58">
        <f t="shared" si="7"/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0" customHeight="1">
      <c r="A19" s="52"/>
      <c r="B19" s="59"/>
      <c r="C19" s="54"/>
      <c r="D19" s="55">
        <f t="shared" si="3"/>
        <v>0</v>
      </c>
      <c r="E19" s="57"/>
      <c r="F19" s="58">
        <f t="shared" si="8"/>
        <v>79</v>
      </c>
      <c r="G19" s="58">
        <f t="shared" ref="G19:M19" si="9">SUMIFS($C19,$B19,G$8)+G18</f>
        <v>142</v>
      </c>
      <c r="H19" s="58">
        <f t="shared" si="9"/>
        <v>0</v>
      </c>
      <c r="I19" s="58">
        <f t="shared" si="9"/>
        <v>0</v>
      </c>
      <c r="J19" s="58">
        <f t="shared" si="9"/>
        <v>0</v>
      </c>
      <c r="K19" s="58">
        <f t="shared" si="9"/>
        <v>0</v>
      </c>
      <c r="L19" s="58">
        <f t="shared" si="9"/>
        <v>0</v>
      </c>
      <c r="M19" s="58">
        <f t="shared" si="9"/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0" customHeight="1">
      <c r="A20" s="52">
        <v>46113.0</v>
      </c>
      <c r="B20" s="53" t="s">
        <v>18</v>
      </c>
      <c r="C20" s="54">
        <v>-1.0</v>
      </c>
      <c r="D20" s="55">
        <f t="shared" si="3"/>
        <v>-590</v>
      </c>
      <c r="E20" s="56" t="s">
        <v>30</v>
      </c>
      <c r="F20" s="58">
        <f t="shared" si="8"/>
        <v>79</v>
      </c>
      <c r="G20" s="58">
        <f>SUMIFS($C20,$B20,G$8)+G16</f>
        <v>141</v>
      </c>
      <c r="H20" s="58">
        <f t="shared" ref="H20:M20" si="10">SUMIFS($C20,$B20,H$8)+H19</f>
        <v>0</v>
      </c>
      <c r="I20" s="58">
        <f t="shared" si="10"/>
        <v>0</v>
      </c>
      <c r="J20" s="58">
        <f t="shared" si="10"/>
        <v>0</v>
      </c>
      <c r="K20" s="58">
        <f t="shared" si="10"/>
        <v>0</v>
      </c>
      <c r="L20" s="58">
        <f t="shared" si="10"/>
        <v>0</v>
      </c>
      <c r="M20" s="58">
        <f t="shared" si="10"/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0" customHeight="1">
      <c r="A21" s="52"/>
      <c r="B21" s="53" t="s">
        <v>9</v>
      </c>
      <c r="C21" s="54">
        <v>38.0</v>
      </c>
      <c r="D21" s="55">
        <f t="shared" si="3"/>
        <v>22420</v>
      </c>
      <c r="E21" s="57"/>
      <c r="F21" s="58">
        <f t="shared" si="8"/>
        <v>117</v>
      </c>
      <c r="G21" s="58">
        <f t="shared" ref="G21:M21" si="11">SUMIFS($C21,$B21,G$8)+G20</f>
        <v>141</v>
      </c>
      <c r="H21" s="58">
        <f t="shared" si="11"/>
        <v>0</v>
      </c>
      <c r="I21" s="58">
        <f t="shared" si="11"/>
        <v>0</v>
      </c>
      <c r="J21" s="58">
        <f t="shared" si="11"/>
        <v>0</v>
      </c>
      <c r="K21" s="58">
        <f t="shared" si="11"/>
        <v>0</v>
      </c>
      <c r="L21" s="58">
        <f t="shared" si="11"/>
        <v>0</v>
      </c>
      <c r="M21" s="58">
        <f t="shared" si="11"/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0" customHeight="1">
      <c r="A22" s="52"/>
      <c r="B22" s="53" t="s">
        <v>13</v>
      </c>
      <c r="C22" s="54">
        <v>3.0</v>
      </c>
      <c r="D22" s="55">
        <f t="shared" si="3"/>
        <v>1770</v>
      </c>
      <c r="E22" s="60" t="s">
        <v>33</v>
      </c>
      <c r="F22" s="58">
        <f t="shared" si="8"/>
        <v>117</v>
      </c>
      <c r="G22" s="58">
        <f>SUMIFS($C22,$B22,G$8)+G18</f>
        <v>142</v>
      </c>
      <c r="H22" s="58">
        <f t="shared" ref="H22:M22" si="12">SUMIFS($C22,$B22,H$8)+H21</f>
        <v>3</v>
      </c>
      <c r="I22" s="58">
        <f t="shared" si="12"/>
        <v>0</v>
      </c>
      <c r="J22" s="58">
        <f t="shared" si="12"/>
        <v>0</v>
      </c>
      <c r="K22" s="58">
        <f t="shared" si="12"/>
        <v>0</v>
      </c>
      <c r="L22" s="58">
        <f t="shared" si="12"/>
        <v>0</v>
      </c>
      <c r="M22" s="58">
        <f t="shared" si="12"/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0" customHeight="1">
      <c r="A23" s="61"/>
      <c r="B23" s="53" t="s">
        <v>9</v>
      </c>
      <c r="C23" s="54">
        <v>-3.0</v>
      </c>
      <c r="D23" s="55">
        <f t="shared" si="3"/>
        <v>-1770</v>
      </c>
      <c r="E23" s="60" t="s">
        <v>35</v>
      </c>
      <c r="F23" s="58">
        <f t="shared" si="8"/>
        <v>114</v>
      </c>
      <c r="G23" s="58">
        <f t="shared" ref="G23:M23" si="13">SUMIFS($C23,$B23,G$8)+G22</f>
        <v>142</v>
      </c>
      <c r="H23" s="58">
        <f t="shared" si="13"/>
        <v>3</v>
      </c>
      <c r="I23" s="58">
        <f t="shared" si="13"/>
        <v>0</v>
      </c>
      <c r="J23" s="58">
        <f t="shared" si="13"/>
        <v>0</v>
      </c>
      <c r="K23" s="58">
        <f t="shared" si="13"/>
        <v>0</v>
      </c>
      <c r="L23" s="58">
        <f t="shared" si="13"/>
        <v>0</v>
      </c>
      <c r="M23" s="58">
        <f t="shared" si="13"/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0" customHeight="1">
      <c r="A24" s="52"/>
      <c r="B24" s="53" t="s">
        <v>16</v>
      </c>
      <c r="C24" s="54">
        <v>3.0</v>
      </c>
      <c r="D24" s="55">
        <f t="shared" si="3"/>
        <v>1770</v>
      </c>
      <c r="E24" s="60" t="s">
        <v>36</v>
      </c>
      <c r="F24" s="58">
        <f t="shared" si="8"/>
        <v>114</v>
      </c>
      <c r="G24" s="58">
        <f>SUMIFS($C24,$B24,G$8)+G20</f>
        <v>141</v>
      </c>
      <c r="H24" s="58">
        <f t="shared" ref="H24:M24" si="14">SUMIFS($C24,$B24,H$8)+H23</f>
        <v>3</v>
      </c>
      <c r="I24" s="58">
        <f t="shared" si="14"/>
        <v>3</v>
      </c>
      <c r="J24" s="58">
        <f t="shared" si="14"/>
        <v>0</v>
      </c>
      <c r="K24" s="58">
        <f t="shared" si="14"/>
        <v>0</v>
      </c>
      <c r="L24" s="58">
        <f t="shared" si="14"/>
        <v>0</v>
      </c>
      <c r="M24" s="58">
        <f t="shared" si="14"/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0" customHeight="1">
      <c r="A25" s="52"/>
      <c r="B25" s="53" t="s">
        <v>9</v>
      </c>
      <c r="C25" s="54">
        <v>-3.0</v>
      </c>
      <c r="D25" s="55">
        <f t="shared" si="3"/>
        <v>-1770</v>
      </c>
      <c r="E25" s="60" t="s">
        <v>37</v>
      </c>
      <c r="F25" s="58">
        <f t="shared" si="8"/>
        <v>111</v>
      </c>
      <c r="G25" s="58">
        <f t="shared" ref="G25:M25" si="15">SUMIFS($C25,$B25,G$8)+G24</f>
        <v>141</v>
      </c>
      <c r="H25" s="58">
        <f t="shared" si="15"/>
        <v>3</v>
      </c>
      <c r="I25" s="58">
        <f t="shared" si="15"/>
        <v>3</v>
      </c>
      <c r="J25" s="58">
        <f t="shared" si="15"/>
        <v>0</v>
      </c>
      <c r="K25" s="58">
        <f t="shared" si="15"/>
        <v>0</v>
      </c>
      <c r="L25" s="58">
        <f t="shared" si="15"/>
        <v>0</v>
      </c>
      <c r="M25" s="58">
        <f t="shared" si="15"/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0" customHeight="1">
      <c r="A26" s="52"/>
      <c r="B26" s="53" t="s">
        <v>9</v>
      </c>
      <c r="C26" s="54">
        <v>-1.0</v>
      </c>
      <c r="D26" s="55">
        <f t="shared" si="3"/>
        <v>-590</v>
      </c>
      <c r="E26" s="63" t="s">
        <v>38</v>
      </c>
      <c r="F26" s="58">
        <f t="shared" ref="F26:F27" si="17">SUMIFS($C26,$B26,F$8)+F24</f>
        <v>113</v>
      </c>
      <c r="G26" s="58">
        <f t="shared" ref="G26:G27" si="18">SUMIFS($C26,$B26,G$8)+G21</f>
        <v>141</v>
      </c>
      <c r="H26" s="58">
        <f t="shared" ref="H26:M26" si="16">SUMIFS($C26,$B26,H$8)+H24</f>
        <v>3</v>
      </c>
      <c r="I26" s="58">
        <f t="shared" si="16"/>
        <v>3</v>
      </c>
      <c r="J26" s="58">
        <f t="shared" si="16"/>
        <v>0</v>
      </c>
      <c r="K26" s="58">
        <f t="shared" si="16"/>
        <v>0</v>
      </c>
      <c r="L26" s="58">
        <f t="shared" si="16"/>
        <v>0</v>
      </c>
      <c r="M26" s="58">
        <f t="shared" si="16"/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0" customHeight="1">
      <c r="A27" s="52"/>
      <c r="B27" s="59"/>
      <c r="C27" s="54"/>
      <c r="D27" s="55">
        <f t="shared" si="3"/>
        <v>0</v>
      </c>
      <c r="E27" s="57"/>
      <c r="F27" s="58">
        <f t="shared" si="17"/>
        <v>111</v>
      </c>
      <c r="G27" s="58">
        <f t="shared" si="18"/>
        <v>142</v>
      </c>
      <c r="H27" s="58">
        <f t="shared" ref="H27:M27" si="19">SUMIFS($C27,$B27,H$8)+H25</f>
        <v>3</v>
      </c>
      <c r="I27" s="58">
        <f t="shared" si="19"/>
        <v>3</v>
      </c>
      <c r="J27" s="58">
        <f t="shared" si="19"/>
        <v>0</v>
      </c>
      <c r="K27" s="58">
        <f t="shared" si="19"/>
        <v>0</v>
      </c>
      <c r="L27" s="58">
        <f t="shared" si="19"/>
        <v>0</v>
      </c>
      <c r="M27" s="58">
        <f t="shared" si="19"/>
        <v>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0" customHeight="1">
      <c r="A28" s="52">
        <v>46118.0</v>
      </c>
      <c r="B28" s="53" t="s">
        <v>18</v>
      </c>
      <c r="C28" s="54">
        <v>-1.0</v>
      </c>
      <c r="D28" s="55">
        <f t="shared" si="3"/>
        <v>-590</v>
      </c>
      <c r="E28" s="56" t="s">
        <v>30</v>
      </c>
      <c r="F28" s="58">
        <f t="shared" ref="F28:M28" si="20">SUMIFS($C28,$B28,F$8)+F27</f>
        <v>111</v>
      </c>
      <c r="G28" s="58">
        <f t="shared" si="20"/>
        <v>141</v>
      </c>
      <c r="H28" s="58">
        <f t="shared" si="20"/>
        <v>3</v>
      </c>
      <c r="I28" s="58">
        <f t="shared" si="20"/>
        <v>3</v>
      </c>
      <c r="J28" s="58">
        <f t="shared" si="20"/>
        <v>0</v>
      </c>
      <c r="K28" s="58">
        <f t="shared" si="20"/>
        <v>0</v>
      </c>
      <c r="L28" s="58">
        <f t="shared" si="20"/>
        <v>0</v>
      </c>
      <c r="M28" s="58">
        <f t="shared" si="20"/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0" customHeight="1">
      <c r="A29" s="61"/>
      <c r="B29" s="53" t="s">
        <v>9</v>
      </c>
      <c r="C29" s="54">
        <v>38.0</v>
      </c>
      <c r="D29" s="55">
        <f t="shared" si="3"/>
        <v>22420</v>
      </c>
      <c r="E29" s="57"/>
      <c r="F29" s="58">
        <f t="shared" ref="F29:F117" si="22">SUMIFS($C29,$B29,F$8)+F28</f>
        <v>149</v>
      </c>
      <c r="G29" s="58">
        <f>SUMIFS($C29,$B29,G$8)+G24</f>
        <v>141</v>
      </c>
      <c r="H29" s="58">
        <f t="shared" ref="H29:M29" si="21">SUMIFS($C29,$B29,H$8)+H28</f>
        <v>3</v>
      </c>
      <c r="I29" s="58">
        <f t="shared" si="21"/>
        <v>3</v>
      </c>
      <c r="J29" s="58">
        <f t="shared" si="21"/>
        <v>0</v>
      </c>
      <c r="K29" s="58">
        <f t="shared" si="21"/>
        <v>0</v>
      </c>
      <c r="L29" s="58">
        <f t="shared" si="21"/>
        <v>0</v>
      </c>
      <c r="M29" s="58">
        <f t="shared" si="21"/>
        <v>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0" customHeight="1">
      <c r="A30" s="52"/>
      <c r="B30" s="53" t="s">
        <v>13</v>
      </c>
      <c r="C30" s="54">
        <v>9.0</v>
      </c>
      <c r="D30" s="55">
        <f t="shared" si="3"/>
        <v>5310</v>
      </c>
      <c r="E30" s="60" t="s">
        <v>41</v>
      </c>
      <c r="F30" s="58">
        <f t="shared" si="22"/>
        <v>149</v>
      </c>
      <c r="G30" s="58">
        <f t="shared" ref="G30:M30" si="23">SUMIFS($C30,$B30,G$8)+G29</f>
        <v>141</v>
      </c>
      <c r="H30" s="58">
        <f t="shared" si="23"/>
        <v>12</v>
      </c>
      <c r="I30" s="58">
        <f t="shared" si="23"/>
        <v>3</v>
      </c>
      <c r="J30" s="58">
        <f t="shared" si="23"/>
        <v>0</v>
      </c>
      <c r="K30" s="58">
        <f t="shared" si="23"/>
        <v>0</v>
      </c>
      <c r="L30" s="58">
        <f t="shared" si="23"/>
        <v>0</v>
      </c>
      <c r="M30" s="58">
        <f t="shared" si="23"/>
        <v>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0" customHeight="1">
      <c r="A31" s="52"/>
      <c r="B31" s="53" t="s">
        <v>9</v>
      </c>
      <c r="C31" s="54">
        <v>-9.0</v>
      </c>
      <c r="D31" s="55">
        <f t="shared" si="3"/>
        <v>-5310</v>
      </c>
      <c r="E31" s="60" t="s">
        <v>43</v>
      </c>
      <c r="F31" s="58">
        <f t="shared" si="22"/>
        <v>140</v>
      </c>
      <c r="G31" s="58">
        <f>SUMIFS($C31,$B31,G$8)+G27</f>
        <v>142</v>
      </c>
      <c r="H31" s="58">
        <f t="shared" ref="H31:M31" si="24">SUMIFS($C31,$B31,H$8)+H30</f>
        <v>12</v>
      </c>
      <c r="I31" s="58">
        <f t="shared" si="24"/>
        <v>3</v>
      </c>
      <c r="J31" s="58">
        <f t="shared" si="24"/>
        <v>0</v>
      </c>
      <c r="K31" s="58">
        <f t="shared" si="24"/>
        <v>0</v>
      </c>
      <c r="L31" s="58">
        <f t="shared" si="24"/>
        <v>0</v>
      </c>
      <c r="M31" s="58">
        <f t="shared" si="24"/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0" customHeight="1">
      <c r="A32" s="61"/>
      <c r="B32" s="53" t="s">
        <v>16</v>
      </c>
      <c r="C32" s="54">
        <v>6.0</v>
      </c>
      <c r="D32" s="55">
        <f t="shared" si="3"/>
        <v>3540</v>
      </c>
      <c r="E32" s="60" t="s">
        <v>44</v>
      </c>
      <c r="F32" s="58">
        <f t="shared" si="22"/>
        <v>140</v>
      </c>
      <c r="G32" s="58">
        <f t="shared" ref="G32:M32" si="25">SUMIFS($C32,$B32,G$8)+G31</f>
        <v>142</v>
      </c>
      <c r="H32" s="58">
        <f t="shared" si="25"/>
        <v>12</v>
      </c>
      <c r="I32" s="58">
        <f t="shared" si="25"/>
        <v>9</v>
      </c>
      <c r="J32" s="58">
        <f t="shared" si="25"/>
        <v>0</v>
      </c>
      <c r="K32" s="58">
        <f t="shared" si="25"/>
        <v>0</v>
      </c>
      <c r="L32" s="58">
        <f t="shared" si="25"/>
        <v>0</v>
      </c>
      <c r="M32" s="58">
        <f t="shared" si="25"/>
        <v>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0" customHeight="1">
      <c r="A33" s="52"/>
      <c r="B33" s="53" t="s">
        <v>9</v>
      </c>
      <c r="C33" s="54">
        <v>-6.0</v>
      </c>
      <c r="D33" s="55">
        <f t="shared" si="3"/>
        <v>-3540</v>
      </c>
      <c r="E33" s="60" t="s">
        <v>45</v>
      </c>
      <c r="F33" s="58">
        <f t="shared" si="22"/>
        <v>134</v>
      </c>
      <c r="G33" s="58">
        <f>SUMIFS($C33,$B33,G$8)+G29</f>
        <v>141</v>
      </c>
      <c r="H33" s="58">
        <f t="shared" ref="H33:M33" si="26">SUMIFS($C33,$B33,H$8)+H32</f>
        <v>12</v>
      </c>
      <c r="I33" s="58">
        <f t="shared" si="26"/>
        <v>9</v>
      </c>
      <c r="J33" s="58">
        <f t="shared" si="26"/>
        <v>0</v>
      </c>
      <c r="K33" s="58">
        <f t="shared" si="26"/>
        <v>0</v>
      </c>
      <c r="L33" s="58">
        <f t="shared" si="26"/>
        <v>0</v>
      </c>
      <c r="M33" s="58">
        <f t="shared" si="26"/>
        <v>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0" customHeight="1">
      <c r="A34" s="68"/>
      <c r="B34" s="69"/>
      <c r="C34" s="65"/>
      <c r="D34" s="66">
        <f t="shared" si="3"/>
        <v>0</v>
      </c>
      <c r="E34" s="67"/>
      <c r="F34" s="58">
        <f t="shared" si="22"/>
        <v>134</v>
      </c>
      <c r="G34" s="58">
        <f t="shared" ref="G34:M34" si="27">SUMIFS($C34,$B34,G$8)+G33</f>
        <v>141</v>
      </c>
      <c r="H34" s="58">
        <f t="shared" si="27"/>
        <v>12</v>
      </c>
      <c r="I34" s="58">
        <f t="shared" si="27"/>
        <v>9</v>
      </c>
      <c r="J34" s="58">
        <f t="shared" si="27"/>
        <v>0</v>
      </c>
      <c r="K34" s="58">
        <f t="shared" si="27"/>
        <v>0</v>
      </c>
      <c r="L34" s="58">
        <f t="shared" si="27"/>
        <v>0</v>
      </c>
      <c r="M34" s="58">
        <f t="shared" si="27"/>
        <v>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0" customHeight="1">
      <c r="A35" s="68">
        <v>46119.0</v>
      </c>
      <c r="B35" s="64" t="s">
        <v>18</v>
      </c>
      <c r="C35" s="65">
        <v>-1.0</v>
      </c>
      <c r="D35" s="55">
        <f t="shared" si="3"/>
        <v>-590</v>
      </c>
      <c r="E35" s="56" t="s">
        <v>30</v>
      </c>
      <c r="F35" s="58">
        <f t="shared" si="22"/>
        <v>134</v>
      </c>
      <c r="G35" s="58">
        <f>SUMIFS($C35,$B35,G$8)+G31</f>
        <v>141</v>
      </c>
      <c r="H35" s="58">
        <f t="shared" ref="H35:M35" si="28">SUMIFS($C35,$B35,H$8)+H34</f>
        <v>12</v>
      </c>
      <c r="I35" s="58">
        <f t="shared" si="28"/>
        <v>9</v>
      </c>
      <c r="J35" s="58">
        <f t="shared" si="28"/>
        <v>0</v>
      </c>
      <c r="K35" s="58">
        <f t="shared" si="28"/>
        <v>0</v>
      </c>
      <c r="L35" s="58">
        <f t="shared" si="28"/>
        <v>0</v>
      </c>
      <c r="M35" s="58">
        <f t="shared" si="28"/>
        <v>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0" customHeight="1">
      <c r="A36" s="68"/>
      <c r="B36" s="64" t="s">
        <v>9</v>
      </c>
      <c r="C36" s="65">
        <v>41.0</v>
      </c>
      <c r="D36" s="55">
        <f t="shared" si="3"/>
        <v>24190</v>
      </c>
      <c r="E36" s="56"/>
      <c r="F36" s="58">
        <f t="shared" si="22"/>
        <v>175</v>
      </c>
      <c r="G36" s="58">
        <f t="shared" ref="G36:M36" si="29">SUMIFS($C36,$B36,G$8)+G35</f>
        <v>141</v>
      </c>
      <c r="H36" s="58">
        <f t="shared" si="29"/>
        <v>12</v>
      </c>
      <c r="I36" s="58">
        <f t="shared" si="29"/>
        <v>9</v>
      </c>
      <c r="J36" s="58">
        <f t="shared" si="29"/>
        <v>0</v>
      </c>
      <c r="K36" s="58">
        <f t="shared" si="29"/>
        <v>0</v>
      </c>
      <c r="L36" s="58">
        <f t="shared" si="29"/>
        <v>0</v>
      </c>
      <c r="M36" s="58">
        <f t="shared" si="29"/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0" customHeight="1">
      <c r="A37" s="68"/>
      <c r="B37" s="64" t="s">
        <v>13</v>
      </c>
      <c r="C37" s="65">
        <v>9.0</v>
      </c>
      <c r="D37" s="55">
        <f t="shared" si="3"/>
        <v>5310</v>
      </c>
      <c r="E37" s="56" t="s">
        <v>47</v>
      </c>
      <c r="F37" s="58">
        <f t="shared" si="22"/>
        <v>175</v>
      </c>
      <c r="G37" s="58">
        <f>SUMIFS($C37,$B37,G$8)+G33</f>
        <v>141</v>
      </c>
      <c r="H37" s="58">
        <f t="shared" ref="H37:M37" si="30">SUMIFS($C37,$B37,H$8)+H36</f>
        <v>21</v>
      </c>
      <c r="I37" s="58">
        <f t="shared" si="30"/>
        <v>9</v>
      </c>
      <c r="J37" s="58">
        <f t="shared" si="30"/>
        <v>0</v>
      </c>
      <c r="K37" s="58">
        <f t="shared" si="30"/>
        <v>0</v>
      </c>
      <c r="L37" s="58">
        <f t="shared" si="30"/>
        <v>0</v>
      </c>
      <c r="M37" s="58">
        <f t="shared" si="30"/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0" customHeight="1">
      <c r="A38" s="68"/>
      <c r="B38" s="64" t="s">
        <v>9</v>
      </c>
      <c r="C38" s="65">
        <v>-9.0</v>
      </c>
      <c r="D38" s="55">
        <f t="shared" si="3"/>
        <v>-5310</v>
      </c>
      <c r="E38" s="56" t="s">
        <v>43</v>
      </c>
      <c r="F38" s="58">
        <f t="shared" si="22"/>
        <v>166</v>
      </c>
      <c r="G38" s="58">
        <f t="shared" ref="G38:M38" si="31">SUMIFS($C38,$B38,G$8)+G37</f>
        <v>141</v>
      </c>
      <c r="H38" s="58">
        <f t="shared" si="31"/>
        <v>21</v>
      </c>
      <c r="I38" s="58">
        <f t="shared" si="31"/>
        <v>9</v>
      </c>
      <c r="J38" s="58">
        <f t="shared" si="31"/>
        <v>0</v>
      </c>
      <c r="K38" s="58">
        <f t="shared" si="31"/>
        <v>0</v>
      </c>
      <c r="L38" s="58">
        <f t="shared" si="31"/>
        <v>0</v>
      </c>
      <c r="M38" s="58">
        <f t="shared" si="31"/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0" customHeight="1">
      <c r="A39" s="68"/>
      <c r="B39" s="64" t="s">
        <v>16</v>
      </c>
      <c r="C39" s="65">
        <v>6.0</v>
      </c>
      <c r="D39" s="55">
        <f t="shared" si="3"/>
        <v>3540</v>
      </c>
      <c r="E39" s="56" t="s">
        <v>51</v>
      </c>
      <c r="F39" s="58">
        <f t="shared" si="22"/>
        <v>166</v>
      </c>
      <c r="G39" s="58">
        <f>SUMIFS($C39,$B39,G$8)+G35</f>
        <v>141</v>
      </c>
      <c r="H39" s="58">
        <f t="shared" ref="H39:M39" si="32">SUMIFS($C39,$B39,H$8)+H38</f>
        <v>21</v>
      </c>
      <c r="I39" s="58">
        <f t="shared" si="32"/>
        <v>15</v>
      </c>
      <c r="J39" s="58">
        <f t="shared" si="32"/>
        <v>0</v>
      </c>
      <c r="K39" s="58">
        <f t="shared" si="32"/>
        <v>0</v>
      </c>
      <c r="L39" s="58">
        <f t="shared" si="32"/>
        <v>0</v>
      </c>
      <c r="M39" s="58">
        <f t="shared" si="32"/>
        <v>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0" customHeight="1">
      <c r="A40" s="68"/>
      <c r="B40" s="64" t="s">
        <v>9</v>
      </c>
      <c r="C40" s="65">
        <v>-6.0</v>
      </c>
      <c r="D40" s="55">
        <f t="shared" si="3"/>
        <v>-3540</v>
      </c>
      <c r="E40" s="56" t="s">
        <v>52</v>
      </c>
      <c r="F40" s="58">
        <f t="shared" si="22"/>
        <v>160</v>
      </c>
      <c r="G40" s="58">
        <f t="shared" ref="G40:M40" si="33">SUMIFS($C40,$B40,G$8)+G39</f>
        <v>141</v>
      </c>
      <c r="H40" s="58">
        <f t="shared" si="33"/>
        <v>21</v>
      </c>
      <c r="I40" s="58">
        <f t="shared" si="33"/>
        <v>15</v>
      </c>
      <c r="J40" s="58">
        <f t="shared" si="33"/>
        <v>0</v>
      </c>
      <c r="K40" s="58">
        <f t="shared" si="33"/>
        <v>0</v>
      </c>
      <c r="L40" s="58">
        <f t="shared" si="33"/>
        <v>0</v>
      </c>
      <c r="M40" s="58">
        <f t="shared" si="33"/>
        <v>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0" customHeight="1">
      <c r="A41" s="68"/>
      <c r="B41" s="64" t="s">
        <v>9</v>
      </c>
      <c r="C41" s="65">
        <v>-1.0</v>
      </c>
      <c r="D41" s="55">
        <f t="shared" si="3"/>
        <v>-590</v>
      </c>
      <c r="E41" s="63" t="s">
        <v>38</v>
      </c>
      <c r="F41" s="58">
        <f t="shared" si="22"/>
        <v>159</v>
      </c>
      <c r="G41" s="58">
        <f>SUMIFS($C41,$B41,G$8)+G37</f>
        <v>141</v>
      </c>
      <c r="H41" s="58">
        <f t="shared" ref="H41:M41" si="34">SUMIFS($C41,$B41,H$8)+H40</f>
        <v>21</v>
      </c>
      <c r="I41" s="58">
        <f t="shared" si="34"/>
        <v>15</v>
      </c>
      <c r="J41" s="58">
        <f t="shared" si="34"/>
        <v>0</v>
      </c>
      <c r="K41" s="58">
        <f t="shared" si="34"/>
        <v>0</v>
      </c>
      <c r="L41" s="58">
        <f t="shared" si="34"/>
        <v>0</v>
      </c>
      <c r="M41" s="58">
        <f t="shared" si="34"/>
        <v>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0" customHeight="1">
      <c r="A42" s="70"/>
      <c r="B42" s="71"/>
      <c r="C42" s="66"/>
      <c r="D42" s="66">
        <f t="shared" si="3"/>
        <v>0</v>
      </c>
      <c r="E42" s="67"/>
      <c r="F42" s="58">
        <f t="shared" si="22"/>
        <v>159</v>
      </c>
      <c r="G42" s="58">
        <f t="shared" ref="G42:M42" si="35">SUMIFS($C42,$B42,G$8)+G41</f>
        <v>141</v>
      </c>
      <c r="H42" s="58">
        <f t="shared" si="35"/>
        <v>21</v>
      </c>
      <c r="I42" s="58">
        <f t="shared" si="35"/>
        <v>15</v>
      </c>
      <c r="J42" s="58">
        <f t="shared" si="35"/>
        <v>0</v>
      </c>
      <c r="K42" s="58">
        <f t="shared" si="35"/>
        <v>0</v>
      </c>
      <c r="L42" s="58">
        <f t="shared" si="35"/>
        <v>0</v>
      </c>
      <c r="M42" s="58">
        <f t="shared" si="35"/>
        <v>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0" customHeight="1">
      <c r="A43" s="68">
        <v>46120.0</v>
      </c>
      <c r="B43" s="64" t="s">
        <v>18</v>
      </c>
      <c r="C43" s="65">
        <v>-4.0</v>
      </c>
      <c r="D43" s="55">
        <f t="shared" si="3"/>
        <v>-2360</v>
      </c>
      <c r="E43" s="56" t="s">
        <v>30</v>
      </c>
      <c r="F43" s="58">
        <f t="shared" si="22"/>
        <v>159</v>
      </c>
      <c r="G43" s="58">
        <f>SUMIFS($C43,$B43,G$8)+G39</f>
        <v>137</v>
      </c>
      <c r="H43" s="58">
        <f t="shared" ref="H43:M43" si="36">SUMIFS($C43,$B43,H$8)+H42</f>
        <v>21</v>
      </c>
      <c r="I43" s="58">
        <f t="shared" si="36"/>
        <v>15</v>
      </c>
      <c r="J43" s="58">
        <f t="shared" si="36"/>
        <v>0</v>
      </c>
      <c r="K43" s="58">
        <f t="shared" si="36"/>
        <v>0</v>
      </c>
      <c r="L43" s="58">
        <f t="shared" si="36"/>
        <v>0</v>
      </c>
      <c r="M43" s="58">
        <f t="shared" si="36"/>
        <v>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0" customHeight="1">
      <c r="A44" s="68"/>
      <c r="B44" s="64" t="s">
        <v>9</v>
      </c>
      <c r="C44" s="65">
        <v>43.0</v>
      </c>
      <c r="D44" s="55">
        <f t="shared" si="3"/>
        <v>25370</v>
      </c>
      <c r="E44" s="67"/>
      <c r="F44" s="58">
        <f t="shared" si="22"/>
        <v>202</v>
      </c>
      <c r="G44" s="58">
        <f t="shared" ref="G44:M44" si="37">SUMIFS($C44,$B44,G$8)+G43</f>
        <v>137</v>
      </c>
      <c r="H44" s="58">
        <f t="shared" si="37"/>
        <v>21</v>
      </c>
      <c r="I44" s="58">
        <f t="shared" si="37"/>
        <v>15</v>
      </c>
      <c r="J44" s="58">
        <f t="shared" si="37"/>
        <v>0</v>
      </c>
      <c r="K44" s="58">
        <f t="shared" si="37"/>
        <v>0</v>
      </c>
      <c r="L44" s="58">
        <f t="shared" si="37"/>
        <v>0</v>
      </c>
      <c r="M44" s="58">
        <f t="shared" si="37"/>
        <v>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0" customHeight="1">
      <c r="A45" s="68"/>
      <c r="B45" s="64" t="s">
        <v>13</v>
      </c>
      <c r="C45" s="65">
        <v>9.0</v>
      </c>
      <c r="D45" s="55">
        <f t="shared" si="3"/>
        <v>5310</v>
      </c>
      <c r="E45" s="56" t="s">
        <v>55</v>
      </c>
      <c r="F45" s="58">
        <f t="shared" si="22"/>
        <v>202</v>
      </c>
      <c r="G45" s="58">
        <f>SUMIFS($C45,$B45,G$8)+G41</f>
        <v>141</v>
      </c>
      <c r="H45" s="58">
        <f t="shared" ref="H45:M45" si="38">SUMIFS($C45,$B45,H$8)+H44</f>
        <v>30</v>
      </c>
      <c r="I45" s="58">
        <f t="shared" si="38"/>
        <v>15</v>
      </c>
      <c r="J45" s="58">
        <f t="shared" si="38"/>
        <v>0</v>
      </c>
      <c r="K45" s="58">
        <f t="shared" si="38"/>
        <v>0</v>
      </c>
      <c r="L45" s="58">
        <f t="shared" si="38"/>
        <v>0</v>
      </c>
      <c r="M45" s="58">
        <f t="shared" si="38"/>
        <v>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0" customHeight="1">
      <c r="A46" s="68"/>
      <c r="B46" s="64" t="s">
        <v>9</v>
      </c>
      <c r="C46" s="65">
        <v>-9.0</v>
      </c>
      <c r="D46" s="55">
        <f t="shared" si="3"/>
        <v>-5310</v>
      </c>
      <c r="E46" s="56" t="s">
        <v>43</v>
      </c>
      <c r="F46" s="58">
        <f t="shared" si="22"/>
        <v>193</v>
      </c>
      <c r="G46" s="58">
        <f t="shared" ref="G46:M46" si="39">SUMIFS($C46,$B46,G$8)+G45</f>
        <v>141</v>
      </c>
      <c r="H46" s="58">
        <f t="shared" si="39"/>
        <v>30</v>
      </c>
      <c r="I46" s="58">
        <f t="shared" si="39"/>
        <v>15</v>
      </c>
      <c r="J46" s="58">
        <f t="shared" si="39"/>
        <v>0</v>
      </c>
      <c r="K46" s="58">
        <f t="shared" si="39"/>
        <v>0</v>
      </c>
      <c r="L46" s="58">
        <f t="shared" si="39"/>
        <v>0</v>
      </c>
      <c r="M46" s="58">
        <f t="shared" si="39"/>
        <v>0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0" customHeight="1">
      <c r="A47" s="68"/>
      <c r="B47" s="64" t="s">
        <v>16</v>
      </c>
      <c r="C47" s="65">
        <v>6.0</v>
      </c>
      <c r="D47" s="55">
        <f t="shared" si="3"/>
        <v>3540</v>
      </c>
      <c r="E47" s="56" t="s">
        <v>57</v>
      </c>
      <c r="F47" s="58">
        <f t="shared" si="22"/>
        <v>193</v>
      </c>
      <c r="G47" s="58">
        <f>SUMIFS($C47,$B47,G$8)+G43</f>
        <v>137</v>
      </c>
      <c r="H47" s="58">
        <f t="shared" ref="H47:M47" si="40">SUMIFS($C47,$B47,H$8)+H46</f>
        <v>30</v>
      </c>
      <c r="I47" s="58">
        <f t="shared" si="40"/>
        <v>21</v>
      </c>
      <c r="J47" s="58">
        <f t="shared" si="40"/>
        <v>0</v>
      </c>
      <c r="K47" s="58">
        <f t="shared" si="40"/>
        <v>0</v>
      </c>
      <c r="L47" s="58">
        <f t="shared" si="40"/>
        <v>0</v>
      </c>
      <c r="M47" s="58">
        <f t="shared" si="40"/>
        <v>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0" customHeight="1">
      <c r="A48" s="70"/>
      <c r="B48" s="64" t="s">
        <v>9</v>
      </c>
      <c r="C48" s="65">
        <v>-6.0</v>
      </c>
      <c r="D48" s="55">
        <f t="shared" si="3"/>
        <v>-3540</v>
      </c>
      <c r="E48" s="56" t="s">
        <v>45</v>
      </c>
      <c r="F48" s="58">
        <f t="shared" si="22"/>
        <v>187</v>
      </c>
      <c r="G48" s="58">
        <f t="shared" ref="G48:M48" si="41">SUMIFS($C48,$B48,G$8)+G47</f>
        <v>137</v>
      </c>
      <c r="H48" s="58">
        <f t="shared" si="41"/>
        <v>30</v>
      </c>
      <c r="I48" s="58">
        <f t="shared" si="41"/>
        <v>21</v>
      </c>
      <c r="J48" s="58">
        <f t="shared" si="41"/>
        <v>0</v>
      </c>
      <c r="K48" s="58">
        <f t="shared" si="41"/>
        <v>0</v>
      </c>
      <c r="L48" s="58">
        <f t="shared" si="41"/>
        <v>0</v>
      </c>
      <c r="M48" s="58">
        <f t="shared" si="41"/>
        <v>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0" customHeight="1">
      <c r="A49" s="68"/>
      <c r="B49" s="69"/>
      <c r="C49" s="65"/>
      <c r="D49" s="66">
        <f t="shared" si="3"/>
        <v>0</v>
      </c>
      <c r="E49" s="56"/>
      <c r="F49" s="58">
        <f t="shared" si="22"/>
        <v>187</v>
      </c>
      <c r="G49" s="58">
        <f>SUMIFS($C49,$B49,G$8)+G45</f>
        <v>141</v>
      </c>
      <c r="H49" s="58">
        <f t="shared" ref="H49:M49" si="42">SUMIFS($C49,$B49,H$8)+H48</f>
        <v>30</v>
      </c>
      <c r="I49" s="58">
        <f t="shared" si="42"/>
        <v>21</v>
      </c>
      <c r="J49" s="58">
        <f t="shared" si="42"/>
        <v>0</v>
      </c>
      <c r="K49" s="58">
        <f t="shared" si="42"/>
        <v>0</v>
      </c>
      <c r="L49" s="58">
        <f t="shared" si="42"/>
        <v>0</v>
      </c>
      <c r="M49" s="58">
        <f t="shared" si="42"/>
        <v>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0" customHeight="1">
      <c r="A50" s="68">
        <v>46121.0</v>
      </c>
      <c r="B50" s="64" t="s">
        <v>18</v>
      </c>
      <c r="C50" s="65">
        <v>-4.0</v>
      </c>
      <c r="D50" s="55">
        <f t="shared" si="3"/>
        <v>-2360</v>
      </c>
      <c r="E50" s="56" t="s">
        <v>30</v>
      </c>
      <c r="F50" s="58">
        <f t="shared" si="22"/>
        <v>187</v>
      </c>
      <c r="G50" s="58">
        <f t="shared" ref="G50:M50" si="43">SUMIFS($C50,$B50,G$8)+G49</f>
        <v>137</v>
      </c>
      <c r="H50" s="58">
        <f t="shared" si="43"/>
        <v>30</v>
      </c>
      <c r="I50" s="58">
        <f t="shared" si="43"/>
        <v>21</v>
      </c>
      <c r="J50" s="58">
        <f t="shared" si="43"/>
        <v>0</v>
      </c>
      <c r="K50" s="58">
        <f t="shared" si="43"/>
        <v>0</v>
      </c>
      <c r="L50" s="58">
        <f t="shared" si="43"/>
        <v>0</v>
      </c>
      <c r="M50" s="58">
        <f t="shared" si="43"/>
        <v>0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0" customHeight="1">
      <c r="A51" s="68"/>
      <c r="B51" s="64" t="s">
        <v>9</v>
      </c>
      <c r="C51" s="65">
        <v>43.0</v>
      </c>
      <c r="D51" s="55">
        <f t="shared" si="3"/>
        <v>25370</v>
      </c>
      <c r="E51" s="56"/>
      <c r="F51" s="58">
        <f t="shared" si="22"/>
        <v>230</v>
      </c>
      <c r="G51" s="58">
        <f>SUMIFS($C51,$B51,G$8)+G47</f>
        <v>137</v>
      </c>
      <c r="H51" s="58">
        <f t="shared" ref="H51:M51" si="44">SUMIFS($C51,$B51,H$8)+H50</f>
        <v>30</v>
      </c>
      <c r="I51" s="58">
        <f t="shared" si="44"/>
        <v>21</v>
      </c>
      <c r="J51" s="58">
        <f t="shared" si="44"/>
        <v>0</v>
      </c>
      <c r="K51" s="58">
        <f t="shared" si="44"/>
        <v>0</v>
      </c>
      <c r="L51" s="58">
        <f t="shared" si="44"/>
        <v>0</v>
      </c>
      <c r="M51" s="58">
        <f t="shared" si="44"/>
        <v>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0" customHeight="1">
      <c r="A52" s="70"/>
      <c r="B52" s="64" t="s">
        <v>13</v>
      </c>
      <c r="C52" s="65">
        <v>9.0</v>
      </c>
      <c r="D52" s="55">
        <f t="shared" si="3"/>
        <v>5310</v>
      </c>
      <c r="E52" s="56" t="s">
        <v>61</v>
      </c>
      <c r="F52" s="58">
        <f t="shared" si="22"/>
        <v>230</v>
      </c>
      <c r="G52" s="58">
        <f t="shared" ref="G52:M52" si="45">SUMIFS($C52,$B52,G$8)+G51</f>
        <v>137</v>
      </c>
      <c r="H52" s="58">
        <f t="shared" si="45"/>
        <v>39</v>
      </c>
      <c r="I52" s="58">
        <f t="shared" si="45"/>
        <v>21</v>
      </c>
      <c r="J52" s="58">
        <f t="shared" si="45"/>
        <v>0</v>
      </c>
      <c r="K52" s="58">
        <f t="shared" si="45"/>
        <v>0</v>
      </c>
      <c r="L52" s="58">
        <f t="shared" si="45"/>
        <v>0</v>
      </c>
      <c r="M52" s="58">
        <f t="shared" si="45"/>
        <v>0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0" customHeight="1">
      <c r="A53" s="68"/>
      <c r="B53" s="64" t="s">
        <v>9</v>
      </c>
      <c r="C53" s="65">
        <v>-9.0</v>
      </c>
      <c r="D53" s="55">
        <f t="shared" si="3"/>
        <v>-5310</v>
      </c>
      <c r="E53" s="56" t="s">
        <v>43</v>
      </c>
      <c r="F53" s="58">
        <f t="shared" si="22"/>
        <v>221</v>
      </c>
      <c r="G53" s="58">
        <f>SUMIFS($C53,$B53,G$8)+G49</f>
        <v>141</v>
      </c>
      <c r="H53" s="58">
        <f t="shared" ref="H53:M53" si="46">SUMIFS($C53,$B53,H$8)+H52</f>
        <v>39</v>
      </c>
      <c r="I53" s="58">
        <f t="shared" si="46"/>
        <v>21</v>
      </c>
      <c r="J53" s="58">
        <f t="shared" si="46"/>
        <v>0</v>
      </c>
      <c r="K53" s="58">
        <f t="shared" si="46"/>
        <v>0</v>
      </c>
      <c r="L53" s="58">
        <f t="shared" si="46"/>
        <v>0</v>
      </c>
      <c r="M53" s="58">
        <f t="shared" si="46"/>
        <v>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0" customHeight="1">
      <c r="A54" s="70"/>
      <c r="B54" s="64" t="s">
        <v>16</v>
      </c>
      <c r="C54" s="65">
        <v>6.0</v>
      </c>
      <c r="D54" s="55">
        <f t="shared" si="3"/>
        <v>3540</v>
      </c>
      <c r="E54" s="56" t="s">
        <v>63</v>
      </c>
      <c r="F54" s="58">
        <f t="shared" si="22"/>
        <v>221</v>
      </c>
      <c r="G54" s="58">
        <f t="shared" ref="G54:M54" si="47">SUMIFS($C54,$B54,G$8)+G53</f>
        <v>141</v>
      </c>
      <c r="H54" s="58">
        <f t="shared" si="47"/>
        <v>39</v>
      </c>
      <c r="I54" s="58">
        <f t="shared" si="47"/>
        <v>27</v>
      </c>
      <c r="J54" s="58">
        <f t="shared" si="47"/>
        <v>0</v>
      </c>
      <c r="K54" s="58">
        <f t="shared" si="47"/>
        <v>0</v>
      </c>
      <c r="L54" s="58">
        <f t="shared" si="47"/>
        <v>0</v>
      </c>
      <c r="M54" s="58">
        <f t="shared" si="47"/>
        <v>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0" customHeight="1">
      <c r="A55" s="68"/>
      <c r="B55" s="64" t="s">
        <v>9</v>
      </c>
      <c r="C55" s="65">
        <v>-6.0</v>
      </c>
      <c r="D55" s="55">
        <f t="shared" si="3"/>
        <v>-3540</v>
      </c>
      <c r="E55" s="56" t="s">
        <v>45</v>
      </c>
      <c r="F55" s="58">
        <f t="shared" si="22"/>
        <v>215</v>
      </c>
      <c r="G55" s="58">
        <f>SUMIFS($C55,$B55,G$8)+G51</f>
        <v>137</v>
      </c>
      <c r="H55" s="58">
        <f t="shared" ref="H55:M55" si="48">SUMIFS($C55,$B55,H$8)+H54</f>
        <v>39</v>
      </c>
      <c r="I55" s="58">
        <f t="shared" si="48"/>
        <v>27</v>
      </c>
      <c r="J55" s="58">
        <f t="shared" si="48"/>
        <v>0</v>
      </c>
      <c r="K55" s="58">
        <f t="shared" si="48"/>
        <v>0</v>
      </c>
      <c r="L55" s="58">
        <f t="shared" si="48"/>
        <v>0</v>
      </c>
      <c r="M55" s="58">
        <f t="shared" si="48"/>
        <v>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0" customHeight="1">
      <c r="A56" s="70"/>
      <c r="B56" s="71"/>
      <c r="C56" s="66"/>
      <c r="D56" s="66">
        <f t="shared" si="3"/>
        <v>0</v>
      </c>
      <c r="E56" s="67"/>
      <c r="F56" s="58">
        <f t="shared" si="22"/>
        <v>215</v>
      </c>
      <c r="G56" s="58">
        <f t="shared" ref="G56:M56" si="49">SUMIFS($C56,$B56,G$8)+G55</f>
        <v>137</v>
      </c>
      <c r="H56" s="58">
        <f t="shared" si="49"/>
        <v>39</v>
      </c>
      <c r="I56" s="58">
        <f t="shared" si="49"/>
        <v>27</v>
      </c>
      <c r="J56" s="58">
        <f t="shared" si="49"/>
        <v>0</v>
      </c>
      <c r="K56" s="58">
        <f t="shared" si="49"/>
        <v>0</v>
      </c>
      <c r="L56" s="58">
        <f t="shared" si="49"/>
        <v>0</v>
      </c>
      <c r="M56" s="58">
        <f t="shared" si="49"/>
        <v>0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0" customHeight="1">
      <c r="A57" s="68">
        <v>46122.0</v>
      </c>
      <c r="B57" s="64" t="s">
        <v>18</v>
      </c>
      <c r="C57" s="65">
        <v>-4.0</v>
      </c>
      <c r="D57" s="66">
        <f t="shared" si="3"/>
        <v>-2360</v>
      </c>
      <c r="E57" s="56" t="s">
        <v>30</v>
      </c>
      <c r="F57" s="58">
        <f t="shared" si="22"/>
        <v>215</v>
      </c>
      <c r="G57" s="58">
        <f>SUMIFS($C57,$B57,G$8)+G53</f>
        <v>137</v>
      </c>
      <c r="H57" s="58">
        <f t="shared" ref="H57:M57" si="50">SUMIFS($C57,$B57,H$8)+H56</f>
        <v>39</v>
      </c>
      <c r="I57" s="58">
        <f t="shared" si="50"/>
        <v>27</v>
      </c>
      <c r="J57" s="58">
        <f t="shared" si="50"/>
        <v>0</v>
      </c>
      <c r="K57" s="58">
        <f t="shared" si="50"/>
        <v>0</v>
      </c>
      <c r="L57" s="58">
        <f t="shared" si="50"/>
        <v>0</v>
      </c>
      <c r="M57" s="58">
        <f t="shared" si="50"/>
        <v>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0" customHeight="1">
      <c r="A58" s="70"/>
      <c r="B58" s="64" t="s">
        <v>9</v>
      </c>
      <c r="C58" s="65">
        <v>37.0</v>
      </c>
      <c r="D58" s="66">
        <f t="shared" si="3"/>
        <v>21830</v>
      </c>
      <c r="E58" s="67"/>
      <c r="F58" s="58">
        <f t="shared" si="22"/>
        <v>252</v>
      </c>
      <c r="G58" s="58">
        <f t="shared" ref="G58:M58" si="51">SUMIFS($C58,$B58,G$8)+G57</f>
        <v>137</v>
      </c>
      <c r="H58" s="58">
        <f t="shared" si="51"/>
        <v>39</v>
      </c>
      <c r="I58" s="58">
        <f t="shared" si="51"/>
        <v>27</v>
      </c>
      <c r="J58" s="58">
        <f t="shared" si="51"/>
        <v>0</v>
      </c>
      <c r="K58" s="58">
        <f t="shared" si="51"/>
        <v>0</v>
      </c>
      <c r="L58" s="58">
        <f t="shared" si="51"/>
        <v>0</v>
      </c>
      <c r="M58" s="58">
        <f t="shared" si="51"/>
        <v>0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0" customHeight="1">
      <c r="A59" s="70"/>
      <c r="B59" s="64" t="s">
        <v>13</v>
      </c>
      <c r="C59" s="65">
        <v>9.0</v>
      </c>
      <c r="D59" s="66">
        <f t="shared" si="3"/>
        <v>5310</v>
      </c>
      <c r="E59" s="56" t="s">
        <v>67</v>
      </c>
      <c r="F59" s="58">
        <f t="shared" si="22"/>
        <v>252</v>
      </c>
      <c r="G59" s="58">
        <f>SUMIFS($C59,$B59,G$8)+G55</f>
        <v>137</v>
      </c>
      <c r="H59" s="58">
        <f t="shared" ref="H59:M59" si="52">SUMIFS($C59,$B59,H$8)+H58</f>
        <v>48</v>
      </c>
      <c r="I59" s="58">
        <f t="shared" si="52"/>
        <v>27</v>
      </c>
      <c r="J59" s="58">
        <f t="shared" si="52"/>
        <v>0</v>
      </c>
      <c r="K59" s="58">
        <f t="shared" si="52"/>
        <v>0</v>
      </c>
      <c r="L59" s="58">
        <f t="shared" si="52"/>
        <v>0</v>
      </c>
      <c r="M59" s="58">
        <f t="shared" si="52"/>
        <v>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0" customHeight="1">
      <c r="A60" s="70"/>
      <c r="B60" s="64" t="s">
        <v>9</v>
      </c>
      <c r="C60" s="65">
        <v>-9.0</v>
      </c>
      <c r="D60" s="66">
        <f t="shared" si="3"/>
        <v>-5310</v>
      </c>
      <c r="E60" s="56" t="s">
        <v>43</v>
      </c>
      <c r="F60" s="58">
        <f t="shared" si="22"/>
        <v>243</v>
      </c>
      <c r="G60" s="58">
        <f t="shared" ref="G60:M60" si="53">SUMIFS($C60,$B60,G$8)+G59</f>
        <v>137</v>
      </c>
      <c r="H60" s="58">
        <f t="shared" si="53"/>
        <v>48</v>
      </c>
      <c r="I60" s="58">
        <f t="shared" si="53"/>
        <v>27</v>
      </c>
      <c r="J60" s="58">
        <f t="shared" si="53"/>
        <v>0</v>
      </c>
      <c r="K60" s="58">
        <f t="shared" si="53"/>
        <v>0</v>
      </c>
      <c r="L60" s="58">
        <f t="shared" si="53"/>
        <v>0</v>
      </c>
      <c r="M60" s="58">
        <f t="shared" si="53"/>
        <v>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0" customHeight="1">
      <c r="A61" s="70"/>
      <c r="B61" s="64" t="s">
        <v>16</v>
      </c>
      <c r="C61" s="65">
        <v>6.0</v>
      </c>
      <c r="D61" s="66">
        <f t="shared" si="3"/>
        <v>3540</v>
      </c>
      <c r="E61" s="56" t="s">
        <v>70</v>
      </c>
      <c r="F61" s="58">
        <f t="shared" si="22"/>
        <v>243</v>
      </c>
      <c r="G61" s="58">
        <f>SUMIFS($C61,$B61,G$8)+G57</f>
        <v>137</v>
      </c>
      <c r="H61" s="58">
        <f t="shared" ref="H61:M61" si="54">SUMIFS($C61,$B61,H$8)+H60</f>
        <v>48</v>
      </c>
      <c r="I61" s="58">
        <f t="shared" si="54"/>
        <v>33</v>
      </c>
      <c r="J61" s="58">
        <f t="shared" si="54"/>
        <v>0</v>
      </c>
      <c r="K61" s="58">
        <f t="shared" si="54"/>
        <v>0</v>
      </c>
      <c r="L61" s="58">
        <f t="shared" si="54"/>
        <v>0</v>
      </c>
      <c r="M61" s="58">
        <f t="shared" si="54"/>
        <v>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0" customHeight="1">
      <c r="A62" s="70"/>
      <c r="B62" s="64" t="s">
        <v>9</v>
      </c>
      <c r="C62" s="65">
        <v>-6.0</v>
      </c>
      <c r="D62" s="66">
        <f t="shared" si="3"/>
        <v>-3540</v>
      </c>
      <c r="E62" s="56" t="s">
        <v>45</v>
      </c>
      <c r="F62" s="58">
        <f t="shared" si="22"/>
        <v>237</v>
      </c>
      <c r="G62" s="58">
        <f t="shared" ref="G62:M62" si="55">SUMIFS($C62,$B62,G$8)+G61</f>
        <v>137</v>
      </c>
      <c r="H62" s="58">
        <f t="shared" si="55"/>
        <v>48</v>
      </c>
      <c r="I62" s="58">
        <f t="shared" si="55"/>
        <v>33</v>
      </c>
      <c r="J62" s="58">
        <f t="shared" si="55"/>
        <v>0</v>
      </c>
      <c r="K62" s="58">
        <f t="shared" si="55"/>
        <v>0</v>
      </c>
      <c r="L62" s="58">
        <f t="shared" si="55"/>
        <v>0</v>
      </c>
      <c r="M62" s="58">
        <f t="shared" si="55"/>
        <v>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0" customHeight="1">
      <c r="A63" s="70"/>
      <c r="B63" s="71"/>
      <c r="C63" s="66"/>
      <c r="D63" s="66">
        <f t="shared" si="3"/>
        <v>0</v>
      </c>
      <c r="E63" s="67"/>
      <c r="F63" s="58">
        <f t="shared" si="22"/>
        <v>237</v>
      </c>
      <c r="G63" s="58">
        <f>SUMIFS($C63,$B63,G$8)+G59</f>
        <v>137</v>
      </c>
      <c r="H63" s="58">
        <f t="shared" ref="H63:M63" si="56">SUMIFS($C63,$B63,H$8)+H62</f>
        <v>48</v>
      </c>
      <c r="I63" s="58">
        <f t="shared" si="56"/>
        <v>33</v>
      </c>
      <c r="J63" s="58">
        <f t="shared" si="56"/>
        <v>0</v>
      </c>
      <c r="K63" s="58">
        <f t="shared" si="56"/>
        <v>0</v>
      </c>
      <c r="L63" s="58">
        <f t="shared" si="56"/>
        <v>0</v>
      </c>
      <c r="M63" s="58">
        <f t="shared" si="56"/>
        <v>0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0" customHeight="1">
      <c r="A64" s="68">
        <v>46125.0</v>
      </c>
      <c r="B64" s="64" t="s">
        <v>18</v>
      </c>
      <c r="C64" s="65">
        <v>-4.0</v>
      </c>
      <c r="D64" s="66">
        <f t="shared" si="3"/>
        <v>-2360</v>
      </c>
      <c r="E64" s="56" t="s">
        <v>30</v>
      </c>
      <c r="F64" s="58">
        <f t="shared" si="22"/>
        <v>237</v>
      </c>
      <c r="G64" s="58">
        <f t="shared" ref="G64:M64" si="57">SUMIFS($C64,$B64,G$8)+G63</f>
        <v>133</v>
      </c>
      <c r="H64" s="58">
        <f t="shared" si="57"/>
        <v>48</v>
      </c>
      <c r="I64" s="58">
        <f t="shared" si="57"/>
        <v>33</v>
      </c>
      <c r="J64" s="58">
        <f t="shared" si="57"/>
        <v>0</v>
      </c>
      <c r="K64" s="58">
        <f t="shared" si="57"/>
        <v>0</v>
      </c>
      <c r="L64" s="58">
        <f t="shared" si="57"/>
        <v>0</v>
      </c>
      <c r="M64" s="58">
        <f t="shared" si="57"/>
        <v>0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0" customHeight="1">
      <c r="A65" s="70"/>
      <c r="B65" s="64" t="s">
        <v>9</v>
      </c>
      <c r="C65" s="65">
        <v>46.0</v>
      </c>
      <c r="D65" s="66">
        <f t="shared" si="3"/>
        <v>27140</v>
      </c>
      <c r="E65" s="67"/>
      <c r="F65" s="58">
        <f t="shared" si="22"/>
        <v>283</v>
      </c>
      <c r="G65" s="58">
        <f>SUMIFS($C65,$B65,G$8)+G61</f>
        <v>137</v>
      </c>
      <c r="H65" s="58">
        <f t="shared" ref="H65:M65" si="58">SUMIFS($C65,$B65,H$8)+H64</f>
        <v>48</v>
      </c>
      <c r="I65" s="58">
        <f t="shared" si="58"/>
        <v>33</v>
      </c>
      <c r="J65" s="58">
        <f t="shared" si="58"/>
        <v>0</v>
      </c>
      <c r="K65" s="58">
        <f t="shared" si="58"/>
        <v>0</v>
      </c>
      <c r="L65" s="58">
        <f t="shared" si="58"/>
        <v>0</v>
      </c>
      <c r="M65" s="58">
        <f t="shared" si="58"/>
        <v>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0" customHeight="1">
      <c r="A66" s="70"/>
      <c r="B66" s="64" t="s">
        <v>13</v>
      </c>
      <c r="C66" s="65">
        <v>9.0</v>
      </c>
      <c r="D66" s="66">
        <f t="shared" si="3"/>
        <v>5310</v>
      </c>
      <c r="E66" s="56" t="s">
        <v>74</v>
      </c>
      <c r="F66" s="58">
        <f t="shared" si="22"/>
        <v>283</v>
      </c>
      <c r="G66" s="58">
        <f t="shared" ref="G66:M66" si="59">SUMIFS($C66,$B66,G$8)+G65</f>
        <v>137</v>
      </c>
      <c r="H66" s="58">
        <f t="shared" si="59"/>
        <v>57</v>
      </c>
      <c r="I66" s="58">
        <f t="shared" si="59"/>
        <v>33</v>
      </c>
      <c r="J66" s="58">
        <f t="shared" si="59"/>
        <v>0</v>
      </c>
      <c r="K66" s="58">
        <f t="shared" si="59"/>
        <v>0</v>
      </c>
      <c r="L66" s="58">
        <f t="shared" si="59"/>
        <v>0</v>
      </c>
      <c r="M66" s="58">
        <f t="shared" si="59"/>
        <v>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0" customHeight="1">
      <c r="A67" s="70"/>
      <c r="B67" s="64" t="s">
        <v>9</v>
      </c>
      <c r="C67" s="65">
        <v>-9.0</v>
      </c>
      <c r="D67" s="66">
        <f t="shared" si="3"/>
        <v>-5310</v>
      </c>
      <c r="E67" s="56" t="s">
        <v>43</v>
      </c>
      <c r="F67" s="58">
        <f t="shared" si="22"/>
        <v>274</v>
      </c>
      <c r="G67" s="58">
        <f>SUMIFS($C67,$B67,G$8)+G63</f>
        <v>137</v>
      </c>
      <c r="H67" s="58">
        <f t="shared" ref="H67:M67" si="60">SUMIFS($C67,$B67,H$8)+H66</f>
        <v>57</v>
      </c>
      <c r="I67" s="58">
        <f t="shared" si="60"/>
        <v>33</v>
      </c>
      <c r="J67" s="58">
        <f t="shared" si="60"/>
        <v>0</v>
      </c>
      <c r="K67" s="58">
        <f t="shared" si="60"/>
        <v>0</v>
      </c>
      <c r="L67" s="58">
        <f t="shared" si="60"/>
        <v>0</v>
      </c>
      <c r="M67" s="58">
        <f t="shared" si="60"/>
        <v>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0" customHeight="1">
      <c r="A68" s="70"/>
      <c r="B68" s="64" t="s">
        <v>16</v>
      </c>
      <c r="C68" s="65">
        <v>6.0</v>
      </c>
      <c r="D68" s="66">
        <f t="shared" si="3"/>
        <v>3540</v>
      </c>
      <c r="E68" s="56" t="s">
        <v>76</v>
      </c>
      <c r="F68" s="58">
        <f t="shared" si="22"/>
        <v>274</v>
      </c>
      <c r="G68" s="58">
        <f t="shared" ref="G68:M68" si="61">SUMIFS($C68,$B68,G$8)+G67</f>
        <v>137</v>
      </c>
      <c r="H68" s="58">
        <f t="shared" si="61"/>
        <v>57</v>
      </c>
      <c r="I68" s="58">
        <f t="shared" si="61"/>
        <v>39</v>
      </c>
      <c r="J68" s="58">
        <f t="shared" si="61"/>
        <v>0</v>
      </c>
      <c r="K68" s="58">
        <f t="shared" si="61"/>
        <v>0</v>
      </c>
      <c r="L68" s="58">
        <f t="shared" si="61"/>
        <v>0</v>
      </c>
      <c r="M68" s="58">
        <f t="shared" si="61"/>
        <v>0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0" customHeight="1">
      <c r="A69" s="70"/>
      <c r="B69" s="64" t="s">
        <v>9</v>
      </c>
      <c r="C69" s="65">
        <v>-6.0</v>
      </c>
      <c r="D69" s="66">
        <f t="shared" si="3"/>
        <v>-3540</v>
      </c>
      <c r="E69" s="56" t="s">
        <v>45</v>
      </c>
      <c r="F69" s="58">
        <f t="shared" si="22"/>
        <v>268</v>
      </c>
      <c r="G69" s="58">
        <f>SUMIFS($C69,$B69,G$8)+G65</f>
        <v>137</v>
      </c>
      <c r="H69" s="58">
        <f t="shared" ref="H69:M69" si="62">SUMIFS($C69,$B69,H$8)+H68</f>
        <v>57</v>
      </c>
      <c r="I69" s="58">
        <f t="shared" si="62"/>
        <v>39</v>
      </c>
      <c r="J69" s="58">
        <f t="shared" si="62"/>
        <v>0</v>
      </c>
      <c r="K69" s="58">
        <f t="shared" si="62"/>
        <v>0</v>
      </c>
      <c r="L69" s="58">
        <f t="shared" si="62"/>
        <v>0</v>
      </c>
      <c r="M69" s="58">
        <f t="shared" si="62"/>
        <v>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0" customHeight="1">
      <c r="A70" s="70"/>
      <c r="B70" s="64" t="s">
        <v>9</v>
      </c>
      <c r="C70" s="65">
        <v>-1.0</v>
      </c>
      <c r="D70" s="66">
        <f t="shared" si="3"/>
        <v>-590</v>
      </c>
      <c r="E70" s="63" t="s">
        <v>38</v>
      </c>
      <c r="F70" s="58">
        <f t="shared" si="22"/>
        <v>267</v>
      </c>
      <c r="G70" s="58">
        <f t="shared" ref="G70:M70" si="63">SUMIFS($C70,$B70,G$8)+G69</f>
        <v>137</v>
      </c>
      <c r="H70" s="58">
        <f t="shared" si="63"/>
        <v>57</v>
      </c>
      <c r="I70" s="58">
        <f t="shared" si="63"/>
        <v>39</v>
      </c>
      <c r="J70" s="58">
        <f t="shared" si="63"/>
        <v>0</v>
      </c>
      <c r="K70" s="58">
        <f t="shared" si="63"/>
        <v>0</v>
      </c>
      <c r="L70" s="58">
        <f t="shared" si="63"/>
        <v>0</v>
      </c>
      <c r="M70" s="58">
        <f t="shared" si="63"/>
        <v>0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0" customHeight="1">
      <c r="A71" s="70"/>
      <c r="B71" s="71"/>
      <c r="C71" s="66"/>
      <c r="D71" s="66">
        <f t="shared" si="3"/>
        <v>0</v>
      </c>
      <c r="E71" s="67"/>
      <c r="F71" s="58">
        <f t="shared" si="22"/>
        <v>267</v>
      </c>
      <c r="G71" s="58">
        <f>SUMIFS($C71,$B71,G$8)+G67</f>
        <v>137</v>
      </c>
      <c r="H71" s="58">
        <f t="shared" ref="H71:M71" si="64">SUMIFS($C71,$B71,H$8)+H70</f>
        <v>57</v>
      </c>
      <c r="I71" s="58">
        <f t="shared" si="64"/>
        <v>39</v>
      </c>
      <c r="J71" s="58">
        <f t="shared" si="64"/>
        <v>0</v>
      </c>
      <c r="K71" s="58">
        <f t="shared" si="64"/>
        <v>0</v>
      </c>
      <c r="L71" s="58">
        <f t="shared" si="64"/>
        <v>0</v>
      </c>
      <c r="M71" s="58">
        <f t="shared" si="64"/>
        <v>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0" customHeight="1">
      <c r="A72" s="68">
        <v>46126.0</v>
      </c>
      <c r="B72" s="64" t="s">
        <v>18</v>
      </c>
      <c r="C72" s="65">
        <v>-4.0</v>
      </c>
      <c r="D72" s="66">
        <f t="shared" si="3"/>
        <v>-2360</v>
      </c>
      <c r="E72" s="56" t="s">
        <v>30</v>
      </c>
      <c r="F72" s="58">
        <f t="shared" si="22"/>
        <v>267</v>
      </c>
      <c r="G72" s="58">
        <f t="shared" ref="G72:M72" si="65">SUMIFS($C72,$B72,G$8)+G71</f>
        <v>133</v>
      </c>
      <c r="H72" s="58">
        <f t="shared" si="65"/>
        <v>57</v>
      </c>
      <c r="I72" s="58">
        <f t="shared" si="65"/>
        <v>39</v>
      </c>
      <c r="J72" s="58">
        <f t="shared" si="65"/>
        <v>0</v>
      </c>
      <c r="K72" s="58">
        <f t="shared" si="65"/>
        <v>0</v>
      </c>
      <c r="L72" s="58">
        <f t="shared" si="65"/>
        <v>0</v>
      </c>
      <c r="M72" s="58">
        <f t="shared" si="65"/>
        <v>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0" customHeight="1">
      <c r="A73" s="70"/>
      <c r="B73" s="64" t="s">
        <v>9</v>
      </c>
      <c r="C73" s="65">
        <v>47.0</v>
      </c>
      <c r="D73" s="66">
        <f t="shared" si="3"/>
        <v>27730</v>
      </c>
      <c r="E73" s="67"/>
      <c r="F73" s="58">
        <f t="shared" si="22"/>
        <v>314</v>
      </c>
      <c r="G73" s="58">
        <f>SUMIFS($C73,$B73,G$8)+G69</f>
        <v>137</v>
      </c>
      <c r="H73" s="58">
        <f t="shared" ref="H73:M73" si="66">SUMIFS($C73,$B73,H$8)+H72</f>
        <v>57</v>
      </c>
      <c r="I73" s="58">
        <f t="shared" si="66"/>
        <v>39</v>
      </c>
      <c r="J73" s="58">
        <f t="shared" si="66"/>
        <v>0</v>
      </c>
      <c r="K73" s="58">
        <f t="shared" si="66"/>
        <v>0</v>
      </c>
      <c r="L73" s="58">
        <f t="shared" si="66"/>
        <v>0</v>
      </c>
      <c r="M73" s="58">
        <f t="shared" si="66"/>
        <v>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0" customHeight="1">
      <c r="A74" s="70"/>
      <c r="B74" s="64" t="s">
        <v>13</v>
      </c>
      <c r="C74" s="65">
        <v>9.0</v>
      </c>
      <c r="D74" s="66">
        <f t="shared" si="3"/>
        <v>5310</v>
      </c>
      <c r="E74" s="56" t="s">
        <v>81</v>
      </c>
      <c r="F74" s="58">
        <f t="shared" si="22"/>
        <v>314</v>
      </c>
      <c r="G74" s="58">
        <f t="shared" ref="G74:M74" si="67">SUMIFS($C74,$B74,G$8)+G73</f>
        <v>137</v>
      </c>
      <c r="H74" s="58">
        <f t="shared" si="67"/>
        <v>66</v>
      </c>
      <c r="I74" s="58">
        <f t="shared" si="67"/>
        <v>39</v>
      </c>
      <c r="J74" s="58">
        <f t="shared" si="67"/>
        <v>0</v>
      </c>
      <c r="K74" s="58">
        <f t="shared" si="67"/>
        <v>0</v>
      </c>
      <c r="L74" s="58">
        <f t="shared" si="67"/>
        <v>0</v>
      </c>
      <c r="M74" s="58">
        <f t="shared" si="67"/>
        <v>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0" customHeight="1">
      <c r="A75" s="70"/>
      <c r="B75" s="64" t="s">
        <v>9</v>
      </c>
      <c r="C75" s="65">
        <v>-9.0</v>
      </c>
      <c r="D75" s="66">
        <f t="shared" si="3"/>
        <v>-5310</v>
      </c>
      <c r="E75" s="56" t="s">
        <v>43</v>
      </c>
      <c r="F75" s="58">
        <f t="shared" si="22"/>
        <v>305</v>
      </c>
      <c r="G75" s="58">
        <f>SUMIFS($C75,$B75,G$8)+G71</f>
        <v>137</v>
      </c>
      <c r="H75" s="58">
        <f t="shared" ref="H75:M75" si="68">SUMIFS($C75,$B75,H$8)+H74</f>
        <v>66</v>
      </c>
      <c r="I75" s="58">
        <f t="shared" si="68"/>
        <v>39</v>
      </c>
      <c r="J75" s="58">
        <f t="shared" si="68"/>
        <v>0</v>
      </c>
      <c r="K75" s="58">
        <f t="shared" si="68"/>
        <v>0</v>
      </c>
      <c r="L75" s="58">
        <f t="shared" si="68"/>
        <v>0</v>
      </c>
      <c r="M75" s="58">
        <f t="shared" si="68"/>
        <v>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0" customHeight="1">
      <c r="A76" s="70"/>
      <c r="B76" s="64" t="s">
        <v>16</v>
      </c>
      <c r="C76" s="65">
        <v>6.0</v>
      </c>
      <c r="D76" s="66">
        <f t="shared" si="3"/>
        <v>3540</v>
      </c>
      <c r="E76" s="56" t="s">
        <v>83</v>
      </c>
      <c r="F76" s="58">
        <f t="shared" si="22"/>
        <v>305</v>
      </c>
      <c r="G76" s="58">
        <f t="shared" ref="G76:M76" si="69">SUMIFS($C76,$B76,G$8)+G75</f>
        <v>137</v>
      </c>
      <c r="H76" s="58">
        <f t="shared" si="69"/>
        <v>66</v>
      </c>
      <c r="I76" s="58">
        <f t="shared" si="69"/>
        <v>45</v>
      </c>
      <c r="J76" s="58">
        <f t="shared" si="69"/>
        <v>0</v>
      </c>
      <c r="K76" s="58">
        <f t="shared" si="69"/>
        <v>0</v>
      </c>
      <c r="L76" s="58">
        <f t="shared" si="69"/>
        <v>0</v>
      </c>
      <c r="M76" s="58">
        <f t="shared" si="69"/>
        <v>0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0" customHeight="1">
      <c r="A77" s="70"/>
      <c r="B77" s="64" t="s">
        <v>9</v>
      </c>
      <c r="C77" s="65">
        <v>-6.0</v>
      </c>
      <c r="D77" s="66">
        <f t="shared" si="3"/>
        <v>-3540</v>
      </c>
      <c r="E77" s="56" t="s">
        <v>45</v>
      </c>
      <c r="F77" s="58">
        <f t="shared" si="22"/>
        <v>299</v>
      </c>
      <c r="G77" s="58">
        <f>SUMIFS($C77,$B77,G$8)+G73</f>
        <v>137</v>
      </c>
      <c r="H77" s="58">
        <f t="shared" ref="H77:M77" si="70">SUMIFS($C77,$B77,H$8)+H76</f>
        <v>66</v>
      </c>
      <c r="I77" s="58">
        <f t="shared" si="70"/>
        <v>45</v>
      </c>
      <c r="J77" s="58">
        <f t="shared" si="70"/>
        <v>0</v>
      </c>
      <c r="K77" s="58">
        <f t="shared" si="70"/>
        <v>0</v>
      </c>
      <c r="L77" s="58">
        <f t="shared" si="70"/>
        <v>0</v>
      </c>
      <c r="M77" s="58">
        <f t="shared" si="70"/>
        <v>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0" customHeight="1">
      <c r="A78" s="70"/>
      <c r="B78" s="64"/>
      <c r="C78" s="66"/>
      <c r="D78" s="66">
        <f t="shared" si="3"/>
        <v>0</v>
      </c>
      <c r="E78" s="67"/>
      <c r="F78" s="58">
        <f t="shared" si="22"/>
        <v>299</v>
      </c>
      <c r="G78" s="58">
        <f t="shared" ref="G78:M78" si="71">SUMIFS($C78,$B78,G$8)+G77</f>
        <v>137</v>
      </c>
      <c r="H78" s="58">
        <f t="shared" si="71"/>
        <v>66</v>
      </c>
      <c r="I78" s="58">
        <f t="shared" si="71"/>
        <v>45</v>
      </c>
      <c r="J78" s="58">
        <f t="shared" si="71"/>
        <v>0</v>
      </c>
      <c r="K78" s="58">
        <f t="shared" si="71"/>
        <v>0</v>
      </c>
      <c r="L78" s="58">
        <f t="shared" si="71"/>
        <v>0</v>
      </c>
      <c r="M78" s="58">
        <f t="shared" si="71"/>
        <v>0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0" customHeight="1">
      <c r="A79" s="68">
        <v>46127.0</v>
      </c>
      <c r="B79" s="64" t="s">
        <v>18</v>
      </c>
      <c r="C79" s="65">
        <v>-4.0</v>
      </c>
      <c r="D79" s="66">
        <f t="shared" si="3"/>
        <v>-2360</v>
      </c>
      <c r="E79" s="56" t="s">
        <v>30</v>
      </c>
      <c r="F79" s="58">
        <f t="shared" si="22"/>
        <v>299</v>
      </c>
      <c r="G79" s="58">
        <f>SUMIFS($C79,$B79,G$8)+G75</f>
        <v>133</v>
      </c>
      <c r="H79" s="58">
        <f t="shared" ref="H79:M79" si="72">SUMIFS($C79,$B79,H$8)+H78</f>
        <v>66</v>
      </c>
      <c r="I79" s="58">
        <f t="shared" si="72"/>
        <v>45</v>
      </c>
      <c r="J79" s="58">
        <f t="shared" si="72"/>
        <v>0</v>
      </c>
      <c r="K79" s="58">
        <f t="shared" si="72"/>
        <v>0</v>
      </c>
      <c r="L79" s="58">
        <f t="shared" si="72"/>
        <v>0</v>
      </c>
      <c r="M79" s="58">
        <f t="shared" si="72"/>
        <v>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0" customHeight="1">
      <c r="A80" s="70"/>
      <c r="B80" s="64" t="s">
        <v>9</v>
      </c>
      <c r="C80" s="65">
        <v>35.0</v>
      </c>
      <c r="D80" s="66">
        <f t="shared" si="3"/>
        <v>20650</v>
      </c>
      <c r="E80" s="67"/>
      <c r="F80" s="58">
        <f t="shared" si="22"/>
        <v>334</v>
      </c>
      <c r="G80" s="58">
        <f t="shared" ref="G80:M80" si="73">SUMIFS($C80,$B80,G$8)+G79</f>
        <v>133</v>
      </c>
      <c r="H80" s="58">
        <f t="shared" si="73"/>
        <v>66</v>
      </c>
      <c r="I80" s="58">
        <f t="shared" si="73"/>
        <v>45</v>
      </c>
      <c r="J80" s="58">
        <f t="shared" si="73"/>
        <v>0</v>
      </c>
      <c r="K80" s="58">
        <f t="shared" si="73"/>
        <v>0</v>
      </c>
      <c r="L80" s="58">
        <f t="shared" si="73"/>
        <v>0</v>
      </c>
      <c r="M80" s="58">
        <f t="shared" si="73"/>
        <v>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0" customHeight="1">
      <c r="A81" s="70"/>
      <c r="B81" s="64" t="s">
        <v>13</v>
      </c>
      <c r="C81" s="65">
        <v>9.0</v>
      </c>
      <c r="D81" s="66">
        <f t="shared" si="3"/>
        <v>5310</v>
      </c>
      <c r="E81" s="56" t="s">
        <v>88</v>
      </c>
      <c r="F81" s="58">
        <f t="shared" si="22"/>
        <v>334</v>
      </c>
      <c r="G81" s="58">
        <f>SUMIFS($C81,$B81,G$8)+G77</f>
        <v>137</v>
      </c>
      <c r="H81" s="58">
        <f t="shared" ref="H81:M81" si="74">SUMIFS($C81,$B81,H$8)+H80</f>
        <v>75</v>
      </c>
      <c r="I81" s="58">
        <f t="shared" si="74"/>
        <v>45</v>
      </c>
      <c r="J81" s="58">
        <f t="shared" si="74"/>
        <v>0</v>
      </c>
      <c r="K81" s="58">
        <f t="shared" si="74"/>
        <v>0</v>
      </c>
      <c r="L81" s="58">
        <f t="shared" si="74"/>
        <v>0</v>
      </c>
      <c r="M81" s="58">
        <f t="shared" si="74"/>
        <v>0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0" customHeight="1">
      <c r="A82" s="70"/>
      <c r="B82" s="64" t="s">
        <v>9</v>
      </c>
      <c r="C82" s="65">
        <v>-9.0</v>
      </c>
      <c r="D82" s="66">
        <f t="shared" si="3"/>
        <v>-5310</v>
      </c>
      <c r="E82" s="56" t="s">
        <v>43</v>
      </c>
      <c r="F82" s="58">
        <f t="shared" si="22"/>
        <v>325</v>
      </c>
      <c r="G82" s="58">
        <f t="shared" ref="G82:M82" si="75">SUMIFS($C82,$B82,G$8)+G81</f>
        <v>137</v>
      </c>
      <c r="H82" s="58">
        <f t="shared" si="75"/>
        <v>75</v>
      </c>
      <c r="I82" s="58">
        <f t="shared" si="75"/>
        <v>45</v>
      </c>
      <c r="J82" s="58">
        <f t="shared" si="75"/>
        <v>0</v>
      </c>
      <c r="K82" s="58">
        <f t="shared" si="75"/>
        <v>0</v>
      </c>
      <c r="L82" s="58">
        <f t="shared" si="75"/>
        <v>0</v>
      </c>
      <c r="M82" s="58">
        <f t="shared" si="75"/>
        <v>0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0" customHeight="1">
      <c r="A83" s="70"/>
      <c r="B83" s="64" t="s">
        <v>16</v>
      </c>
      <c r="C83" s="65">
        <v>6.0</v>
      </c>
      <c r="D83" s="66">
        <f t="shared" si="3"/>
        <v>3540</v>
      </c>
      <c r="E83" s="56" t="s">
        <v>91</v>
      </c>
      <c r="F83" s="58">
        <f t="shared" si="22"/>
        <v>325</v>
      </c>
      <c r="G83" s="58">
        <f>SUMIFS($C83,$B83,G$8)+G79</f>
        <v>133</v>
      </c>
      <c r="H83" s="58">
        <f t="shared" ref="H83:M83" si="76">SUMIFS($C83,$B83,H$8)+H82</f>
        <v>75</v>
      </c>
      <c r="I83" s="58">
        <f t="shared" si="76"/>
        <v>51</v>
      </c>
      <c r="J83" s="58">
        <f t="shared" si="76"/>
        <v>0</v>
      </c>
      <c r="K83" s="58">
        <f t="shared" si="76"/>
        <v>0</v>
      </c>
      <c r="L83" s="58">
        <f t="shared" si="76"/>
        <v>0</v>
      </c>
      <c r="M83" s="58">
        <f t="shared" si="76"/>
        <v>0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0" customHeight="1">
      <c r="A84" s="70"/>
      <c r="B84" s="64" t="s">
        <v>9</v>
      </c>
      <c r="C84" s="65">
        <v>-6.0</v>
      </c>
      <c r="D84" s="66">
        <f t="shared" si="3"/>
        <v>-3540</v>
      </c>
      <c r="E84" s="56" t="s">
        <v>45</v>
      </c>
      <c r="F84" s="58">
        <f t="shared" si="22"/>
        <v>319</v>
      </c>
      <c r="G84" s="58">
        <f t="shared" ref="G84:M84" si="77">SUMIFS($C84,$B84,G$8)+G83</f>
        <v>133</v>
      </c>
      <c r="H84" s="58">
        <f t="shared" si="77"/>
        <v>75</v>
      </c>
      <c r="I84" s="58">
        <f t="shared" si="77"/>
        <v>51</v>
      </c>
      <c r="J84" s="58">
        <f t="shared" si="77"/>
        <v>0</v>
      </c>
      <c r="K84" s="58">
        <f t="shared" si="77"/>
        <v>0</v>
      </c>
      <c r="L84" s="58">
        <f t="shared" si="77"/>
        <v>0</v>
      </c>
      <c r="M84" s="58">
        <f t="shared" si="77"/>
        <v>0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0" customHeight="1">
      <c r="A85" s="70"/>
      <c r="B85" s="64" t="s">
        <v>9</v>
      </c>
      <c r="C85" s="65">
        <v>-1.0</v>
      </c>
      <c r="D85" s="66">
        <f t="shared" si="3"/>
        <v>-590</v>
      </c>
      <c r="E85" s="63" t="s">
        <v>38</v>
      </c>
      <c r="F85" s="58">
        <f t="shared" si="22"/>
        <v>318</v>
      </c>
      <c r="G85" s="58">
        <f>SUMIFS($C85,$B85,G$8)+G81</f>
        <v>137</v>
      </c>
      <c r="H85" s="58">
        <f t="shared" ref="H85:M85" si="78">SUMIFS($C85,$B85,H$8)+H84</f>
        <v>75</v>
      </c>
      <c r="I85" s="58">
        <f t="shared" si="78"/>
        <v>51</v>
      </c>
      <c r="J85" s="58">
        <f t="shared" si="78"/>
        <v>0</v>
      </c>
      <c r="K85" s="58">
        <f t="shared" si="78"/>
        <v>0</v>
      </c>
      <c r="L85" s="58">
        <f t="shared" si="78"/>
        <v>0</v>
      </c>
      <c r="M85" s="58">
        <f t="shared" si="78"/>
        <v>0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0" customHeight="1">
      <c r="A86" s="70"/>
      <c r="B86" s="71"/>
      <c r="C86" s="66"/>
      <c r="D86" s="66">
        <f t="shared" si="3"/>
        <v>0</v>
      </c>
      <c r="E86" s="67"/>
      <c r="F86" s="58">
        <f t="shared" si="22"/>
        <v>318</v>
      </c>
      <c r="G86" s="58">
        <f t="shared" ref="G86:M86" si="79">SUMIFS($C86,$B86,G$8)+G85</f>
        <v>137</v>
      </c>
      <c r="H86" s="58">
        <f t="shared" si="79"/>
        <v>75</v>
      </c>
      <c r="I86" s="58">
        <f t="shared" si="79"/>
        <v>51</v>
      </c>
      <c r="J86" s="58">
        <f t="shared" si="79"/>
        <v>0</v>
      </c>
      <c r="K86" s="58">
        <f t="shared" si="79"/>
        <v>0</v>
      </c>
      <c r="L86" s="58">
        <f t="shared" si="79"/>
        <v>0</v>
      </c>
      <c r="M86" s="58">
        <f t="shared" si="79"/>
        <v>0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0" customHeight="1">
      <c r="A87" s="68">
        <v>46128.0</v>
      </c>
      <c r="B87" s="64" t="s">
        <v>18</v>
      </c>
      <c r="C87" s="65">
        <v>-4.0</v>
      </c>
      <c r="D87" s="66">
        <f t="shared" si="3"/>
        <v>-2360</v>
      </c>
      <c r="E87" s="56" t="s">
        <v>30</v>
      </c>
      <c r="F87" s="58">
        <f t="shared" si="22"/>
        <v>318</v>
      </c>
      <c r="G87" s="58">
        <f>SUMIFS($C87,$B87,G$8)+G83</f>
        <v>129</v>
      </c>
      <c r="H87" s="58">
        <f t="shared" ref="H87:M87" si="80">SUMIFS($C87,$B87,H$8)+H86</f>
        <v>75</v>
      </c>
      <c r="I87" s="58">
        <f t="shared" si="80"/>
        <v>51</v>
      </c>
      <c r="J87" s="58">
        <f t="shared" si="80"/>
        <v>0</v>
      </c>
      <c r="K87" s="58">
        <f t="shared" si="80"/>
        <v>0</v>
      </c>
      <c r="L87" s="58">
        <f t="shared" si="80"/>
        <v>0</v>
      </c>
      <c r="M87" s="58">
        <f t="shared" si="80"/>
        <v>0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0" customHeight="1">
      <c r="A88" s="70"/>
      <c r="B88" s="64" t="s">
        <v>9</v>
      </c>
      <c r="C88" s="65">
        <v>36.0</v>
      </c>
      <c r="D88" s="66">
        <f t="shared" si="3"/>
        <v>21240</v>
      </c>
      <c r="E88" s="67"/>
      <c r="F88" s="58">
        <f t="shared" si="22"/>
        <v>354</v>
      </c>
      <c r="G88" s="58">
        <f t="shared" ref="G88:M88" si="81">SUMIFS($C88,$B88,G$8)+G87</f>
        <v>129</v>
      </c>
      <c r="H88" s="58">
        <f t="shared" si="81"/>
        <v>75</v>
      </c>
      <c r="I88" s="58">
        <f t="shared" si="81"/>
        <v>51</v>
      </c>
      <c r="J88" s="58">
        <f t="shared" si="81"/>
        <v>0</v>
      </c>
      <c r="K88" s="58">
        <f t="shared" si="81"/>
        <v>0</v>
      </c>
      <c r="L88" s="58">
        <f t="shared" si="81"/>
        <v>0</v>
      </c>
      <c r="M88" s="58">
        <f t="shared" si="81"/>
        <v>0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0" customHeight="1">
      <c r="A89" s="70"/>
      <c r="B89" s="64" t="s">
        <v>13</v>
      </c>
      <c r="C89" s="65">
        <v>9.0</v>
      </c>
      <c r="D89" s="66">
        <f t="shared" si="3"/>
        <v>5310</v>
      </c>
      <c r="E89" s="56" t="s">
        <v>94</v>
      </c>
      <c r="F89" s="58">
        <f t="shared" si="22"/>
        <v>354</v>
      </c>
      <c r="G89" s="58">
        <f>SUMIFS($C89,$B89,G$8)+G85</f>
        <v>137</v>
      </c>
      <c r="H89" s="58">
        <f t="shared" ref="H89:M89" si="82">SUMIFS($C89,$B89,H$8)+H88</f>
        <v>84</v>
      </c>
      <c r="I89" s="58">
        <f t="shared" si="82"/>
        <v>51</v>
      </c>
      <c r="J89" s="58">
        <f t="shared" si="82"/>
        <v>0</v>
      </c>
      <c r="K89" s="58">
        <f t="shared" si="82"/>
        <v>0</v>
      </c>
      <c r="L89" s="58">
        <f t="shared" si="82"/>
        <v>0</v>
      </c>
      <c r="M89" s="58">
        <f t="shared" si="82"/>
        <v>0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0" customHeight="1">
      <c r="A90" s="70"/>
      <c r="B90" s="64" t="s">
        <v>9</v>
      </c>
      <c r="C90" s="65">
        <v>-9.0</v>
      </c>
      <c r="D90" s="66">
        <f t="shared" si="3"/>
        <v>-5310</v>
      </c>
      <c r="E90" s="56" t="s">
        <v>43</v>
      </c>
      <c r="F90" s="58">
        <f t="shared" si="22"/>
        <v>345</v>
      </c>
      <c r="G90" s="58">
        <f t="shared" ref="G90:M90" si="83">SUMIFS($C90,$B90,G$8)+G89</f>
        <v>137</v>
      </c>
      <c r="H90" s="58">
        <f t="shared" si="83"/>
        <v>84</v>
      </c>
      <c r="I90" s="58">
        <f t="shared" si="83"/>
        <v>51</v>
      </c>
      <c r="J90" s="58">
        <f t="shared" si="83"/>
        <v>0</v>
      </c>
      <c r="K90" s="58">
        <f t="shared" si="83"/>
        <v>0</v>
      </c>
      <c r="L90" s="58">
        <f t="shared" si="83"/>
        <v>0</v>
      </c>
      <c r="M90" s="58">
        <f t="shared" si="83"/>
        <v>0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0" customHeight="1">
      <c r="A91" s="70"/>
      <c r="B91" s="64" t="s">
        <v>16</v>
      </c>
      <c r="C91" s="65">
        <v>6.0</v>
      </c>
      <c r="D91" s="66">
        <f t="shared" si="3"/>
        <v>3540</v>
      </c>
      <c r="E91" s="56" t="s">
        <v>96</v>
      </c>
      <c r="F91" s="58">
        <f t="shared" si="22"/>
        <v>345</v>
      </c>
      <c r="G91" s="58">
        <f>SUMIFS($C91,$B91,G$8)+G87</f>
        <v>129</v>
      </c>
      <c r="H91" s="58">
        <f t="shared" ref="H91:M91" si="84">SUMIFS($C91,$B91,H$8)+H90</f>
        <v>84</v>
      </c>
      <c r="I91" s="58">
        <f t="shared" si="84"/>
        <v>57</v>
      </c>
      <c r="J91" s="58">
        <f t="shared" si="84"/>
        <v>0</v>
      </c>
      <c r="K91" s="58">
        <f t="shared" si="84"/>
        <v>0</v>
      </c>
      <c r="L91" s="58">
        <f t="shared" si="84"/>
        <v>0</v>
      </c>
      <c r="M91" s="58">
        <f t="shared" si="84"/>
        <v>0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0" customHeight="1">
      <c r="A92" s="70"/>
      <c r="B92" s="64" t="s">
        <v>9</v>
      </c>
      <c r="C92" s="65">
        <v>-6.0</v>
      </c>
      <c r="D92" s="66">
        <f t="shared" si="3"/>
        <v>-3540</v>
      </c>
      <c r="E92" s="56" t="s">
        <v>45</v>
      </c>
      <c r="F92" s="58">
        <f t="shared" si="22"/>
        <v>339</v>
      </c>
      <c r="G92" s="58">
        <f t="shared" ref="G92:M92" si="85">SUMIFS($C92,$B92,G$8)+G91</f>
        <v>129</v>
      </c>
      <c r="H92" s="58">
        <f t="shared" si="85"/>
        <v>84</v>
      </c>
      <c r="I92" s="58">
        <f t="shared" si="85"/>
        <v>57</v>
      </c>
      <c r="J92" s="58">
        <f t="shared" si="85"/>
        <v>0</v>
      </c>
      <c r="K92" s="58">
        <f t="shared" si="85"/>
        <v>0</v>
      </c>
      <c r="L92" s="58">
        <f t="shared" si="85"/>
        <v>0</v>
      </c>
      <c r="M92" s="58">
        <f t="shared" si="85"/>
        <v>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0" customHeight="1">
      <c r="A93" s="70"/>
      <c r="B93" s="71"/>
      <c r="C93" s="66"/>
      <c r="D93" s="66">
        <f t="shared" si="3"/>
        <v>0</v>
      </c>
      <c r="E93" s="67"/>
      <c r="F93" s="58">
        <f t="shared" si="22"/>
        <v>339</v>
      </c>
      <c r="G93" s="58">
        <f>SUMIFS($C93,$B93,G$8)+G89</f>
        <v>137</v>
      </c>
      <c r="H93" s="58">
        <f t="shared" ref="H93:M93" si="86">SUMIFS($C93,$B93,H$8)+H92</f>
        <v>84</v>
      </c>
      <c r="I93" s="58">
        <f t="shared" si="86"/>
        <v>57</v>
      </c>
      <c r="J93" s="58">
        <f t="shared" si="86"/>
        <v>0</v>
      </c>
      <c r="K93" s="58">
        <f t="shared" si="86"/>
        <v>0</v>
      </c>
      <c r="L93" s="58">
        <f t="shared" si="86"/>
        <v>0</v>
      </c>
      <c r="M93" s="58">
        <f t="shared" si="86"/>
        <v>0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0" customHeight="1">
      <c r="A94" s="68">
        <v>46129.0</v>
      </c>
      <c r="B94" s="64" t="s">
        <v>16</v>
      </c>
      <c r="C94" s="65">
        <v>6.0</v>
      </c>
      <c r="D94" s="66">
        <f t="shared" si="3"/>
        <v>3540</v>
      </c>
      <c r="E94" s="56" t="s">
        <v>98</v>
      </c>
      <c r="F94" s="58">
        <f t="shared" si="22"/>
        <v>339</v>
      </c>
      <c r="G94" s="58">
        <f t="shared" ref="G94:M94" si="87">SUMIFS($C94,$B94,G$8)+G93</f>
        <v>137</v>
      </c>
      <c r="H94" s="58">
        <f t="shared" si="87"/>
        <v>84</v>
      </c>
      <c r="I94" s="58">
        <f t="shared" si="87"/>
        <v>63</v>
      </c>
      <c r="J94" s="58">
        <f t="shared" si="87"/>
        <v>0</v>
      </c>
      <c r="K94" s="58">
        <f t="shared" si="87"/>
        <v>0</v>
      </c>
      <c r="L94" s="58">
        <f t="shared" si="87"/>
        <v>0</v>
      </c>
      <c r="M94" s="58">
        <f t="shared" si="87"/>
        <v>0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0" customHeight="1">
      <c r="A95" s="70"/>
      <c r="B95" s="64" t="s">
        <v>9</v>
      </c>
      <c r="C95" s="65">
        <v>-6.0</v>
      </c>
      <c r="D95" s="66">
        <f t="shared" si="3"/>
        <v>-3540</v>
      </c>
      <c r="E95" s="56" t="s">
        <v>45</v>
      </c>
      <c r="F95" s="58">
        <f t="shared" si="22"/>
        <v>333</v>
      </c>
      <c r="G95" s="58">
        <f>SUMIFS($C95,$B95,G$8)+G91</f>
        <v>129</v>
      </c>
      <c r="H95" s="58">
        <f t="shared" ref="H95:M95" si="88">SUMIFS($C95,$B95,H$8)+H94</f>
        <v>84</v>
      </c>
      <c r="I95" s="58">
        <f t="shared" si="88"/>
        <v>63</v>
      </c>
      <c r="J95" s="58">
        <f t="shared" si="88"/>
        <v>0</v>
      </c>
      <c r="K95" s="58">
        <f t="shared" si="88"/>
        <v>0</v>
      </c>
      <c r="L95" s="58">
        <f t="shared" si="88"/>
        <v>0</v>
      </c>
      <c r="M95" s="58">
        <f t="shared" si="88"/>
        <v>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0" customHeight="1">
      <c r="A96" s="70"/>
      <c r="B96" s="71"/>
      <c r="C96" s="66"/>
      <c r="D96" s="66">
        <f t="shared" si="3"/>
        <v>0</v>
      </c>
      <c r="E96" s="67"/>
      <c r="F96" s="58">
        <f t="shared" si="22"/>
        <v>333</v>
      </c>
      <c r="G96" s="58">
        <f t="shared" ref="G96:M96" si="89">SUMIFS($C96,$B96,G$8)+G95</f>
        <v>129</v>
      </c>
      <c r="H96" s="58">
        <f t="shared" si="89"/>
        <v>84</v>
      </c>
      <c r="I96" s="58">
        <f t="shared" si="89"/>
        <v>63</v>
      </c>
      <c r="J96" s="58">
        <f t="shared" si="89"/>
        <v>0</v>
      </c>
      <c r="K96" s="58">
        <f t="shared" si="89"/>
        <v>0</v>
      </c>
      <c r="L96" s="58">
        <f t="shared" si="89"/>
        <v>0</v>
      </c>
      <c r="M96" s="58">
        <f t="shared" si="89"/>
        <v>0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0" customHeight="1">
      <c r="A97" s="68">
        <v>46130.0</v>
      </c>
      <c r="B97" s="64" t="s">
        <v>16</v>
      </c>
      <c r="C97" s="65">
        <v>6.0</v>
      </c>
      <c r="D97" s="66">
        <f t="shared" si="3"/>
        <v>3540</v>
      </c>
      <c r="E97" s="56" t="s">
        <v>100</v>
      </c>
      <c r="F97" s="58">
        <f t="shared" si="22"/>
        <v>333</v>
      </c>
      <c r="G97" s="58">
        <f>SUMIFS($C97,$B97,G$8)+G93</f>
        <v>137</v>
      </c>
      <c r="H97" s="58">
        <f t="shared" ref="H97:M97" si="90">SUMIFS($C97,$B97,H$8)+H96</f>
        <v>84</v>
      </c>
      <c r="I97" s="58">
        <f t="shared" si="90"/>
        <v>69</v>
      </c>
      <c r="J97" s="58">
        <f t="shared" si="90"/>
        <v>0</v>
      </c>
      <c r="K97" s="58">
        <f t="shared" si="90"/>
        <v>0</v>
      </c>
      <c r="L97" s="58">
        <f t="shared" si="90"/>
        <v>0</v>
      </c>
      <c r="M97" s="58">
        <f t="shared" si="90"/>
        <v>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0" customHeight="1">
      <c r="A98" s="70"/>
      <c r="B98" s="64" t="s">
        <v>9</v>
      </c>
      <c r="C98" s="65">
        <v>-6.0</v>
      </c>
      <c r="D98" s="66">
        <f t="shared" si="3"/>
        <v>-3540</v>
      </c>
      <c r="E98" s="56" t="s">
        <v>45</v>
      </c>
      <c r="F98" s="58">
        <f t="shared" si="22"/>
        <v>327</v>
      </c>
      <c r="G98" s="58"/>
      <c r="H98" s="58">
        <f t="shared" ref="H98:M98" si="91">SUMIFS($C98,$B98,H$8)+H97</f>
        <v>84</v>
      </c>
      <c r="I98" s="58">
        <f t="shared" si="91"/>
        <v>69</v>
      </c>
      <c r="J98" s="58">
        <f t="shared" si="91"/>
        <v>0</v>
      </c>
      <c r="K98" s="58">
        <f t="shared" si="91"/>
        <v>0</v>
      </c>
      <c r="L98" s="58">
        <f t="shared" si="91"/>
        <v>0</v>
      </c>
      <c r="M98" s="58">
        <f t="shared" si="91"/>
        <v>0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0" customHeight="1">
      <c r="A99" s="70"/>
      <c r="B99" s="71"/>
      <c r="C99" s="66"/>
      <c r="D99" s="66">
        <f t="shared" si="3"/>
        <v>0</v>
      </c>
      <c r="E99" s="67"/>
      <c r="F99" s="58">
        <f t="shared" si="22"/>
        <v>327</v>
      </c>
      <c r="G99" s="58"/>
      <c r="H99" s="58">
        <f t="shared" ref="H99:M99" si="92">SUMIFS($C99,$B99,H$8)+H98</f>
        <v>84</v>
      </c>
      <c r="I99" s="58">
        <f t="shared" si="92"/>
        <v>69</v>
      </c>
      <c r="J99" s="58">
        <f t="shared" si="92"/>
        <v>0</v>
      </c>
      <c r="K99" s="58">
        <f t="shared" si="92"/>
        <v>0</v>
      </c>
      <c r="L99" s="58">
        <f t="shared" si="92"/>
        <v>0</v>
      </c>
      <c r="M99" s="58">
        <f t="shared" si="92"/>
        <v>0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0" customHeight="1">
      <c r="A100" s="68">
        <v>46132.0</v>
      </c>
      <c r="B100" s="64" t="s">
        <v>16</v>
      </c>
      <c r="C100" s="65">
        <v>6.0</v>
      </c>
      <c r="D100" s="66">
        <f t="shared" si="3"/>
        <v>3540</v>
      </c>
      <c r="E100" s="56" t="s">
        <v>103</v>
      </c>
      <c r="F100" s="58">
        <f t="shared" si="22"/>
        <v>327</v>
      </c>
      <c r="G100" s="58"/>
      <c r="H100" s="58">
        <f t="shared" ref="H100:M100" si="93">SUMIFS($C100,$B100,H$8)+H99</f>
        <v>84</v>
      </c>
      <c r="I100" s="58">
        <f t="shared" si="93"/>
        <v>75</v>
      </c>
      <c r="J100" s="58">
        <f t="shared" si="93"/>
        <v>0</v>
      </c>
      <c r="K100" s="58">
        <f t="shared" si="93"/>
        <v>0</v>
      </c>
      <c r="L100" s="58">
        <f t="shared" si="93"/>
        <v>0</v>
      </c>
      <c r="M100" s="58">
        <f t="shared" si="93"/>
        <v>0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0" customHeight="1">
      <c r="A101" s="70"/>
      <c r="B101" s="64" t="s">
        <v>9</v>
      </c>
      <c r="C101" s="65">
        <v>-6.0</v>
      </c>
      <c r="D101" s="66">
        <f t="shared" si="3"/>
        <v>-3540</v>
      </c>
      <c r="E101" s="56" t="s">
        <v>45</v>
      </c>
      <c r="F101" s="58">
        <f t="shared" si="22"/>
        <v>321</v>
      </c>
      <c r="G101" s="58"/>
      <c r="H101" s="58">
        <f t="shared" ref="H101:M101" si="94">SUMIFS($C101,$B101,H$8)+H100</f>
        <v>84</v>
      </c>
      <c r="I101" s="58">
        <f t="shared" si="94"/>
        <v>75</v>
      </c>
      <c r="J101" s="58">
        <f t="shared" si="94"/>
        <v>0</v>
      </c>
      <c r="K101" s="58">
        <f t="shared" si="94"/>
        <v>0</v>
      </c>
      <c r="L101" s="58">
        <f t="shared" si="94"/>
        <v>0</v>
      </c>
      <c r="M101" s="58">
        <f t="shared" si="94"/>
        <v>0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0" customHeight="1">
      <c r="A102" s="70"/>
      <c r="B102" s="71"/>
      <c r="C102" s="66"/>
      <c r="D102" s="66">
        <f t="shared" si="3"/>
        <v>0</v>
      </c>
      <c r="E102" s="67"/>
      <c r="F102" s="58">
        <f t="shared" si="22"/>
        <v>321</v>
      </c>
      <c r="G102" s="58"/>
      <c r="H102" s="58">
        <f t="shared" ref="H102:M102" si="95">SUMIFS($C102,$B102,H$8)+H101</f>
        <v>84</v>
      </c>
      <c r="I102" s="58">
        <f t="shared" si="95"/>
        <v>75</v>
      </c>
      <c r="J102" s="58">
        <f t="shared" si="95"/>
        <v>0</v>
      </c>
      <c r="K102" s="58">
        <f t="shared" si="95"/>
        <v>0</v>
      </c>
      <c r="L102" s="58">
        <f t="shared" si="95"/>
        <v>0</v>
      </c>
      <c r="M102" s="58">
        <f t="shared" si="95"/>
        <v>0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0" customHeight="1">
      <c r="A103" s="68">
        <v>46133.0</v>
      </c>
      <c r="B103" s="64" t="s">
        <v>16</v>
      </c>
      <c r="C103" s="65">
        <v>6.0</v>
      </c>
      <c r="D103" s="66">
        <f t="shared" si="3"/>
        <v>3540</v>
      </c>
      <c r="E103" s="75">
        <v>1.83184204207208E14</v>
      </c>
      <c r="F103" s="58">
        <f t="shared" si="22"/>
        <v>321</v>
      </c>
      <c r="G103" s="58"/>
      <c r="H103" s="58">
        <f t="shared" ref="H103:M103" si="96">SUMIFS($C103,$B103,H$8)+H102</f>
        <v>84</v>
      </c>
      <c r="I103" s="58">
        <f t="shared" si="96"/>
        <v>81</v>
      </c>
      <c r="J103" s="58">
        <f t="shared" si="96"/>
        <v>0</v>
      </c>
      <c r="K103" s="58">
        <f t="shared" si="96"/>
        <v>0</v>
      </c>
      <c r="L103" s="58">
        <f t="shared" si="96"/>
        <v>0</v>
      </c>
      <c r="M103" s="58">
        <f t="shared" si="96"/>
        <v>0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0" customHeight="1">
      <c r="A104" s="70"/>
      <c r="B104" s="64" t="s">
        <v>9</v>
      </c>
      <c r="C104" s="65">
        <v>-6.0</v>
      </c>
      <c r="D104" s="66">
        <f t="shared" si="3"/>
        <v>-3540</v>
      </c>
      <c r="E104" s="56" t="s">
        <v>45</v>
      </c>
      <c r="F104" s="58">
        <f t="shared" si="22"/>
        <v>315</v>
      </c>
      <c r="G104" s="58"/>
      <c r="H104" s="58">
        <f t="shared" ref="H104:M104" si="97">SUMIFS($C104,$B104,H$8)+H103</f>
        <v>84</v>
      </c>
      <c r="I104" s="58">
        <f t="shared" si="97"/>
        <v>81</v>
      </c>
      <c r="J104" s="58">
        <f t="shared" si="97"/>
        <v>0</v>
      </c>
      <c r="K104" s="58">
        <f t="shared" si="97"/>
        <v>0</v>
      </c>
      <c r="L104" s="58">
        <f t="shared" si="97"/>
        <v>0</v>
      </c>
      <c r="M104" s="58">
        <f t="shared" si="97"/>
        <v>0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0" customHeight="1">
      <c r="A105" s="70"/>
      <c r="B105" s="71"/>
      <c r="C105" s="66"/>
      <c r="D105" s="66">
        <f t="shared" si="3"/>
        <v>0</v>
      </c>
      <c r="E105" s="67"/>
      <c r="F105" s="58">
        <f t="shared" si="22"/>
        <v>315</v>
      </c>
      <c r="G105" s="58"/>
      <c r="H105" s="58">
        <f t="shared" ref="H105:M105" si="98">SUMIFS($C105,$B105,H$8)+H104</f>
        <v>84</v>
      </c>
      <c r="I105" s="58">
        <f t="shared" si="98"/>
        <v>81</v>
      </c>
      <c r="J105" s="58">
        <f t="shared" si="98"/>
        <v>0</v>
      </c>
      <c r="K105" s="58">
        <f t="shared" si="98"/>
        <v>0</v>
      </c>
      <c r="L105" s="58">
        <f t="shared" si="98"/>
        <v>0</v>
      </c>
      <c r="M105" s="58">
        <f t="shared" si="98"/>
        <v>0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0" customHeight="1">
      <c r="A106" s="68">
        <v>46134.0</v>
      </c>
      <c r="B106" s="64" t="s">
        <v>16</v>
      </c>
      <c r="C106" s="65">
        <v>6.0</v>
      </c>
      <c r="D106" s="66">
        <f t="shared" si="3"/>
        <v>3540</v>
      </c>
      <c r="E106" s="75">
        <v>2.03188187200199E14</v>
      </c>
      <c r="F106" s="58">
        <f t="shared" si="22"/>
        <v>315</v>
      </c>
      <c r="G106" s="58"/>
      <c r="H106" s="58">
        <f t="shared" ref="H106:M106" si="99">SUMIFS($C106,$B106,H$8)+H105</f>
        <v>84</v>
      </c>
      <c r="I106" s="58">
        <f t="shared" si="99"/>
        <v>87</v>
      </c>
      <c r="J106" s="58">
        <f t="shared" si="99"/>
        <v>0</v>
      </c>
      <c r="K106" s="58">
        <f t="shared" si="99"/>
        <v>0</v>
      </c>
      <c r="L106" s="58">
        <f t="shared" si="99"/>
        <v>0</v>
      </c>
      <c r="M106" s="58">
        <f t="shared" si="99"/>
        <v>0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0" customHeight="1">
      <c r="A107" s="70"/>
      <c r="B107" s="64" t="s">
        <v>9</v>
      </c>
      <c r="C107" s="65">
        <v>-6.0</v>
      </c>
      <c r="D107" s="66">
        <f t="shared" si="3"/>
        <v>-3540</v>
      </c>
      <c r="E107" s="56" t="s">
        <v>45</v>
      </c>
      <c r="F107" s="58">
        <f t="shared" si="22"/>
        <v>309</v>
      </c>
      <c r="G107" s="58"/>
      <c r="H107" s="58">
        <f t="shared" ref="H107:M107" si="100">SUMIFS($C107,$B107,H$8)+H106</f>
        <v>84</v>
      </c>
      <c r="I107" s="58">
        <f t="shared" si="100"/>
        <v>87</v>
      </c>
      <c r="J107" s="58">
        <f t="shared" si="100"/>
        <v>0</v>
      </c>
      <c r="K107" s="58">
        <f t="shared" si="100"/>
        <v>0</v>
      </c>
      <c r="L107" s="58">
        <f t="shared" si="100"/>
        <v>0</v>
      </c>
      <c r="M107" s="58">
        <f t="shared" si="100"/>
        <v>0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0" customHeight="1">
      <c r="A108" s="70"/>
      <c r="B108" s="71"/>
      <c r="C108" s="66"/>
      <c r="D108" s="66">
        <f t="shared" si="3"/>
        <v>0</v>
      </c>
      <c r="E108" s="67"/>
      <c r="F108" s="58">
        <f t="shared" si="22"/>
        <v>309</v>
      </c>
      <c r="G108" s="58"/>
      <c r="H108" s="58">
        <f t="shared" ref="H108:M108" si="101">SUMIFS($C108,$B108,H$8)+H107</f>
        <v>84</v>
      </c>
      <c r="I108" s="58">
        <f t="shared" si="101"/>
        <v>87</v>
      </c>
      <c r="J108" s="58">
        <f t="shared" si="101"/>
        <v>0</v>
      </c>
      <c r="K108" s="58">
        <f t="shared" si="101"/>
        <v>0</v>
      </c>
      <c r="L108" s="58">
        <f t="shared" si="101"/>
        <v>0</v>
      </c>
      <c r="M108" s="58">
        <f t="shared" si="101"/>
        <v>0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0" customHeight="1">
      <c r="A109" s="68">
        <v>46135.0</v>
      </c>
      <c r="B109" s="64" t="s">
        <v>16</v>
      </c>
      <c r="C109" s="65">
        <v>6.0</v>
      </c>
      <c r="D109" s="66">
        <f t="shared" si="3"/>
        <v>3540</v>
      </c>
      <c r="E109" s="75">
        <v>1.97179180181182E14</v>
      </c>
      <c r="F109" s="58">
        <f t="shared" si="22"/>
        <v>309</v>
      </c>
      <c r="G109" s="58"/>
      <c r="H109" s="58">
        <f t="shared" ref="H109:M109" si="102">SUMIFS($C109,$B109,H$8)+H108</f>
        <v>84</v>
      </c>
      <c r="I109" s="58">
        <f t="shared" si="102"/>
        <v>93</v>
      </c>
      <c r="J109" s="58">
        <f t="shared" si="102"/>
        <v>0</v>
      </c>
      <c r="K109" s="58">
        <f t="shared" si="102"/>
        <v>0</v>
      </c>
      <c r="L109" s="58">
        <f t="shared" si="102"/>
        <v>0</v>
      </c>
      <c r="M109" s="58">
        <f t="shared" si="102"/>
        <v>0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0" customHeight="1">
      <c r="A110" s="70"/>
      <c r="B110" s="64" t="s">
        <v>9</v>
      </c>
      <c r="C110" s="65">
        <v>-6.0</v>
      </c>
      <c r="D110" s="66">
        <f t="shared" si="3"/>
        <v>-3540</v>
      </c>
      <c r="E110" s="56" t="s">
        <v>45</v>
      </c>
      <c r="F110" s="58">
        <f t="shared" si="22"/>
        <v>303</v>
      </c>
      <c r="G110" s="58"/>
      <c r="H110" s="58">
        <f t="shared" ref="H110:M110" si="103">SUMIFS($C110,$B110,H$8)+H109</f>
        <v>84</v>
      </c>
      <c r="I110" s="58">
        <f t="shared" si="103"/>
        <v>93</v>
      </c>
      <c r="J110" s="58">
        <f t="shared" si="103"/>
        <v>0</v>
      </c>
      <c r="K110" s="58">
        <f t="shared" si="103"/>
        <v>0</v>
      </c>
      <c r="L110" s="58">
        <f t="shared" si="103"/>
        <v>0</v>
      </c>
      <c r="M110" s="58">
        <f t="shared" si="103"/>
        <v>0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0" customHeight="1">
      <c r="A111" s="70"/>
      <c r="B111" s="64"/>
      <c r="C111" s="65"/>
      <c r="D111" s="66">
        <f t="shared" si="3"/>
        <v>0</v>
      </c>
      <c r="E111" s="67"/>
      <c r="F111" s="58">
        <f t="shared" si="22"/>
        <v>303</v>
      </c>
      <c r="G111" s="58"/>
      <c r="H111" s="58">
        <f t="shared" ref="H111:M111" si="104">SUMIFS($C111,$B111,H$8)+H110</f>
        <v>84</v>
      </c>
      <c r="I111" s="58">
        <f t="shared" si="104"/>
        <v>93</v>
      </c>
      <c r="J111" s="58">
        <f t="shared" si="104"/>
        <v>0</v>
      </c>
      <c r="K111" s="58">
        <f t="shared" si="104"/>
        <v>0</v>
      </c>
      <c r="L111" s="58">
        <f t="shared" si="104"/>
        <v>0</v>
      </c>
      <c r="M111" s="58">
        <f t="shared" si="104"/>
        <v>0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0" customHeight="1">
      <c r="A112" s="68">
        <v>46136.0</v>
      </c>
      <c r="B112" s="64" t="s">
        <v>16</v>
      </c>
      <c r="C112" s="65">
        <v>-93.0</v>
      </c>
      <c r="D112" s="66">
        <f t="shared" si="3"/>
        <v>-54870</v>
      </c>
      <c r="E112" s="56"/>
      <c r="F112" s="58">
        <f t="shared" si="22"/>
        <v>303</v>
      </c>
      <c r="G112" s="58"/>
      <c r="H112" s="58">
        <f t="shared" ref="H112:M112" si="105">SUMIFS($C112,$B112,H$8)+H111</f>
        <v>84</v>
      </c>
      <c r="I112" s="58">
        <f t="shared" si="105"/>
        <v>0</v>
      </c>
      <c r="J112" s="58">
        <f t="shared" si="105"/>
        <v>0</v>
      </c>
      <c r="K112" s="58">
        <f t="shared" si="105"/>
        <v>0</v>
      </c>
      <c r="L112" s="58">
        <f t="shared" si="105"/>
        <v>0</v>
      </c>
      <c r="M112" s="58">
        <f t="shared" si="105"/>
        <v>0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0" customHeight="1">
      <c r="A113" s="70"/>
      <c r="B113" s="64" t="s">
        <v>17</v>
      </c>
      <c r="C113" s="65">
        <v>93.0</v>
      </c>
      <c r="D113" s="66">
        <f t="shared" si="3"/>
        <v>54870</v>
      </c>
      <c r="E113" s="56" t="s">
        <v>109</v>
      </c>
      <c r="F113" s="58">
        <f t="shared" si="22"/>
        <v>303</v>
      </c>
      <c r="G113" s="58"/>
      <c r="H113" s="58">
        <f t="shared" ref="H113:M113" si="106">SUMIFS($C113,$B113,H$8)+H112</f>
        <v>84</v>
      </c>
      <c r="I113" s="58">
        <f t="shared" si="106"/>
        <v>0</v>
      </c>
      <c r="J113" s="58">
        <f t="shared" si="106"/>
        <v>93</v>
      </c>
      <c r="K113" s="58">
        <f t="shared" si="106"/>
        <v>0</v>
      </c>
      <c r="L113" s="58">
        <f t="shared" si="106"/>
        <v>0</v>
      </c>
      <c r="M113" s="58">
        <f t="shared" si="106"/>
        <v>0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0" customHeight="1">
      <c r="A114" s="70"/>
      <c r="B114" s="64" t="s">
        <v>13</v>
      </c>
      <c r="C114" s="65">
        <v>-84.0</v>
      </c>
      <c r="D114" s="66">
        <f t="shared" si="3"/>
        <v>-49560</v>
      </c>
      <c r="E114" s="67"/>
      <c r="F114" s="58">
        <f t="shared" si="22"/>
        <v>303</v>
      </c>
      <c r="G114" s="58"/>
      <c r="H114" s="58">
        <f t="shared" ref="H114:M114" si="107">SUMIFS($C114,$B114,H$8)+H113</f>
        <v>0</v>
      </c>
      <c r="I114" s="58">
        <f t="shared" si="107"/>
        <v>0</v>
      </c>
      <c r="J114" s="58">
        <f t="shared" si="107"/>
        <v>93</v>
      </c>
      <c r="K114" s="58">
        <f t="shared" si="107"/>
        <v>0</v>
      </c>
      <c r="L114" s="58">
        <f t="shared" si="107"/>
        <v>0</v>
      </c>
      <c r="M114" s="58">
        <f t="shared" si="107"/>
        <v>0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0" customHeight="1">
      <c r="A115" s="70"/>
      <c r="B115" s="64" t="s">
        <v>17</v>
      </c>
      <c r="C115" s="65">
        <v>84.0</v>
      </c>
      <c r="D115" s="66">
        <f t="shared" si="3"/>
        <v>49560</v>
      </c>
      <c r="E115" s="56" t="s">
        <v>110</v>
      </c>
      <c r="F115" s="58">
        <f t="shared" si="22"/>
        <v>303</v>
      </c>
      <c r="G115" s="58"/>
      <c r="H115" s="58">
        <f t="shared" ref="H115:M115" si="108">SUMIFS($C115,$B115,H$8)+H114</f>
        <v>0</v>
      </c>
      <c r="I115" s="58">
        <f t="shared" si="108"/>
        <v>0</v>
      </c>
      <c r="J115" s="58">
        <f t="shared" si="108"/>
        <v>177</v>
      </c>
      <c r="K115" s="58">
        <f t="shared" si="108"/>
        <v>0</v>
      </c>
      <c r="L115" s="58">
        <f t="shared" si="108"/>
        <v>0</v>
      </c>
      <c r="M115" s="58">
        <f t="shared" si="108"/>
        <v>0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0" customHeight="1">
      <c r="A116" s="70"/>
      <c r="B116" s="64" t="s">
        <v>9</v>
      </c>
      <c r="C116" s="65">
        <v>-183.0</v>
      </c>
      <c r="D116" s="66">
        <f t="shared" si="3"/>
        <v>-107970</v>
      </c>
      <c r="E116" s="67"/>
      <c r="F116" s="58">
        <f t="shared" si="22"/>
        <v>120</v>
      </c>
      <c r="G116" s="58"/>
      <c r="H116" s="58">
        <f t="shared" ref="H116:M116" si="109">SUMIFS($C116,$B116,H$8)+H115</f>
        <v>0</v>
      </c>
      <c r="I116" s="58">
        <f t="shared" si="109"/>
        <v>0</v>
      </c>
      <c r="J116" s="58">
        <f t="shared" si="109"/>
        <v>177</v>
      </c>
      <c r="K116" s="58">
        <f t="shared" si="109"/>
        <v>0</v>
      </c>
      <c r="L116" s="58">
        <f t="shared" si="109"/>
        <v>0</v>
      </c>
      <c r="M116" s="58">
        <f t="shared" si="109"/>
        <v>0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0" customHeight="1">
      <c r="A117" s="70"/>
      <c r="B117" s="64" t="s">
        <v>17</v>
      </c>
      <c r="C117" s="65">
        <v>183.0</v>
      </c>
      <c r="D117" s="66">
        <f t="shared" si="3"/>
        <v>107970</v>
      </c>
      <c r="E117" s="56" t="s">
        <v>108</v>
      </c>
      <c r="F117" s="58">
        <f t="shared" si="22"/>
        <v>120</v>
      </c>
      <c r="G117" s="58"/>
      <c r="H117" s="58">
        <f t="shared" ref="H117:M117" si="110">SUMIFS($C117,$B117,H$8)+H116</f>
        <v>0</v>
      </c>
      <c r="I117" s="58">
        <f t="shared" si="110"/>
        <v>0</v>
      </c>
      <c r="J117" s="58">
        <f t="shared" si="110"/>
        <v>360</v>
      </c>
      <c r="K117" s="58">
        <f t="shared" si="110"/>
        <v>0</v>
      </c>
      <c r="L117" s="58">
        <f t="shared" si="110"/>
        <v>0</v>
      </c>
      <c r="M117" s="58">
        <f t="shared" si="110"/>
        <v>0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0" customHeight="1">
      <c r="A118" s="70"/>
      <c r="B118" s="69"/>
      <c r="C118" s="65"/>
      <c r="D118" s="66">
        <f t="shared" si="3"/>
        <v>0</v>
      </c>
      <c r="E118" s="56"/>
      <c r="F118" s="58">
        <f t="shared" ref="F118:F119" si="112">SUMIFS($C118,$B118,F$8)+F116</f>
        <v>120</v>
      </c>
      <c r="G118" s="58"/>
      <c r="H118" s="58">
        <f t="shared" ref="H118:M118" si="111">SUMIFS($C118,$B118,H$8)+H116</f>
        <v>0</v>
      </c>
      <c r="I118" s="58">
        <f t="shared" si="111"/>
        <v>0</v>
      </c>
      <c r="J118" s="58">
        <f t="shared" si="111"/>
        <v>177</v>
      </c>
      <c r="K118" s="58">
        <f t="shared" si="111"/>
        <v>0</v>
      </c>
      <c r="L118" s="58">
        <f t="shared" si="111"/>
        <v>0</v>
      </c>
      <c r="M118" s="58">
        <f t="shared" si="111"/>
        <v>0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0" customHeight="1">
      <c r="A119" s="70"/>
      <c r="B119" s="64" t="s">
        <v>9</v>
      </c>
      <c r="C119" s="65">
        <v>-7.0</v>
      </c>
      <c r="D119" s="66">
        <f t="shared" si="3"/>
        <v>-4130</v>
      </c>
      <c r="E119" s="56" t="s">
        <v>114</v>
      </c>
      <c r="F119" s="58">
        <f t="shared" si="112"/>
        <v>113</v>
      </c>
      <c r="G119" s="58"/>
      <c r="H119" s="58">
        <f t="shared" ref="H119:M119" si="113">SUMIFS($C119,$B119,H$8)+H117</f>
        <v>0</v>
      </c>
      <c r="I119" s="58">
        <f t="shared" si="113"/>
        <v>0</v>
      </c>
      <c r="J119" s="58">
        <f t="shared" si="113"/>
        <v>360</v>
      </c>
      <c r="K119" s="58">
        <f t="shared" si="113"/>
        <v>0</v>
      </c>
      <c r="L119" s="58">
        <f t="shared" si="113"/>
        <v>0</v>
      </c>
      <c r="M119" s="58">
        <f t="shared" si="113"/>
        <v>0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0" customHeight="1">
      <c r="A120" s="70"/>
      <c r="B120" s="64" t="s">
        <v>16</v>
      </c>
      <c r="C120" s="65">
        <v>7.0</v>
      </c>
      <c r="D120" s="66">
        <f t="shared" si="3"/>
        <v>4130</v>
      </c>
      <c r="E120" s="56" t="s">
        <v>115</v>
      </c>
      <c r="F120" s="58">
        <f t="shared" ref="F120:F149" si="115">SUMIFS($C120,$B120,F$8)+F119</f>
        <v>113</v>
      </c>
      <c r="G120" s="58"/>
      <c r="H120" s="58">
        <f t="shared" ref="H120:M120" si="114">SUMIFS($C120,$B120,H$8)+H119</f>
        <v>0</v>
      </c>
      <c r="I120" s="58">
        <f t="shared" si="114"/>
        <v>7</v>
      </c>
      <c r="J120" s="58">
        <f t="shared" si="114"/>
        <v>360</v>
      </c>
      <c r="K120" s="58">
        <f t="shared" si="114"/>
        <v>0</v>
      </c>
      <c r="L120" s="58">
        <f t="shared" si="114"/>
        <v>0</v>
      </c>
      <c r="M120" s="58">
        <f t="shared" si="114"/>
        <v>0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0" customHeight="1">
      <c r="A121" s="70"/>
      <c r="B121" s="64" t="s">
        <v>13</v>
      </c>
      <c r="C121" s="65">
        <v>4.0</v>
      </c>
      <c r="D121" s="66">
        <f t="shared" si="3"/>
        <v>2360</v>
      </c>
      <c r="E121" s="75">
        <v>2.71272255256E11</v>
      </c>
      <c r="F121" s="58">
        <f t="shared" si="115"/>
        <v>113</v>
      </c>
      <c r="G121" s="58"/>
      <c r="H121" s="58">
        <f t="shared" ref="H121:M121" si="116">SUMIFS($C121,$B121,H$8)+H120</f>
        <v>4</v>
      </c>
      <c r="I121" s="58">
        <f t="shared" si="116"/>
        <v>7</v>
      </c>
      <c r="J121" s="58">
        <f t="shared" si="116"/>
        <v>360</v>
      </c>
      <c r="K121" s="58">
        <f t="shared" si="116"/>
        <v>0</v>
      </c>
      <c r="L121" s="58">
        <f t="shared" si="116"/>
        <v>0</v>
      </c>
      <c r="M121" s="58">
        <f t="shared" si="116"/>
        <v>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0" customHeight="1">
      <c r="A122" s="70"/>
      <c r="B122" s="64" t="s">
        <v>9</v>
      </c>
      <c r="C122" s="65">
        <v>-4.0</v>
      </c>
      <c r="D122" s="66">
        <f t="shared" si="3"/>
        <v>-2360</v>
      </c>
      <c r="E122" s="56" t="s">
        <v>117</v>
      </c>
      <c r="F122" s="58">
        <f t="shared" si="115"/>
        <v>109</v>
      </c>
      <c r="G122" s="58"/>
      <c r="H122" s="58">
        <f t="shared" ref="H122:M122" si="117">SUMIFS($C122,$B122,H$8)+H121</f>
        <v>4</v>
      </c>
      <c r="I122" s="58">
        <f t="shared" si="117"/>
        <v>7</v>
      </c>
      <c r="J122" s="58">
        <f t="shared" si="117"/>
        <v>360</v>
      </c>
      <c r="K122" s="58">
        <f t="shared" si="117"/>
        <v>0</v>
      </c>
      <c r="L122" s="58">
        <f t="shared" si="117"/>
        <v>0</v>
      </c>
      <c r="M122" s="58">
        <f t="shared" si="117"/>
        <v>0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0" customHeight="1">
      <c r="A123" s="70"/>
      <c r="B123" s="64" t="s">
        <v>9</v>
      </c>
      <c r="C123" s="65">
        <v>-1.0</v>
      </c>
      <c r="D123" s="66">
        <f t="shared" si="3"/>
        <v>-590</v>
      </c>
      <c r="E123" s="74" t="s">
        <v>38</v>
      </c>
      <c r="F123" s="58">
        <f t="shared" si="115"/>
        <v>108</v>
      </c>
      <c r="G123" s="58"/>
      <c r="H123" s="58">
        <f t="shared" ref="H123:M123" si="118">SUMIFS($C123,$B123,H$8)+H122</f>
        <v>4</v>
      </c>
      <c r="I123" s="58">
        <f t="shared" si="118"/>
        <v>7</v>
      </c>
      <c r="J123" s="58">
        <f t="shared" si="118"/>
        <v>360</v>
      </c>
      <c r="K123" s="58">
        <f t="shared" si="118"/>
        <v>0</v>
      </c>
      <c r="L123" s="58">
        <f t="shared" si="118"/>
        <v>0</v>
      </c>
      <c r="M123" s="58">
        <f t="shared" si="118"/>
        <v>0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0" customHeight="1">
      <c r="A124" s="70"/>
      <c r="B124" s="71"/>
      <c r="C124" s="66"/>
      <c r="D124" s="66">
        <f t="shared" si="3"/>
        <v>0</v>
      </c>
      <c r="E124" s="67"/>
      <c r="F124" s="58">
        <f t="shared" si="115"/>
        <v>108</v>
      </c>
      <c r="G124" s="58"/>
      <c r="H124" s="58">
        <f t="shared" ref="H124:M124" si="119">SUMIFS($C124,$B124,H$8)+H123</f>
        <v>4</v>
      </c>
      <c r="I124" s="58">
        <f t="shared" si="119"/>
        <v>7</v>
      </c>
      <c r="J124" s="58">
        <f t="shared" si="119"/>
        <v>360</v>
      </c>
      <c r="K124" s="58">
        <f t="shared" si="119"/>
        <v>0</v>
      </c>
      <c r="L124" s="58">
        <f t="shared" si="119"/>
        <v>0</v>
      </c>
      <c r="M124" s="58">
        <f t="shared" si="119"/>
        <v>0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0" customHeight="1">
      <c r="A125" s="68">
        <v>46137.0</v>
      </c>
      <c r="B125" s="64" t="s">
        <v>16</v>
      </c>
      <c r="C125" s="65">
        <v>6.0</v>
      </c>
      <c r="D125" s="66">
        <f t="shared" si="3"/>
        <v>3540</v>
      </c>
      <c r="E125" s="75">
        <v>1.69177237242243E14</v>
      </c>
      <c r="F125" s="58">
        <f t="shared" si="115"/>
        <v>108</v>
      </c>
      <c r="G125" s="58"/>
      <c r="H125" s="58">
        <f t="shared" ref="H125:M125" si="120">SUMIFS($C125,$B125,H$8)+H124</f>
        <v>4</v>
      </c>
      <c r="I125" s="58">
        <f t="shared" si="120"/>
        <v>13</v>
      </c>
      <c r="J125" s="58">
        <f t="shared" si="120"/>
        <v>360</v>
      </c>
      <c r="K125" s="58">
        <f t="shared" si="120"/>
        <v>0</v>
      </c>
      <c r="L125" s="58">
        <f t="shared" si="120"/>
        <v>0</v>
      </c>
      <c r="M125" s="58">
        <f t="shared" si="120"/>
        <v>0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0" customHeight="1">
      <c r="A126" s="70"/>
      <c r="B126" s="64" t="s">
        <v>9</v>
      </c>
      <c r="C126" s="65">
        <v>-6.0</v>
      </c>
      <c r="D126" s="66">
        <f t="shared" si="3"/>
        <v>-3540</v>
      </c>
      <c r="E126" s="56" t="s">
        <v>45</v>
      </c>
      <c r="F126" s="58">
        <f t="shared" si="115"/>
        <v>102</v>
      </c>
      <c r="G126" s="58"/>
      <c r="H126" s="58">
        <f t="shared" ref="H126:M126" si="121">SUMIFS($C126,$B126,H$8)+H125</f>
        <v>4</v>
      </c>
      <c r="I126" s="58">
        <f t="shared" si="121"/>
        <v>13</v>
      </c>
      <c r="J126" s="58">
        <f t="shared" si="121"/>
        <v>360</v>
      </c>
      <c r="K126" s="58">
        <f t="shared" si="121"/>
        <v>0</v>
      </c>
      <c r="L126" s="58">
        <f t="shared" si="121"/>
        <v>0</v>
      </c>
      <c r="M126" s="58">
        <f t="shared" si="121"/>
        <v>0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0" customHeight="1">
      <c r="A127" s="70"/>
      <c r="B127" s="71"/>
      <c r="C127" s="66"/>
      <c r="D127" s="66">
        <f t="shared" si="3"/>
        <v>0</v>
      </c>
      <c r="E127" s="67"/>
      <c r="F127" s="58">
        <f t="shared" si="115"/>
        <v>102</v>
      </c>
      <c r="G127" s="58"/>
      <c r="H127" s="58">
        <f t="shared" ref="H127:M127" si="122">SUMIFS($C127,$B127,H$8)+H126</f>
        <v>4</v>
      </c>
      <c r="I127" s="58">
        <f t="shared" si="122"/>
        <v>13</v>
      </c>
      <c r="J127" s="58">
        <f t="shared" si="122"/>
        <v>360</v>
      </c>
      <c r="K127" s="58">
        <f t="shared" si="122"/>
        <v>0</v>
      </c>
      <c r="L127" s="58">
        <f t="shared" si="122"/>
        <v>0</v>
      </c>
      <c r="M127" s="58">
        <f t="shared" si="122"/>
        <v>0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0" customHeight="1">
      <c r="A128" s="68">
        <v>46139.0</v>
      </c>
      <c r="B128" s="64" t="s">
        <v>16</v>
      </c>
      <c r="C128" s="65">
        <v>12.0</v>
      </c>
      <c r="D128" s="66">
        <f t="shared" si="3"/>
        <v>7080</v>
      </c>
      <c r="E128" s="56" t="s">
        <v>119</v>
      </c>
      <c r="F128" s="58">
        <f t="shared" si="115"/>
        <v>102</v>
      </c>
      <c r="G128" s="58"/>
      <c r="H128" s="58">
        <f t="shared" ref="H128:M128" si="123">SUMIFS($C128,$B128,H$8)+H127</f>
        <v>4</v>
      </c>
      <c r="I128" s="58">
        <f t="shared" si="123"/>
        <v>25</v>
      </c>
      <c r="J128" s="58">
        <f t="shared" si="123"/>
        <v>360</v>
      </c>
      <c r="K128" s="58">
        <f t="shared" si="123"/>
        <v>0</v>
      </c>
      <c r="L128" s="58">
        <f t="shared" si="123"/>
        <v>0</v>
      </c>
      <c r="M128" s="58">
        <f t="shared" si="123"/>
        <v>0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0" customHeight="1">
      <c r="A129" s="70"/>
      <c r="B129" s="64" t="s">
        <v>9</v>
      </c>
      <c r="C129" s="65">
        <v>-12.0</v>
      </c>
      <c r="D129" s="66">
        <f t="shared" si="3"/>
        <v>-7080</v>
      </c>
      <c r="E129" s="56" t="s">
        <v>120</v>
      </c>
      <c r="F129" s="58">
        <f t="shared" si="115"/>
        <v>90</v>
      </c>
      <c r="G129" s="58"/>
      <c r="H129" s="58">
        <f t="shared" ref="H129:M129" si="124">SUMIFS($C129,$B129,H$8)+H128</f>
        <v>4</v>
      </c>
      <c r="I129" s="58">
        <f t="shared" si="124"/>
        <v>25</v>
      </c>
      <c r="J129" s="58">
        <f t="shared" si="124"/>
        <v>360</v>
      </c>
      <c r="K129" s="58">
        <f t="shared" si="124"/>
        <v>0</v>
      </c>
      <c r="L129" s="58">
        <f t="shared" si="124"/>
        <v>0</v>
      </c>
      <c r="M129" s="58">
        <f t="shared" si="124"/>
        <v>0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0" customHeight="1">
      <c r="A130" s="70"/>
      <c r="B130" s="71"/>
      <c r="C130" s="66"/>
      <c r="D130" s="66">
        <f t="shared" si="3"/>
        <v>0</v>
      </c>
      <c r="E130" s="67"/>
      <c r="F130" s="58">
        <f t="shared" si="115"/>
        <v>90</v>
      </c>
      <c r="G130" s="58"/>
      <c r="H130" s="58">
        <f t="shared" ref="H130:M130" si="125">SUMIFS($C130,$B130,H$8)+H129</f>
        <v>4</v>
      </c>
      <c r="I130" s="58">
        <f t="shared" si="125"/>
        <v>25</v>
      </c>
      <c r="J130" s="58">
        <f t="shared" si="125"/>
        <v>360</v>
      </c>
      <c r="K130" s="58">
        <f t="shared" si="125"/>
        <v>0</v>
      </c>
      <c r="L130" s="58">
        <f t="shared" si="125"/>
        <v>0</v>
      </c>
      <c r="M130" s="58">
        <f t="shared" si="125"/>
        <v>0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0" customHeight="1">
      <c r="A131" s="68">
        <v>46140.0</v>
      </c>
      <c r="B131" s="64" t="s">
        <v>16</v>
      </c>
      <c r="C131" s="65">
        <v>12.0</v>
      </c>
      <c r="D131" s="66">
        <f t="shared" si="3"/>
        <v>7080</v>
      </c>
      <c r="E131" s="75">
        <v>2.15216219230285E14</v>
      </c>
      <c r="F131" s="58">
        <f t="shared" si="115"/>
        <v>90</v>
      </c>
      <c r="G131" s="58"/>
      <c r="H131" s="58">
        <f t="shared" ref="H131:M131" si="126">SUMIFS($C131,$B131,H$8)+H130</f>
        <v>4</v>
      </c>
      <c r="I131" s="58">
        <f t="shared" si="126"/>
        <v>37</v>
      </c>
      <c r="J131" s="58">
        <f t="shared" si="126"/>
        <v>360</v>
      </c>
      <c r="K131" s="58">
        <f t="shared" si="126"/>
        <v>0</v>
      </c>
      <c r="L131" s="58">
        <f t="shared" si="126"/>
        <v>0</v>
      </c>
      <c r="M131" s="58">
        <f t="shared" si="126"/>
        <v>0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0" customHeight="1">
      <c r="A132" s="70"/>
      <c r="B132" s="64" t="s">
        <v>9</v>
      </c>
      <c r="C132" s="65">
        <v>-12.0</v>
      </c>
      <c r="D132" s="66">
        <f t="shared" si="3"/>
        <v>-7080</v>
      </c>
      <c r="E132" s="56" t="s">
        <v>120</v>
      </c>
      <c r="F132" s="58">
        <f t="shared" si="115"/>
        <v>78</v>
      </c>
      <c r="G132" s="58"/>
      <c r="H132" s="58">
        <f t="shared" ref="H132:M132" si="127">SUMIFS($C132,$B132,H$8)+H131</f>
        <v>4</v>
      </c>
      <c r="I132" s="58">
        <f t="shared" si="127"/>
        <v>37</v>
      </c>
      <c r="J132" s="58">
        <f t="shared" si="127"/>
        <v>360</v>
      </c>
      <c r="K132" s="58">
        <f t="shared" si="127"/>
        <v>0</v>
      </c>
      <c r="L132" s="58">
        <f t="shared" si="127"/>
        <v>0</v>
      </c>
      <c r="M132" s="58">
        <f t="shared" si="127"/>
        <v>0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0" customHeight="1">
      <c r="A133" s="70"/>
      <c r="B133" s="71"/>
      <c r="C133" s="66"/>
      <c r="D133" s="66">
        <f t="shared" si="3"/>
        <v>0</v>
      </c>
      <c r="E133" s="67"/>
      <c r="F133" s="58">
        <f t="shared" si="115"/>
        <v>78</v>
      </c>
      <c r="G133" s="58"/>
      <c r="H133" s="58">
        <f t="shared" ref="H133:M133" si="128">SUMIFS($C133,$B133,H$8)+H132</f>
        <v>4</v>
      </c>
      <c r="I133" s="58">
        <f t="shared" si="128"/>
        <v>37</v>
      </c>
      <c r="J133" s="58">
        <f t="shared" si="128"/>
        <v>360</v>
      </c>
      <c r="K133" s="58">
        <f t="shared" si="128"/>
        <v>0</v>
      </c>
      <c r="L133" s="58">
        <f t="shared" si="128"/>
        <v>0</v>
      </c>
      <c r="M133" s="58">
        <f t="shared" si="128"/>
        <v>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0" customHeight="1">
      <c r="A134" s="68">
        <v>46141.0</v>
      </c>
      <c r="B134" s="64" t="s">
        <v>16</v>
      </c>
      <c r="C134" s="65">
        <v>12.0</v>
      </c>
      <c r="D134" s="66">
        <f t="shared" si="3"/>
        <v>7080</v>
      </c>
      <c r="E134" s="56" t="s">
        <v>121</v>
      </c>
      <c r="F134" s="58">
        <f t="shared" si="115"/>
        <v>78</v>
      </c>
      <c r="G134" s="58"/>
      <c r="H134" s="58">
        <f t="shared" ref="H134:M134" si="129">SUMIFS($C134,$B134,H$8)+H133</f>
        <v>4</v>
      </c>
      <c r="I134" s="58">
        <f t="shared" si="129"/>
        <v>49</v>
      </c>
      <c r="J134" s="58">
        <f t="shared" si="129"/>
        <v>360</v>
      </c>
      <c r="K134" s="58">
        <f t="shared" si="129"/>
        <v>0</v>
      </c>
      <c r="L134" s="58">
        <f t="shared" si="129"/>
        <v>0</v>
      </c>
      <c r="M134" s="58">
        <f t="shared" si="129"/>
        <v>0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0" customHeight="1">
      <c r="A135" s="70"/>
      <c r="B135" s="64" t="s">
        <v>9</v>
      </c>
      <c r="C135" s="65">
        <v>-12.0</v>
      </c>
      <c r="D135" s="66">
        <f t="shared" si="3"/>
        <v>-7080</v>
      </c>
      <c r="E135" s="56" t="s">
        <v>120</v>
      </c>
      <c r="F135" s="58">
        <f t="shared" si="115"/>
        <v>66</v>
      </c>
      <c r="G135" s="58"/>
      <c r="H135" s="58">
        <f t="shared" ref="H135:M135" si="130">SUMIFS($C135,$B135,H$8)+H134</f>
        <v>4</v>
      </c>
      <c r="I135" s="58">
        <f t="shared" si="130"/>
        <v>49</v>
      </c>
      <c r="J135" s="58">
        <f t="shared" si="130"/>
        <v>360</v>
      </c>
      <c r="K135" s="58">
        <f t="shared" si="130"/>
        <v>0</v>
      </c>
      <c r="L135" s="58">
        <f t="shared" si="130"/>
        <v>0</v>
      </c>
      <c r="M135" s="58">
        <f t="shared" si="130"/>
        <v>0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0" customHeight="1">
      <c r="A136" s="70"/>
      <c r="B136" s="64" t="s">
        <v>16</v>
      </c>
      <c r="C136" s="65">
        <v>-1.0</v>
      </c>
      <c r="D136" s="66">
        <f t="shared" si="3"/>
        <v>-590</v>
      </c>
      <c r="E136" s="74" t="s">
        <v>38</v>
      </c>
      <c r="F136" s="58">
        <f t="shared" si="115"/>
        <v>66</v>
      </c>
      <c r="G136" s="58"/>
      <c r="H136" s="58">
        <f t="shared" ref="H136:M136" si="131">SUMIFS($C136,$B136,H$8)+H135</f>
        <v>4</v>
      </c>
      <c r="I136" s="58">
        <f t="shared" si="131"/>
        <v>48</v>
      </c>
      <c r="J136" s="58">
        <f t="shared" si="131"/>
        <v>360</v>
      </c>
      <c r="K136" s="58">
        <f t="shared" si="131"/>
        <v>0</v>
      </c>
      <c r="L136" s="58">
        <f t="shared" si="131"/>
        <v>0</v>
      </c>
      <c r="M136" s="58">
        <f t="shared" si="131"/>
        <v>0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0" customHeight="1">
      <c r="A137" s="70"/>
      <c r="B137" s="71"/>
      <c r="C137" s="66"/>
      <c r="D137" s="66">
        <f t="shared" si="3"/>
        <v>0</v>
      </c>
      <c r="E137" s="67"/>
      <c r="F137" s="58">
        <f t="shared" si="115"/>
        <v>66</v>
      </c>
      <c r="G137" s="58"/>
      <c r="H137" s="58">
        <f t="shared" ref="H137:M137" si="132">SUMIFS($C137,$B137,H$8)+H136</f>
        <v>4</v>
      </c>
      <c r="I137" s="58">
        <f t="shared" si="132"/>
        <v>48</v>
      </c>
      <c r="J137" s="58">
        <f t="shared" si="132"/>
        <v>360</v>
      </c>
      <c r="K137" s="58">
        <f t="shared" si="132"/>
        <v>0</v>
      </c>
      <c r="L137" s="58">
        <f t="shared" si="132"/>
        <v>0</v>
      </c>
      <c r="M137" s="58">
        <f t="shared" si="132"/>
        <v>0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0" customHeight="1">
      <c r="A138" s="68">
        <v>46142.0</v>
      </c>
      <c r="B138" s="64" t="s">
        <v>16</v>
      </c>
      <c r="C138" s="65">
        <v>12.0</v>
      </c>
      <c r="D138" s="66">
        <f t="shared" si="3"/>
        <v>7080</v>
      </c>
      <c r="E138" s="56" t="s">
        <v>122</v>
      </c>
      <c r="F138" s="58">
        <f t="shared" si="115"/>
        <v>66</v>
      </c>
      <c r="G138" s="58"/>
      <c r="H138" s="58">
        <f t="shared" ref="H138:M138" si="133">SUMIFS($C138,$B138,H$8)+H137</f>
        <v>4</v>
      </c>
      <c r="I138" s="58">
        <f t="shared" si="133"/>
        <v>60</v>
      </c>
      <c r="J138" s="58">
        <f t="shared" si="133"/>
        <v>360</v>
      </c>
      <c r="K138" s="58">
        <f t="shared" si="133"/>
        <v>0</v>
      </c>
      <c r="L138" s="58">
        <f t="shared" si="133"/>
        <v>0</v>
      </c>
      <c r="M138" s="58">
        <f t="shared" si="133"/>
        <v>0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0" customHeight="1">
      <c r="A139" s="70"/>
      <c r="B139" s="64" t="s">
        <v>9</v>
      </c>
      <c r="C139" s="65">
        <v>-12.0</v>
      </c>
      <c r="D139" s="66">
        <f t="shared" si="3"/>
        <v>-7080</v>
      </c>
      <c r="E139" s="56" t="s">
        <v>120</v>
      </c>
      <c r="F139" s="58">
        <f t="shared" si="115"/>
        <v>54</v>
      </c>
      <c r="G139" s="58"/>
      <c r="H139" s="58">
        <f t="shared" ref="H139:M139" si="134">SUMIFS($C139,$B139,H$8)+H138</f>
        <v>4</v>
      </c>
      <c r="I139" s="58">
        <f t="shared" si="134"/>
        <v>60</v>
      </c>
      <c r="J139" s="58">
        <f t="shared" si="134"/>
        <v>360</v>
      </c>
      <c r="K139" s="58">
        <f t="shared" si="134"/>
        <v>0</v>
      </c>
      <c r="L139" s="58">
        <f t="shared" si="134"/>
        <v>0</v>
      </c>
      <c r="M139" s="58">
        <f t="shared" si="134"/>
        <v>0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0" customHeight="1">
      <c r="A140" s="70"/>
      <c r="B140" s="71"/>
      <c r="C140" s="66"/>
      <c r="D140" s="66">
        <f t="shared" si="3"/>
        <v>0</v>
      </c>
      <c r="E140" s="67"/>
      <c r="F140" s="58">
        <f t="shared" si="115"/>
        <v>54</v>
      </c>
      <c r="G140" s="58"/>
      <c r="H140" s="58">
        <f t="shared" ref="H140:M140" si="135">SUMIFS($C140,$B140,H$8)+H139</f>
        <v>4</v>
      </c>
      <c r="I140" s="58">
        <f t="shared" si="135"/>
        <v>60</v>
      </c>
      <c r="J140" s="58">
        <f t="shared" si="135"/>
        <v>360</v>
      </c>
      <c r="K140" s="58">
        <f t="shared" si="135"/>
        <v>0</v>
      </c>
      <c r="L140" s="58">
        <f t="shared" si="135"/>
        <v>0</v>
      </c>
      <c r="M140" s="58">
        <f t="shared" si="135"/>
        <v>0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0" customHeight="1">
      <c r="A141" s="68">
        <v>46146.0</v>
      </c>
      <c r="B141" s="64" t="s">
        <v>16</v>
      </c>
      <c r="C141" s="65">
        <v>12.0</v>
      </c>
      <c r="D141" s="66">
        <f t="shared" si="3"/>
        <v>7080</v>
      </c>
      <c r="E141" s="56" t="s">
        <v>123</v>
      </c>
      <c r="F141" s="58">
        <f t="shared" si="115"/>
        <v>54</v>
      </c>
      <c r="G141" s="58"/>
      <c r="H141" s="58">
        <f t="shared" ref="H141:M141" si="136">SUMIFS($C141,$B141,H$8)+H140</f>
        <v>4</v>
      </c>
      <c r="I141" s="58">
        <f t="shared" si="136"/>
        <v>72</v>
      </c>
      <c r="J141" s="58">
        <f t="shared" si="136"/>
        <v>360</v>
      </c>
      <c r="K141" s="58">
        <f t="shared" si="136"/>
        <v>0</v>
      </c>
      <c r="L141" s="58">
        <f t="shared" si="136"/>
        <v>0</v>
      </c>
      <c r="M141" s="58">
        <f t="shared" si="136"/>
        <v>0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0" customHeight="1">
      <c r="A142" s="70"/>
      <c r="B142" s="64" t="s">
        <v>9</v>
      </c>
      <c r="C142" s="65">
        <v>-12.0</v>
      </c>
      <c r="D142" s="66">
        <f t="shared" si="3"/>
        <v>-7080</v>
      </c>
      <c r="E142" s="56" t="s">
        <v>120</v>
      </c>
      <c r="F142" s="58">
        <f t="shared" si="115"/>
        <v>42</v>
      </c>
      <c r="G142" s="58"/>
      <c r="H142" s="58">
        <f t="shared" ref="H142:M142" si="137">SUMIFS($C142,$B142,H$8)+H141</f>
        <v>4</v>
      </c>
      <c r="I142" s="58">
        <f t="shared" si="137"/>
        <v>72</v>
      </c>
      <c r="J142" s="58">
        <f t="shared" si="137"/>
        <v>360</v>
      </c>
      <c r="K142" s="58">
        <f t="shared" si="137"/>
        <v>0</v>
      </c>
      <c r="L142" s="58">
        <f t="shared" si="137"/>
        <v>0</v>
      </c>
      <c r="M142" s="58">
        <f t="shared" si="137"/>
        <v>0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0" customHeight="1">
      <c r="A143" s="70"/>
      <c r="B143" s="64" t="s">
        <v>16</v>
      </c>
      <c r="C143" s="65">
        <v>-72.0</v>
      </c>
      <c r="D143" s="66">
        <f t="shared" si="3"/>
        <v>-42480</v>
      </c>
      <c r="E143" s="56" t="s">
        <v>125</v>
      </c>
      <c r="F143" s="58">
        <f t="shared" si="115"/>
        <v>42</v>
      </c>
      <c r="G143" s="58"/>
      <c r="H143" s="58">
        <f t="shared" ref="H143:M143" si="138">SUMIFS($C143,$B143,H$8)+H142</f>
        <v>4</v>
      </c>
      <c r="I143" s="58">
        <f t="shared" si="138"/>
        <v>0</v>
      </c>
      <c r="J143" s="58">
        <f t="shared" si="138"/>
        <v>360</v>
      </c>
      <c r="K143" s="58">
        <f t="shared" si="138"/>
        <v>0</v>
      </c>
      <c r="L143" s="58">
        <f t="shared" si="138"/>
        <v>0</v>
      </c>
      <c r="M143" s="58">
        <f t="shared" si="138"/>
        <v>0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0" customHeight="1">
      <c r="A144" s="70"/>
      <c r="B144" s="64" t="s">
        <v>17</v>
      </c>
      <c r="C144" s="65">
        <v>72.0</v>
      </c>
      <c r="D144" s="66">
        <f t="shared" si="3"/>
        <v>42480</v>
      </c>
      <c r="E144" s="67"/>
      <c r="F144" s="58">
        <f t="shared" si="115"/>
        <v>42</v>
      </c>
      <c r="G144" s="58"/>
      <c r="H144" s="58">
        <f t="shared" ref="H144:M144" si="139">SUMIFS($C144,$B144,H$8)+H143</f>
        <v>4</v>
      </c>
      <c r="I144" s="58">
        <f t="shared" si="139"/>
        <v>0</v>
      </c>
      <c r="J144" s="58">
        <f t="shared" si="139"/>
        <v>432</v>
      </c>
      <c r="K144" s="58">
        <f t="shared" si="139"/>
        <v>0</v>
      </c>
      <c r="L144" s="58">
        <f t="shared" si="139"/>
        <v>0</v>
      </c>
      <c r="M144" s="58">
        <f t="shared" si="139"/>
        <v>0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0" customHeight="1">
      <c r="A145" s="70"/>
      <c r="B145" s="64" t="s">
        <v>13</v>
      </c>
      <c r="C145" s="65">
        <v>-4.0</v>
      </c>
      <c r="D145" s="66">
        <f t="shared" si="3"/>
        <v>-2360</v>
      </c>
      <c r="E145" s="56" t="s">
        <v>126</v>
      </c>
      <c r="F145" s="58">
        <f t="shared" si="115"/>
        <v>42</v>
      </c>
      <c r="G145" s="58"/>
      <c r="H145" s="58">
        <f t="shared" ref="H145:M145" si="140">SUMIFS($C145,$B145,H$8)+H144</f>
        <v>0</v>
      </c>
      <c r="I145" s="58">
        <f t="shared" si="140"/>
        <v>0</v>
      </c>
      <c r="J145" s="58">
        <f t="shared" si="140"/>
        <v>432</v>
      </c>
      <c r="K145" s="58">
        <f t="shared" si="140"/>
        <v>0</v>
      </c>
      <c r="L145" s="58">
        <f t="shared" si="140"/>
        <v>0</v>
      </c>
      <c r="M145" s="58">
        <f t="shared" si="140"/>
        <v>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0" customHeight="1">
      <c r="A146" s="70"/>
      <c r="B146" s="64" t="s">
        <v>17</v>
      </c>
      <c r="C146" s="65">
        <v>4.0</v>
      </c>
      <c r="D146" s="66">
        <f t="shared" si="3"/>
        <v>2360</v>
      </c>
      <c r="E146" s="67"/>
      <c r="F146" s="58">
        <f t="shared" si="115"/>
        <v>42</v>
      </c>
      <c r="G146" s="58"/>
      <c r="H146" s="58">
        <f t="shared" ref="H146:M146" si="141">SUMIFS($C146,$B146,H$8)+H145</f>
        <v>0</v>
      </c>
      <c r="I146" s="58">
        <f t="shared" si="141"/>
        <v>0</v>
      </c>
      <c r="J146" s="58">
        <f t="shared" si="141"/>
        <v>436</v>
      </c>
      <c r="K146" s="58">
        <f t="shared" si="141"/>
        <v>0</v>
      </c>
      <c r="L146" s="58">
        <f t="shared" si="141"/>
        <v>0</v>
      </c>
      <c r="M146" s="58">
        <f t="shared" si="141"/>
        <v>0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0" customHeight="1">
      <c r="A147" s="70"/>
      <c r="B147" s="71"/>
      <c r="C147" s="66"/>
      <c r="D147" s="66">
        <f t="shared" si="3"/>
        <v>0</v>
      </c>
      <c r="E147" s="67"/>
      <c r="F147" s="58">
        <f t="shared" si="115"/>
        <v>42</v>
      </c>
      <c r="G147" s="58"/>
      <c r="H147" s="58">
        <f t="shared" ref="H147:M147" si="142">SUMIFS($C147,$B147,H$8)+H146</f>
        <v>0</v>
      </c>
      <c r="I147" s="58">
        <f t="shared" si="142"/>
        <v>0</v>
      </c>
      <c r="J147" s="58">
        <f t="shared" si="142"/>
        <v>436</v>
      </c>
      <c r="K147" s="58">
        <f t="shared" si="142"/>
        <v>0</v>
      </c>
      <c r="L147" s="58">
        <f t="shared" si="142"/>
        <v>0</v>
      </c>
      <c r="M147" s="58">
        <f t="shared" si="142"/>
        <v>0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0" customHeight="1">
      <c r="A148" s="68">
        <v>46147.0</v>
      </c>
      <c r="B148" s="64" t="s">
        <v>16</v>
      </c>
      <c r="C148" s="65">
        <v>12.0</v>
      </c>
      <c r="D148" s="66">
        <f t="shared" si="3"/>
        <v>7080</v>
      </c>
      <c r="E148" s="75" t="s">
        <v>127</v>
      </c>
      <c r="F148" s="58">
        <f t="shared" si="115"/>
        <v>42</v>
      </c>
      <c r="G148" s="58"/>
      <c r="H148" s="58">
        <f t="shared" ref="H148:M148" si="143">SUMIFS($C148,$B148,H$8)+H147</f>
        <v>0</v>
      </c>
      <c r="I148" s="58">
        <f t="shared" si="143"/>
        <v>12</v>
      </c>
      <c r="J148" s="58">
        <f t="shared" si="143"/>
        <v>436</v>
      </c>
      <c r="K148" s="58">
        <f t="shared" si="143"/>
        <v>0</v>
      </c>
      <c r="L148" s="58">
        <f t="shared" si="143"/>
        <v>0</v>
      </c>
      <c r="M148" s="58">
        <f t="shared" si="143"/>
        <v>0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0" customHeight="1">
      <c r="A149" s="70"/>
      <c r="B149" s="64" t="s">
        <v>9</v>
      </c>
      <c r="C149" s="65">
        <v>-12.0</v>
      </c>
      <c r="D149" s="66">
        <f t="shared" si="3"/>
        <v>-7080</v>
      </c>
      <c r="E149" s="56" t="s">
        <v>128</v>
      </c>
      <c r="F149" s="58">
        <f t="shared" si="115"/>
        <v>30</v>
      </c>
      <c r="G149" s="58"/>
      <c r="H149" s="58">
        <f t="shared" ref="H149:M149" si="144">SUMIFS($C149,$B149,H$8)+H148</f>
        <v>0</v>
      </c>
      <c r="I149" s="58">
        <f t="shared" si="144"/>
        <v>12</v>
      </c>
      <c r="J149" s="58">
        <f t="shared" si="144"/>
        <v>436</v>
      </c>
      <c r="K149" s="58">
        <f t="shared" si="144"/>
        <v>0</v>
      </c>
      <c r="L149" s="58">
        <f t="shared" si="144"/>
        <v>0</v>
      </c>
      <c r="M149" s="58">
        <f t="shared" si="144"/>
        <v>0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0" customHeight="1">
      <c r="A150" s="70"/>
      <c r="B150" s="64" t="s">
        <v>16</v>
      </c>
      <c r="C150" s="65">
        <v>-9.0</v>
      </c>
      <c r="D150" s="66">
        <f t="shared" si="3"/>
        <v>-5310</v>
      </c>
      <c r="E150" s="56" t="s">
        <v>129</v>
      </c>
      <c r="F150" s="58">
        <f t="shared" ref="F150:F152" si="146">SUMIFS($C150,$B150,F$8)+F147</f>
        <v>42</v>
      </c>
      <c r="G150" s="58"/>
      <c r="H150" s="58">
        <f t="shared" ref="H150:M150" si="145">SUMIFS($C150,$B150,H$8)+H147</f>
        <v>0</v>
      </c>
      <c r="I150" s="58">
        <f t="shared" si="145"/>
        <v>-9</v>
      </c>
      <c r="J150" s="58">
        <f t="shared" si="145"/>
        <v>436</v>
      </c>
      <c r="K150" s="58">
        <f t="shared" si="145"/>
        <v>0</v>
      </c>
      <c r="L150" s="58">
        <f t="shared" si="145"/>
        <v>0</v>
      </c>
      <c r="M150" s="58">
        <f t="shared" si="145"/>
        <v>0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0" customHeight="1">
      <c r="A151" s="70"/>
      <c r="B151" s="64" t="s">
        <v>9</v>
      </c>
      <c r="C151" s="65">
        <v>9.0</v>
      </c>
      <c r="D151" s="66">
        <f t="shared" si="3"/>
        <v>5310</v>
      </c>
      <c r="E151" s="67"/>
      <c r="F151" s="58">
        <f t="shared" si="146"/>
        <v>51</v>
      </c>
      <c r="G151" s="58"/>
      <c r="H151" s="58">
        <f t="shared" ref="H151:M151" si="147">SUMIFS($C151,$B151,H$8)+H148</f>
        <v>0</v>
      </c>
      <c r="I151" s="58">
        <f t="shared" si="147"/>
        <v>12</v>
      </c>
      <c r="J151" s="58">
        <f t="shared" si="147"/>
        <v>436</v>
      </c>
      <c r="K151" s="58">
        <f t="shared" si="147"/>
        <v>0</v>
      </c>
      <c r="L151" s="58">
        <f t="shared" si="147"/>
        <v>0</v>
      </c>
      <c r="M151" s="58">
        <f t="shared" si="147"/>
        <v>0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0" customHeight="1">
      <c r="A152" s="70"/>
      <c r="B152" s="71"/>
      <c r="C152" s="66"/>
      <c r="D152" s="66">
        <f t="shared" si="3"/>
        <v>0</v>
      </c>
      <c r="E152" s="67"/>
      <c r="F152" s="58">
        <f t="shared" si="146"/>
        <v>30</v>
      </c>
      <c r="G152" s="58"/>
      <c r="H152" s="58">
        <f t="shared" ref="H152:M152" si="148">SUMIFS($C152,$B152,H$8)+H149</f>
        <v>0</v>
      </c>
      <c r="I152" s="58">
        <f t="shared" si="148"/>
        <v>12</v>
      </c>
      <c r="J152" s="58">
        <f t="shared" si="148"/>
        <v>436</v>
      </c>
      <c r="K152" s="58">
        <f t="shared" si="148"/>
        <v>0</v>
      </c>
      <c r="L152" s="58">
        <f t="shared" si="148"/>
        <v>0</v>
      </c>
      <c r="M152" s="58">
        <f t="shared" si="148"/>
        <v>0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0" customHeight="1">
      <c r="A153" s="68">
        <v>46148.0</v>
      </c>
      <c r="B153" s="64" t="s">
        <v>16</v>
      </c>
      <c r="C153" s="65">
        <v>6.0</v>
      </c>
      <c r="D153" s="66">
        <f t="shared" si="3"/>
        <v>3540</v>
      </c>
      <c r="E153" s="75">
        <v>3.29350349280279E14</v>
      </c>
      <c r="F153" s="58">
        <f t="shared" ref="F153:F1010" si="150">SUMIFS($C153,$B153,F$8)+F152</f>
        <v>30</v>
      </c>
      <c r="G153" s="58"/>
      <c r="H153" s="58">
        <f t="shared" ref="H153:M153" si="149">SUMIFS($C153,$B153,H$8)+H152</f>
        <v>0</v>
      </c>
      <c r="I153" s="58">
        <f t="shared" si="149"/>
        <v>18</v>
      </c>
      <c r="J153" s="58">
        <f t="shared" si="149"/>
        <v>436</v>
      </c>
      <c r="K153" s="58">
        <f t="shared" si="149"/>
        <v>0</v>
      </c>
      <c r="L153" s="58">
        <f t="shared" si="149"/>
        <v>0</v>
      </c>
      <c r="M153" s="58">
        <f t="shared" si="149"/>
        <v>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0" customHeight="1">
      <c r="A154" s="70"/>
      <c r="B154" s="64" t="s">
        <v>9</v>
      </c>
      <c r="C154" s="65">
        <v>-6.0</v>
      </c>
      <c r="D154" s="66">
        <f t="shared" si="3"/>
        <v>-3540</v>
      </c>
      <c r="E154" s="56" t="s">
        <v>130</v>
      </c>
      <c r="F154" s="58">
        <f t="shared" si="150"/>
        <v>24</v>
      </c>
      <c r="G154" s="58"/>
      <c r="H154" s="58">
        <f t="shared" ref="H154:M154" si="151">SUMIFS($C154,$B154,H$8)+H153</f>
        <v>0</v>
      </c>
      <c r="I154" s="58">
        <f t="shared" si="151"/>
        <v>18</v>
      </c>
      <c r="J154" s="58">
        <f t="shared" si="151"/>
        <v>436</v>
      </c>
      <c r="K154" s="58">
        <f t="shared" si="151"/>
        <v>0</v>
      </c>
      <c r="L154" s="58">
        <f t="shared" si="151"/>
        <v>0</v>
      </c>
      <c r="M154" s="58">
        <f t="shared" si="151"/>
        <v>0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0" customHeight="1">
      <c r="A155" s="70"/>
      <c r="B155" s="71"/>
      <c r="C155" s="66"/>
      <c r="D155" s="66">
        <f t="shared" si="3"/>
        <v>0</v>
      </c>
      <c r="E155" s="67"/>
      <c r="F155" s="58">
        <f t="shared" si="150"/>
        <v>24</v>
      </c>
      <c r="G155" s="58"/>
      <c r="H155" s="58">
        <f t="shared" ref="H155:M155" si="152">SUMIFS($C155,$B155,H$8)+H154</f>
        <v>0</v>
      </c>
      <c r="I155" s="58">
        <f t="shared" si="152"/>
        <v>18</v>
      </c>
      <c r="J155" s="58">
        <f t="shared" si="152"/>
        <v>436</v>
      </c>
      <c r="K155" s="58">
        <f t="shared" si="152"/>
        <v>0</v>
      </c>
      <c r="L155" s="58">
        <f t="shared" si="152"/>
        <v>0</v>
      </c>
      <c r="M155" s="58">
        <f t="shared" si="152"/>
        <v>0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0" customHeight="1">
      <c r="A156" s="68">
        <v>46149.0</v>
      </c>
      <c r="B156" s="64" t="s">
        <v>16</v>
      </c>
      <c r="C156" s="65">
        <v>12.0</v>
      </c>
      <c r="D156" s="66">
        <f t="shared" si="3"/>
        <v>7080</v>
      </c>
      <c r="E156" s="56" t="s">
        <v>131</v>
      </c>
      <c r="F156" s="58">
        <f t="shared" si="150"/>
        <v>24</v>
      </c>
      <c r="G156" s="58"/>
      <c r="H156" s="58">
        <f t="shared" ref="H156:M156" si="153">SUMIFS($C156,$B156,H$8)+H155</f>
        <v>0</v>
      </c>
      <c r="I156" s="58">
        <f t="shared" si="153"/>
        <v>30</v>
      </c>
      <c r="J156" s="58">
        <f t="shared" si="153"/>
        <v>436</v>
      </c>
      <c r="K156" s="58">
        <f t="shared" si="153"/>
        <v>0</v>
      </c>
      <c r="L156" s="58">
        <f t="shared" si="153"/>
        <v>0</v>
      </c>
      <c r="M156" s="58">
        <f t="shared" si="153"/>
        <v>0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0" customHeight="1">
      <c r="A157" s="70"/>
      <c r="B157" s="64" t="s">
        <v>9</v>
      </c>
      <c r="C157" s="65">
        <v>-12.0</v>
      </c>
      <c r="D157" s="66">
        <f t="shared" si="3"/>
        <v>-7080</v>
      </c>
      <c r="E157" s="56" t="s">
        <v>132</v>
      </c>
      <c r="F157" s="58">
        <f t="shared" si="150"/>
        <v>12</v>
      </c>
      <c r="G157" s="58"/>
      <c r="H157" s="58">
        <f t="shared" ref="H157:M157" si="154">SUMIFS($C157,$B157,H$8)+H156</f>
        <v>0</v>
      </c>
      <c r="I157" s="58">
        <f t="shared" si="154"/>
        <v>30</v>
      </c>
      <c r="J157" s="58">
        <f t="shared" si="154"/>
        <v>436</v>
      </c>
      <c r="K157" s="58">
        <f t="shared" si="154"/>
        <v>0</v>
      </c>
      <c r="L157" s="58">
        <f t="shared" si="154"/>
        <v>0</v>
      </c>
      <c r="M157" s="58">
        <f t="shared" si="154"/>
        <v>0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0" customHeight="1">
      <c r="A158" s="70"/>
      <c r="B158" s="71"/>
      <c r="C158" s="66"/>
      <c r="D158" s="66">
        <f t="shared" si="3"/>
        <v>0</v>
      </c>
      <c r="E158" s="67"/>
      <c r="F158" s="58">
        <f t="shared" si="150"/>
        <v>12</v>
      </c>
      <c r="G158" s="58"/>
      <c r="H158" s="58">
        <f t="shared" ref="H158:M158" si="155">SUMIFS($C158,$B158,H$8)+H157</f>
        <v>0</v>
      </c>
      <c r="I158" s="58">
        <f t="shared" si="155"/>
        <v>30</v>
      </c>
      <c r="J158" s="58">
        <f t="shared" si="155"/>
        <v>436</v>
      </c>
      <c r="K158" s="58">
        <f t="shared" si="155"/>
        <v>0</v>
      </c>
      <c r="L158" s="58">
        <f t="shared" si="155"/>
        <v>0</v>
      </c>
      <c r="M158" s="58">
        <f t="shared" si="155"/>
        <v>0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0" customHeight="1">
      <c r="A159" s="68">
        <v>46150.0</v>
      </c>
      <c r="B159" s="64" t="s">
        <v>16</v>
      </c>
      <c r="C159" s="65">
        <v>6.0</v>
      </c>
      <c r="D159" s="66">
        <f t="shared" si="3"/>
        <v>3540</v>
      </c>
      <c r="E159" s="75">
        <v>3.40391339460459E14</v>
      </c>
      <c r="F159" s="58">
        <f t="shared" si="150"/>
        <v>12</v>
      </c>
      <c r="G159" s="58"/>
      <c r="H159" s="58">
        <f t="shared" ref="H159:M159" si="156">SUMIFS($C159,$B159,H$8)+H158</f>
        <v>0</v>
      </c>
      <c r="I159" s="58">
        <f t="shared" si="156"/>
        <v>36</v>
      </c>
      <c r="J159" s="58">
        <f t="shared" si="156"/>
        <v>436</v>
      </c>
      <c r="K159" s="58">
        <f t="shared" si="156"/>
        <v>0</v>
      </c>
      <c r="L159" s="58">
        <f t="shared" si="156"/>
        <v>0</v>
      </c>
      <c r="M159" s="58">
        <f t="shared" si="156"/>
        <v>0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0" customHeight="1">
      <c r="A160" s="70"/>
      <c r="B160" s="64" t="s">
        <v>9</v>
      </c>
      <c r="C160" s="65">
        <v>-6.0</v>
      </c>
      <c r="D160" s="66">
        <f t="shared" si="3"/>
        <v>-3540</v>
      </c>
      <c r="E160" s="56" t="s">
        <v>130</v>
      </c>
      <c r="F160" s="58">
        <f t="shared" si="150"/>
        <v>6</v>
      </c>
      <c r="G160" s="58"/>
      <c r="H160" s="58">
        <f t="shared" ref="H160:M160" si="157">SUMIFS($C160,$B160,H$8)+H159</f>
        <v>0</v>
      </c>
      <c r="I160" s="58">
        <f t="shared" si="157"/>
        <v>36</v>
      </c>
      <c r="J160" s="58">
        <f t="shared" si="157"/>
        <v>436</v>
      </c>
      <c r="K160" s="58">
        <f t="shared" si="157"/>
        <v>0</v>
      </c>
      <c r="L160" s="58">
        <f t="shared" si="157"/>
        <v>0</v>
      </c>
      <c r="M160" s="58">
        <f t="shared" si="157"/>
        <v>0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0" customHeight="1">
      <c r="A161" s="70"/>
      <c r="B161" s="64"/>
      <c r="C161" s="66"/>
      <c r="D161" s="66">
        <f t="shared" si="3"/>
        <v>0</v>
      </c>
      <c r="E161" s="67"/>
      <c r="F161" s="58">
        <f t="shared" si="150"/>
        <v>6</v>
      </c>
      <c r="G161" s="58"/>
      <c r="H161" s="58">
        <f t="shared" ref="H161:M161" si="158">SUMIFS($C161,$B161,H$8)+H160</f>
        <v>0</v>
      </c>
      <c r="I161" s="58">
        <f t="shared" si="158"/>
        <v>36</v>
      </c>
      <c r="J161" s="58">
        <f t="shared" si="158"/>
        <v>436</v>
      </c>
      <c r="K161" s="58">
        <f t="shared" si="158"/>
        <v>0</v>
      </c>
      <c r="L161" s="58">
        <f t="shared" si="158"/>
        <v>0</v>
      </c>
      <c r="M161" s="58">
        <f t="shared" si="158"/>
        <v>0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0" customHeight="1">
      <c r="A162" s="68">
        <v>46151.0</v>
      </c>
      <c r="B162" s="64" t="s">
        <v>16</v>
      </c>
      <c r="C162" s="65">
        <v>11.0</v>
      </c>
      <c r="D162" s="66">
        <f t="shared" si="3"/>
        <v>6490</v>
      </c>
      <c r="E162" s="67"/>
      <c r="F162" s="58">
        <f t="shared" si="150"/>
        <v>6</v>
      </c>
      <c r="G162" s="58"/>
      <c r="H162" s="58">
        <f t="shared" ref="H162:M162" si="159">SUMIFS($C162,$B162,H$8)+H161</f>
        <v>0</v>
      </c>
      <c r="I162" s="58">
        <f t="shared" si="159"/>
        <v>47</v>
      </c>
      <c r="J162" s="58">
        <f t="shared" si="159"/>
        <v>436</v>
      </c>
      <c r="K162" s="58">
        <f t="shared" si="159"/>
        <v>0</v>
      </c>
      <c r="L162" s="58">
        <f t="shared" si="159"/>
        <v>0</v>
      </c>
      <c r="M162" s="58">
        <f t="shared" si="159"/>
        <v>0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0" customHeight="1">
      <c r="A163" s="70"/>
      <c r="B163" s="64" t="s">
        <v>9</v>
      </c>
      <c r="C163" s="65">
        <v>-11.0</v>
      </c>
      <c r="D163" s="66">
        <f t="shared" si="3"/>
        <v>-6490</v>
      </c>
      <c r="E163" s="56" t="s">
        <v>133</v>
      </c>
      <c r="F163" s="58">
        <f t="shared" si="150"/>
        <v>-5</v>
      </c>
      <c r="G163" s="58"/>
      <c r="H163" s="58">
        <f t="shared" ref="H163:M163" si="160">SUMIFS($C163,$B163,H$8)+H162</f>
        <v>0</v>
      </c>
      <c r="I163" s="58">
        <f t="shared" si="160"/>
        <v>47</v>
      </c>
      <c r="J163" s="58">
        <f t="shared" si="160"/>
        <v>436</v>
      </c>
      <c r="K163" s="58">
        <f t="shared" si="160"/>
        <v>0</v>
      </c>
      <c r="L163" s="58">
        <f t="shared" si="160"/>
        <v>0</v>
      </c>
      <c r="M163" s="58">
        <f t="shared" si="160"/>
        <v>0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0" customHeight="1">
      <c r="A164" s="70"/>
      <c r="B164" s="64" t="s">
        <v>16</v>
      </c>
      <c r="C164" s="65">
        <v>-38.0</v>
      </c>
      <c r="D164" s="66">
        <f t="shared" si="3"/>
        <v>-22420</v>
      </c>
      <c r="E164" s="56" t="s">
        <v>134</v>
      </c>
      <c r="F164" s="58">
        <f t="shared" si="150"/>
        <v>-5</v>
      </c>
      <c r="G164" s="58"/>
      <c r="H164" s="58">
        <f t="shared" ref="H164:M164" si="161">SUMIFS($C164,$B164,H$8)+H163</f>
        <v>0</v>
      </c>
      <c r="I164" s="58">
        <f t="shared" si="161"/>
        <v>9</v>
      </c>
      <c r="J164" s="58">
        <f t="shared" si="161"/>
        <v>436</v>
      </c>
      <c r="K164" s="58">
        <f t="shared" si="161"/>
        <v>0</v>
      </c>
      <c r="L164" s="58">
        <f t="shared" si="161"/>
        <v>0</v>
      </c>
      <c r="M164" s="58">
        <f t="shared" si="161"/>
        <v>0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0" customHeight="1">
      <c r="A165" s="70"/>
      <c r="B165" s="64" t="s">
        <v>17</v>
      </c>
      <c r="C165" s="65">
        <v>38.0</v>
      </c>
      <c r="D165" s="66">
        <f t="shared" si="3"/>
        <v>22420</v>
      </c>
      <c r="E165" s="67"/>
      <c r="F165" s="58">
        <f t="shared" si="150"/>
        <v>-5</v>
      </c>
      <c r="G165" s="58"/>
      <c r="H165" s="58">
        <f t="shared" ref="H165:M165" si="162">SUMIFS($C165,$B165,H$8)+H164</f>
        <v>0</v>
      </c>
      <c r="I165" s="58">
        <f t="shared" si="162"/>
        <v>9</v>
      </c>
      <c r="J165" s="58">
        <f t="shared" si="162"/>
        <v>474</v>
      </c>
      <c r="K165" s="58">
        <f t="shared" si="162"/>
        <v>0</v>
      </c>
      <c r="L165" s="58">
        <f t="shared" si="162"/>
        <v>0</v>
      </c>
      <c r="M165" s="58">
        <f t="shared" si="162"/>
        <v>0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0" customHeight="1">
      <c r="A166" s="70"/>
      <c r="B166" s="64" t="s">
        <v>17</v>
      </c>
      <c r="C166" s="65">
        <v>-220.0</v>
      </c>
      <c r="D166" s="66">
        <f t="shared" si="3"/>
        <v>-129800</v>
      </c>
      <c r="E166" s="56" t="s">
        <v>135</v>
      </c>
      <c r="F166" s="58">
        <f t="shared" si="150"/>
        <v>-5</v>
      </c>
      <c r="G166" s="58"/>
      <c r="H166" s="58">
        <f t="shared" ref="H166:M166" si="163">SUMIFS($C166,$B166,H$8)+H165</f>
        <v>0</v>
      </c>
      <c r="I166" s="58">
        <f t="shared" si="163"/>
        <v>9</v>
      </c>
      <c r="J166" s="58">
        <f t="shared" si="163"/>
        <v>254</v>
      </c>
      <c r="K166" s="58">
        <f t="shared" si="163"/>
        <v>0</v>
      </c>
      <c r="L166" s="58">
        <f t="shared" si="163"/>
        <v>0</v>
      </c>
      <c r="M166" s="58">
        <f t="shared" si="163"/>
        <v>0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0" customHeight="1">
      <c r="A167" s="70"/>
      <c r="B167" s="71"/>
      <c r="C167" s="66"/>
      <c r="D167" s="66">
        <f t="shared" si="3"/>
        <v>0</v>
      </c>
      <c r="E167" s="67"/>
      <c r="F167" s="58">
        <f t="shared" si="150"/>
        <v>-5</v>
      </c>
      <c r="G167" s="58"/>
      <c r="H167" s="58">
        <f t="shared" ref="H167:M167" si="164">SUMIFS($C167,$B167,H$8)+H166</f>
        <v>0</v>
      </c>
      <c r="I167" s="58">
        <f t="shared" si="164"/>
        <v>9</v>
      </c>
      <c r="J167" s="58">
        <f t="shared" si="164"/>
        <v>254</v>
      </c>
      <c r="K167" s="58">
        <f t="shared" si="164"/>
        <v>0</v>
      </c>
      <c r="L167" s="58">
        <f t="shared" si="164"/>
        <v>0</v>
      </c>
      <c r="M167" s="58">
        <f t="shared" si="164"/>
        <v>0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0" customHeight="1">
      <c r="A168" s="68">
        <v>46153.0</v>
      </c>
      <c r="B168" s="64" t="s">
        <v>9</v>
      </c>
      <c r="C168" s="65">
        <v>-1.0</v>
      </c>
      <c r="D168" s="66">
        <f t="shared" si="3"/>
        <v>-590</v>
      </c>
      <c r="E168" s="74" t="s">
        <v>38</v>
      </c>
      <c r="F168" s="58">
        <f t="shared" si="150"/>
        <v>-6</v>
      </c>
      <c r="G168" s="58"/>
      <c r="H168" s="58">
        <f t="shared" ref="H168:M168" si="165">SUMIFS($C168,$B168,H$8)+H167</f>
        <v>0</v>
      </c>
      <c r="I168" s="58">
        <f t="shared" si="165"/>
        <v>9</v>
      </c>
      <c r="J168" s="58">
        <f t="shared" si="165"/>
        <v>254</v>
      </c>
      <c r="K168" s="58">
        <f t="shared" si="165"/>
        <v>0</v>
      </c>
      <c r="L168" s="58">
        <f t="shared" si="165"/>
        <v>0</v>
      </c>
      <c r="M168" s="58">
        <f t="shared" si="165"/>
        <v>0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0" customHeight="1">
      <c r="A169" s="70"/>
      <c r="B169" s="64" t="s">
        <v>9</v>
      </c>
      <c r="C169" s="65">
        <v>-2.0</v>
      </c>
      <c r="D169" s="66">
        <f t="shared" si="3"/>
        <v>-1180</v>
      </c>
      <c r="E169" s="67"/>
      <c r="F169" s="58">
        <f t="shared" si="150"/>
        <v>-8</v>
      </c>
      <c r="G169" s="58"/>
      <c r="H169" s="58">
        <f t="shared" ref="H169:M169" si="166">SUMIFS($C169,$B169,H$8)+H168</f>
        <v>0</v>
      </c>
      <c r="I169" s="58">
        <f t="shared" si="166"/>
        <v>9</v>
      </c>
      <c r="J169" s="58">
        <f t="shared" si="166"/>
        <v>254</v>
      </c>
      <c r="K169" s="58">
        <f t="shared" si="166"/>
        <v>0</v>
      </c>
      <c r="L169" s="58">
        <f t="shared" si="166"/>
        <v>0</v>
      </c>
      <c r="M169" s="58">
        <f t="shared" si="166"/>
        <v>0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0" customHeight="1">
      <c r="A170" s="70"/>
      <c r="B170" s="64" t="s">
        <v>17</v>
      </c>
      <c r="C170" s="65">
        <v>2.0</v>
      </c>
      <c r="D170" s="66">
        <f t="shared" si="3"/>
        <v>1180</v>
      </c>
      <c r="E170" s="56" t="s">
        <v>134</v>
      </c>
      <c r="F170" s="58">
        <f t="shared" si="150"/>
        <v>-8</v>
      </c>
      <c r="G170" s="58"/>
      <c r="H170" s="58">
        <f t="shared" ref="H170:M170" si="167">SUMIFS($C170,$B170,H$8)+H169</f>
        <v>0</v>
      </c>
      <c r="I170" s="58">
        <f t="shared" si="167"/>
        <v>9</v>
      </c>
      <c r="J170" s="58">
        <f t="shared" si="167"/>
        <v>256</v>
      </c>
      <c r="K170" s="58">
        <f t="shared" si="167"/>
        <v>0</v>
      </c>
      <c r="L170" s="58">
        <f t="shared" si="167"/>
        <v>0</v>
      </c>
      <c r="M170" s="58">
        <f t="shared" si="167"/>
        <v>0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0" customHeight="1">
      <c r="A171" s="70"/>
      <c r="B171" s="71"/>
      <c r="C171" s="66"/>
      <c r="D171" s="66">
        <f t="shared" si="3"/>
        <v>0</v>
      </c>
      <c r="E171" s="67"/>
      <c r="F171" s="58">
        <f t="shared" si="150"/>
        <v>-8</v>
      </c>
      <c r="G171" s="58"/>
      <c r="H171" s="58">
        <f t="shared" ref="H171:M171" si="168">SUMIFS($C171,$B171,H$8)+H170</f>
        <v>0</v>
      </c>
      <c r="I171" s="58">
        <f t="shared" si="168"/>
        <v>9</v>
      </c>
      <c r="J171" s="58">
        <f t="shared" si="168"/>
        <v>256</v>
      </c>
      <c r="K171" s="58">
        <f t="shared" si="168"/>
        <v>0</v>
      </c>
      <c r="L171" s="58">
        <f t="shared" si="168"/>
        <v>0</v>
      </c>
      <c r="M171" s="58">
        <f t="shared" si="168"/>
        <v>0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0" customHeight="1">
      <c r="A172" s="68">
        <v>46213.0</v>
      </c>
      <c r="B172" s="64" t="s">
        <v>17</v>
      </c>
      <c r="C172" s="65">
        <v>-220.0</v>
      </c>
      <c r="D172" s="66">
        <f t="shared" si="3"/>
        <v>-129800</v>
      </c>
      <c r="E172" s="56" t="s">
        <v>137</v>
      </c>
      <c r="F172" s="58">
        <f t="shared" si="150"/>
        <v>-8</v>
      </c>
      <c r="G172" s="58"/>
      <c r="H172" s="58">
        <f t="shared" ref="H172:M172" si="169">SUMIFS($C172,$B172,H$8)+H171</f>
        <v>0</v>
      </c>
      <c r="I172" s="58">
        <f t="shared" si="169"/>
        <v>9</v>
      </c>
      <c r="J172" s="58">
        <f t="shared" si="169"/>
        <v>36</v>
      </c>
      <c r="K172" s="58">
        <f t="shared" si="169"/>
        <v>0</v>
      </c>
      <c r="L172" s="58">
        <f t="shared" si="169"/>
        <v>0</v>
      </c>
      <c r="M172" s="58">
        <f t="shared" si="169"/>
        <v>0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0" customHeight="1">
      <c r="A173" s="70"/>
      <c r="B173" s="71"/>
      <c r="C173" s="66"/>
      <c r="D173" s="66">
        <f t="shared" si="3"/>
        <v>0</v>
      </c>
      <c r="E173" s="67"/>
      <c r="F173" s="58">
        <f t="shared" si="150"/>
        <v>-8</v>
      </c>
      <c r="G173" s="58"/>
      <c r="H173" s="58">
        <f t="shared" ref="H173:M173" si="170">SUMIFS($C173,$B173,H$8)+H172</f>
        <v>0</v>
      </c>
      <c r="I173" s="58">
        <f t="shared" si="170"/>
        <v>9</v>
      </c>
      <c r="J173" s="58">
        <f t="shared" si="170"/>
        <v>36</v>
      </c>
      <c r="K173" s="58">
        <f t="shared" si="170"/>
        <v>0</v>
      </c>
      <c r="L173" s="58">
        <f t="shared" si="170"/>
        <v>0</v>
      </c>
      <c r="M173" s="58">
        <f t="shared" si="170"/>
        <v>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0" customHeight="1">
      <c r="A174" s="70"/>
      <c r="B174" s="71"/>
      <c r="C174" s="66"/>
      <c r="D174" s="66">
        <f t="shared" si="3"/>
        <v>0</v>
      </c>
      <c r="E174" s="67"/>
      <c r="F174" s="58">
        <f t="shared" si="150"/>
        <v>-8</v>
      </c>
      <c r="G174" s="58"/>
      <c r="H174" s="58">
        <f t="shared" ref="H174:M174" si="171">SUMIFS($C174,$B174,H$8)+H173</f>
        <v>0</v>
      </c>
      <c r="I174" s="58">
        <f t="shared" si="171"/>
        <v>9</v>
      </c>
      <c r="J174" s="58">
        <f t="shared" si="171"/>
        <v>36</v>
      </c>
      <c r="K174" s="58">
        <f t="shared" si="171"/>
        <v>0</v>
      </c>
      <c r="L174" s="58">
        <f t="shared" si="171"/>
        <v>0</v>
      </c>
      <c r="M174" s="58">
        <f t="shared" si="171"/>
        <v>0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0" customHeight="1">
      <c r="A175" s="70"/>
      <c r="B175" s="71"/>
      <c r="C175" s="66"/>
      <c r="D175" s="66">
        <f t="shared" si="3"/>
        <v>0</v>
      </c>
      <c r="E175" s="67"/>
      <c r="F175" s="58">
        <f t="shared" si="150"/>
        <v>-8</v>
      </c>
      <c r="G175" s="58"/>
      <c r="H175" s="58">
        <f t="shared" ref="H175:M175" si="172">SUMIFS($C175,$B175,H$8)+H174</f>
        <v>0</v>
      </c>
      <c r="I175" s="58">
        <f t="shared" si="172"/>
        <v>9</v>
      </c>
      <c r="J175" s="58">
        <f t="shared" si="172"/>
        <v>36</v>
      </c>
      <c r="K175" s="58">
        <f t="shared" si="172"/>
        <v>0</v>
      </c>
      <c r="L175" s="58">
        <f t="shared" si="172"/>
        <v>0</v>
      </c>
      <c r="M175" s="58">
        <f t="shared" si="172"/>
        <v>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0" customHeight="1">
      <c r="A176" s="70"/>
      <c r="B176" s="71"/>
      <c r="C176" s="66"/>
      <c r="D176" s="66">
        <f t="shared" si="3"/>
        <v>0</v>
      </c>
      <c r="E176" s="67"/>
      <c r="F176" s="58">
        <f t="shared" si="150"/>
        <v>-8</v>
      </c>
      <c r="G176" s="58"/>
      <c r="H176" s="58">
        <f t="shared" ref="H176:M176" si="173">SUMIFS($C176,$B176,H$8)+H175</f>
        <v>0</v>
      </c>
      <c r="I176" s="58">
        <f t="shared" si="173"/>
        <v>9</v>
      </c>
      <c r="J176" s="58">
        <f t="shared" si="173"/>
        <v>36</v>
      </c>
      <c r="K176" s="58">
        <f t="shared" si="173"/>
        <v>0</v>
      </c>
      <c r="L176" s="58">
        <f t="shared" si="173"/>
        <v>0</v>
      </c>
      <c r="M176" s="58">
        <f t="shared" si="173"/>
        <v>0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0" customHeight="1">
      <c r="A177" s="70"/>
      <c r="B177" s="71"/>
      <c r="C177" s="66"/>
      <c r="D177" s="66">
        <f t="shared" si="3"/>
        <v>0</v>
      </c>
      <c r="E177" s="67"/>
      <c r="F177" s="58">
        <f t="shared" si="150"/>
        <v>-8</v>
      </c>
      <c r="G177" s="58"/>
      <c r="H177" s="58">
        <f t="shared" ref="H177:M177" si="174">SUMIFS($C177,$B177,H$8)+H176</f>
        <v>0</v>
      </c>
      <c r="I177" s="58">
        <f t="shared" si="174"/>
        <v>9</v>
      </c>
      <c r="J177" s="58">
        <f t="shared" si="174"/>
        <v>36</v>
      </c>
      <c r="K177" s="58">
        <f t="shared" si="174"/>
        <v>0</v>
      </c>
      <c r="L177" s="58">
        <f t="shared" si="174"/>
        <v>0</v>
      </c>
      <c r="M177" s="58">
        <f t="shared" si="174"/>
        <v>0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0" customHeight="1">
      <c r="A178" s="70"/>
      <c r="B178" s="71"/>
      <c r="C178" s="66"/>
      <c r="D178" s="66">
        <f t="shared" si="3"/>
        <v>0</v>
      </c>
      <c r="E178" s="67"/>
      <c r="F178" s="58">
        <f t="shared" si="150"/>
        <v>-8</v>
      </c>
      <c r="G178" s="58"/>
      <c r="H178" s="58">
        <f t="shared" ref="H178:M178" si="175">SUMIFS($C178,$B178,H$8)+H177</f>
        <v>0</v>
      </c>
      <c r="I178" s="58">
        <f t="shared" si="175"/>
        <v>9</v>
      </c>
      <c r="J178" s="58">
        <f t="shared" si="175"/>
        <v>36</v>
      </c>
      <c r="K178" s="58">
        <f t="shared" si="175"/>
        <v>0</v>
      </c>
      <c r="L178" s="58">
        <f t="shared" si="175"/>
        <v>0</v>
      </c>
      <c r="M178" s="58">
        <f t="shared" si="175"/>
        <v>0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0" customHeight="1">
      <c r="A179" s="70"/>
      <c r="B179" s="71"/>
      <c r="C179" s="66"/>
      <c r="D179" s="66">
        <f t="shared" si="3"/>
        <v>0</v>
      </c>
      <c r="E179" s="67"/>
      <c r="F179" s="58">
        <f t="shared" si="150"/>
        <v>-8</v>
      </c>
      <c r="G179" s="58"/>
      <c r="H179" s="58">
        <f t="shared" ref="H179:M179" si="176">SUMIFS($C179,$B179,H$8)+H178</f>
        <v>0</v>
      </c>
      <c r="I179" s="58">
        <f t="shared" si="176"/>
        <v>9</v>
      </c>
      <c r="J179" s="58">
        <f t="shared" si="176"/>
        <v>36</v>
      </c>
      <c r="K179" s="58">
        <f t="shared" si="176"/>
        <v>0</v>
      </c>
      <c r="L179" s="58">
        <f t="shared" si="176"/>
        <v>0</v>
      </c>
      <c r="M179" s="58">
        <f t="shared" si="176"/>
        <v>0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0" customHeight="1">
      <c r="A180" s="70"/>
      <c r="B180" s="71"/>
      <c r="C180" s="66"/>
      <c r="D180" s="66">
        <f t="shared" si="3"/>
        <v>0</v>
      </c>
      <c r="E180" s="67"/>
      <c r="F180" s="58">
        <f t="shared" si="150"/>
        <v>-8</v>
      </c>
      <c r="G180" s="58"/>
      <c r="H180" s="58">
        <f t="shared" ref="H180:M180" si="177">SUMIFS($C180,$B180,H$8)+H179</f>
        <v>0</v>
      </c>
      <c r="I180" s="58">
        <f t="shared" si="177"/>
        <v>9</v>
      </c>
      <c r="J180" s="58">
        <f t="shared" si="177"/>
        <v>36</v>
      </c>
      <c r="K180" s="58">
        <f t="shared" si="177"/>
        <v>0</v>
      </c>
      <c r="L180" s="58">
        <f t="shared" si="177"/>
        <v>0</v>
      </c>
      <c r="M180" s="58">
        <f t="shared" si="177"/>
        <v>0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0" customHeight="1">
      <c r="A181" s="70"/>
      <c r="B181" s="71"/>
      <c r="C181" s="66"/>
      <c r="D181" s="66">
        <f t="shared" si="3"/>
        <v>0</v>
      </c>
      <c r="E181" s="67"/>
      <c r="F181" s="58">
        <f t="shared" si="150"/>
        <v>-8</v>
      </c>
      <c r="G181" s="58"/>
      <c r="H181" s="58">
        <f t="shared" ref="H181:M181" si="178">SUMIFS($C181,$B181,H$8)+H180</f>
        <v>0</v>
      </c>
      <c r="I181" s="58">
        <f t="shared" si="178"/>
        <v>9</v>
      </c>
      <c r="J181" s="58">
        <f t="shared" si="178"/>
        <v>36</v>
      </c>
      <c r="K181" s="58">
        <f t="shared" si="178"/>
        <v>0</v>
      </c>
      <c r="L181" s="58">
        <f t="shared" si="178"/>
        <v>0</v>
      </c>
      <c r="M181" s="58">
        <f t="shared" si="178"/>
        <v>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0" customHeight="1">
      <c r="A182" s="70"/>
      <c r="B182" s="71"/>
      <c r="C182" s="66"/>
      <c r="D182" s="66">
        <f t="shared" si="3"/>
        <v>0</v>
      </c>
      <c r="E182" s="67"/>
      <c r="F182" s="58">
        <f t="shared" si="150"/>
        <v>-8</v>
      </c>
      <c r="G182" s="58"/>
      <c r="H182" s="58">
        <f t="shared" ref="H182:M182" si="179">SUMIFS($C182,$B182,H$8)+H181</f>
        <v>0</v>
      </c>
      <c r="I182" s="58">
        <f t="shared" si="179"/>
        <v>9</v>
      </c>
      <c r="J182" s="58">
        <f t="shared" si="179"/>
        <v>36</v>
      </c>
      <c r="K182" s="58">
        <f t="shared" si="179"/>
        <v>0</v>
      </c>
      <c r="L182" s="58">
        <f t="shared" si="179"/>
        <v>0</v>
      </c>
      <c r="M182" s="58">
        <f t="shared" si="179"/>
        <v>0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0" customHeight="1">
      <c r="A183" s="70"/>
      <c r="B183" s="71"/>
      <c r="C183" s="66"/>
      <c r="D183" s="66">
        <f t="shared" si="3"/>
        <v>0</v>
      </c>
      <c r="E183" s="67"/>
      <c r="F183" s="58">
        <f t="shared" si="150"/>
        <v>-8</v>
      </c>
      <c r="G183" s="58"/>
      <c r="H183" s="58">
        <f t="shared" ref="H183:M183" si="180">SUMIFS($C183,$B183,H$8)+H182</f>
        <v>0</v>
      </c>
      <c r="I183" s="58">
        <f t="shared" si="180"/>
        <v>9</v>
      </c>
      <c r="J183" s="58">
        <f t="shared" si="180"/>
        <v>36</v>
      </c>
      <c r="K183" s="58">
        <f t="shared" si="180"/>
        <v>0</v>
      </c>
      <c r="L183" s="58">
        <f t="shared" si="180"/>
        <v>0</v>
      </c>
      <c r="M183" s="58">
        <f t="shared" si="180"/>
        <v>0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0" customHeight="1">
      <c r="A184" s="70"/>
      <c r="B184" s="71"/>
      <c r="C184" s="66"/>
      <c r="D184" s="66">
        <f t="shared" si="3"/>
        <v>0</v>
      </c>
      <c r="E184" s="67"/>
      <c r="F184" s="58">
        <f t="shared" si="150"/>
        <v>-8</v>
      </c>
      <c r="G184" s="58"/>
      <c r="H184" s="58">
        <f t="shared" ref="H184:M184" si="181">SUMIFS($C184,$B184,H$8)+H183</f>
        <v>0</v>
      </c>
      <c r="I184" s="58">
        <f t="shared" si="181"/>
        <v>9</v>
      </c>
      <c r="J184" s="58">
        <f t="shared" si="181"/>
        <v>36</v>
      </c>
      <c r="K184" s="58">
        <f t="shared" si="181"/>
        <v>0</v>
      </c>
      <c r="L184" s="58">
        <f t="shared" si="181"/>
        <v>0</v>
      </c>
      <c r="M184" s="58">
        <f t="shared" si="181"/>
        <v>0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0" customHeight="1">
      <c r="A185" s="70"/>
      <c r="B185" s="71"/>
      <c r="C185" s="66"/>
      <c r="D185" s="66">
        <f t="shared" si="3"/>
        <v>0</v>
      </c>
      <c r="E185" s="67"/>
      <c r="F185" s="58">
        <f t="shared" si="150"/>
        <v>-8</v>
      </c>
      <c r="G185" s="58"/>
      <c r="H185" s="58">
        <f t="shared" ref="H185:M185" si="182">SUMIFS($C185,$B185,H$8)+H184</f>
        <v>0</v>
      </c>
      <c r="I185" s="58">
        <f t="shared" si="182"/>
        <v>9</v>
      </c>
      <c r="J185" s="58">
        <f t="shared" si="182"/>
        <v>36</v>
      </c>
      <c r="K185" s="58">
        <f t="shared" si="182"/>
        <v>0</v>
      </c>
      <c r="L185" s="58">
        <f t="shared" si="182"/>
        <v>0</v>
      </c>
      <c r="M185" s="58">
        <f t="shared" si="182"/>
        <v>0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0" customHeight="1">
      <c r="A186" s="70"/>
      <c r="B186" s="71"/>
      <c r="C186" s="66"/>
      <c r="D186" s="66">
        <f t="shared" si="3"/>
        <v>0</v>
      </c>
      <c r="E186" s="67"/>
      <c r="F186" s="58">
        <f t="shared" si="150"/>
        <v>-8</v>
      </c>
      <c r="G186" s="58"/>
      <c r="H186" s="58">
        <f t="shared" ref="H186:M186" si="183">SUMIFS($C186,$B186,H$8)+H185</f>
        <v>0</v>
      </c>
      <c r="I186" s="58">
        <f t="shared" si="183"/>
        <v>9</v>
      </c>
      <c r="J186" s="58">
        <f t="shared" si="183"/>
        <v>36</v>
      </c>
      <c r="K186" s="58">
        <f t="shared" si="183"/>
        <v>0</v>
      </c>
      <c r="L186" s="58">
        <f t="shared" si="183"/>
        <v>0</v>
      </c>
      <c r="M186" s="58">
        <f t="shared" si="183"/>
        <v>0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0" customHeight="1">
      <c r="A187" s="70"/>
      <c r="B187" s="71"/>
      <c r="C187" s="66"/>
      <c r="D187" s="66">
        <f t="shared" si="3"/>
        <v>0</v>
      </c>
      <c r="E187" s="67"/>
      <c r="F187" s="58">
        <f t="shared" si="150"/>
        <v>-8</v>
      </c>
      <c r="G187" s="58"/>
      <c r="H187" s="58">
        <f t="shared" ref="H187:M187" si="184">SUMIFS($C187,$B187,H$8)+H186</f>
        <v>0</v>
      </c>
      <c r="I187" s="58">
        <f t="shared" si="184"/>
        <v>9</v>
      </c>
      <c r="J187" s="58">
        <f t="shared" si="184"/>
        <v>36</v>
      </c>
      <c r="K187" s="58">
        <f t="shared" si="184"/>
        <v>0</v>
      </c>
      <c r="L187" s="58">
        <f t="shared" si="184"/>
        <v>0</v>
      </c>
      <c r="M187" s="58">
        <f t="shared" si="184"/>
        <v>0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0" customHeight="1">
      <c r="A188" s="70"/>
      <c r="B188" s="71"/>
      <c r="C188" s="66"/>
      <c r="D188" s="66">
        <f t="shared" si="3"/>
        <v>0</v>
      </c>
      <c r="E188" s="67"/>
      <c r="F188" s="58">
        <f t="shared" si="150"/>
        <v>-8</v>
      </c>
      <c r="G188" s="58"/>
      <c r="H188" s="58">
        <f t="shared" ref="H188:M188" si="185">SUMIFS($C188,$B188,H$8)+H187</f>
        <v>0</v>
      </c>
      <c r="I188" s="58">
        <f t="shared" si="185"/>
        <v>9</v>
      </c>
      <c r="J188" s="58">
        <f t="shared" si="185"/>
        <v>36</v>
      </c>
      <c r="K188" s="58">
        <f t="shared" si="185"/>
        <v>0</v>
      </c>
      <c r="L188" s="58">
        <f t="shared" si="185"/>
        <v>0</v>
      </c>
      <c r="M188" s="58">
        <f t="shared" si="185"/>
        <v>0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0" customHeight="1">
      <c r="A189" s="70"/>
      <c r="B189" s="71"/>
      <c r="C189" s="66"/>
      <c r="D189" s="66">
        <f t="shared" si="3"/>
        <v>0</v>
      </c>
      <c r="E189" s="67"/>
      <c r="F189" s="58">
        <f t="shared" si="150"/>
        <v>-8</v>
      </c>
      <c r="G189" s="58"/>
      <c r="H189" s="58">
        <f t="shared" ref="H189:M189" si="186">SUMIFS($C189,$B189,H$8)+H188</f>
        <v>0</v>
      </c>
      <c r="I189" s="58">
        <f t="shared" si="186"/>
        <v>9</v>
      </c>
      <c r="J189" s="58">
        <f t="shared" si="186"/>
        <v>36</v>
      </c>
      <c r="K189" s="58">
        <f t="shared" si="186"/>
        <v>0</v>
      </c>
      <c r="L189" s="58">
        <f t="shared" si="186"/>
        <v>0</v>
      </c>
      <c r="M189" s="58">
        <f t="shared" si="186"/>
        <v>0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0" customHeight="1">
      <c r="A190" s="70"/>
      <c r="B190" s="71"/>
      <c r="C190" s="66"/>
      <c r="D190" s="66">
        <f t="shared" si="3"/>
        <v>0</v>
      </c>
      <c r="E190" s="67"/>
      <c r="F190" s="58">
        <f t="shared" si="150"/>
        <v>-8</v>
      </c>
      <c r="G190" s="58"/>
      <c r="H190" s="58">
        <f t="shared" ref="H190:M190" si="187">SUMIFS($C190,$B190,H$8)+H189</f>
        <v>0</v>
      </c>
      <c r="I190" s="58">
        <f t="shared" si="187"/>
        <v>9</v>
      </c>
      <c r="J190" s="58">
        <f t="shared" si="187"/>
        <v>36</v>
      </c>
      <c r="K190" s="58">
        <f t="shared" si="187"/>
        <v>0</v>
      </c>
      <c r="L190" s="58">
        <f t="shared" si="187"/>
        <v>0</v>
      </c>
      <c r="M190" s="58">
        <f t="shared" si="187"/>
        <v>0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0" customHeight="1">
      <c r="A191" s="70"/>
      <c r="B191" s="71"/>
      <c r="C191" s="66"/>
      <c r="D191" s="66">
        <f t="shared" si="3"/>
        <v>0</v>
      </c>
      <c r="E191" s="67"/>
      <c r="F191" s="58">
        <f t="shared" si="150"/>
        <v>-8</v>
      </c>
      <c r="G191" s="58"/>
      <c r="H191" s="58">
        <f t="shared" ref="H191:M191" si="188">SUMIFS($C191,$B191,H$8)+H190</f>
        <v>0</v>
      </c>
      <c r="I191" s="58">
        <f t="shared" si="188"/>
        <v>9</v>
      </c>
      <c r="J191" s="58">
        <f t="shared" si="188"/>
        <v>36</v>
      </c>
      <c r="K191" s="58">
        <f t="shared" si="188"/>
        <v>0</v>
      </c>
      <c r="L191" s="58">
        <f t="shared" si="188"/>
        <v>0</v>
      </c>
      <c r="M191" s="58">
        <f t="shared" si="188"/>
        <v>0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0" customHeight="1">
      <c r="A192" s="70"/>
      <c r="B192" s="71"/>
      <c r="C192" s="66"/>
      <c r="D192" s="66">
        <f t="shared" si="3"/>
        <v>0</v>
      </c>
      <c r="E192" s="67"/>
      <c r="F192" s="58">
        <f t="shared" si="150"/>
        <v>-8</v>
      </c>
      <c r="G192" s="58"/>
      <c r="H192" s="58">
        <f t="shared" ref="H192:M192" si="189">SUMIFS($C192,$B192,H$8)+H191</f>
        <v>0</v>
      </c>
      <c r="I192" s="58">
        <f t="shared" si="189"/>
        <v>9</v>
      </c>
      <c r="J192" s="58">
        <f t="shared" si="189"/>
        <v>36</v>
      </c>
      <c r="K192" s="58">
        <f t="shared" si="189"/>
        <v>0</v>
      </c>
      <c r="L192" s="58">
        <f t="shared" si="189"/>
        <v>0</v>
      </c>
      <c r="M192" s="58">
        <f t="shared" si="189"/>
        <v>0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0" customHeight="1">
      <c r="A193" s="70"/>
      <c r="B193" s="71"/>
      <c r="C193" s="66"/>
      <c r="D193" s="66">
        <f t="shared" si="3"/>
        <v>0</v>
      </c>
      <c r="E193" s="67"/>
      <c r="F193" s="58">
        <f t="shared" si="150"/>
        <v>-8</v>
      </c>
      <c r="G193" s="58"/>
      <c r="H193" s="58">
        <f t="shared" ref="H193:M193" si="190">SUMIFS($C193,$B193,H$8)+H192</f>
        <v>0</v>
      </c>
      <c r="I193" s="58">
        <f t="shared" si="190"/>
        <v>9</v>
      </c>
      <c r="J193" s="58">
        <f t="shared" si="190"/>
        <v>36</v>
      </c>
      <c r="K193" s="58">
        <f t="shared" si="190"/>
        <v>0</v>
      </c>
      <c r="L193" s="58">
        <f t="shared" si="190"/>
        <v>0</v>
      </c>
      <c r="M193" s="58">
        <f t="shared" si="190"/>
        <v>0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0" customHeight="1">
      <c r="A194" s="70"/>
      <c r="B194" s="71"/>
      <c r="C194" s="66"/>
      <c r="D194" s="66">
        <f t="shared" si="3"/>
        <v>0</v>
      </c>
      <c r="E194" s="67"/>
      <c r="F194" s="58">
        <f t="shared" si="150"/>
        <v>-8</v>
      </c>
      <c r="G194" s="58"/>
      <c r="H194" s="58">
        <f t="shared" ref="H194:M194" si="191">SUMIFS($C194,$B194,H$8)+H193</f>
        <v>0</v>
      </c>
      <c r="I194" s="58">
        <f t="shared" si="191"/>
        <v>9</v>
      </c>
      <c r="J194" s="58">
        <f t="shared" si="191"/>
        <v>36</v>
      </c>
      <c r="K194" s="58">
        <f t="shared" si="191"/>
        <v>0</v>
      </c>
      <c r="L194" s="58">
        <f t="shared" si="191"/>
        <v>0</v>
      </c>
      <c r="M194" s="58">
        <f t="shared" si="191"/>
        <v>0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0" customHeight="1">
      <c r="A195" s="70"/>
      <c r="B195" s="71"/>
      <c r="C195" s="66"/>
      <c r="D195" s="66">
        <f t="shared" si="3"/>
        <v>0</v>
      </c>
      <c r="E195" s="67"/>
      <c r="F195" s="58">
        <f t="shared" si="150"/>
        <v>-8</v>
      </c>
      <c r="G195" s="58"/>
      <c r="H195" s="58">
        <f t="shared" ref="H195:M195" si="192">SUMIFS($C195,$B195,H$8)+H194</f>
        <v>0</v>
      </c>
      <c r="I195" s="58">
        <f t="shared" si="192"/>
        <v>9</v>
      </c>
      <c r="J195" s="58">
        <f t="shared" si="192"/>
        <v>36</v>
      </c>
      <c r="K195" s="58">
        <f t="shared" si="192"/>
        <v>0</v>
      </c>
      <c r="L195" s="58">
        <f t="shared" si="192"/>
        <v>0</v>
      </c>
      <c r="M195" s="58">
        <f t="shared" si="192"/>
        <v>0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0" customHeight="1">
      <c r="A196" s="70"/>
      <c r="B196" s="71"/>
      <c r="C196" s="66"/>
      <c r="D196" s="66">
        <f t="shared" si="3"/>
        <v>0</v>
      </c>
      <c r="E196" s="67"/>
      <c r="F196" s="58">
        <f t="shared" si="150"/>
        <v>-8</v>
      </c>
      <c r="G196" s="58"/>
      <c r="H196" s="58">
        <f t="shared" ref="H196:M196" si="193">SUMIFS($C196,$B196,H$8)+H195</f>
        <v>0</v>
      </c>
      <c r="I196" s="58">
        <f t="shared" si="193"/>
        <v>9</v>
      </c>
      <c r="J196" s="58">
        <f t="shared" si="193"/>
        <v>36</v>
      </c>
      <c r="K196" s="58">
        <f t="shared" si="193"/>
        <v>0</v>
      </c>
      <c r="L196" s="58">
        <f t="shared" si="193"/>
        <v>0</v>
      </c>
      <c r="M196" s="58">
        <f t="shared" si="193"/>
        <v>0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0" customHeight="1">
      <c r="A197" s="70"/>
      <c r="B197" s="71"/>
      <c r="C197" s="66"/>
      <c r="D197" s="66">
        <f t="shared" si="3"/>
        <v>0</v>
      </c>
      <c r="E197" s="67"/>
      <c r="F197" s="58">
        <f t="shared" si="150"/>
        <v>-8</v>
      </c>
      <c r="G197" s="58"/>
      <c r="H197" s="58">
        <f t="shared" ref="H197:M197" si="194">SUMIFS($C197,$B197,H$8)+H196</f>
        <v>0</v>
      </c>
      <c r="I197" s="58">
        <f t="shared" si="194"/>
        <v>9</v>
      </c>
      <c r="J197" s="58">
        <f t="shared" si="194"/>
        <v>36</v>
      </c>
      <c r="K197" s="58">
        <f t="shared" si="194"/>
        <v>0</v>
      </c>
      <c r="L197" s="58">
        <f t="shared" si="194"/>
        <v>0</v>
      </c>
      <c r="M197" s="58">
        <f t="shared" si="194"/>
        <v>0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0" customHeight="1">
      <c r="A198" s="70"/>
      <c r="B198" s="71"/>
      <c r="C198" s="66"/>
      <c r="D198" s="66">
        <f t="shared" si="3"/>
        <v>0</v>
      </c>
      <c r="E198" s="67"/>
      <c r="F198" s="58">
        <f t="shared" si="150"/>
        <v>-8</v>
      </c>
      <c r="G198" s="58"/>
      <c r="H198" s="58">
        <f t="shared" ref="H198:M198" si="195">SUMIFS($C198,$B198,H$8)+H197</f>
        <v>0</v>
      </c>
      <c r="I198" s="58">
        <f t="shared" si="195"/>
        <v>9</v>
      </c>
      <c r="J198" s="58">
        <f t="shared" si="195"/>
        <v>36</v>
      </c>
      <c r="K198" s="58">
        <f t="shared" si="195"/>
        <v>0</v>
      </c>
      <c r="L198" s="58">
        <f t="shared" si="195"/>
        <v>0</v>
      </c>
      <c r="M198" s="58">
        <f t="shared" si="195"/>
        <v>0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0" customHeight="1">
      <c r="A199" s="70"/>
      <c r="B199" s="71"/>
      <c r="C199" s="66"/>
      <c r="D199" s="66">
        <f t="shared" si="3"/>
        <v>0</v>
      </c>
      <c r="E199" s="67"/>
      <c r="F199" s="58">
        <f t="shared" si="150"/>
        <v>-8</v>
      </c>
      <c r="G199" s="58"/>
      <c r="H199" s="58">
        <f t="shared" ref="H199:M199" si="196">SUMIFS($C199,$B199,H$8)+H198</f>
        <v>0</v>
      </c>
      <c r="I199" s="58">
        <f t="shared" si="196"/>
        <v>9</v>
      </c>
      <c r="J199" s="58">
        <f t="shared" si="196"/>
        <v>36</v>
      </c>
      <c r="K199" s="58">
        <f t="shared" si="196"/>
        <v>0</v>
      </c>
      <c r="L199" s="58">
        <f t="shared" si="196"/>
        <v>0</v>
      </c>
      <c r="M199" s="58">
        <f t="shared" si="196"/>
        <v>0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0" customHeight="1">
      <c r="A200" s="70"/>
      <c r="B200" s="71"/>
      <c r="C200" s="66"/>
      <c r="D200" s="66">
        <f t="shared" si="3"/>
        <v>0</v>
      </c>
      <c r="E200" s="67"/>
      <c r="F200" s="58">
        <f t="shared" si="150"/>
        <v>-8</v>
      </c>
      <c r="G200" s="58"/>
      <c r="H200" s="58">
        <f t="shared" ref="H200:M200" si="197">SUMIFS($C200,$B200,H$8)+H199</f>
        <v>0</v>
      </c>
      <c r="I200" s="58">
        <f t="shared" si="197"/>
        <v>9</v>
      </c>
      <c r="J200" s="58">
        <f t="shared" si="197"/>
        <v>36</v>
      </c>
      <c r="K200" s="58">
        <f t="shared" si="197"/>
        <v>0</v>
      </c>
      <c r="L200" s="58">
        <f t="shared" si="197"/>
        <v>0</v>
      </c>
      <c r="M200" s="58">
        <f t="shared" si="197"/>
        <v>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0" customHeight="1">
      <c r="A201" s="70"/>
      <c r="B201" s="71"/>
      <c r="C201" s="66"/>
      <c r="D201" s="66">
        <f t="shared" si="3"/>
        <v>0</v>
      </c>
      <c r="E201" s="67"/>
      <c r="F201" s="58">
        <f t="shared" si="150"/>
        <v>-8</v>
      </c>
      <c r="G201" s="58"/>
      <c r="H201" s="58">
        <f t="shared" ref="H201:M201" si="198">SUMIFS($C201,$B201,H$8)+H200</f>
        <v>0</v>
      </c>
      <c r="I201" s="58">
        <f t="shared" si="198"/>
        <v>9</v>
      </c>
      <c r="J201" s="58">
        <f t="shared" si="198"/>
        <v>36</v>
      </c>
      <c r="K201" s="58">
        <f t="shared" si="198"/>
        <v>0</v>
      </c>
      <c r="L201" s="58">
        <f t="shared" si="198"/>
        <v>0</v>
      </c>
      <c r="M201" s="58">
        <f t="shared" si="198"/>
        <v>0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0" customHeight="1">
      <c r="A202" s="70"/>
      <c r="B202" s="71"/>
      <c r="C202" s="66"/>
      <c r="D202" s="66">
        <f t="shared" si="3"/>
        <v>0</v>
      </c>
      <c r="E202" s="67"/>
      <c r="F202" s="58">
        <f t="shared" si="150"/>
        <v>-8</v>
      </c>
      <c r="G202" s="58"/>
      <c r="H202" s="58">
        <f t="shared" ref="H202:M202" si="199">SUMIFS($C202,$B202,H$8)+H201</f>
        <v>0</v>
      </c>
      <c r="I202" s="58">
        <f t="shared" si="199"/>
        <v>9</v>
      </c>
      <c r="J202" s="58">
        <f t="shared" si="199"/>
        <v>36</v>
      </c>
      <c r="K202" s="58">
        <f t="shared" si="199"/>
        <v>0</v>
      </c>
      <c r="L202" s="58">
        <f t="shared" si="199"/>
        <v>0</v>
      </c>
      <c r="M202" s="58">
        <f t="shared" si="199"/>
        <v>0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0" customHeight="1">
      <c r="A203" s="70"/>
      <c r="B203" s="71"/>
      <c r="C203" s="66"/>
      <c r="D203" s="66">
        <f t="shared" si="3"/>
        <v>0</v>
      </c>
      <c r="E203" s="67"/>
      <c r="F203" s="58">
        <f t="shared" si="150"/>
        <v>-8</v>
      </c>
      <c r="G203" s="58"/>
      <c r="H203" s="58">
        <f t="shared" ref="H203:M203" si="200">SUMIFS($C203,$B203,H$8)+H202</f>
        <v>0</v>
      </c>
      <c r="I203" s="58">
        <f t="shared" si="200"/>
        <v>9</v>
      </c>
      <c r="J203" s="58">
        <f t="shared" si="200"/>
        <v>36</v>
      </c>
      <c r="K203" s="58">
        <f t="shared" si="200"/>
        <v>0</v>
      </c>
      <c r="L203" s="58">
        <f t="shared" si="200"/>
        <v>0</v>
      </c>
      <c r="M203" s="58">
        <f t="shared" si="200"/>
        <v>0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0" customHeight="1">
      <c r="A204" s="70"/>
      <c r="B204" s="71"/>
      <c r="C204" s="66"/>
      <c r="D204" s="66">
        <f t="shared" si="3"/>
        <v>0</v>
      </c>
      <c r="E204" s="67"/>
      <c r="F204" s="58">
        <f t="shared" si="150"/>
        <v>-8</v>
      </c>
      <c r="G204" s="58"/>
      <c r="H204" s="58">
        <f t="shared" ref="H204:M204" si="201">SUMIFS($C204,$B204,H$8)+H203</f>
        <v>0</v>
      </c>
      <c r="I204" s="58">
        <f t="shared" si="201"/>
        <v>9</v>
      </c>
      <c r="J204" s="58">
        <f t="shared" si="201"/>
        <v>36</v>
      </c>
      <c r="K204" s="58">
        <f t="shared" si="201"/>
        <v>0</v>
      </c>
      <c r="L204" s="58">
        <f t="shared" si="201"/>
        <v>0</v>
      </c>
      <c r="M204" s="58">
        <f t="shared" si="201"/>
        <v>0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0" customHeight="1">
      <c r="A205" s="70"/>
      <c r="B205" s="71"/>
      <c r="C205" s="66"/>
      <c r="D205" s="66">
        <f t="shared" si="3"/>
        <v>0</v>
      </c>
      <c r="E205" s="67"/>
      <c r="F205" s="58">
        <f t="shared" si="150"/>
        <v>-8</v>
      </c>
      <c r="G205" s="58"/>
      <c r="H205" s="58">
        <f t="shared" ref="H205:M205" si="202">SUMIFS($C205,$B205,H$8)+H204</f>
        <v>0</v>
      </c>
      <c r="I205" s="58">
        <f t="shared" si="202"/>
        <v>9</v>
      </c>
      <c r="J205" s="58">
        <f t="shared" si="202"/>
        <v>36</v>
      </c>
      <c r="K205" s="58">
        <f t="shared" si="202"/>
        <v>0</v>
      </c>
      <c r="L205" s="58">
        <f t="shared" si="202"/>
        <v>0</v>
      </c>
      <c r="M205" s="58">
        <f t="shared" si="202"/>
        <v>0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0" customHeight="1">
      <c r="A206" s="70"/>
      <c r="B206" s="71"/>
      <c r="C206" s="66"/>
      <c r="D206" s="66">
        <f t="shared" si="3"/>
        <v>0</v>
      </c>
      <c r="E206" s="67"/>
      <c r="F206" s="58">
        <f t="shared" si="150"/>
        <v>-8</v>
      </c>
      <c r="G206" s="58"/>
      <c r="H206" s="58">
        <f t="shared" ref="H206:M206" si="203">SUMIFS($C206,$B206,H$8)+H205</f>
        <v>0</v>
      </c>
      <c r="I206" s="58">
        <f t="shared" si="203"/>
        <v>9</v>
      </c>
      <c r="J206" s="58">
        <f t="shared" si="203"/>
        <v>36</v>
      </c>
      <c r="K206" s="58">
        <f t="shared" si="203"/>
        <v>0</v>
      </c>
      <c r="L206" s="58">
        <f t="shared" si="203"/>
        <v>0</v>
      </c>
      <c r="M206" s="58">
        <f t="shared" si="203"/>
        <v>0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0" customHeight="1">
      <c r="A207" s="70"/>
      <c r="B207" s="71"/>
      <c r="C207" s="66"/>
      <c r="D207" s="66">
        <f t="shared" si="3"/>
        <v>0</v>
      </c>
      <c r="E207" s="67"/>
      <c r="F207" s="58">
        <f t="shared" si="150"/>
        <v>-8</v>
      </c>
      <c r="G207" s="58"/>
      <c r="H207" s="58">
        <f t="shared" ref="H207:M207" si="204">SUMIFS($C207,$B207,H$8)+H206</f>
        <v>0</v>
      </c>
      <c r="I207" s="58">
        <f t="shared" si="204"/>
        <v>9</v>
      </c>
      <c r="J207" s="58">
        <f t="shared" si="204"/>
        <v>36</v>
      </c>
      <c r="K207" s="58">
        <f t="shared" si="204"/>
        <v>0</v>
      </c>
      <c r="L207" s="58">
        <f t="shared" si="204"/>
        <v>0</v>
      </c>
      <c r="M207" s="58">
        <f t="shared" si="204"/>
        <v>0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0" customHeight="1">
      <c r="A208" s="70"/>
      <c r="B208" s="71"/>
      <c r="C208" s="66"/>
      <c r="D208" s="66">
        <f t="shared" si="3"/>
        <v>0</v>
      </c>
      <c r="E208" s="67"/>
      <c r="F208" s="58">
        <f t="shared" si="150"/>
        <v>-8</v>
      </c>
      <c r="G208" s="58"/>
      <c r="H208" s="58">
        <f t="shared" ref="H208:M208" si="205">SUMIFS($C208,$B208,H$8)+H207</f>
        <v>0</v>
      </c>
      <c r="I208" s="58">
        <f t="shared" si="205"/>
        <v>9</v>
      </c>
      <c r="J208" s="58">
        <f t="shared" si="205"/>
        <v>36</v>
      </c>
      <c r="K208" s="58">
        <f t="shared" si="205"/>
        <v>0</v>
      </c>
      <c r="L208" s="58">
        <f t="shared" si="205"/>
        <v>0</v>
      </c>
      <c r="M208" s="58">
        <f t="shared" si="205"/>
        <v>0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0" customHeight="1">
      <c r="A209" s="70"/>
      <c r="B209" s="71"/>
      <c r="C209" s="66"/>
      <c r="D209" s="66">
        <f t="shared" si="3"/>
        <v>0</v>
      </c>
      <c r="E209" s="67"/>
      <c r="F209" s="58">
        <f t="shared" si="150"/>
        <v>-8</v>
      </c>
      <c r="G209" s="58"/>
      <c r="H209" s="58">
        <f t="shared" ref="H209:M209" si="206">SUMIFS($C209,$B209,H$8)+H208</f>
        <v>0</v>
      </c>
      <c r="I209" s="58">
        <f t="shared" si="206"/>
        <v>9</v>
      </c>
      <c r="J209" s="58">
        <f t="shared" si="206"/>
        <v>36</v>
      </c>
      <c r="K209" s="58">
        <f t="shared" si="206"/>
        <v>0</v>
      </c>
      <c r="L209" s="58">
        <f t="shared" si="206"/>
        <v>0</v>
      </c>
      <c r="M209" s="58">
        <f t="shared" si="206"/>
        <v>0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0" customHeight="1">
      <c r="A210" s="70"/>
      <c r="B210" s="71"/>
      <c r="C210" s="66"/>
      <c r="D210" s="66">
        <f t="shared" si="3"/>
        <v>0</v>
      </c>
      <c r="E210" s="67"/>
      <c r="F210" s="58">
        <f t="shared" si="150"/>
        <v>-8</v>
      </c>
      <c r="G210" s="58"/>
      <c r="H210" s="58">
        <f t="shared" ref="H210:M210" si="207">SUMIFS($C210,$B210,H$8)+H209</f>
        <v>0</v>
      </c>
      <c r="I210" s="58">
        <f t="shared" si="207"/>
        <v>9</v>
      </c>
      <c r="J210" s="58">
        <f t="shared" si="207"/>
        <v>36</v>
      </c>
      <c r="K210" s="58">
        <f t="shared" si="207"/>
        <v>0</v>
      </c>
      <c r="L210" s="58">
        <f t="shared" si="207"/>
        <v>0</v>
      </c>
      <c r="M210" s="58">
        <f t="shared" si="207"/>
        <v>0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0" customHeight="1">
      <c r="A211" s="70"/>
      <c r="B211" s="71"/>
      <c r="C211" s="66"/>
      <c r="D211" s="66">
        <f t="shared" si="3"/>
        <v>0</v>
      </c>
      <c r="E211" s="67"/>
      <c r="F211" s="58">
        <f t="shared" si="150"/>
        <v>-8</v>
      </c>
      <c r="G211" s="58"/>
      <c r="H211" s="58">
        <f t="shared" ref="H211:M211" si="208">SUMIFS($C211,$B211,H$8)+H210</f>
        <v>0</v>
      </c>
      <c r="I211" s="58">
        <f t="shared" si="208"/>
        <v>9</v>
      </c>
      <c r="J211" s="58">
        <f t="shared" si="208"/>
        <v>36</v>
      </c>
      <c r="K211" s="58">
        <f t="shared" si="208"/>
        <v>0</v>
      </c>
      <c r="L211" s="58">
        <f t="shared" si="208"/>
        <v>0</v>
      </c>
      <c r="M211" s="58">
        <f t="shared" si="208"/>
        <v>0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0" customHeight="1">
      <c r="A212" s="70"/>
      <c r="B212" s="71"/>
      <c r="C212" s="66"/>
      <c r="D212" s="66">
        <f t="shared" si="3"/>
        <v>0</v>
      </c>
      <c r="E212" s="67"/>
      <c r="F212" s="58">
        <f t="shared" si="150"/>
        <v>-8</v>
      </c>
      <c r="G212" s="58"/>
      <c r="H212" s="58">
        <f t="shared" ref="H212:M212" si="209">SUMIFS($C212,$B212,H$8)+H211</f>
        <v>0</v>
      </c>
      <c r="I212" s="58">
        <f t="shared" si="209"/>
        <v>9</v>
      </c>
      <c r="J212" s="58">
        <f t="shared" si="209"/>
        <v>36</v>
      </c>
      <c r="K212" s="58">
        <f t="shared" si="209"/>
        <v>0</v>
      </c>
      <c r="L212" s="58">
        <f t="shared" si="209"/>
        <v>0</v>
      </c>
      <c r="M212" s="58">
        <f t="shared" si="209"/>
        <v>0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0" customHeight="1">
      <c r="A213" s="70"/>
      <c r="B213" s="71"/>
      <c r="C213" s="66"/>
      <c r="D213" s="66">
        <f t="shared" si="3"/>
        <v>0</v>
      </c>
      <c r="E213" s="67"/>
      <c r="F213" s="58">
        <f t="shared" si="150"/>
        <v>-8</v>
      </c>
      <c r="G213" s="58"/>
      <c r="H213" s="58">
        <f t="shared" ref="H213:M213" si="210">SUMIFS($C213,$B213,H$8)+H212</f>
        <v>0</v>
      </c>
      <c r="I213" s="58">
        <f t="shared" si="210"/>
        <v>9</v>
      </c>
      <c r="J213" s="58">
        <f t="shared" si="210"/>
        <v>36</v>
      </c>
      <c r="K213" s="58">
        <f t="shared" si="210"/>
        <v>0</v>
      </c>
      <c r="L213" s="58">
        <f t="shared" si="210"/>
        <v>0</v>
      </c>
      <c r="M213" s="58">
        <f t="shared" si="210"/>
        <v>0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0" customHeight="1">
      <c r="A214" s="70"/>
      <c r="B214" s="71"/>
      <c r="C214" s="66"/>
      <c r="D214" s="66">
        <f t="shared" si="3"/>
        <v>0</v>
      </c>
      <c r="E214" s="67"/>
      <c r="F214" s="58">
        <f t="shared" si="150"/>
        <v>-8</v>
      </c>
      <c r="G214" s="58"/>
      <c r="H214" s="58">
        <f t="shared" ref="H214:M214" si="211">SUMIFS($C214,$B214,H$8)+H213</f>
        <v>0</v>
      </c>
      <c r="I214" s="58">
        <f t="shared" si="211"/>
        <v>9</v>
      </c>
      <c r="J214" s="58">
        <f t="shared" si="211"/>
        <v>36</v>
      </c>
      <c r="K214" s="58">
        <f t="shared" si="211"/>
        <v>0</v>
      </c>
      <c r="L214" s="58">
        <f t="shared" si="211"/>
        <v>0</v>
      </c>
      <c r="M214" s="58">
        <f t="shared" si="211"/>
        <v>0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0" customHeight="1">
      <c r="A215" s="70"/>
      <c r="B215" s="71"/>
      <c r="C215" s="66"/>
      <c r="D215" s="66">
        <f t="shared" si="3"/>
        <v>0</v>
      </c>
      <c r="E215" s="67"/>
      <c r="F215" s="58">
        <f t="shared" si="150"/>
        <v>-8</v>
      </c>
      <c r="G215" s="58"/>
      <c r="H215" s="58">
        <f t="shared" ref="H215:M215" si="212">SUMIFS($C215,$B215,H$8)+H214</f>
        <v>0</v>
      </c>
      <c r="I215" s="58">
        <f t="shared" si="212"/>
        <v>9</v>
      </c>
      <c r="J215" s="58">
        <f t="shared" si="212"/>
        <v>36</v>
      </c>
      <c r="K215" s="58">
        <f t="shared" si="212"/>
        <v>0</v>
      </c>
      <c r="L215" s="58">
        <f t="shared" si="212"/>
        <v>0</v>
      </c>
      <c r="M215" s="58">
        <f t="shared" si="212"/>
        <v>0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0" customHeight="1">
      <c r="A216" s="70"/>
      <c r="B216" s="71"/>
      <c r="C216" s="66"/>
      <c r="D216" s="66">
        <f t="shared" si="3"/>
        <v>0</v>
      </c>
      <c r="E216" s="67"/>
      <c r="F216" s="58">
        <f t="shared" si="150"/>
        <v>-8</v>
      </c>
      <c r="G216" s="58"/>
      <c r="H216" s="58">
        <f t="shared" ref="H216:M216" si="213">SUMIFS($C216,$B216,H$8)+H215</f>
        <v>0</v>
      </c>
      <c r="I216" s="58">
        <f t="shared" si="213"/>
        <v>9</v>
      </c>
      <c r="J216" s="58">
        <f t="shared" si="213"/>
        <v>36</v>
      </c>
      <c r="K216" s="58">
        <f t="shared" si="213"/>
        <v>0</v>
      </c>
      <c r="L216" s="58">
        <f t="shared" si="213"/>
        <v>0</v>
      </c>
      <c r="M216" s="58">
        <f t="shared" si="213"/>
        <v>0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0" customHeight="1">
      <c r="A217" s="70"/>
      <c r="B217" s="71"/>
      <c r="C217" s="66"/>
      <c r="D217" s="66">
        <f t="shared" si="3"/>
        <v>0</v>
      </c>
      <c r="E217" s="67"/>
      <c r="F217" s="58">
        <f t="shared" si="150"/>
        <v>-8</v>
      </c>
      <c r="G217" s="58"/>
      <c r="H217" s="58">
        <f t="shared" ref="H217:M217" si="214">SUMIFS($C217,$B217,H$8)+H216</f>
        <v>0</v>
      </c>
      <c r="I217" s="58">
        <f t="shared" si="214"/>
        <v>9</v>
      </c>
      <c r="J217" s="58">
        <f t="shared" si="214"/>
        <v>36</v>
      </c>
      <c r="K217" s="58">
        <f t="shared" si="214"/>
        <v>0</v>
      </c>
      <c r="L217" s="58">
        <f t="shared" si="214"/>
        <v>0</v>
      </c>
      <c r="M217" s="58">
        <f t="shared" si="214"/>
        <v>0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0" customHeight="1">
      <c r="A218" s="70"/>
      <c r="B218" s="71"/>
      <c r="C218" s="66"/>
      <c r="D218" s="66">
        <f t="shared" si="3"/>
        <v>0</v>
      </c>
      <c r="E218" s="67"/>
      <c r="F218" s="58">
        <f t="shared" si="150"/>
        <v>-8</v>
      </c>
      <c r="G218" s="58"/>
      <c r="H218" s="58">
        <f t="shared" ref="H218:M218" si="215">SUMIFS($C218,$B218,H$8)+H217</f>
        <v>0</v>
      </c>
      <c r="I218" s="58">
        <f t="shared" si="215"/>
        <v>9</v>
      </c>
      <c r="J218" s="58">
        <f t="shared" si="215"/>
        <v>36</v>
      </c>
      <c r="K218" s="58">
        <f t="shared" si="215"/>
        <v>0</v>
      </c>
      <c r="L218" s="58">
        <f t="shared" si="215"/>
        <v>0</v>
      </c>
      <c r="M218" s="58">
        <f t="shared" si="215"/>
        <v>0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0" customHeight="1">
      <c r="A219" s="70"/>
      <c r="B219" s="71"/>
      <c r="C219" s="66"/>
      <c r="D219" s="66">
        <f t="shared" si="3"/>
        <v>0</v>
      </c>
      <c r="E219" s="67"/>
      <c r="F219" s="58">
        <f t="shared" si="150"/>
        <v>-8</v>
      </c>
      <c r="G219" s="58"/>
      <c r="H219" s="58">
        <f t="shared" ref="H219:M219" si="216">SUMIFS($C219,$B219,H$8)+H218</f>
        <v>0</v>
      </c>
      <c r="I219" s="58">
        <f t="shared" si="216"/>
        <v>9</v>
      </c>
      <c r="J219" s="58">
        <f t="shared" si="216"/>
        <v>36</v>
      </c>
      <c r="K219" s="58">
        <f t="shared" si="216"/>
        <v>0</v>
      </c>
      <c r="L219" s="58">
        <f t="shared" si="216"/>
        <v>0</v>
      </c>
      <c r="M219" s="58">
        <f t="shared" si="216"/>
        <v>0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0" customHeight="1">
      <c r="A220" s="70"/>
      <c r="B220" s="71"/>
      <c r="C220" s="66"/>
      <c r="D220" s="66">
        <f t="shared" si="3"/>
        <v>0</v>
      </c>
      <c r="E220" s="67"/>
      <c r="F220" s="58">
        <f t="shared" si="150"/>
        <v>-8</v>
      </c>
      <c r="G220" s="58"/>
      <c r="H220" s="58">
        <f t="shared" ref="H220:M220" si="217">SUMIFS($C220,$B220,H$8)+H219</f>
        <v>0</v>
      </c>
      <c r="I220" s="58">
        <f t="shared" si="217"/>
        <v>9</v>
      </c>
      <c r="J220" s="58">
        <f t="shared" si="217"/>
        <v>36</v>
      </c>
      <c r="K220" s="58">
        <f t="shared" si="217"/>
        <v>0</v>
      </c>
      <c r="L220" s="58">
        <f t="shared" si="217"/>
        <v>0</v>
      </c>
      <c r="M220" s="58">
        <f t="shared" si="217"/>
        <v>0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0" customHeight="1">
      <c r="A221" s="70"/>
      <c r="B221" s="71"/>
      <c r="C221" s="66"/>
      <c r="D221" s="66">
        <f t="shared" si="3"/>
        <v>0</v>
      </c>
      <c r="E221" s="67"/>
      <c r="F221" s="58">
        <f t="shared" si="150"/>
        <v>-8</v>
      </c>
      <c r="G221" s="58"/>
      <c r="H221" s="58">
        <f t="shared" ref="H221:M221" si="218">SUMIFS($C221,$B221,H$8)+H220</f>
        <v>0</v>
      </c>
      <c r="I221" s="58">
        <f t="shared" si="218"/>
        <v>9</v>
      </c>
      <c r="J221" s="58">
        <f t="shared" si="218"/>
        <v>36</v>
      </c>
      <c r="K221" s="58">
        <f t="shared" si="218"/>
        <v>0</v>
      </c>
      <c r="L221" s="58">
        <f t="shared" si="218"/>
        <v>0</v>
      </c>
      <c r="M221" s="58">
        <f t="shared" si="218"/>
        <v>0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0" customHeight="1">
      <c r="A222" s="70"/>
      <c r="B222" s="71"/>
      <c r="C222" s="66"/>
      <c r="D222" s="66">
        <f t="shared" si="3"/>
        <v>0</v>
      </c>
      <c r="E222" s="67"/>
      <c r="F222" s="58">
        <f t="shared" si="150"/>
        <v>-8</v>
      </c>
      <c r="G222" s="58"/>
      <c r="H222" s="58">
        <f t="shared" ref="H222:M222" si="219">SUMIFS($C222,$B222,H$8)+H221</f>
        <v>0</v>
      </c>
      <c r="I222" s="58">
        <f t="shared" si="219"/>
        <v>9</v>
      </c>
      <c r="J222" s="58">
        <f t="shared" si="219"/>
        <v>36</v>
      </c>
      <c r="K222" s="58">
        <f t="shared" si="219"/>
        <v>0</v>
      </c>
      <c r="L222" s="58">
        <f t="shared" si="219"/>
        <v>0</v>
      </c>
      <c r="M222" s="58">
        <f t="shared" si="219"/>
        <v>0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0" customHeight="1">
      <c r="A223" s="70"/>
      <c r="B223" s="71"/>
      <c r="C223" s="66"/>
      <c r="D223" s="66">
        <f t="shared" si="3"/>
        <v>0</v>
      </c>
      <c r="E223" s="67"/>
      <c r="F223" s="58">
        <f t="shared" si="150"/>
        <v>-8</v>
      </c>
      <c r="G223" s="58"/>
      <c r="H223" s="58">
        <f t="shared" ref="H223:M223" si="220">SUMIFS($C223,$B223,H$8)+H222</f>
        <v>0</v>
      </c>
      <c r="I223" s="58">
        <f t="shared" si="220"/>
        <v>9</v>
      </c>
      <c r="J223" s="58">
        <f t="shared" si="220"/>
        <v>36</v>
      </c>
      <c r="K223" s="58">
        <f t="shared" si="220"/>
        <v>0</v>
      </c>
      <c r="L223" s="58">
        <f t="shared" si="220"/>
        <v>0</v>
      </c>
      <c r="M223" s="58">
        <f t="shared" si="220"/>
        <v>0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0" customHeight="1">
      <c r="A224" s="70"/>
      <c r="B224" s="71"/>
      <c r="C224" s="66"/>
      <c r="D224" s="66">
        <f t="shared" si="3"/>
        <v>0</v>
      </c>
      <c r="E224" s="67"/>
      <c r="F224" s="58">
        <f t="shared" si="150"/>
        <v>-8</v>
      </c>
      <c r="G224" s="58"/>
      <c r="H224" s="58">
        <f t="shared" ref="H224:M224" si="221">SUMIFS($C224,$B224,H$8)+H223</f>
        <v>0</v>
      </c>
      <c r="I224" s="58">
        <f t="shared" si="221"/>
        <v>9</v>
      </c>
      <c r="J224" s="58">
        <f t="shared" si="221"/>
        <v>36</v>
      </c>
      <c r="K224" s="58">
        <f t="shared" si="221"/>
        <v>0</v>
      </c>
      <c r="L224" s="58">
        <f t="shared" si="221"/>
        <v>0</v>
      </c>
      <c r="M224" s="58">
        <f t="shared" si="221"/>
        <v>0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0" customHeight="1">
      <c r="A225" s="70"/>
      <c r="B225" s="71"/>
      <c r="C225" s="66"/>
      <c r="D225" s="66">
        <f t="shared" si="3"/>
        <v>0</v>
      </c>
      <c r="E225" s="67"/>
      <c r="F225" s="58">
        <f t="shared" si="150"/>
        <v>-8</v>
      </c>
      <c r="G225" s="58"/>
      <c r="H225" s="58">
        <f t="shared" ref="H225:M225" si="222">SUMIFS($C225,$B225,H$8)+H224</f>
        <v>0</v>
      </c>
      <c r="I225" s="58">
        <f t="shared" si="222"/>
        <v>9</v>
      </c>
      <c r="J225" s="58">
        <f t="shared" si="222"/>
        <v>36</v>
      </c>
      <c r="K225" s="58">
        <f t="shared" si="222"/>
        <v>0</v>
      </c>
      <c r="L225" s="58">
        <f t="shared" si="222"/>
        <v>0</v>
      </c>
      <c r="M225" s="58">
        <f t="shared" si="222"/>
        <v>0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0" customHeight="1">
      <c r="A226" s="70"/>
      <c r="B226" s="71"/>
      <c r="C226" s="66"/>
      <c r="D226" s="66">
        <f t="shared" si="3"/>
        <v>0</v>
      </c>
      <c r="E226" s="67"/>
      <c r="F226" s="58">
        <f t="shared" si="150"/>
        <v>-8</v>
      </c>
      <c r="G226" s="58"/>
      <c r="H226" s="58">
        <f t="shared" ref="H226:M226" si="223">SUMIFS($C226,$B226,H$8)+H225</f>
        <v>0</v>
      </c>
      <c r="I226" s="58">
        <f t="shared" si="223"/>
        <v>9</v>
      </c>
      <c r="J226" s="58">
        <f t="shared" si="223"/>
        <v>36</v>
      </c>
      <c r="K226" s="58">
        <f t="shared" si="223"/>
        <v>0</v>
      </c>
      <c r="L226" s="58">
        <f t="shared" si="223"/>
        <v>0</v>
      </c>
      <c r="M226" s="58">
        <f t="shared" si="223"/>
        <v>0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0" customHeight="1">
      <c r="A227" s="70"/>
      <c r="B227" s="71"/>
      <c r="C227" s="66"/>
      <c r="D227" s="66">
        <f t="shared" si="3"/>
        <v>0</v>
      </c>
      <c r="E227" s="67"/>
      <c r="F227" s="58">
        <f t="shared" si="150"/>
        <v>-8</v>
      </c>
      <c r="G227" s="58"/>
      <c r="H227" s="58">
        <f t="shared" ref="H227:M227" si="224">SUMIFS($C227,$B227,H$8)+H226</f>
        <v>0</v>
      </c>
      <c r="I227" s="58">
        <f t="shared" si="224"/>
        <v>9</v>
      </c>
      <c r="J227" s="58">
        <f t="shared" si="224"/>
        <v>36</v>
      </c>
      <c r="K227" s="58">
        <f t="shared" si="224"/>
        <v>0</v>
      </c>
      <c r="L227" s="58">
        <f t="shared" si="224"/>
        <v>0</v>
      </c>
      <c r="M227" s="58">
        <f t="shared" si="224"/>
        <v>0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0" customHeight="1">
      <c r="A228" s="70"/>
      <c r="B228" s="71"/>
      <c r="C228" s="66"/>
      <c r="D228" s="66">
        <f t="shared" si="3"/>
        <v>0</v>
      </c>
      <c r="E228" s="67"/>
      <c r="F228" s="58">
        <f t="shared" si="150"/>
        <v>-8</v>
      </c>
      <c r="G228" s="58"/>
      <c r="H228" s="58">
        <f t="shared" ref="H228:M228" si="225">SUMIFS($C228,$B228,H$8)+H227</f>
        <v>0</v>
      </c>
      <c r="I228" s="58">
        <f t="shared" si="225"/>
        <v>9</v>
      </c>
      <c r="J228" s="58">
        <f t="shared" si="225"/>
        <v>36</v>
      </c>
      <c r="K228" s="58">
        <f t="shared" si="225"/>
        <v>0</v>
      </c>
      <c r="L228" s="58">
        <f t="shared" si="225"/>
        <v>0</v>
      </c>
      <c r="M228" s="58">
        <f t="shared" si="225"/>
        <v>0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0" customHeight="1">
      <c r="A229" s="70"/>
      <c r="B229" s="71"/>
      <c r="C229" s="66"/>
      <c r="D229" s="66">
        <f t="shared" si="3"/>
        <v>0</v>
      </c>
      <c r="E229" s="67"/>
      <c r="F229" s="58">
        <f t="shared" si="150"/>
        <v>-8</v>
      </c>
      <c r="G229" s="58"/>
      <c r="H229" s="58">
        <f t="shared" ref="H229:M229" si="226">SUMIFS($C229,$B229,H$8)+H228</f>
        <v>0</v>
      </c>
      <c r="I229" s="58">
        <f t="shared" si="226"/>
        <v>9</v>
      </c>
      <c r="J229" s="58">
        <f t="shared" si="226"/>
        <v>36</v>
      </c>
      <c r="K229" s="58">
        <f t="shared" si="226"/>
        <v>0</v>
      </c>
      <c r="L229" s="58">
        <f t="shared" si="226"/>
        <v>0</v>
      </c>
      <c r="M229" s="58">
        <f t="shared" si="226"/>
        <v>0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0" customHeight="1">
      <c r="A230" s="70"/>
      <c r="B230" s="71"/>
      <c r="C230" s="66"/>
      <c r="D230" s="66">
        <f t="shared" si="3"/>
        <v>0</v>
      </c>
      <c r="E230" s="67"/>
      <c r="F230" s="58">
        <f t="shared" si="150"/>
        <v>-8</v>
      </c>
      <c r="G230" s="58"/>
      <c r="H230" s="58">
        <f t="shared" ref="H230:M230" si="227">SUMIFS($C230,$B230,H$8)+H229</f>
        <v>0</v>
      </c>
      <c r="I230" s="58">
        <f t="shared" si="227"/>
        <v>9</v>
      </c>
      <c r="J230" s="58">
        <f t="shared" si="227"/>
        <v>36</v>
      </c>
      <c r="K230" s="58">
        <f t="shared" si="227"/>
        <v>0</v>
      </c>
      <c r="L230" s="58">
        <f t="shared" si="227"/>
        <v>0</v>
      </c>
      <c r="M230" s="58">
        <f t="shared" si="227"/>
        <v>0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0" customHeight="1">
      <c r="A231" s="70"/>
      <c r="B231" s="71"/>
      <c r="C231" s="66"/>
      <c r="D231" s="66">
        <f t="shared" si="3"/>
        <v>0</v>
      </c>
      <c r="E231" s="67"/>
      <c r="F231" s="58">
        <f t="shared" si="150"/>
        <v>-8</v>
      </c>
      <c r="G231" s="58"/>
      <c r="H231" s="58">
        <f t="shared" ref="H231:M231" si="228">SUMIFS($C231,$B231,H$8)+H230</f>
        <v>0</v>
      </c>
      <c r="I231" s="58">
        <f t="shared" si="228"/>
        <v>9</v>
      </c>
      <c r="J231" s="58">
        <f t="shared" si="228"/>
        <v>36</v>
      </c>
      <c r="K231" s="58">
        <f t="shared" si="228"/>
        <v>0</v>
      </c>
      <c r="L231" s="58">
        <f t="shared" si="228"/>
        <v>0</v>
      </c>
      <c r="M231" s="58">
        <f t="shared" si="228"/>
        <v>0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0" customHeight="1">
      <c r="A232" s="70"/>
      <c r="B232" s="71"/>
      <c r="C232" s="66"/>
      <c r="D232" s="66">
        <f t="shared" si="3"/>
        <v>0</v>
      </c>
      <c r="E232" s="67"/>
      <c r="F232" s="58">
        <f t="shared" si="150"/>
        <v>-8</v>
      </c>
      <c r="G232" s="58"/>
      <c r="H232" s="58">
        <f t="shared" ref="H232:M232" si="229">SUMIFS($C232,$B232,H$8)+H231</f>
        <v>0</v>
      </c>
      <c r="I232" s="58">
        <f t="shared" si="229"/>
        <v>9</v>
      </c>
      <c r="J232" s="58">
        <f t="shared" si="229"/>
        <v>36</v>
      </c>
      <c r="K232" s="58">
        <f t="shared" si="229"/>
        <v>0</v>
      </c>
      <c r="L232" s="58">
        <f t="shared" si="229"/>
        <v>0</v>
      </c>
      <c r="M232" s="58">
        <f t="shared" si="229"/>
        <v>0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0" customHeight="1">
      <c r="A233" s="70"/>
      <c r="B233" s="71"/>
      <c r="C233" s="66"/>
      <c r="D233" s="66">
        <f t="shared" si="3"/>
        <v>0</v>
      </c>
      <c r="E233" s="67"/>
      <c r="F233" s="58">
        <f t="shared" si="150"/>
        <v>-8</v>
      </c>
      <c r="G233" s="58"/>
      <c r="H233" s="58">
        <f t="shared" ref="H233:M233" si="230">SUMIFS($C233,$B233,H$8)+H232</f>
        <v>0</v>
      </c>
      <c r="I233" s="58">
        <f t="shared" si="230"/>
        <v>9</v>
      </c>
      <c r="J233" s="58">
        <f t="shared" si="230"/>
        <v>36</v>
      </c>
      <c r="K233" s="58">
        <f t="shared" si="230"/>
        <v>0</v>
      </c>
      <c r="L233" s="58">
        <f t="shared" si="230"/>
        <v>0</v>
      </c>
      <c r="M233" s="58">
        <f t="shared" si="230"/>
        <v>0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0" customHeight="1">
      <c r="A234" s="70"/>
      <c r="B234" s="71"/>
      <c r="C234" s="66"/>
      <c r="D234" s="66">
        <f t="shared" si="3"/>
        <v>0</v>
      </c>
      <c r="E234" s="67"/>
      <c r="F234" s="58">
        <f t="shared" si="150"/>
        <v>-8</v>
      </c>
      <c r="G234" s="58"/>
      <c r="H234" s="58">
        <f t="shared" ref="H234:M234" si="231">SUMIFS($C234,$B234,H$8)+H233</f>
        <v>0</v>
      </c>
      <c r="I234" s="58">
        <f t="shared" si="231"/>
        <v>9</v>
      </c>
      <c r="J234" s="58">
        <f t="shared" si="231"/>
        <v>36</v>
      </c>
      <c r="K234" s="58">
        <f t="shared" si="231"/>
        <v>0</v>
      </c>
      <c r="L234" s="58">
        <f t="shared" si="231"/>
        <v>0</v>
      </c>
      <c r="M234" s="58">
        <f t="shared" si="231"/>
        <v>0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0" customHeight="1">
      <c r="A235" s="70"/>
      <c r="B235" s="71"/>
      <c r="C235" s="66"/>
      <c r="D235" s="66">
        <f t="shared" si="3"/>
        <v>0</v>
      </c>
      <c r="E235" s="67"/>
      <c r="F235" s="58">
        <f t="shared" si="150"/>
        <v>-8</v>
      </c>
      <c r="G235" s="58"/>
      <c r="H235" s="58">
        <f t="shared" ref="H235:M235" si="232">SUMIFS($C235,$B235,H$8)+H234</f>
        <v>0</v>
      </c>
      <c r="I235" s="58">
        <f t="shared" si="232"/>
        <v>9</v>
      </c>
      <c r="J235" s="58">
        <f t="shared" si="232"/>
        <v>36</v>
      </c>
      <c r="K235" s="58">
        <f t="shared" si="232"/>
        <v>0</v>
      </c>
      <c r="L235" s="58">
        <f t="shared" si="232"/>
        <v>0</v>
      </c>
      <c r="M235" s="58">
        <f t="shared" si="232"/>
        <v>0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0" customHeight="1">
      <c r="A236" s="70"/>
      <c r="B236" s="71"/>
      <c r="C236" s="66"/>
      <c r="D236" s="66">
        <f t="shared" si="3"/>
        <v>0</v>
      </c>
      <c r="E236" s="67"/>
      <c r="F236" s="58">
        <f t="shared" si="150"/>
        <v>-8</v>
      </c>
      <c r="G236" s="58"/>
      <c r="H236" s="58">
        <f t="shared" ref="H236:M236" si="233">SUMIFS($C236,$B236,H$8)+H235</f>
        <v>0</v>
      </c>
      <c r="I236" s="58">
        <f t="shared" si="233"/>
        <v>9</v>
      </c>
      <c r="J236" s="58">
        <f t="shared" si="233"/>
        <v>36</v>
      </c>
      <c r="K236" s="58">
        <f t="shared" si="233"/>
        <v>0</v>
      </c>
      <c r="L236" s="58">
        <f t="shared" si="233"/>
        <v>0</v>
      </c>
      <c r="M236" s="58">
        <f t="shared" si="233"/>
        <v>0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0" customHeight="1">
      <c r="A237" s="70"/>
      <c r="B237" s="71"/>
      <c r="C237" s="66"/>
      <c r="D237" s="66">
        <f t="shared" si="3"/>
        <v>0</v>
      </c>
      <c r="E237" s="67"/>
      <c r="F237" s="58">
        <f t="shared" si="150"/>
        <v>-8</v>
      </c>
      <c r="G237" s="58"/>
      <c r="H237" s="58">
        <f t="shared" ref="H237:M237" si="234">SUMIFS($C237,$B237,H$8)+H236</f>
        <v>0</v>
      </c>
      <c r="I237" s="58">
        <f t="shared" si="234"/>
        <v>9</v>
      </c>
      <c r="J237" s="58">
        <f t="shared" si="234"/>
        <v>36</v>
      </c>
      <c r="K237" s="58">
        <f t="shared" si="234"/>
        <v>0</v>
      </c>
      <c r="L237" s="58">
        <f t="shared" si="234"/>
        <v>0</v>
      </c>
      <c r="M237" s="58">
        <f t="shared" si="234"/>
        <v>0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0" customHeight="1">
      <c r="A238" s="70"/>
      <c r="B238" s="71"/>
      <c r="C238" s="66"/>
      <c r="D238" s="66">
        <f t="shared" si="3"/>
        <v>0</v>
      </c>
      <c r="E238" s="67"/>
      <c r="F238" s="58">
        <f t="shared" si="150"/>
        <v>-8</v>
      </c>
      <c r="G238" s="58"/>
      <c r="H238" s="58">
        <f t="shared" ref="H238:M238" si="235">SUMIFS($C238,$B238,H$8)+H237</f>
        <v>0</v>
      </c>
      <c r="I238" s="58">
        <f t="shared" si="235"/>
        <v>9</v>
      </c>
      <c r="J238" s="58">
        <f t="shared" si="235"/>
        <v>36</v>
      </c>
      <c r="K238" s="58">
        <f t="shared" si="235"/>
        <v>0</v>
      </c>
      <c r="L238" s="58">
        <f t="shared" si="235"/>
        <v>0</v>
      </c>
      <c r="M238" s="58">
        <f t="shared" si="235"/>
        <v>0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0" customHeight="1">
      <c r="A239" s="70"/>
      <c r="B239" s="71"/>
      <c r="C239" s="66"/>
      <c r="D239" s="66">
        <f t="shared" si="3"/>
        <v>0</v>
      </c>
      <c r="E239" s="67"/>
      <c r="F239" s="58">
        <f t="shared" si="150"/>
        <v>-8</v>
      </c>
      <c r="G239" s="58"/>
      <c r="H239" s="58">
        <f t="shared" ref="H239:M239" si="236">SUMIFS($C239,$B239,H$8)+H238</f>
        <v>0</v>
      </c>
      <c r="I239" s="58">
        <f t="shared" si="236"/>
        <v>9</v>
      </c>
      <c r="J239" s="58">
        <f t="shared" si="236"/>
        <v>36</v>
      </c>
      <c r="K239" s="58">
        <f t="shared" si="236"/>
        <v>0</v>
      </c>
      <c r="L239" s="58">
        <f t="shared" si="236"/>
        <v>0</v>
      </c>
      <c r="M239" s="58">
        <f t="shared" si="236"/>
        <v>0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0" customHeight="1">
      <c r="A240" s="70"/>
      <c r="B240" s="71"/>
      <c r="C240" s="66"/>
      <c r="D240" s="66">
        <f t="shared" si="3"/>
        <v>0</v>
      </c>
      <c r="E240" s="67"/>
      <c r="F240" s="58">
        <f t="shared" si="150"/>
        <v>-8</v>
      </c>
      <c r="G240" s="58"/>
      <c r="H240" s="58">
        <f t="shared" ref="H240:M240" si="237">SUMIFS($C240,$B240,H$8)+H239</f>
        <v>0</v>
      </c>
      <c r="I240" s="58">
        <f t="shared" si="237"/>
        <v>9</v>
      </c>
      <c r="J240" s="58">
        <f t="shared" si="237"/>
        <v>36</v>
      </c>
      <c r="K240" s="58">
        <f t="shared" si="237"/>
        <v>0</v>
      </c>
      <c r="L240" s="58">
        <f t="shared" si="237"/>
        <v>0</v>
      </c>
      <c r="M240" s="58">
        <f t="shared" si="237"/>
        <v>0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0" customHeight="1">
      <c r="A241" s="70"/>
      <c r="B241" s="71"/>
      <c r="C241" s="66"/>
      <c r="D241" s="66">
        <f t="shared" si="3"/>
        <v>0</v>
      </c>
      <c r="E241" s="67"/>
      <c r="F241" s="58">
        <f t="shared" si="150"/>
        <v>-8</v>
      </c>
      <c r="G241" s="58"/>
      <c r="H241" s="58">
        <f t="shared" ref="H241:M241" si="238">SUMIFS($C241,$B241,H$8)+H240</f>
        <v>0</v>
      </c>
      <c r="I241" s="58">
        <f t="shared" si="238"/>
        <v>9</v>
      </c>
      <c r="J241" s="58">
        <f t="shared" si="238"/>
        <v>36</v>
      </c>
      <c r="K241" s="58">
        <f t="shared" si="238"/>
        <v>0</v>
      </c>
      <c r="L241" s="58">
        <f t="shared" si="238"/>
        <v>0</v>
      </c>
      <c r="M241" s="58">
        <f t="shared" si="238"/>
        <v>0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0" customHeight="1">
      <c r="A242" s="70"/>
      <c r="B242" s="71"/>
      <c r="C242" s="66"/>
      <c r="D242" s="66">
        <f t="shared" si="3"/>
        <v>0</v>
      </c>
      <c r="E242" s="67"/>
      <c r="F242" s="58">
        <f t="shared" si="150"/>
        <v>-8</v>
      </c>
      <c r="G242" s="58"/>
      <c r="H242" s="58">
        <f t="shared" ref="H242:M242" si="239">SUMIFS($C242,$B242,H$8)+H241</f>
        <v>0</v>
      </c>
      <c r="I242" s="58">
        <f t="shared" si="239"/>
        <v>9</v>
      </c>
      <c r="J242" s="58">
        <f t="shared" si="239"/>
        <v>36</v>
      </c>
      <c r="K242" s="58">
        <f t="shared" si="239"/>
        <v>0</v>
      </c>
      <c r="L242" s="58">
        <f t="shared" si="239"/>
        <v>0</v>
      </c>
      <c r="M242" s="58">
        <f t="shared" si="239"/>
        <v>0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0" customHeight="1">
      <c r="A243" s="70"/>
      <c r="B243" s="71"/>
      <c r="C243" s="66"/>
      <c r="D243" s="66">
        <f t="shared" si="3"/>
        <v>0</v>
      </c>
      <c r="E243" s="67"/>
      <c r="F243" s="58">
        <f t="shared" si="150"/>
        <v>-8</v>
      </c>
      <c r="G243" s="58"/>
      <c r="H243" s="58">
        <f t="shared" ref="H243:M243" si="240">SUMIFS($C243,$B243,H$8)+H242</f>
        <v>0</v>
      </c>
      <c r="I243" s="58">
        <f t="shared" si="240"/>
        <v>9</v>
      </c>
      <c r="J243" s="58">
        <f t="shared" si="240"/>
        <v>36</v>
      </c>
      <c r="K243" s="58">
        <f t="shared" si="240"/>
        <v>0</v>
      </c>
      <c r="L243" s="58">
        <f t="shared" si="240"/>
        <v>0</v>
      </c>
      <c r="M243" s="58">
        <f t="shared" si="240"/>
        <v>0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0" customHeight="1">
      <c r="A244" s="70"/>
      <c r="B244" s="71"/>
      <c r="C244" s="66"/>
      <c r="D244" s="66">
        <f t="shared" si="3"/>
        <v>0</v>
      </c>
      <c r="E244" s="67"/>
      <c r="F244" s="58">
        <f t="shared" si="150"/>
        <v>-8</v>
      </c>
      <c r="G244" s="58"/>
      <c r="H244" s="58">
        <f t="shared" ref="H244:M244" si="241">SUMIFS($C244,$B244,H$8)+H243</f>
        <v>0</v>
      </c>
      <c r="I244" s="58">
        <f t="shared" si="241"/>
        <v>9</v>
      </c>
      <c r="J244" s="58">
        <f t="shared" si="241"/>
        <v>36</v>
      </c>
      <c r="K244" s="58">
        <f t="shared" si="241"/>
        <v>0</v>
      </c>
      <c r="L244" s="58">
        <f t="shared" si="241"/>
        <v>0</v>
      </c>
      <c r="M244" s="58">
        <f t="shared" si="241"/>
        <v>0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0" customHeight="1">
      <c r="A245" s="70"/>
      <c r="B245" s="71"/>
      <c r="C245" s="66"/>
      <c r="D245" s="66">
        <f t="shared" si="3"/>
        <v>0</v>
      </c>
      <c r="E245" s="67"/>
      <c r="F245" s="58">
        <f t="shared" si="150"/>
        <v>-8</v>
      </c>
      <c r="G245" s="58"/>
      <c r="H245" s="58">
        <f t="shared" ref="H245:M245" si="242">SUMIFS($C245,$B245,H$8)+H244</f>
        <v>0</v>
      </c>
      <c r="I245" s="58">
        <f t="shared" si="242"/>
        <v>9</v>
      </c>
      <c r="J245" s="58">
        <f t="shared" si="242"/>
        <v>36</v>
      </c>
      <c r="K245" s="58">
        <f t="shared" si="242"/>
        <v>0</v>
      </c>
      <c r="L245" s="58">
        <f t="shared" si="242"/>
        <v>0</v>
      </c>
      <c r="M245" s="58">
        <f t="shared" si="242"/>
        <v>0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0" customHeight="1">
      <c r="A246" s="70"/>
      <c r="B246" s="71"/>
      <c r="C246" s="66"/>
      <c r="D246" s="66">
        <f t="shared" si="3"/>
        <v>0</v>
      </c>
      <c r="E246" s="67"/>
      <c r="F246" s="58">
        <f t="shared" si="150"/>
        <v>-8</v>
      </c>
      <c r="G246" s="58"/>
      <c r="H246" s="58">
        <f t="shared" ref="H246:M246" si="243">SUMIFS($C246,$B246,H$8)+H245</f>
        <v>0</v>
      </c>
      <c r="I246" s="58">
        <f t="shared" si="243"/>
        <v>9</v>
      </c>
      <c r="J246" s="58">
        <f t="shared" si="243"/>
        <v>36</v>
      </c>
      <c r="K246" s="58">
        <f t="shared" si="243"/>
        <v>0</v>
      </c>
      <c r="L246" s="58">
        <f t="shared" si="243"/>
        <v>0</v>
      </c>
      <c r="M246" s="58">
        <f t="shared" si="243"/>
        <v>0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0" customHeight="1">
      <c r="A247" s="70"/>
      <c r="B247" s="71"/>
      <c r="C247" s="66"/>
      <c r="D247" s="66">
        <f t="shared" si="3"/>
        <v>0</v>
      </c>
      <c r="E247" s="67"/>
      <c r="F247" s="58">
        <f t="shared" si="150"/>
        <v>-8</v>
      </c>
      <c r="G247" s="58"/>
      <c r="H247" s="58">
        <f t="shared" ref="H247:M247" si="244">SUMIFS($C247,$B247,H$8)+H246</f>
        <v>0</v>
      </c>
      <c r="I247" s="58">
        <f t="shared" si="244"/>
        <v>9</v>
      </c>
      <c r="J247" s="58">
        <f t="shared" si="244"/>
        <v>36</v>
      </c>
      <c r="K247" s="58">
        <f t="shared" si="244"/>
        <v>0</v>
      </c>
      <c r="L247" s="58">
        <f t="shared" si="244"/>
        <v>0</v>
      </c>
      <c r="M247" s="58">
        <f t="shared" si="244"/>
        <v>0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0" customHeight="1">
      <c r="A248" s="70"/>
      <c r="B248" s="71"/>
      <c r="C248" s="66"/>
      <c r="D248" s="66">
        <f t="shared" si="3"/>
        <v>0</v>
      </c>
      <c r="E248" s="67"/>
      <c r="F248" s="58">
        <f t="shared" si="150"/>
        <v>-8</v>
      </c>
      <c r="G248" s="58"/>
      <c r="H248" s="58">
        <f t="shared" ref="H248:M248" si="245">SUMIFS($C248,$B248,H$8)+H247</f>
        <v>0</v>
      </c>
      <c r="I248" s="58">
        <f t="shared" si="245"/>
        <v>9</v>
      </c>
      <c r="J248" s="58">
        <f t="shared" si="245"/>
        <v>36</v>
      </c>
      <c r="K248" s="58">
        <f t="shared" si="245"/>
        <v>0</v>
      </c>
      <c r="L248" s="58">
        <f t="shared" si="245"/>
        <v>0</v>
      </c>
      <c r="M248" s="58">
        <f t="shared" si="245"/>
        <v>0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0" customHeight="1">
      <c r="A249" s="70"/>
      <c r="B249" s="71"/>
      <c r="C249" s="66"/>
      <c r="D249" s="66">
        <f t="shared" si="3"/>
        <v>0</v>
      </c>
      <c r="E249" s="67"/>
      <c r="F249" s="58">
        <f t="shared" si="150"/>
        <v>-8</v>
      </c>
      <c r="G249" s="58"/>
      <c r="H249" s="58">
        <f t="shared" ref="H249:M249" si="246">SUMIFS($C249,$B249,H$8)+H248</f>
        <v>0</v>
      </c>
      <c r="I249" s="58">
        <f t="shared" si="246"/>
        <v>9</v>
      </c>
      <c r="J249" s="58">
        <f t="shared" si="246"/>
        <v>36</v>
      </c>
      <c r="K249" s="58">
        <f t="shared" si="246"/>
        <v>0</v>
      </c>
      <c r="L249" s="58">
        <f t="shared" si="246"/>
        <v>0</v>
      </c>
      <c r="M249" s="58">
        <f t="shared" si="246"/>
        <v>0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0" customHeight="1">
      <c r="A250" s="70"/>
      <c r="B250" s="71"/>
      <c r="C250" s="66"/>
      <c r="D250" s="66">
        <f t="shared" si="3"/>
        <v>0</v>
      </c>
      <c r="E250" s="67"/>
      <c r="F250" s="58">
        <f t="shared" si="150"/>
        <v>-8</v>
      </c>
      <c r="G250" s="58"/>
      <c r="H250" s="58">
        <f t="shared" ref="H250:M250" si="247">SUMIFS($C250,$B250,H$8)+H249</f>
        <v>0</v>
      </c>
      <c r="I250" s="58">
        <f t="shared" si="247"/>
        <v>9</v>
      </c>
      <c r="J250" s="58">
        <f t="shared" si="247"/>
        <v>36</v>
      </c>
      <c r="K250" s="58">
        <f t="shared" si="247"/>
        <v>0</v>
      </c>
      <c r="L250" s="58">
        <f t="shared" si="247"/>
        <v>0</v>
      </c>
      <c r="M250" s="58">
        <f t="shared" si="247"/>
        <v>0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0" customHeight="1">
      <c r="A251" s="70"/>
      <c r="B251" s="71"/>
      <c r="C251" s="66"/>
      <c r="D251" s="66">
        <f t="shared" si="3"/>
        <v>0</v>
      </c>
      <c r="E251" s="67"/>
      <c r="F251" s="58">
        <f t="shared" si="150"/>
        <v>-8</v>
      </c>
      <c r="G251" s="58"/>
      <c r="H251" s="58">
        <f t="shared" ref="H251:M251" si="248">SUMIFS($C251,$B251,H$8)+H250</f>
        <v>0</v>
      </c>
      <c r="I251" s="58">
        <f t="shared" si="248"/>
        <v>9</v>
      </c>
      <c r="J251" s="58">
        <f t="shared" si="248"/>
        <v>36</v>
      </c>
      <c r="K251" s="58">
        <f t="shared" si="248"/>
        <v>0</v>
      </c>
      <c r="L251" s="58">
        <f t="shared" si="248"/>
        <v>0</v>
      </c>
      <c r="M251" s="58">
        <f t="shared" si="248"/>
        <v>0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0" customHeight="1">
      <c r="A252" s="70"/>
      <c r="B252" s="71"/>
      <c r="C252" s="66"/>
      <c r="D252" s="66">
        <f t="shared" si="3"/>
        <v>0</v>
      </c>
      <c r="E252" s="67"/>
      <c r="F252" s="58">
        <f t="shared" si="150"/>
        <v>-8</v>
      </c>
      <c r="G252" s="58"/>
      <c r="H252" s="58">
        <f t="shared" ref="H252:M252" si="249">SUMIFS($C252,$B252,H$8)+H251</f>
        <v>0</v>
      </c>
      <c r="I252" s="58">
        <f t="shared" si="249"/>
        <v>9</v>
      </c>
      <c r="J252" s="58">
        <f t="shared" si="249"/>
        <v>36</v>
      </c>
      <c r="K252" s="58">
        <f t="shared" si="249"/>
        <v>0</v>
      </c>
      <c r="L252" s="58">
        <f t="shared" si="249"/>
        <v>0</v>
      </c>
      <c r="M252" s="58">
        <f t="shared" si="249"/>
        <v>0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0" customHeight="1">
      <c r="A253" s="70"/>
      <c r="B253" s="71"/>
      <c r="C253" s="66"/>
      <c r="D253" s="66">
        <f t="shared" si="3"/>
        <v>0</v>
      </c>
      <c r="E253" s="67"/>
      <c r="F253" s="58">
        <f t="shared" si="150"/>
        <v>-8</v>
      </c>
      <c r="G253" s="58"/>
      <c r="H253" s="58">
        <f t="shared" ref="H253:M253" si="250">SUMIFS($C253,$B253,H$8)+H252</f>
        <v>0</v>
      </c>
      <c r="I253" s="58">
        <f t="shared" si="250"/>
        <v>9</v>
      </c>
      <c r="J253" s="58">
        <f t="shared" si="250"/>
        <v>36</v>
      </c>
      <c r="K253" s="58">
        <f t="shared" si="250"/>
        <v>0</v>
      </c>
      <c r="L253" s="58">
        <f t="shared" si="250"/>
        <v>0</v>
      </c>
      <c r="M253" s="58">
        <f t="shared" si="250"/>
        <v>0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0" customHeight="1">
      <c r="A254" s="70"/>
      <c r="B254" s="71"/>
      <c r="C254" s="66"/>
      <c r="D254" s="66">
        <f t="shared" si="3"/>
        <v>0</v>
      </c>
      <c r="E254" s="67"/>
      <c r="F254" s="58">
        <f t="shared" si="150"/>
        <v>-8</v>
      </c>
      <c r="G254" s="58"/>
      <c r="H254" s="58">
        <f t="shared" ref="H254:M254" si="251">SUMIFS($C254,$B254,H$8)+H253</f>
        <v>0</v>
      </c>
      <c r="I254" s="58">
        <f t="shared" si="251"/>
        <v>9</v>
      </c>
      <c r="J254" s="58">
        <f t="shared" si="251"/>
        <v>36</v>
      </c>
      <c r="K254" s="58">
        <f t="shared" si="251"/>
        <v>0</v>
      </c>
      <c r="L254" s="58">
        <f t="shared" si="251"/>
        <v>0</v>
      </c>
      <c r="M254" s="58">
        <f t="shared" si="251"/>
        <v>0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0" customHeight="1">
      <c r="A255" s="70"/>
      <c r="B255" s="71"/>
      <c r="C255" s="66"/>
      <c r="D255" s="66">
        <f t="shared" si="3"/>
        <v>0</v>
      </c>
      <c r="E255" s="67"/>
      <c r="F255" s="58">
        <f t="shared" si="150"/>
        <v>-8</v>
      </c>
      <c r="G255" s="58"/>
      <c r="H255" s="58">
        <f t="shared" ref="H255:M255" si="252">SUMIFS($C255,$B255,H$8)+H254</f>
        <v>0</v>
      </c>
      <c r="I255" s="58">
        <f t="shared" si="252"/>
        <v>9</v>
      </c>
      <c r="J255" s="58">
        <f t="shared" si="252"/>
        <v>36</v>
      </c>
      <c r="K255" s="58">
        <f t="shared" si="252"/>
        <v>0</v>
      </c>
      <c r="L255" s="58">
        <f t="shared" si="252"/>
        <v>0</v>
      </c>
      <c r="M255" s="58">
        <f t="shared" si="252"/>
        <v>0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0" customHeight="1">
      <c r="A256" s="70"/>
      <c r="B256" s="71"/>
      <c r="C256" s="66"/>
      <c r="D256" s="66">
        <f t="shared" si="3"/>
        <v>0</v>
      </c>
      <c r="E256" s="67"/>
      <c r="F256" s="58">
        <f t="shared" si="150"/>
        <v>-8</v>
      </c>
      <c r="G256" s="58"/>
      <c r="H256" s="58">
        <f t="shared" ref="H256:M256" si="253">SUMIFS($C256,$B256,H$8)+H255</f>
        <v>0</v>
      </c>
      <c r="I256" s="58">
        <f t="shared" si="253"/>
        <v>9</v>
      </c>
      <c r="J256" s="58">
        <f t="shared" si="253"/>
        <v>36</v>
      </c>
      <c r="K256" s="58">
        <f t="shared" si="253"/>
        <v>0</v>
      </c>
      <c r="L256" s="58">
        <f t="shared" si="253"/>
        <v>0</v>
      </c>
      <c r="M256" s="58">
        <f t="shared" si="253"/>
        <v>0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0" customHeight="1">
      <c r="A257" s="70"/>
      <c r="B257" s="71"/>
      <c r="C257" s="66"/>
      <c r="D257" s="66">
        <f t="shared" si="3"/>
        <v>0</v>
      </c>
      <c r="E257" s="67"/>
      <c r="F257" s="58">
        <f t="shared" si="150"/>
        <v>-8</v>
      </c>
      <c r="G257" s="58"/>
      <c r="H257" s="58">
        <f t="shared" ref="H257:M257" si="254">SUMIFS($C257,$B257,H$8)+H256</f>
        <v>0</v>
      </c>
      <c r="I257" s="58">
        <f t="shared" si="254"/>
        <v>9</v>
      </c>
      <c r="J257" s="58">
        <f t="shared" si="254"/>
        <v>36</v>
      </c>
      <c r="K257" s="58">
        <f t="shared" si="254"/>
        <v>0</v>
      </c>
      <c r="L257" s="58">
        <f t="shared" si="254"/>
        <v>0</v>
      </c>
      <c r="M257" s="58">
        <f t="shared" si="254"/>
        <v>0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0" customHeight="1">
      <c r="A258" s="70"/>
      <c r="B258" s="71"/>
      <c r="C258" s="66"/>
      <c r="D258" s="66">
        <f t="shared" si="3"/>
        <v>0</v>
      </c>
      <c r="E258" s="67"/>
      <c r="F258" s="58">
        <f t="shared" si="150"/>
        <v>-8</v>
      </c>
      <c r="G258" s="58"/>
      <c r="H258" s="58">
        <f t="shared" ref="H258:M258" si="255">SUMIFS($C258,$B258,H$8)+H257</f>
        <v>0</v>
      </c>
      <c r="I258" s="58">
        <f t="shared" si="255"/>
        <v>9</v>
      </c>
      <c r="J258" s="58">
        <f t="shared" si="255"/>
        <v>36</v>
      </c>
      <c r="K258" s="58">
        <f t="shared" si="255"/>
        <v>0</v>
      </c>
      <c r="L258" s="58">
        <f t="shared" si="255"/>
        <v>0</v>
      </c>
      <c r="M258" s="58">
        <f t="shared" si="255"/>
        <v>0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0" customHeight="1">
      <c r="A259" s="70"/>
      <c r="B259" s="71"/>
      <c r="C259" s="66"/>
      <c r="D259" s="66">
        <f t="shared" si="3"/>
        <v>0</v>
      </c>
      <c r="E259" s="67"/>
      <c r="F259" s="58">
        <f t="shared" si="150"/>
        <v>-8</v>
      </c>
      <c r="G259" s="58"/>
      <c r="H259" s="58">
        <f t="shared" ref="H259:M259" si="256">SUMIFS($C259,$B259,H$8)+H258</f>
        <v>0</v>
      </c>
      <c r="I259" s="58">
        <f t="shared" si="256"/>
        <v>9</v>
      </c>
      <c r="J259" s="58">
        <f t="shared" si="256"/>
        <v>36</v>
      </c>
      <c r="K259" s="58">
        <f t="shared" si="256"/>
        <v>0</v>
      </c>
      <c r="L259" s="58">
        <f t="shared" si="256"/>
        <v>0</v>
      </c>
      <c r="M259" s="58">
        <f t="shared" si="256"/>
        <v>0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0" customHeight="1">
      <c r="A260" s="70"/>
      <c r="B260" s="71"/>
      <c r="C260" s="66"/>
      <c r="D260" s="66">
        <f t="shared" si="3"/>
        <v>0</v>
      </c>
      <c r="E260" s="67"/>
      <c r="F260" s="58">
        <f t="shared" si="150"/>
        <v>-8</v>
      </c>
      <c r="G260" s="58"/>
      <c r="H260" s="58">
        <f t="shared" ref="H260:M260" si="257">SUMIFS($C260,$B260,H$8)+H259</f>
        <v>0</v>
      </c>
      <c r="I260" s="58">
        <f t="shared" si="257"/>
        <v>9</v>
      </c>
      <c r="J260" s="58">
        <f t="shared" si="257"/>
        <v>36</v>
      </c>
      <c r="K260" s="58">
        <f t="shared" si="257"/>
        <v>0</v>
      </c>
      <c r="L260" s="58">
        <f t="shared" si="257"/>
        <v>0</v>
      </c>
      <c r="M260" s="58">
        <f t="shared" si="257"/>
        <v>0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0" customHeight="1">
      <c r="A261" s="70"/>
      <c r="B261" s="71"/>
      <c r="C261" s="66"/>
      <c r="D261" s="66">
        <f t="shared" si="3"/>
        <v>0</v>
      </c>
      <c r="E261" s="67"/>
      <c r="F261" s="58">
        <f t="shared" si="150"/>
        <v>-8</v>
      </c>
      <c r="G261" s="58"/>
      <c r="H261" s="58">
        <f t="shared" ref="H261:M261" si="258">SUMIFS($C261,$B261,H$8)+H260</f>
        <v>0</v>
      </c>
      <c r="I261" s="58">
        <f t="shared" si="258"/>
        <v>9</v>
      </c>
      <c r="J261" s="58">
        <f t="shared" si="258"/>
        <v>36</v>
      </c>
      <c r="K261" s="58">
        <f t="shared" si="258"/>
        <v>0</v>
      </c>
      <c r="L261" s="58">
        <f t="shared" si="258"/>
        <v>0</v>
      </c>
      <c r="M261" s="58">
        <f t="shared" si="258"/>
        <v>0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0" customHeight="1">
      <c r="A262" s="70"/>
      <c r="B262" s="71"/>
      <c r="C262" s="66"/>
      <c r="D262" s="66">
        <f t="shared" si="3"/>
        <v>0</v>
      </c>
      <c r="E262" s="67"/>
      <c r="F262" s="58">
        <f t="shared" si="150"/>
        <v>-8</v>
      </c>
      <c r="G262" s="58"/>
      <c r="H262" s="58">
        <f t="shared" ref="H262:M262" si="259">SUMIFS($C262,$B262,H$8)+H261</f>
        <v>0</v>
      </c>
      <c r="I262" s="58">
        <f t="shared" si="259"/>
        <v>9</v>
      </c>
      <c r="J262" s="58">
        <f t="shared" si="259"/>
        <v>36</v>
      </c>
      <c r="K262" s="58">
        <f t="shared" si="259"/>
        <v>0</v>
      </c>
      <c r="L262" s="58">
        <f t="shared" si="259"/>
        <v>0</v>
      </c>
      <c r="M262" s="58">
        <f t="shared" si="259"/>
        <v>0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0" customHeight="1">
      <c r="A263" s="70"/>
      <c r="B263" s="71"/>
      <c r="C263" s="66"/>
      <c r="D263" s="66">
        <f t="shared" si="3"/>
        <v>0</v>
      </c>
      <c r="E263" s="67"/>
      <c r="F263" s="58">
        <f t="shared" si="150"/>
        <v>-8</v>
      </c>
      <c r="G263" s="58"/>
      <c r="H263" s="58">
        <f t="shared" ref="H263:M263" si="260">SUMIFS($C263,$B263,H$8)+H262</f>
        <v>0</v>
      </c>
      <c r="I263" s="58">
        <f t="shared" si="260"/>
        <v>9</v>
      </c>
      <c r="J263" s="58">
        <f t="shared" si="260"/>
        <v>36</v>
      </c>
      <c r="K263" s="58">
        <f t="shared" si="260"/>
        <v>0</v>
      </c>
      <c r="L263" s="58">
        <f t="shared" si="260"/>
        <v>0</v>
      </c>
      <c r="M263" s="58">
        <f t="shared" si="260"/>
        <v>0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0" customHeight="1">
      <c r="A264" s="70"/>
      <c r="B264" s="71"/>
      <c r="C264" s="66"/>
      <c r="D264" s="66">
        <f t="shared" si="3"/>
        <v>0</v>
      </c>
      <c r="E264" s="67"/>
      <c r="F264" s="58">
        <f t="shared" si="150"/>
        <v>-8</v>
      </c>
      <c r="G264" s="58"/>
      <c r="H264" s="58">
        <f t="shared" ref="H264:M264" si="261">SUMIFS($C264,$B264,H$8)+H263</f>
        <v>0</v>
      </c>
      <c r="I264" s="58">
        <f t="shared" si="261"/>
        <v>9</v>
      </c>
      <c r="J264" s="58">
        <f t="shared" si="261"/>
        <v>36</v>
      </c>
      <c r="K264" s="58">
        <f t="shared" si="261"/>
        <v>0</v>
      </c>
      <c r="L264" s="58">
        <f t="shared" si="261"/>
        <v>0</v>
      </c>
      <c r="M264" s="58">
        <f t="shared" si="261"/>
        <v>0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0" customHeight="1">
      <c r="A265" s="70"/>
      <c r="B265" s="71"/>
      <c r="C265" s="66"/>
      <c r="D265" s="66">
        <f t="shared" si="3"/>
        <v>0</v>
      </c>
      <c r="E265" s="67"/>
      <c r="F265" s="58">
        <f t="shared" si="150"/>
        <v>-8</v>
      </c>
      <c r="G265" s="58"/>
      <c r="H265" s="58">
        <f t="shared" ref="H265:M265" si="262">SUMIFS($C265,$B265,H$8)+H264</f>
        <v>0</v>
      </c>
      <c r="I265" s="58">
        <f t="shared" si="262"/>
        <v>9</v>
      </c>
      <c r="J265" s="58">
        <f t="shared" si="262"/>
        <v>36</v>
      </c>
      <c r="K265" s="58">
        <f t="shared" si="262"/>
        <v>0</v>
      </c>
      <c r="L265" s="58">
        <f t="shared" si="262"/>
        <v>0</v>
      </c>
      <c r="M265" s="58">
        <f t="shared" si="262"/>
        <v>0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0" customHeight="1">
      <c r="A266" s="70"/>
      <c r="B266" s="71"/>
      <c r="C266" s="66"/>
      <c r="D266" s="66">
        <f t="shared" si="3"/>
        <v>0</v>
      </c>
      <c r="E266" s="67"/>
      <c r="F266" s="58">
        <f t="shared" si="150"/>
        <v>-8</v>
      </c>
      <c r="G266" s="58"/>
      <c r="H266" s="58">
        <f t="shared" ref="H266:M266" si="263">SUMIFS($C266,$B266,H$8)+H265</f>
        <v>0</v>
      </c>
      <c r="I266" s="58">
        <f t="shared" si="263"/>
        <v>9</v>
      </c>
      <c r="J266" s="58">
        <f t="shared" si="263"/>
        <v>36</v>
      </c>
      <c r="K266" s="58">
        <f t="shared" si="263"/>
        <v>0</v>
      </c>
      <c r="L266" s="58">
        <f t="shared" si="263"/>
        <v>0</v>
      </c>
      <c r="M266" s="58">
        <f t="shared" si="263"/>
        <v>0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0" customHeight="1">
      <c r="A267" s="70"/>
      <c r="B267" s="71"/>
      <c r="C267" s="66"/>
      <c r="D267" s="66">
        <f t="shared" si="3"/>
        <v>0</v>
      </c>
      <c r="E267" s="67"/>
      <c r="F267" s="58">
        <f t="shared" si="150"/>
        <v>-8</v>
      </c>
      <c r="G267" s="58"/>
      <c r="H267" s="58">
        <f t="shared" ref="H267:M267" si="264">SUMIFS($C267,$B267,H$8)+H266</f>
        <v>0</v>
      </c>
      <c r="I267" s="58">
        <f t="shared" si="264"/>
        <v>9</v>
      </c>
      <c r="J267" s="58">
        <f t="shared" si="264"/>
        <v>36</v>
      </c>
      <c r="K267" s="58">
        <f t="shared" si="264"/>
        <v>0</v>
      </c>
      <c r="L267" s="58">
        <f t="shared" si="264"/>
        <v>0</v>
      </c>
      <c r="M267" s="58">
        <f t="shared" si="264"/>
        <v>0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0" customHeight="1">
      <c r="A268" s="70"/>
      <c r="B268" s="71"/>
      <c r="C268" s="66"/>
      <c r="D268" s="66">
        <f t="shared" si="3"/>
        <v>0</v>
      </c>
      <c r="E268" s="67"/>
      <c r="F268" s="58">
        <f t="shared" si="150"/>
        <v>-8</v>
      </c>
      <c r="G268" s="58"/>
      <c r="H268" s="58">
        <f t="shared" ref="H268:M268" si="265">SUMIFS($C268,$B268,H$8)+H267</f>
        <v>0</v>
      </c>
      <c r="I268" s="58">
        <f t="shared" si="265"/>
        <v>9</v>
      </c>
      <c r="J268" s="58">
        <f t="shared" si="265"/>
        <v>36</v>
      </c>
      <c r="K268" s="58">
        <f t="shared" si="265"/>
        <v>0</v>
      </c>
      <c r="L268" s="58">
        <f t="shared" si="265"/>
        <v>0</v>
      </c>
      <c r="M268" s="58">
        <f t="shared" si="265"/>
        <v>0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0" customHeight="1">
      <c r="A269" s="70"/>
      <c r="B269" s="71"/>
      <c r="C269" s="66"/>
      <c r="D269" s="66">
        <f t="shared" si="3"/>
        <v>0</v>
      </c>
      <c r="E269" s="67"/>
      <c r="F269" s="58">
        <f t="shared" si="150"/>
        <v>-8</v>
      </c>
      <c r="G269" s="58"/>
      <c r="H269" s="58">
        <f t="shared" ref="H269:M269" si="266">SUMIFS($C269,$B269,H$8)+H268</f>
        <v>0</v>
      </c>
      <c r="I269" s="58">
        <f t="shared" si="266"/>
        <v>9</v>
      </c>
      <c r="J269" s="58">
        <f t="shared" si="266"/>
        <v>36</v>
      </c>
      <c r="K269" s="58">
        <f t="shared" si="266"/>
        <v>0</v>
      </c>
      <c r="L269" s="58">
        <f t="shared" si="266"/>
        <v>0</v>
      </c>
      <c r="M269" s="58">
        <f t="shared" si="266"/>
        <v>0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0" customHeight="1">
      <c r="A270" s="70"/>
      <c r="B270" s="71"/>
      <c r="C270" s="66"/>
      <c r="D270" s="66">
        <f t="shared" si="3"/>
        <v>0</v>
      </c>
      <c r="E270" s="67"/>
      <c r="F270" s="58">
        <f t="shared" si="150"/>
        <v>-8</v>
      </c>
      <c r="G270" s="58"/>
      <c r="H270" s="58">
        <f t="shared" ref="H270:M270" si="267">SUMIFS($C270,$B270,H$8)+H269</f>
        <v>0</v>
      </c>
      <c r="I270" s="58">
        <f t="shared" si="267"/>
        <v>9</v>
      </c>
      <c r="J270" s="58">
        <f t="shared" si="267"/>
        <v>36</v>
      </c>
      <c r="K270" s="58">
        <f t="shared" si="267"/>
        <v>0</v>
      </c>
      <c r="L270" s="58">
        <f t="shared" si="267"/>
        <v>0</v>
      </c>
      <c r="M270" s="58">
        <f t="shared" si="267"/>
        <v>0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0" customHeight="1">
      <c r="A271" s="70"/>
      <c r="B271" s="71"/>
      <c r="C271" s="66"/>
      <c r="D271" s="66">
        <f t="shared" si="3"/>
        <v>0</v>
      </c>
      <c r="E271" s="67"/>
      <c r="F271" s="58">
        <f t="shared" si="150"/>
        <v>-8</v>
      </c>
      <c r="G271" s="58"/>
      <c r="H271" s="58">
        <f t="shared" ref="H271:M271" si="268">SUMIFS($C271,$B271,H$8)+H270</f>
        <v>0</v>
      </c>
      <c r="I271" s="58">
        <f t="shared" si="268"/>
        <v>9</v>
      </c>
      <c r="J271" s="58">
        <f t="shared" si="268"/>
        <v>36</v>
      </c>
      <c r="K271" s="58">
        <f t="shared" si="268"/>
        <v>0</v>
      </c>
      <c r="L271" s="58">
        <f t="shared" si="268"/>
        <v>0</v>
      </c>
      <c r="M271" s="58">
        <f t="shared" si="268"/>
        <v>0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0" customHeight="1">
      <c r="A272" s="70"/>
      <c r="B272" s="71"/>
      <c r="C272" s="66"/>
      <c r="D272" s="66">
        <f t="shared" si="3"/>
        <v>0</v>
      </c>
      <c r="E272" s="67"/>
      <c r="F272" s="58">
        <f t="shared" si="150"/>
        <v>-8</v>
      </c>
      <c r="G272" s="58"/>
      <c r="H272" s="58">
        <f t="shared" ref="H272:M272" si="269">SUMIFS($C272,$B272,H$8)+H271</f>
        <v>0</v>
      </c>
      <c r="I272" s="58">
        <f t="shared" si="269"/>
        <v>9</v>
      </c>
      <c r="J272" s="58">
        <f t="shared" si="269"/>
        <v>36</v>
      </c>
      <c r="K272" s="58">
        <f t="shared" si="269"/>
        <v>0</v>
      </c>
      <c r="L272" s="58">
        <f t="shared" si="269"/>
        <v>0</v>
      </c>
      <c r="M272" s="58">
        <f t="shared" si="269"/>
        <v>0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0" customHeight="1">
      <c r="A273" s="70"/>
      <c r="B273" s="71"/>
      <c r="C273" s="66"/>
      <c r="D273" s="66">
        <f t="shared" si="3"/>
        <v>0</v>
      </c>
      <c r="E273" s="67"/>
      <c r="F273" s="58">
        <f t="shared" si="150"/>
        <v>-8</v>
      </c>
      <c r="G273" s="58"/>
      <c r="H273" s="58">
        <f t="shared" ref="H273:M273" si="270">SUMIFS($C273,$B273,H$8)+H272</f>
        <v>0</v>
      </c>
      <c r="I273" s="58">
        <f t="shared" si="270"/>
        <v>9</v>
      </c>
      <c r="J273" s="58">
        <f t="shared" si="270"/>
        <v>36</v>
      </c>
      <c r="K273" s="58">
        <f t="shared" si="270"/>
        <v>0</v>
      </c>
      <c r="L273" s="58">
        <f t="shared" si="270"/>
        <v>0</v>
      </c>
      <c r="M273" s="58">
        <f t="shared" si="270"/>
        <v>0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0" customHeight="1">
      <c r="A274" s="70"/>
      <c r="B274" s="71"/>
      <c r="C274" s="66"/>
      <c r="D274" s="66">
        <f t="shared" si="3"/>
        <v>0</v>
      </c>
      <c r="E274" s="67"/>
      <c r="F274" s="58">
        <f t="shared" si="150"/>
        <v>-8</v>
      </c>
      <c r="G274" s="58"/>
      <c r="H274" s="58">
        <f t="shared" ref="H274:M274" si="271">SUMIFS($C274,$B274,H$8)+H273</f>
        <v>0</v>
      </c>
      <c r="I274" s="58">
        <f t="shared" si="271"/>
        <v>9</v>
      </c>
      <c r="J274" s="58">
        <f t="shared" si="271"/>
        <v>36</v>
      </c>
      <c r="K274" s="58">
        <f t="shared" si="271"/>
        <v>0</v>
      </c>
      <c r="L274" s="58">
        <f t="shared" si="271"/>
        <v>0</v>
      </c>
      <c r="M274" s="58">
        <f t="shared" si="271"/>
        <v>0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0" customHeight="1">
      <c r="A275" s="70"/>
      <c r="B275" s="71"/>
      <c r="C275" s="66"/>
      <c r="D275" s="66">
        <f t="shared" si="3"/>
        <v>0</v>
      </c>
      <c r="E275" s="67"/>
      <c r="F275" s="58">
        <f t="shared" si="150"/>
        <v>-8</v>
      </c>
      <c r="G275" s="58"/>
      <c r="H275" s="58">
        <f t="shared" ref="H275:M275" si="272">SUMIFS($C275,$B275,H$8)+H274</f>
        <v>0</v>
      </c>
      <c r="I275" s="58">
        <f t="shared" si="272"/>
        <v>9</v>
      </c>
      <c r="J275" s="58">
        <f t="shared" si="272"/>
        <v>36</v>
      </c>
      <c r="K275" s="58">
        <f t="shared" si="272"/>
        <v>0</v>
      </c>
      <c r="L275" s="58">
        <f t="shared" si="272"/>
        <v>0</v>
      </c>
      <c r="M275" s="58">
        <f t="shared" si="272"/>
        <v>0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0" customHeight="1">
      <c r="A276" s="70"/>
      <c r="B276" s="71"/>
      <c r="C276" s="66"/>
      <c r="D276" s="66">
        <f t="shared" si="3"/>
        <v>0</v>
      </c>
      <c r="E276" s="67"/>
      <c r="F276" s="58">
        <f t="shared" si="150"/>
        <v>-8</v>
      </c>
      <c r="G276" s="58"/>
      <c r="H276" s="58">
        <f t="shared" ref="H276:M276" si="273">SUMIFS($C276,$B276,H$8)+H275</f>
        <v>0</v>
      </c>
      <c r="I276" s="58">
        <f t="shared" si="273"/>
        <v>9</v>
      </c>
      <c r="J276" s="58">
        <f t="shared" si="273"/>
        <v>36</v>
      </c>
      <c r="K276" s="58">
        <f t="shared" si="273"/>
        <v>0</v>
      </c>
      <c r="L276" s="58">
        <f t="shared" si="273"/>
        <v>0</v>
      </c>
      <c r="M276" s="58">
        <f t="shared" si="273"/>
        <v>0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0" customHeight="1">
      <c r="A277" s="70"/>
      <c r="B277" s="71"/>
      <c r="C277" s="66"/>
      <c r="D277" s="66">
        <f t="shared" si="3"/>
        <v>0</v>
      </c>
      <c r="E277" s="67"/>
      <c r="F277" s="58">
        <f t="shared" si="150"/>
        <v>-8</v>
      </c>
      <c r="G277" s="58"/>
      <c r="H277" s="58">
        <f t="shared" ref="H277:M277" si="274">SUMIFS($C277,$B277,H$8)+H276</f>
        <v>0</v>
      </c>
      <c r="I277" s="58">
        <f t="shared" si="274"/>
        <v>9</v>
      </c>
      <c r="J277" s="58">
        <f t="shared" si="274"/>
        <v>36</v>
      </c>
      <c r="K277" s="58">
        <f t="shared" si="274"/>
        <v>0</v>
      </c>
      <c r="L277" s="58">
        <f t="shared" si="274"/>
        <v>0</v>
      </c>
      <c r="M277" s="58">
        <f t="shared" si="274"/>
        <v>0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0" customHeight="1">
      <c r="A278" s="70"/>
      <c r="B278" s="71"/>
      <c r="C278" s="66"/>
      <c r="D278" s="66">
        <f t="shared" si="3"/>
        <v>0</v>
      </c>
      <c r="E278" s="67"/>
      <c r="F278" s="58">
        <f t="shared" si="150"/>
        <v>-8</v>
      </c>
      <c r="G278" s="58"/>
      <c r="H278" s="58">
        <f t="shared" ref="H278:M278" si="275">SUMIFS($C278,$B278,H$8)+H277</f>
        <v>0</v>
      </c>
      <c r="I278" s="58">
        <f t="shared" si="275"/>
        <v>9</v>
      </c>
      <c r="J278" s="58">
        <f t="shared" si="275"/>
        <v>36</v>
      </c>
      <c r="K278" s="58">
        <f t="shared" si="275"/>
        <v>0</v>
      </c>
      <c r="L278" s="58">
        <f t="shared" si="275"/>
        <v>0</v>
      </c>
      <c r="M278" s="58">
        <f t="shared" si="275"/>
        <v>0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0" customHeight="1">
      <c r="A279" s="70"/>
      <c r="B279" s="71"/>
      <c r="C279" s="66"/>
      <c r="D279" s="66">
        <f t="shared" si="3"/>
        <v>0</v>
      </c>
      <c r="E279" s="67"/>
      <c r="F279" s="58">
        <f t="shared" si="150"/>
        <v>-8</v>
      </c>
      <c r="G279" s="58"/>
      <c r="H279" s="58">
        <f t="shared" ref="H279:M279" si="276">SUMIFS($C279,$B279,H$8)+H278</f>
        <v>0</v>
      </c>
      <c r="I279" s="58">
        <f t="shared" si="276"/>
        <v>9</v>
      </c>
      <c r="J279" s="58">
        <f t="shared" si="276"/>
        <v>36</v>
      </c>
      <c r="K279" s="58">
        <f t="shared" si="276"/>
        <v>0</v>
      </c>
      <c r="L279" s="58">
        <f t="shared" si="276"/>
        <v>0</v>
      </c>
      <c r="M279" s="58">
        <f t="shared" si="276"/>
        <v>0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0" customHeight="1">
      <c r="A280" s="70"/>
      <c r="B280" s="71"/>
      <c r="C280" s="66"/>
      <c r="D280" s="66">
        <f t="shared" si="3"/>
        <v>0</v>
      </c>
      <c r="E280" s="67"/>
      <c r="F280" s="58">
        <f t="shared" si="150"/>
        <v>-8</v>
      </c>
      <c r="G280" s="58"/>
      <c r="H280" s="58">
        <f t="shared" ref="H280:M280" si="277">SUMIFS($C280,$B280,H$8)+H279</f>
        <v>0</v>
      </c>
      <c r="I280" s="58">
        <f t="shared" si="277"/>
        <v>9</v>
      </c>
      <c r="J280" s="58">
        <f t="shared" si="277"/>
        <v>36</v>
      </c>
      <c r="K280" s="58">
        <f t="shared" si="277"/>
        <v>0</v>
      </c>
      <c r="L280" s="58">
        <f t="shared" si="277"/>
        <v>0</v>
      </c>
      <c r="M280" s="58">
        <f t="shared" si="277"/>
        <v>0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0" customHeight="1">
      <c r="A281" s="70"/>
      <c r="B281" s="71"/>
      <c r="C281" s="66"/>
      <c r="D281" s="66">
        <f t="shared" si="3"/>
        <v>0</v>
      </c>
      <c r="E281" s="67"/>
      <c r="F281" s="58">
        <f t="shared" si="150"/>
        <v>-8</v>
      </c>
      <c r="G281" s="58"/>
      <c r="H281" s="58">
        <f t="shared" ref="H281:M281" si="278">SUMIFS($C281,$B281,H$8)+H280</f>
        <v>0</v>
      </c>
      <c r="I281" s="58">
        <f t="shared" si="278"/>
        <v>9</v>
      </c>
      <c r="J281" s="58">
        <f t="shared" si="278"/>
        <v>36</v>
      </c>
      <c r="K281" s="58">
        <f t="shared" si="278"/>
        <v>0</v>
      </c>
      <c r="L281" s="58">
        <f t="shared" si="278"/>
        <v>0</v>
      </c>
      <c r="M281" s="58">
        <f t="shared" si="278"/>
        <v>0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0" customHeight="1">
      <c r="A282" s="70"/>
      <c r="B282" s="71"/>
      <c r="C282" s="66"/>
      <c r="D282" s="66">
        <f t="shared" si="3"/>
        <v>0</v>
      </c>
      <c r="E282" s="67"/>
      <c r="F282" s="58">
        <f t="shared" si="150"/>
        <v>-8</v>
      </c>
      <c r="G282" s="58"/>
      <c r="H282" s="58">
        <f t="shared" ref="H282:M282" si="279">SUMIFS($C282,$B282,H$8)+H281</f>
        <v>0</v>
      </c>
      <c r="I282" s="58">
        <f t="shared" si="279"/>
        <v>9</v>
      </c>
      <c r="J282" s="58">
        <f t="shared" si="279"/>
        <v>36</v>
      </c>
      <c r="K282" s="58">
        <f t="shared" si="279"/>
        <v>0</v>
      </c>
      <c r="L282" s="58">
        <f t="shared" si="279"/>
        <v>0</v>
      </c>
      <c r="M282" s="58">
        <f t="shared" si="279"/>
        <v>0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0" customHeight="1">
      <c r="A283" s="70"/>
      <c r="B283" s="71"/>
      <c r="C283" s="66"/>
      <c r="D283" s="66">
        <f t="shared" si="3"/>
        <v>0</v>
      </c>
      <c r="E283" s="67"/>
      <c r="F283" s="58">
        <f t="shared" si="150"/>
        <v>-8</v>
      </c>
      <c r="G283" s="58"/>
      <c r="H283" s="58">
        <f t="shared" ref="H283:M283" si="280">SUMIFS($C283,$B283,H$8)+H282</f>
        <v>0</v>
      </c>
      <c r="I283" s="58">
        <f t="shared" si="280"/>
        <v>9</v>
      </c>
      <c r="J283" s="58">
        <f t="shared" si="280"/>
        <v>36</v>
      </c>
      <c r="K283" s="58">
        <f t="shared" si="280"/>
        <v>0</v>
      </c>
      <c r="L283" s="58">
        <f t="shared" si="280"/>
        <v>0</v>
      </c>
      <c r="M283" s="58">
        <f t="shared" si="280"/>
        <v>0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0" customHeight="1">
      <c r="A284" s="70"/>
      <c r="B284" s="71"/>
      <c r="C284" s="66"/>
      <c r="D284" s="66">
        <f t="shared" si="3"/>
        <v>0</v>
      </c>
      <c r="E284" s="67"/>
      <c r="F284" s="58">
        <f t="shared" si="150"/>
        <v>-8</v>
      </c>
      <c r="G284" s="58"/>
      <c r="H284" s="58">
        <f t="shared" ref="H284:M284" si="281">SUMIFS($C284,$B284,H$8)+H283</f>
        <v>0</v>
      </c>
      <c r="I284" s="58">
        <f t="shared" si="281"/>
        <v>9</v>
      </c>
      <c r="J284" s="58">
        <f t="shared" si="281"/>
        <v>36</v>
      </c>
      <c r="K284" s="58">
        <f t="shared" si="281"/>
        <v>0</v>
      </c>
      <c r="L284" s="58">
        <f t="shared" si="281"/>
        <v>0</v>
      </c>
      <c r="M284" s="58">
        <f t="shared" si="281"/>
        <v>0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0" customHeight="1">
      <c r="A285" s="70"/>
      <c r="B285" s="71"/>
      <c r="C285" s="66"/>
      <c r="D285" s="66">
        <f t="shared" si="3"/>
        <v>0</v>
      </c>
      <c r="E285" s="67"/>
      <c r="F285" s="58">
        <f t="shared" si="150"/>
        <v>-8</v>
      </c>
      <c r="G285" s="58"/>
      <c r="H285" s="58">
        <f t="shared" ref="H285:M285" si="282">SUMIFS($C285,$B285,H$8)+H284</f>
        <v>0</v>
      </c>
      <c r="I285" s="58">
        <f t="shared" si="282"/>
        <v>9</v>
      </c>
      <c r="J285" s="58">
        <f t="shared" si="282"/>
        <v>36</v>
      </c>
      <c r="K285" s="58">
        <f t="shared" si="282"/>
        <v>0</v>
      </c>
      <c r="L285" s="58">
        <f t="shared" si="282"/>
        <v>0</v>
      </c>
      <c r="M285" s="58">
        <f t="shared" si="282"/>
        <v>0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0" customHeight="1">
      <c r="A286" s="70"/>
      <c r="B286" s="71"/>
      <c r="C286" s="66"/>
      <c r="D286" s="66">
        <f t="shared" si="3"/>
        <v>0</v>
      </c>
      <c r="E286" s="67"/>
      <c r="F286" s="58">
        <f t="shared" si="150"/>
        <v>-8</v>
      </c>
      <c r="G286" s="58"/>
      <c r="H286" s="58">
        <f t="shared" ref="H286:M286" si="283">SUMIFS($C286,$B286,H$8)+H285</f>
        <v>0</v>
      </c>
      <c r="I286" s="58">
        <f t="shared" si="283"/>
        <v>9</v>
      </c>
      <c r="J286" s="58">
        <f t="shared" si="283"/>
        <v>36</v>
      </c>
      <c r="K286" s="58">
        <f t="shared" si="283"/>
        <v>0</v>
      </c>
      <c r="L286" s="58">
        <f t="shared" si="283"/>
        <v>0</v>
      </c>
      <c r="M286" s="58">
        <f t="shared" si="283"/>
        <v>0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0" customHeight="1">
      <c r="A287" s="70"/>
      <c r="B287" s="71"/>
      <c r="C287" s="66"/>
      <c r="D287" s="66">
        <f t="shared" si="3"/>
        <v>0</v>
      </c>
      <c r="E287" s="67"/>
      <c r="F287" s="58">
        <f t="shared" si="150"/>
        <v>-8</v>
      </c>
      <c r="G287" s="58"/>
      <c r="H287" s="58">
        <f t="shared" ref="H287:M287" si="284">SUMIFS($C287,$B287,H$8)+H286</f>
        <v>0</v>
      </c>
      <c r="I287" s="58">
        <f t="shared" si="284"/>
        <v>9</v>
      </c>
      <c r="J287" s="58">
        <f t="shared" si="284"/>
        <v>36</v>
      </c>
      <c r="K287" s="58">
        <f t="shared" si="284"/>
        <v>0</v>
      </c>
      <c r="L287" s="58">
        <f t="shared" si="284"/>
        <v>0</v>
      </c>
      <c r="M287" s="58">
        <f t="shared" si="284"/>
        <v>0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0" customHeight="1">
      <c r="A288" s="70"/>
      <c r="B288" s="71"/>
      <c r="C288" s="66"/>
      <c r="D288" s="66">
        <f t="shared" si="3"/>
        <v>0</v>
      </c>
      <c r="E288" s="67"/>
      <c r="F288" s="58">
        <f t="shared" si="150"/>
        <v>-8</v>
      </c>
      <c r="G288" s="58"/>
      <c r="H288" s="58">
        <f t="shared" ref="H288:M288" si="285">SUMIFS($C288,$B288,H$8)+H287</f>
        <v>0</v>
      </c>
      <c r="I288" s="58">
        <f t="shared" si="285"/>
        <v>9</v>
      </c>
      <c r="J288" s="58">
        <f t="shared" si="285"/>
        <v>36</v>
      </c>
      <c r="K288" s="58">
        <f t="shared" si="285"/>
        <v>0</v>
      </c>
      <c r="L288" s="58">
        <f t="shared" si="285"/>
        <v>0</v>
      </c>
      <c r="M288" s="58">
        <f t="shared" si="285"/>
        <v>0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0" customHeight="1">
      <c r="A289" s="70"/>
      <c r="B289" s="71"/>
      <c r="C289" s="66"/>
      <c r="D289" s="66">
        <f t="shared" si="3"/>
        <v>0</v>
      </c>
      <c r="E289" s="67"/>
      <c r="F289" s="58">
        <f t="shared" si="150"/>
        <v>-8</v>
      </c>
      <c r="G289" s="58"/>
      <c r="H289" s="58">
        <f t="shared" ref="H289:M289" si="286">SUMIFS($C289,$B289,H$8)+H288</f>
        <v>0</v>
      </c>
      <c r="I289" s="58">
        <f t="shared" si="286"/>
        <v>9</v>
      </c>
      <c r="J289" s="58">
        <f t="shared" si="286"/>
        <v>36</v>
      </c>
      <c r="K289" s="58">
        <f t="shared" si="286"/>
        <v>0</v>
      </c>
      <c r="L289" s="58">
        <f t="shared" si="286"/>
        <v>0</v>
      </c>
      <c r="M289" s="58">
        <f t="shared" si="286"/>
        <v>0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0" customHeight="1">
      <c r="A290" s="70"/>
      <c r="B290" s="71"/>
      <c r="C290" s="66"/>
      <c r="D290" s="66">
        <f t="shared" si="3"/>
        <v>0</v>
      </c>
      <c r="E290" s="67"/>
      <c r="F290" s="58">
        <f t="shared" si="150"/>
        <v>-8</v>
      </c>
      <c r="G290" s="58"/>
      <c r="H290" s="58">
        <f t="shared" ref="H290:M290" si="287">SUMIFS($C290,$B290,H$8)+H289</f>
        <v>0</v>
      </c>
      <c r="I290" s="58">
        <f t="shared" si="287"/>
        <v>9</v>
      </c>
      <c r="J290" s="58">
        <f t="shared" si="287"/>
        <v>36</v>
      </c>
      <c r="K290" s="58">
        <f t="shared" si="287"/>
        <v>0</v>
      </c>
      <c r="L290" s="58">
        <f t="shared" si="287"/>
        <v>0</v>
      </c>
      <c r="M290" s="58">
        <f t="shared" si="287"/>
        <v>0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0" customHeight="1">
      <c r="A291" s="70"/>
      <c r="B291" s="71"/>
      <c r="C291" s="66"/>
      <c r="D291" s="66">
        <f t="shared" si="3"/>
        <v>0</v>
      </c>
      <c r="E291" s="67"/>
      <c r="F291" s="58">
        <f t="shared" si="150"/>
        <v>-8</v>
      </c>
      <c r="G291" s="58"/>
      <c r="H291" s="58">
        <f t="shared" ref="H291:M291" si="288">SUMIFS($C291,$B291,H$8)+H290</f>
        <v>0</v>
      </c>
      <c r="I291" s="58">
        <f t="shared" si="288"/>
        <v>9</v>
      </c>
      <c r="J291" s="58">
        <f t="shared" si="288"/>
        <v>36</v>
      </c>
      <c r="K291" s="58">
        <f t="shared" si="288"/>
        <v>0</v>
      </c>
      <c r="L291" s="58">
        <f t="shared" si="288"/>
        <v>0</v>
      </c>
      <c r="M291" s="58">
        <f t="shared" si="288"/>
        <v>0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0" customHeight="1">
      <c r="A292" s="70"/>
      <c r="B292" s="71"/>
      <c r="C292" s="66"/>
      <c r="D292" s="66">
        <f t="shared" si="3"/>
        <v>0</v>
      </c>
      <c r="E292" s="67"/>
      <c r="F292" s="58">
        <f t="shared" si="150"/>
        <v>-8</v>
      </c>
      <c r="G292" s="58"/>
      <c r="H292" s="58">
        <f t="shared" ref="H292:M292" si="289">SUMIFS($C292,$B292,H$8)+H291</f>
        <v>0</v>
      </c>
      <c r="I292" s="58">
        <f t="shared" si="289"/>
        <v>9</v>
      </c>
      <c r="J292" s="58">
        <f t="shared" si="289"/>
        <v>36</v>
      </c>
      <c r="K292" s="58">
        <f t="shared" si="289"/>
        <v>0</v>
      </c>
      <c r="L292" s="58">
        <f t="shared" si="289"/>
        <v>0</v>
      </c>
      <c r="M292" s="58">
        <f t="shared" si="289"/>
        <v>0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0" customHeight="1">
      <c r="A293" s="70"/>
      <c r="B293" s="71"/>
      <c r="C293" s="66"/>
      <c r="D293" s="66">
        <f t="shared" si="3"/>
        <v>0</v>
      </c>
      <c r="E293" s="67"/>
      <c r="F293" s="58">
        <f t="shared" si="150"/>
        <v>-8</v>
      </c>
      <c r="G293" s="58"/>
      <c r="H293" s="58">
        <f t="shared" ref="H293:M293" si="290">SUMIFS($C293,$B293,H$8)+H292</f>
        <v>0</v>
      </c>
      <c r="I293" s="58">
        <f t="shared" si="290"/>
        <v>9</v>
      </c>
      <c r="J293" s="58">
        <f t="shared" si="290"/>
        <v>36</v>
      </c>
      <c r="K293" s="58">
        <f t="shared" si="290"/>
        <v>0</v>
      </c>
      <c r="L293" s="58">
        <f t="shared" si="290"/>
        <v>0</v>
      </c>
      <c r="M293" s="58">
        <f t="shared" si="290"/>
        <v>0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0" customHeight="1">
      <c r="A294" s="70"/>
      <c r="B294" s="71"/>
      <c r="C294" s="66"/>
      <c r="D294" s="66">
        <f t="shared" si="3"/>
        <v>0</v>
      </c>
      <c r="E294" s="67"/>
      <c r="F294" s="58">
        <f t="shared" si="150"/>
        <v>-8</v>
      </c>
      <c r="G294" s="58"/>
      <c r="H294" s="58">
        <f t="shared" ref="H294:M294" si="291">SUMIFS($C294,$B294,H$8)+H293</f>
        <v>0</v>
      </c>
      <c r="I294" s="58">
        <f t="shared" si="291"/>
        <v>9</v>
      </c>
      <c r="J294" s="58">
        <f t="shared" si="291"/>
        <v>36</v>
      </c>
      <c r="K294" s="58">
        <f t="shared" si="291"/>
        <v>0</v>
      </c>
      <c r="L294" s="58">
        <f t="shared" si="291"/>
        <v>0</v>
      </c>
      <c r="M294" s="58">
        <f t="shared" si="291"/>
        <v>0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0" customHeight="1">
      <c r="A295" s="70"/>
      <c r="B295" s="71"/>
      <c r="C295" s="66"/>
      <c r="D295" s="66">
        <f t="shared" si="3"/>
        <v>0</v>
      </c>
      <c r="E295" s="67"/>
      <c r="F295" s="58">
        <f t="shared" si="150"/>
        <v>-8</v>
      </c>
      <c r="G295" s="58"/>
      <c r="H295" s="58">
        <f t="shared" ref="H295:M295" si="292">SUMIFS($C295,$B295,H$8)+H294</f>
        <v>0</v>
      </c>
      <c r="I295" s="58">
        <f t="shared" si="292"/>
        <v>9</v>
      </c>
      <c r="J295" s="58">
        <f t="shared" si="292"/>
        <v>36</v>
      </c>
      <c r="K295" s="58">
        <f t="shared" si="292"/>
        <v>0</v>
      </c>
      <c r="L295" s="58">
        <f t="shared" si="292"/>
        <v>0</v>
      </c>
      <c r="M295" s="58">
        <f t="shared" si="292"/>
        <v>0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0" customHeight="1">
      <c r="A296" s="70"/>
      <c r="B296" s="71"/>
      <c r="C296" s="66"/>
      <c r="D296" s="66">
        <f t="shared" si="3"/>
        <v>0</v>
      </c>
      <c r="E296" s="67"/>
      <c r="F296" s="58">
        <f t="shared" si="150"/>
        <v>-8</v>
      </c>
      <c r="G296" s="58"/>
      <c r="H296" s="58">
        <f t="shared" ref="H296:M296" si="293">SUMIFS($C296,$B296,H$8)+H295</f>
        <v>0</v>
      </c>
      <c r="I296" s="58">
        <f t="shared" si="293"/>
        <v>9</v>
      </c>
      <c r="J296" s="58">
        <f t="shared" si="293"/>
        <v>36</v>
      </c>
      <c r="K296" s="58">
        <f t="shared" si="293"/>
        <v>0</v>
      </c>
      <c r="L296" s="58">
        <f t="shared" si="293"/>
        <v>0</v>
      </c>
      <c r="M296" s="58">
        <f t="shared" si="293"/>
        <v>0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0" customHeight="1">
      <c r="A297" s="70"/>
      <c r="B297" s="71"/>
      <c r="C297" s="66"/>
      <c r="D297" s="66">
        <f t="shared" si="3"/>
        <v>0</v>
      </c>
      <c r="E297" s="67"/>
      <c r="F297" s="58">
        <f t="shared" si="150"/>
        <v>-8</v>
      </c>
      <c r="G297" s="58"/>
      <c r="H297" s="58">
        <f t="shared" ref="H297:M297" si="294">SUMIFS($C297,$B297,H$8)+H296</f>
        <v>0</v>
      </c>
      <c r="I297" s="58">
        <f t="shared" si="294"/>
        <v>9</v>
      </c>
      <c r="J297" s="58">
        <f t="shared" si="294"/>
        <v>36</v>
      </c>
      <c r="K297" s="58">
        <f t="shared" si="294"/>
        <v>0</v>
      </c>
      <c r="L297" s="58">
        <f t="shared" si="294"/>
        <v>0</v>
      </c>
      <c r="M297" s="58">
        <f t="shared" si="294"/>
        <v>0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0" customHeight="1">
      <c r="A298" s="70"/>
      <c r="B298" s="71"/>
      <c r="C298" s="66"/>
      <c r="D298" s="66">
        <f t="shared" si="3"/>
        <v>0</v>
      </c>
      <c r="E298" s="67"/>
      <c r="F298" s="58">
        <f t="shared" si="150"/>
        <v>-8</v>
      </c>
      <c r="G298" s="58"/>
      <c r="H298" s="58">
        <f t="shared" ref="H298:M298" si="295">SUMIFS($C298,$B298,H$8)+H297</f>
        <v>0</v>
      </c>
      <c r="I298" s="58">
        <f t="shared" si="295"/>
        <v>9</v>
      </c>
      <c r="J298" s="58">
        <f t="shared" si="295"/>
        <v>36</v>
      </c>
      <c r="K298" s="58">
        <f t="shared" si="295"/>
        <v>0</v>
      </c>
      <c r="L298" s="58">
        <f t="shared" si="295"/>
        <v>0</v>
      </c>
      <c r="M298" s="58">
        <f t="shared" si="295"/>
        <v>0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0" customHeight="1">
      <c r="A299" s="70"/>
      <c r="B299" s="71"/>
      <c r="C299" s="66"/>
      <c r="D299" s="66">
        <f t="shared" si="3"/>
        <v>0</v>
      </c>
      <c r="E299" s="67"/>
      <c r="F299" s="58">
        <f t="shared" si="150"/>
        <v>-8</v>
      </c>
      <c r="G299" s="58"/>
      <c r="H299" s="58">
        <f t="shared" ref="H299:M299" si="296">SUMIFS($C299,$B299,H$8)+H298</f>
        <v>0</v>
      </c>
      <c r="I299" s="58">
        <f t="shared" si="296"/>
        <v>9</v>
      </c>
      <c r="J299" s="58">
        <f t="shared" si="296"/>
        <v>36</v>
      </c>
      <c r="K299" s="58">
        <f t="shared" si="296"/>
        <v>0</v>
      </c>
      <c r="L299" s="58">
        <f t="shared" si="296"/>
        <v>0</v>
      </c>
      <c r="M299" s="58">
        <f t="shared" si="296"/>
        <v>0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0" customHeight="1">
      <c r="A300" s="70"/>
      <c r="B300" s="71"/>
      <c r="C300" s="66"/>
      <c r="D300" s="66">
        <f t="shared" si="3"/>
        <v>0</v>
      </c>
      <c r="E300" s="67"/>
      <c r="F300" s="58">
        <f t="shared" si="150"/>
        <v>-8</v>
      </c>
      <c r="G300" s="58"/>
      <c r="H300" s="58">
        <f t="shared" ref="H300:M300" si="297">SUMIFS($C300,$B300,H$8)+H299</f>
        <v>0</v>
      </c>
      <c r="I300" s="58">
        <f t="shared" si="297"/>
        <v>9</v>
      </c>
      <c r="J300" s="58">
        <f t="shared" si="297"/>
        <v>36</v>
      </c>
      <c r="K300" s="58">
        <f t="shared" si="297"/>
        <v>0</v>
      </c>
      <c r="L300" s="58">
        <f t="shared" si="297"/>
        <v>0</v>
      </c>
      <c r="M300" s="58">
        <f t="shared" si="297"/>
        <v>0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0" customHeight="1">
      <c r="A301" s="70"/>
      <c r="B301" s="71"/>
      <c r="C301" s="66"/>
      <c r="D301" s="66">
        <f t="shared" si="3"/>
        <v>0</v>
      </c>
      <c r="E301" s="67"/>
      <c r="F301" s="58">
        <f t="shared" si="150"/>
        <v>-8</v>
      </c>
      <c r="G301" s="58"/>
      <c r="H301" s="58">
        <f t="shared" ref="H301:M301" si="298">SUMIFS($C301,$B301,H$8)+H300</f>
        <v>0</v>
      </c>
      <c r="I301" s="58">
        <f t="shared" si="298"/>
        <v>9</v>
      </c>
      <c r="J301" s="58">
        <f t="shared" si="298"/>
        <v>36</v>
      </c>
      <c r="K301" s="58">
        <f t="shared" si="298"/>
        <v>0</v>
      </c>
      <c r="L301" s="58">
        <f t="shared" si="298"/>
        <v>0</v>
      </c>
      <c r="M301" s="58">
        <f t="shared" si="298"/>
        <v>0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0" customHeight="1">
      <c r="A302" s="70"/>
      <c r="B302" s="71"/>
      <c r="C302" s="66"/>
      <c r="D302" s="66">
        <f t="shared" si="3"/>
        <v>0</v>
      </c>
      <c r="E302" s="67"/>
      <c r="F302" s="58">
        <f t="shared" si="150"/>
        <v>-8</v>
      </c>
      <c r="G302" s="58"/>
      <c r="H302" s="58">
        <f t="shared" ref="H302:M302" si="299">SUMIFS($C302,$B302,H$8)+H301</f>
        <v>0</v>
      </c>
      <c r="I302" s="58">
        <f t="shared" si="299"/>
        <v>9</v>
      </c>
      <c r="J302" s="58">
        <f t="shared" si="299"/>
        <v>36</v>
      </c>
      <c r="K302" s="58">
        <f t="shared" si="299"/>
        <v>0</v>
      </c>
      <c r="L302" s="58">
        <f t="shared" si="299"/>
        <v>0</v>
      </c>
      <c r="M302" s="58">
        <f t="shared" si="299"/>
        <v>0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0" customHeight="1">
      <c r="A303" s="70"/>
      <c r="B303" s="71"/>
      <c r="C303" s="66"/>
      <c r="D303" s="66">
        <f t="shared" si="3"/>
        <v>0</v>
      </c>
      <c r="E303" s="67"/>
      <c r="F303" s="58">
        <f t="shared" si="150"/>
        <v>-8</v>
      </c>
      <c r="G303" s="58"/>
      <c r="H303" s="58">
        <f t="shared" ref="H303:M303" si="300">SUMIFS($C303,$B303,H$8)+H302</f>
        <v>0</v>
      </c>
      <c r="I303" s="58">
        <f t="shared" si="300"/>
        <v>9</v>
      </c>
      <c r="J303" s="58">
        <f t="shared" si="300"/>
        <v>36</v>
      </c>
      <c r="K303" s="58">
        <f t="shared" si="300"/>
        <v>0</v>
      </c>
      <c r="L303" s="58">
        <f t="shared" si="300"/>
        <v>0</v>
      </c>
      <c r="M303" s="58">
        <f t="shared" si="300"/>
        <v>0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0" customHeight="1">
      <c r="A304" s="70"/>
      <c r="B304" s="71"/>
      <c r="C304" s="66"/>
      <c r="D304" s="66">
        <f t="shared" si="3"/>
        <v>0</v>
      </c>
      <c r="E304" s="67"/>
      <c r="F304" s="58">
        <f t="shared" si="150"/>
        <v>-8</v>
      </c>
      <c r="G304" s="58"/>
      <c r="H304" s="58">
        <f t="shared" ref="H304:M304" si="301">SUMIFS($C304,$B304,H$8)+H303</f>
        <v>0</v>
      </c>
      <c r="I304" s="58">
        <f t="shared" si="301"/>
        <v>9</v>
      </c>
      <c r="J304" s="58">
        <f t="shared" si="301"/>
        <v>36</v>
      </c>
      <c r="K304" s="58">
        <f t="shared" si="301"/>
        <v>0</v>
      </c>
      <c r="L304" s="58">
        <f t="shared" si="301"/>
        <v>0</v>
      </c>
      <c r="M304" s="58">
        <f t="shared" si="301"/>
        <v>0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0" customHeight="1">
      <c r="A305" s="70"/>
      <c r="B305" s="71"/>
      <c r="C305" s="66"/>
      <c r="D305" s="66">
        <f t="shared" si="3"/>
        <v>0</v>
      </c>
      <c r="E305" s="67"/>
      <c r="F305" s="58">
        <f t="shared" si="150"/>
        <v>-8</v>
      </c>
      <c r="G305" s="58"/>
      <c r="H305" s="58">
        <f t="shared" ref="H305:M305" si="302">SUMIFS($C305,$B305,H$8)+H304</f>
        <v>0</v>
      </c>
      <c r="I305" s="58">
        <f t="shared" si="302"/>
        <v>9</v>
      </c>
      <c r="J305" s="58">
        <f t="shared" si="302"/>
        <v>36</v>
      </c>
      <c r="K305" s="58">
        <f t="shared" si="302"/>
        <v>0</v>
      </c>
      <c r="L305" s="58">
        <f t="shared" si="302"/>
        <v>0</v>
      </c>
      <c r="M305" s="58">
        <f t="shared" si="302"/>
        <v>0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0" customHeight="1">
      <c r="A306" s="70"/>
      <c r="B306" s="71"/>
      <c r="C306" s="66"/>
      <c r="D306" s="66">
        <f t="shared" si="3"/>
        <v>0</v>
      </c>
      <c r="E306" s="67"/>
      <c r="F306" s="58">
        <f t="shared" si="150"/>
        <v>-8</v>
      </c>
      <c r="G306" s="58"/>
      <c r="H306" s="58">
        <f t="shared" ref="H306:M306" si="303">SUMIFS($C306,$B306,H$8)+H305</f>
        <v>0</v>
      </c>
      <c r="I306" s="58">
        <f t="shared" si="303"/>
        <v>9</v>
      </c>
      <c r="J306" s="58">
        <f t="shared" si="303"/>
        <v>36</v>
      </c>
      <c r="K306" s="58">
        <f t="shared" si="303"/>
        <v>0</v>
      </c>
      <c r="L306" s="58">
        <f t="shared" si="303"/>
        <v>0</v>
      </c>
      <c r="M306" s="58">
        <f t="shared" si="303"/>
        <v>0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0" customHeight="1">
      <c r="A307" s="70"/>
      <c r="B307" s="71"/>
      <c r="C307" s="66"/>
      <c r="D307" s="66">
        <f t="shared" si="3"/>
        <v>0</v>
      </c>
      <c r="E307" s="67"/>
      <c r="F307" s="58">
        <f t="shared" si="150"/>
        <v>-8</v>
      </c>
      <c r="G307" s="58"/>
      <c r="H307" s="58">
        <f t="shared" ref="H307:M307" si="304">SUMIFS($C307,$B307,H$8)+H306</f>
        <v>0</v>
      </c>
      <c r="I307" s="58">
        <f t="shared" si="304"/>
        <v>9</v>
      </c>
      <c r="J307" s="58">
        <f t="shared" si="304"/>
        <v>36</v>
      </c>
      <c r="K307" s="58">
        <f t="shared" si="304"/>
        <v>0</v>
      </c>
      <c r="L307" s="58">
        <f t="shared" si="304"/>
        <v>0</v>
      </c>
      <c r="M307" s="58">
        <f t="shared" si="304"/>
        <v>0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0" customHeight="1">
      <c r="A308" s="70"/>
      <c r="B308" s="71"/>
      <c r="C308" s="66"/>
      <c r="D308" s="66">
        <f t="shared" si="3"/>
        <v>0</v>
      </c>
      <c r="E308" s="67"/>
      <c r="F308" s="58">
        <f t="shared" si="150"/>
        <v>-8</v>
      </c>
      <c r="G308" s="58"/>
      <c r="H308" s="58">
        <f t="shared" ref="H308:M308" si="305">SUMIFS($C308,$B308,H$8)+H307</f>
        <v>0</v>
      </c>
      <c r="I308" s="58">
        <f t="shared" si="305"/>
        <v>9</v>
      </c>
      <c r="J308" s="58">
        <f t="shared" si="305"/>
        <v>36</v>
      </c>
      <c r="K308" s="58">
        <f t="shared" si="305"/>
        <v>0</v>
      </c>
      <c r="L308" s="58">
        <f t="shared" si="305"/>
        <v>0</v>
      </c>
      <c r="M308" s="58">
        <f t="shared" si="305"/>
        <v>0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0" customHeight="1">
      <c r="A309" s="70"/>
      <c r="B309" s="71"/>
      <c r="C309" s="66"/>
      <c r="D309" s="66">
        <f t="shared" si="3"/>
        <v>0</v>
      </c>
      <c r="E309" s="67"/>
      <c r="F309" s="58">
        <f t="shared" si="150"/>
        <v>-8</v>
      </c>
      <c r="G309" s="58"/>
      <c r="H309" s="58">
        <f t="shared" ref="H309:M309" si="306">SUMIFS($C309,$B309,H$8)+H308</f>
        <v>0</v>
      </c>
      <c r="I309" s="58">
        <f t="shared" si="306"/>
        <v>9</v>
      </c>
      <c r="J309" s="58">
        <f t="shared" si="306"/>
        <v>36</v>
      </c>
      <c r="K309" s="58">
        <f t="shared" si="306"/>
        <v>0</v>
      </c>
      <c r="L309" s="58">
        <f t="shared" si="306"/>
        <v>0</v>
      </c>
      <c r="M309" s="58">
        <f t="shared" si="306"/>
        <v>0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0" customHeight="1">
      <c r="A310" s="70"/>
      <c r="B310" s="71"/>
      <c r="C310" s="66"/>
      <c r="D310" s="66">
        <f t="shared" si="3"/>
        <v>0</v>
      </c>
      <c r="E310" s="67"/>
      <c r="F310" s="58">
        <f t="shared" si="150"/>
        <v>-8</v>
      </c>
      <c r="G310" s="58"/>
      <c r="H310" s="58">
        <f t="shared" ref="H310:M310" si="307">SUMIFS($C310,$B310,H$8)+H309</f>
        <v>0</v>
      </c>
      <c r="I310" s="58">
        <f t="shared" si="307"/>
        <v>9</v>
      </c>
      <c r="J310" s="58">
        <f t="shared" si="307"/>
        <v>36</v>
      </c>
      <c r="K310" s="58">
        <f t="shared" si="307"/>
        <v>0</v>
      </c>
      <c r="L310" s="58">
        <f t="shared" si="307"/>
        <v>0</v>
      </c>
      <c r="M310" s="58">
        <f t="shared" si="307"/>
        <v>0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0" customHeight="1">
      <c r="A311" s="70"/>
      <c r="B311" s="71"/>
      <c r="C311" s="66"/>
      <c r="D311" s="66">
        <f t="shared" si="3"/>
        <v>0</v>
      </c>
      <c r="E311" s="67"/>
      <c r="F311" s="58">
        <f t="shared" si="150"/>
        <v>-8</v>
      </c>
      <c r="G311" s="58"/>
      <c r="H311" s="58">
        <f t="shared" ref="H311:M311" si="308">SUMIFS($C311,$B311,H$8)+H310</f>
        <v>0</v>
      </c>
      <c r="I311" s="58">
        <f t="shared" si="308"/>
        <v>9</v>
      </c>
      <c r="J311" s="58">
        <f t="shared" si="308"/>
        <v>36</v>
      </c>
      <c r="K311" s="58">
        <f t="shared" si="308"/>
        <v>0</v>
      </c>
      <c r="L311" s="58">
        <f t="shared" si="308"/>
        <v>0</v>
      </c>
      <c r="M311" s="58">
        <f t="shared" si="308"/>
        <v>0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0" customHeight="1">
      <c r="A312" s="70"/>
      <c r="B312" s="71"/>
      <c r="C312" s="66"/>
      <c r="D312" s="66">
        <f t="shared" si="3"/>
        <v>0</v>
      </c>
      <c r="E312" s="67"/>
      <c r="F312" s="58">
        <f t="shared" si="150"/>
        <v>-8</v>
      </c>
      <c r="G312" s="58"/>
      <c r="H312" s="58">
        <f t="shared" ref="H312:M312" si="309">SUMIFS($C312,$B312,H$8)+H311</f>
        <v>0</v>
      </c>
      <c r="I312" s="58">
        <f t="shared" si="309"/>
        <v>9</v>
      </c>
      <c r="J312" s="58">
        <f t="shared" si="309"/>
        <v>36</v>
      </c>
      <c r="K312" s="58">
        <f t="shared" si="309"/>
        <v>0</v>
      </c>
      <c r="L312" s="58">
        <f t="shared" si="309"/>
        <v>0</v>
      </c>
      <c r="M312" s="58">
        <f t="shared" si="309"/>
        <v>0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0" customHeight="1">
      <c r="A313" s="70"/>
      <c r="B313" s="71"/>
      <c r="C313" s="66"/>
      <c r="D313" s="66">
        <f t="shared" si="3"/>
        <v>0</v>
      </c>
      <c r="E313" s="67"/>
      <c r="F313" s="58">
        <f t="shared" si="150"/>
        <v>-8</v>
      </c>
      <c r="G313" s="58"/>
      <c r="H313" s="58">
        <f t="shared" ref="H313:M313" si="310">SUMIFS($C313,$B313,H$8)+H312</f>
        <v>0</v>
      </c>
      <c r="I313" s="58">
        <f t="shared" si="310"/>
        <v>9</v>
      </c>
      <c r="J313" s="58">
        <f t="shared" si="310"/>
        <v>36</v>
      </c>
      <c r="K313" s="58">
        <f t="shared" si="310"/>
        <v>0</v>
      </c>
      <c r="L313" s="58">
        <f t="shared" si="310"/>
        <v>0</v>
      </c>
      <c r="M313" s="58">
        <f t="shared" si="310"/>
        <v>0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0" customHeight="1">
      <c r="A314" s="70"/>
      <c r="B314" s="71"/>
      <c r="C314" s="66"/>
      <c r="D314" s="66">
        <f t="shared" si="3"/>
        <v>0</v>
      </c>
      <c r="E314" s="67"/>
      <c r="F314" s="58">
        <f t="shared" si="150"/>
        <v>-8</v>
      </c>
      <c r="G314" s="58"/>
      <c r="H314" s="58">
        <f t="shared" ref="H314:M314" si="311">SUMIFS($C314,$B314,H$8)+H313</f>
        <v>0</v>
      </c>
      <c r="I314" s="58">
        <f t="shared" si="311"/>
        <v>9</v>
      </c>
      <c r="J314" s="58">
        <f t="shared" si="311"/>
        <v>36</v>
      </c>
      <c r="K314" s="58">
        <f t="shared" si="311"/>
        <v>0</v>
      </c>
      <c r="L314" s="58">
        <f t="shared" si="311"/>
        <v>0</v>
      </c>
      <c r="M314" s="58">
        <f t="shared" si="311"/>
        <v>0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0" customHeight="1">
      <c r="A315" s="70"/>
      <c r="B315" s="71"/>
      <c r="C315" s="66"/>
      <c r="D315" s="66">
        <f t="shared" si="3"/>
        <v>0</v>
      </c>
      <c r="E315" s="67"/>
      <c r="F315" s="58">
        <f t="shared" si="150"/>
        <v>-8</v>
      </c>
      <c r="G315" s="58"/>
      <c r="H315" s="58">
        <f t="shared" ref="H315:M315" si="312">SUMIFS($C315,$B315,H$8)+H314</f>
        <v>0</v>
      </c>
      <c r="I315" s="58">
        <f t="shared" si="312"/>
        <v>9</v>
      </c>
      <c r="J315" s="58">
        <f t="shared" si="312"/>
        <v>36</v>
      </c>
      <c r="K315" s="58">
        <f t="shared" si="312"/>
        <v>0</v>
      </c>
      <c r="L315" s="58">
        <f t="shared" si="312"/>
        <v>0</v>
      </c>
      <c r="M315" s="58">
        <f t="shared" si="312"/>
        <v>0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0" customHeight="1">
      <c r="A316" s="70"/>
      <c r="B316" s="71"/>
      <c r="C316" s="66"/>
      <c r="D316" s="66">
        <f t="shared" si="3"/>
        <v>0</v>
      </c>
      <c r="E316" s="67"/>
      <c r="F316" s="58">
        <f t="shared" si="150"/>
        <v>-8</v>
      </c>
      <c r="G316" s="58"/>
      <c r="H316" s="58">
        <f t="shared" ref="H316:M316" si="313">SUMIFS($C316,$B316,H$8)+H315</f>
        <v>0</v>
      </c>
      <c r="I316" s="58">
        <f t="shared" si="313"/>
        <v>9</v>
      </c>
      <c r="J316" s="58">
        <f t="shared" si="313"/>
        <v>36</v>
      </c>
      <c r="K316" s="58">
        <f t="shared" si="313"/>
        <v>0</v>
      </c>
      <c r="L316" s="58">
        <f t="shared" si="313"/>
        <v>0</v>
      </c>
      <c r="M316" s="58">
        <f t="shared" si="313"/>
        <v>0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0" customHeight="1">
      <c r="A317" s="70"/>
      <c r="B317" s="71"/>
      <c r="C317" s="66"/>
      <c r="D317" s="66">
        <f t="shared" si="3"/>
        <v>0</v>
      </c>
      <c r="E317" s="67"/>
      <c r="F317" s="58">
        <f t="shared" si="150"/>
        <v>-8</v>
      </c>
      <c r="G317" s="58"/>
      <c r="H317" s="58">
        <f t="shared" ref="H317:M317" si="314">SUMIFS($C317,$B317,H$8)+H316</f>
        <v>0</v>
      </c>
      <c r="I317" s="58">
        <f t="shared" si="314"/>
        <v>9</v>
      </c>
      <c r="J317" s="58">
        <f t="shared" si="314"/>
        <v>36</v>
      </c>
      <c r="K317" s="58">
        <f t="shared" si="314"/>
        <v>0</v>
      </c>
      <c r="L317" s="58">
        <f t="shared" si="314"/>
        <v>0</v>
      </c>
      <c r="M317" s="58">
        <f t="shared" si="314"/>
        <v>0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0" customHeight="1">
      <c r="A318" s="70"/>
      <c r="B318" s="71"/>
      <c r="C318" s="66"/>
      <c r="D318" s="66">
        <f t="shared" si="3"/>
        <v>0</v>
      </c>
      <c r="E318" s="67"/>
      <c r="F318" s="58">
        <f t="shared" si="150"/>
        <v>-8</v>
      </c>
      <c r="G318" s="58"/>
      <c r="H318" s="58">
        <f t="shared" ref="H318:M318" si="315">SUMIFS($C318,$B318,H$8)+H317</f>
        <v>0</v>
      </c>
      <c r="I318" s="58">
        <f t="shared" si="315"/>
        <v>9</v>
      </c>
      <c r="J318" s="58">
        <f t="shared" si="315"/>
        <v>36</v>
      </c>
      <c r="K318" s="58">
        <f t="shared" si="315"/>
        <v>0</v>
      </c>
      <c r="L318" s="58">
        <f t="shared" si="315"/>
        <v>0</v>
      </c>
      <c r="M318" s="58">
        <f t="shared" si="315"/>
        <v>0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0" customHeight="1">
      <c r="A319" s="70"/>
      <c r="B319" s="71"/>
      <c r="C319" s="66"/>
      <c r="D319" s="66">
        <f t="shared" si="3"/>
        <v>0</v>
      </c>
      <c r="E319" s="67"/>
      <c r="F319" s="58">
        <f t="shared" si="150"/>
        <v>-8</v>
      </c>
      <c r="G319" s="58"/>
      <c r="H319" s="58">
        <f t="shared" ref="H319:M319" si="316">SUMIFS($C319,$B319,H$8)+H318</f>
        <v>0</v>
      </c>
      <c r="I319" s="58">
        <f t="shared" si="316"/>
        <v>9</v>
      </c>
      <c r="J319" s="58">
        <f t="shared" si="316"/>
        <v>36</v>
      </c>
      <c r="K319" s="58">
        <f t="shared" si="316"/>
        <v>0</v>
      </c>
      <c r="L319" s="58">
        <f t="shared" si="316"/>
        <v>0</v>
      </c>
      <c r="M319" s="58">
        <f t="shared" si="316"/>
        <v>0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0" customHeight="1">
      <c r="A320" s="70"/>
      <c r="B320" s="71"/>
      <c r="C320" s="66"/>
      <c r="D320" s="66">
        <f t="shared" si="3"/>
        <v>0</v>
      </c>
      <c r="E320" s="67"/>
      <c r="F320" s="58">
        <f t="shared" si="150"/>
        <v>-8</v>
      </c>
      <c r="G320" s="58"/>
      <c r="H320" s="58">
        <f t="shared" ref="H320:M320" si="317">SUMIFS($C320,$B320,H$8)+H319</f>
        <v>0</v>
      </c>
      <c r="I320" s="58">
        <f t="shared" si="317"/>
        <v>9</v>
      </c>
      <c r="J320" s="58">
        <f t="shared" si="317"/>
        <v>36</v>
      </c>
      <c r="K320" s="58">
        <f t="shared" si="317"/>
        <v>0</v>
      </c>
      <c r="L320" s="58">
        <f t="shared" si="317"/>
        <v>0</v>
      </c>
      <c r="M320" s="58">
        <f t="shared" si="317"/>
        <v>0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0" customHeight="1">
      <c r="A321" s="70"/>
      <c r="B321" s="71"/>
      <c r="C321" s="66"/>
      <c r="D321" s="66">
        <f t="shared" si="3"/>
        <v>0</v>
      </c>
      <c r="E321" s="67"/>
      <c r="F321" s="58">
        <f t="shared" si="150"/>
        <v>-8</v>
      </c>
      <c r="G321" s="58"/>
      <c r="H321" s="58">
        <f t="shared" ref="H321:M321" si="318">SUMIFS($C321,$B321,H$8)+H320</f>
        <v>0</v>
      </c>
      <c r="I321" s="58">
        <f t="shared" si="318"/>
        <v>9</v>
      </c>
      <c r="J321" s="58">
        <f t="shared" si="318"/>
        <v>36</v>
      </c>
      <c r="K321" s="58">
        <f t="shared" si="318"/>
        <v>0</v>
      </c>
      <c r="L321" s="58">
        <f t="shared" si="318"/>
        <v>0</v>
      </c>
      <c r="M321" s="58">
        <f t="shared" si="318"/>
        <v>0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0" customHeight="1">
      <c r="A322" s="70"/>
      <c r="B322" s="71"/>
      <c r="C322" s="66"/>
      <c r="D322" s="66">
        <f t="shared" si="3"/>
        <v>0</v>
      </c>
      <c r="E322" s="67"/>
      <c r="F322" s="58">
        <f t="shared" si="150"/>
        <v>-8</v>
      </c>
      <c r="G322" s="58"/>
      <c r="H322" s="58">
        <f t="shared" ref="H322:M322" si="319">SUMIFS($C322,$B322,H$8)+H321</f>
        <v>0</v>
      </c>
      <c r="I322" s="58">
        <f t="shared" si="319"/>
        <v>9</v>
      </c>
      <c r="J322" s="58">
        <f t="shared" si="319"/>
        <v>36</v>
      </c>
      <c r="K322" s="58">
        <f t="shared" si="319"/>
        <v>0</v>
      </c>
      <c r="L322" s="58">
        <f t="shared" si="319"/>
        <v>0</v>
      </c>
      <c r="M322" s="58">
        <f t="shared" si="319"/>
        <v>0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0" customHeight="1">
      <c r="A323" s="70"/>
      <c r="B323" s="71"/>
      <c r="C323" s="66"/>
      <c r="D323" s="66">
        <f t="shared" si="3"/>
        <v>0</v>
      </c>
      <c r="E323" s="67"/>
      <c r="F323" s="58">
        <f t="shared" si="150"/>
        <v>-8</v>
      </c>
      <c r="G323" s="58"/>
      <c r="H323" s="58">
        <f t="shared" ref="H323:M323" si="320">SUMIFS($C323,$B323,H$8)+H322</f>
        <v>0</v>
      </c>
      <c r="I323" s="58">
        <f t="shared" si="320"/>
        <v>9</v>
      </c>
      <c r="J323" s="58">
        <f t="shared" si="320"/>
        <v>36</v>
      </c>
      <c r="K323" s="58">
        <f t="shared" si="320"/>
        <v>0</v>
      </c>
      <c r="L323" s="58">
        <f t="shared" si="320"/>
        <v>0</v>
      </c>
      <c r="M323" s="58">
        <f t="shared" si="320"/>
        <v>0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0" customHeight="1">
      <c r="A324" s="70"/>
      <c r="B324" s="71"/>
      <c r="C324" s="66"/>
      <c r="D324" s="66">
        <f t="shared" si="3"/>
        <v>0</v>
      </c>
      <c r="E324" s="67"/>
      <c r="F324" s="58">
        <f t="shared" si="150"/>
        <v>-8</v>
      </c>
      <c r="G324" s="58"/>
      <c r="H324" s="58">
        <f t="shared" ref="H324:M324" si="321">SUMIFS($C324,$B324,H$8)+H323</f>
        <v>0</v>
      </c>
      <c r="I324" s="58">
        <f t="shared" si="321"/>
        <v>9</v>
      </c>
      <c r="J324" s="58">
        <f t="shared" si="321"/>
        <v>36</v>
      </c>
      <c r="K324" s="58">
        <f t="shared" si="321"/>
        <v>0</v>
      </c>
      <c r="L324" s="58">
        <f t="shared" si="321"/>
        <v>0</v>
      </c>
      <c r="M324" s="58">
        <f t="shared" si="321"/>
        <v>0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0" customHeight="1">
      <c r="A325" s="70"/>
      <c r="B325" s="71"/>
      <c r="C325" s="66"/>
      <c r="D325" s="66">
        <f t="shared" si="3"/>
        <v>0</v>
      </c>
      <c r="E325" s="67"/>
      <c r="F325" s="58">
        <f t="shared" si="150"/>
        <v>-8</v>
      </c>
      <c r="G325" s="58"/>
      <c r="H325" s="58">
        <f t="shared" ref="H325:M325" si="322">SUMIFS($C325,$B325,H$8)+H324</f>
        <v>0</v>
      </c>
      <c r="I325" s="58">
        <f t="shared" si="322"/>
        <v>9</v>
      </c>
      <c r="J325" s="58">
        <f t="shared" si="322"/>
        <v>36</v>
      </c>
      <c r="K325" s="58">
        <f t="shared" si="322"/>
        <v>0</v>
      </c>
      <c r="L325" s="58">
        <f t="shared" si="322"/>
        <v>0</v>
      </c>
      <c r="M325" s="58">
        <f t="shared" si="322"/>
        <v>0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0" customHeight="1">
      <c r="A326" s="70"/>
      <c r="B326" s="71"/>
      <c r="C326" s="66"/>
      <c r="D326" s="66">
        <f t="shared" si="3"/>
        <v>0</v>
      </c>
      <c r="E326" s="67"/>
      <c r="F326" s="58">
        <f t="shared" si="150"/>
        <v>-8</v>
      </c>
      <c r="G326" s="58"/>
      <c r="H326" s="58">
        <f t="shared" ref="H326:M326" si="323">SUMIFS($C326,$B326,H$8)+H325</f>
        <v>0</v>
      </c>
      <c r="I326" s="58">
        <f t="shared" si="323"/>
        <v>9</v>
      </c>
      <c r="J326" s="58">
        <f t="shared" si="323"/>
        <v>36</v>
      </c>
      <c r="K326" s="58">
        <f t="shared" si="323"/>
        <v>0</v>
      </c>
      <c r="L326" s="58">
        <f t="shared" si="323"/>
        <v>0</v>
      </c>
      <c r="M326" s="58">
        <f t="shared" si="323"/>
        <v>0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0" customHeight="1">
      <c r="A327" s="70"/>
      <c r="B327" s="71"/>
      <c r="C327" s="66"/>
      <c r="D327" s="66">
        <f t="shared" si="3"/>
        <v>0</v>
      </c>
      <c r="E327" s="67"/>
      <c r="F327" s="58">
        <f t="shared" si="150"/>
        <v>-8</v>
      </c>
      <c r="G327" s="58"/>
      <c r="H327" s="58">
        <f t="shared" ref="H327:M327" si="324">SUMIFS($C327,$B327,H$8)+H326</f>
        <v>0</v>
      </c>
      <c r="I327" s="58">
        <f t="shared" si="324"/>
        <v>9</v>
      </c>
      <c r="J327" s="58">
        <f t="shared" si="324"/>
        <v>36</v>
      </c>
      <c r="K327" s="58">
        <f t="shared" si="324"/>
        <v>0</v>
      </c>
      <c r="L327" s="58">
        <f t="shared" si="324"/>
        <v>0</v>
      </c>
      <c r="M327" s="58">
        <f t="shared" si="324"/>
        <v>0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0" customHeight="1">
      <c r="A328" s="70"/>
      <c r="B328" s="71"/>
      <c r="C328" s="66"/>
      <c r="D328" s="66">
        <f t="shared" si="3"/>
        <v>0</v>
      </c>
      <c r="E328" s="67"/>
      <c r="F328" s="58">
        <f t="shared" si="150"/>
        <v>-8</v>
      </c>
      <c r="G328" s="58"/>
      <c r="H328" s="58">
        <f t="shared" ref="H328:M328" si="325">SUMIFS($C328,$B328,H$8)+H327</f>
        <v>0</v>
      </c>
      <c r="I328" s="58">
        <f t="shared" si="325"/>
        <v>9</v>
      </c>
      <c r="J328" s="58">
        <f t="shared" si="325"/>
        <v>36</v>
      </c>
      <c r="K328" s="58">
        <f t="shared" si="325"/>
        <v>0</v>
      </c>
      <c r="L328" s="58">
        <f t="shared" si="325"/>
        <v>0</v>
      </c>
      <c r="M328" s="58">
        <f t="shared" si="325"/>
        <v>0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0" customHeight="1">
      <c r="A329" s="70"/>
      <c r="B329" s="71"/>
      <c r="C329" s="66"/>
      <c r="D329" s="66">
        <f t="shared" si="3"/>
        <v>0</v>
      </c>
      <c r="E329" s="67"/>
      <c r="F329" s="58">
        <f t="shared" si="150"/>
        <v>-8</v>
      </c>
      <c r="G329" s="58"/>
      <c r="H329" s="58">
        <f t="shared" ref="H329:M329" si="326">SUMIFS($C329,$B329,H$8)+H328</f>
        <v>0</v>
      </c>
      <c r="I329" s="58">
        <f t="shared" si="326"/>
        <v>9</v>
      </c>
      <c r="J329" s="58">
        <f t="shared" si="326"/>
        <v>36</v>
      </c>
      <c r="K329" s="58">
        <f t="shared" si="326"/>
        <v>0</v>
      </c>
      <c r="L329" s="58">
        <f t="shared" si="326"/>
        <v>0</v>
      </c>
      <c r="M329" s="58">
        <f t="shared" si="326"/>
        <v>0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0" customHeight="1">
      <c r="A330" s="70"/>
      <c r="B330" s="71"/>
      <c r="C330" s="66"/>
      <c r="D330" s="66">
        <f t="shared" si="3"/>
        <v>0</v>
      </c>
      <c r="E330" s="67"/>
      <c r="F330" s="58">
        <f t="shared" si="150"/>
        <v>-8</v>
      </c>
      <c r="G330" s="58"/>
      <c r="H330" s="58">
        <f t="shared" ref="H330:M330" si="327">SUMIFS($C330,$B330,H$8)+H329</f>
        <v>0</v>
      </c>
      <c r="I330" s="58">
        <f t="shared" si="327"/>
        <v>9</v>
      </c>
      <c r="J330" s="58">
        <f t="shared" si="327"/>
        <v>36</v>
      </c>
      <c r="K330" s="58">
        <f t="shared" si="327"/>
        <v>0</v>
      </c>
      <c r="L330" s="58">
        <f t="shared" si="327"/>
        <v>0</v>
      </c>
      <c r="M330" s="58">
        <f t="shared" si="327"/>
        <v>0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0" customHeight="1">
      <c r="A331" s="70"/>
      <c r="B331" s="71"/>
      <c r="C331" s="66"/>
      <c r="D331" s="66">
        <f t="shared" si="3"/>
        <v>0</v>
      </c>
      <c r="E331" s="67"/>
      <c r="F331" s="58">
        <f t="shared" si="150"/>
        <v>-8</v>
      </c>
      <c r="G331" s="58"/>
      <c r="H331" s="58">
        <f t="shared" ref="H331:M331" si="328">SUMIFS($C331,$B331,H$8)+H330</f>
        <v>0</v>
      </c>
      <c r="I331" s="58">
        <f t="shared" si="328"/>
        <v>9</v>
      </c>
      <c r="J331" s="58">
        <f t="shared" si="328"/>
        <v>36</v>
      </c>
      <c r="K331" s="58">
        <f t="shared" si="328"/>
        <v>0</v>
      </c>
      <c r="L331" s="58">
        <f t="shared" si="328"/>
        <v>0</v>
      </c>
      <c r="M331" s="58">
        <f t="shared" si="328"/>
        <v>0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0" customHeight="1">
      <c r="A332" s="70"/>
      <c r="B332" s="71"/>
      <c r="C332" s="66"/>
      <c r="D332" s="66">
        <f t="shared" si="3"/>
        <v>0</v>
      </c>
      <c r="E332" s="67"/>
      <c r="F332" s="58">
        <f t="shared" si="150"/>
        <v>-8</v>
      </c>
      <c r="G332" s="58"/>
      <c r="H332" s="58">
        <f t="shared" ref="H332:M332" si="329">SUMIFS($C332,$B332,H$8)+H331</f>
        <v>0</v>
      </c>
      <c r="I332" s="58">
        <f t="shared" si="329"/>
        <v>9</v>
      </c>
      <c r="J332" s="58">
        <f t="shared" si="329"/>
        <v>36</v>
      </c>
      <c r="K332" s="58">
        <f t="shared" si="329"/>
        <v>0</v>
      </c>
      <c r="L332" s="58">
        <f t="shared" si="329"/>
        <v>0</v>
      </c>
      <c r="M332" s="58">
        <f t="shared" si="329"/>
        <v>0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0" customHeight="1">
      <c r="A333" s="70"/>
      <c r="B333" s="71"/>
      <c r="C333" s="66"/>
      <c r="D333" s="66">
        <f t="shared" si="3"/>
        <v>0</v>
      </c>
      <c r="E333" s="67"/>
      <c r="F333" s="58">
        <f t="shared" si="150"/>
        <v>-8</v>
      </c>
      <c r="G333" s="58"/>
      <c r="H333" s="58">
        <f t="shared" ref="H333:M333" si="330">SUMIFS($C333,$B333,H$8)+H332</f>
        <v>0</v>
      </c>
      <c r="I333" s="58">
        <f t="shared" si="330"/>
        <v>9</v>
      </c>
      <c r="J333" s="58">
        <f t="shared" si="330"/>
        <v>36</v>
      </c>
      <c r="K333" s="58">
        <f t="shared" si="330"/>
        <v>0</v>
      </c>
      <c r="L333" s="58">
        <f t="shared" si="330"/>
        <v>0</v>
      </c>
      <c r="M333" s="58">
        <f t="shared" si="330"/>
        <v>0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0" customHeight="1">
      <c r="A334" s="70"/>
      <c r="B334" s="71"/>
      <c r="C334" s="66"/>
      <c r="D334" s="66">
        <f t="shared" si="3"/>
        <v>0</v>
      </c>
      <c r="E334" s="67"/>
      <c r="F334" s="58">
        <f t="shared" si="150"/>
        <v>-8</v>
      </c>
      <c r="G334" s="58"/>
      <c r="H334" s="58">
        <f t="shared" ref="H334:M334" si="331">SUMIFS($C334,$B334,H$8)+H333</f>
        <v>0</v>
      </c>
      <c r="I334" s="58">
        <f t="shared" si="331"/>
        <v>9</v>
      </c>
      <c r="J334" s="58">
        <f t="shared" si="331"/>
        <v>36</v>
      </c>
      <c r="K334" s="58">
        <f t="shared" si="331"/>
        <v>0</v>
      </c>
      <c r="L334" s="58">
        <f t="shared" si="331"/>
        <v>0</v>
      </c>
      <c r="M334" s="58">
        <f t="shared" si="331"/>
        <v>0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0" customHeight="1">
      <c r="A335" s="70"/>
      <c r="B335" s="71"/>
      <c r="C335" s="66"/>
      <c r="D335" s="66">
        <f t="shared" si="3"/>
        <v>0</v>
      </c>
      <c r="E335" s="67"/>
      <c r="F335" s="58">
        <f t="shared" si="150"/>
        <v>-8</v>
      </c>
      <c r="G335" s="58"/>
      <c r="H335" s="58">
        <f t="shared" ref="H335:M335" si="332">SUMIFS($C335,$B335,H$8)+H334</f>
        <v>0</v>
      </c>
      <c r="I335" s="58">
        <f t="shared" si="332"/>
        <v>9</v>
      </c>
      <c r="J335" s="58">
        <f t="shared" si="332"/>
        <v>36</v>
      </c>
      <c r="K335" s="58">
        <f t="shared" si="332"/>
        <v>0</v>
      </c>
      <c r="L335" s="58">
        <f t="shared" si="332"/>
        <v>0</v>
      </c>
      <c r="M335" s="58">
        <f t="shared" si="332"/>
        <v>0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0" customHeight="1">
      <c r="A336" s="70"/>
      <c r="B336" s="71"/>
      <c r="C336" s="66"/>
      <c r="D336" s="66">
        <f t="shared" si="3"/>
        <v>0</v>
      </c>
      <c r="E336" s="67"/>
      <c r="F336" s="58">
        <f t="shared" si="150"/>
        <v>-8</v>
      </c>
      <c r="G336" s="58"/>
      <c r="H336" s="58">
        <f t="shared" ref="H336:M336" si="333">SUMIFS($C336,$B336,H$8)+H335</f>
        <v>0</v>
      </c>
      <c r="I336" s="58">
        <f t="shared" si="333"/>
        <v>9</v>
      </c>
      <c r="J336" s="58">
        <f t="shared" si="333"/>
        <v>36</v>
      </c>
      <c r="K336" s="58">
        <f t="shared" si="333"/>
        <v>0</v>
      </c>
      <c r="L336" s="58">
        <f t="shared" si="333"/>
        <v>0</v>
      </c>
      <c r="M336" s="58">
        <f t="shared" si="333"/>
        <v>0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0" customHeight="1">
      <c r="A337" s="70"/>
      <c r="B337" s="71"/>
      <c r="C337" s="66"/>
      <c r="D337" s="66">
        <f t="shared" si="3"/>
        <v>0</v>
      </c>
      <c r="E337" s="67"/>
      <c r="F337" s="58">
        <f t="shared" si="150"/>
        <v>-8</v>
      </c>
      <c r="G337" s="58"/>
      <c r="H337" s="58">
        <f t="shared" ref="H337:M337" si="334">SUMIFS($C337,$B337,H$8)+H336</f>
        <v>0</v>
      </c>
      <c r="I337" s="58">
        <f t="shared" si="334"/>
        <v>9</v>
      </c>
      <c r="J337" s="58">
        <f t="shared" si="334"/>
        <v>36</v>
      </c>
      <c r="K337" s="58">
        <f t="shared" si="334"/>
        <v>0</v>
      </c>
      <c r="L337" s="58">
        <f t="shared" si="334"/>
        <v>0</v>
      </c>
      <c r="M337" s="58">
        <f t="shared" si="334"/>
        <v>0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0" customHeight="1">
      <c r="A338" s="70"/>
      <c r="B338" s="71"/>
      <c r="C338" s="66"/>
      <c r="D338" s="66">
        <f t="shared" si="3"/>
        <v>0</v>
      </c>
      <c r="E338" s="67"/>
      <c r="F338" s="58">
        <f t="shared" si="150"/>
        <v>-8</v>
      </c>
      <c r="G338" s="58"/>
      <c r="H338" s="58">
        <f t="shared" ref="H338:M338" si="335">SUMIFS($C338,$B338,H$8)+H337</f>
        <v>0</v>
      </c>
      <c r="I338" s="58">
        <f t="shared" si="335"/>
        <v>9</v>
      </c>
      <c r="J338" s="58">
        <f t="shared" si="335"/>
        <v>36</v>
      </c>
      <c r="K338" s="58">
        <f t="shared" si="335"/>
        <v>0</v>
      </c>
      <c r="L338" s="58">
        <f t="shared" si="335"/>
        <v>0</v>
      </c>
      <c r="M338" s="58">
        <f t="shared" si="335"/>
        <v>0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0" customHeight="1">
      <c r="A339" s="70"/>
      <c r="B339" s="71"/>
      <c r="C339" s="66"/>
      <c r="D339" s="66">
        <f t="shared" si="3"/>
        <v>0</v>
      </c>
      <c r="E339" s="67"/>
      <c r="F339" s="58">
        <f t="shared" si="150"/>
        <v>-8</v>
      </c>
      <c r="G339" s="58"/>
      <c r="H339" s="58">
        <f t="shared" ref="H339:M339" si="336">SUMIFS($C339,$B339,H$8)+H338</f>
        <v>0</v>
      </c>
      <c r="I339" s="58">
        <f t="shared" si="336"/>
        <v>9</v>
      </c>
      <c r="J339" s="58">
        <f t="shared" si="336"/>
        <v>36</v>
      </c>
      <c r="K339" s="58">
        <f t="shared" si="336"/>
        <v>0</v>
      </c>
      <c r="L339" s="58">
        <f t="shared" si="336"/>
        <v>0</v>
      </c>
      <c r="M339" s="58">
        <f t="shared" si="336"/>
        <v>0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0" customHeight="1">
      <c r="A340" s="70"/>
      <c r="B340" s="71"/>
      <c r="C340" s="66"/>
      <c r="D340" s="66">
        <f t="shared" si="3"/>
        <v>0</v>
      </c>
      <c r="E340" s="67"/>
      <c r="F340" s="58">
        <f t="shared" si="150"/>
        <v>-8</v>
      </c>
      <c r="G340" s="58"/>
      <c r="H340" s="58">
        <f t="shared" ref="H340:M340" si="337">SUMIFS($C340,$B340,H$8)+H339</f>
        <v>0</v>
      </c>
      <c r="I340" s="58">
        <f t="shared" si="337"/>
        <v>9</v>
      </c>
      <c r="J340" s="58">
        <f t="shared" si="337"/>
        <v>36</v>
      </c>
      <c r="K340" s="58">
        <f t="shared" si="337"/>
        <v>0</v>
      </c>
      <c r="L340" s="58">
        <f t="shared" si="337"/>
        <v>0</v>
      </c>
      <c r="M340" s="58">
        <f t="shared" si="337"/>
        <v>0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0" customHeight="1">
      <c r="A341" s="70"/>
      <c r="B341" s="71"/>
      <c r="C341" s="66"/>
      <c r="D341" s="66">
        <f t="shared" si="3"/>
        <v>0</v>
      </c>
      <c r="E341" s="67"/>
      <c r="F341" s="58">
        <f t="shared" si="150"/>
        <v>-8</v>
      </c>
      <c r="G341" s="58"/>
      <c r="H341" s="58">
        <f t="shared" ref="H341:M341" si="338">SUMIFS($C341,$B341,H$8)+H340</f>
        <v>0</v>
      </c>
      <c r="I341" s="58">
        <f t="shared" si="338"/>
        <v>9</v>
      </c>
      <c r="J341" s="58">
        <f t="shared" si="338"/>
        <v>36</v>
      </c>
      <c r="K341" s="58">
        <f t="shared" si="338"/>
        <v>0</v>
      </c>
      <c r="L341" s="58">
        <f t="shared" si="338"/>
        <v>0</v>
      </c>
      <c r="M341" s="58">
        <f t="shared" si="338"/>
        <v>0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0" customHeight="1">
      <c r="A342" s="70"/>
      <c r="B342" s="71"/>
      <c r="C342" s="66"/>
      <c r="D342" s="66">
        <f t="shared" si="3"/>
        <v>0</v>
      </c>
      <c r="E342" s="67"/>
      <c r="F342" s="58">
        <f t="shared" si="150"/>
        <v>-8</v>
      </c>
      <c r="G342" s="58"/>
      <c r="H342" s="58">
        <f t="shared" ref="H342:M342" si="339">SUMIFS($C342,$B342,H$8)+H341</f>
        <v>0</v>
      </c>
      <c r="I342" s="58">
        <f t="shared" si="339"/>
        <v>9</v>
      </c>
      <c r="J342" s="58">
        <f t="shared" si="339"/>
        <v>36</v>
      </c>
      <c r="K342" s="58">
        <f t="shared" si="339"/>
        <v>0</v>
      </c>
      <c r="L342" s="58">
        <f t="shared" si="339"/>
        <v>0</v>
      </c>
      <c r="M342" s="58">
        <f t="shared" si="339"/>
        <v>0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0" customHeight="1">
      <c r="A343" s="70"/>
      <c r="B343" s="71"/>
      <c r="C343" s="66"/>
      <c r="D343" s="66">
        <f t="shared" si="3"/>
        <v>0</v>
      </c>
      <c r="E343" s="67"/>
      <c r="F343" s="58">
        <f t="shared" si="150"/>
        <v>-8</v>
      </c>
      <c r="G343" s="58"/>
      <c r="H343" s="58">
        <f t="shared" ref="H343:M343" si="340">SUMIFS($C343,$B343,H$8)+H342</f>
        <v>0</v>
      </c>
      <c r="I343" s="58">
        <f t="shared" si="340"/>
        <v>9</v>
      </c>
      <c r="J343" s="58">
        <f t="shared" si="340"/>
        <v>36</v>
      </c>
      <c r="K343" s="58">
        <f t="shared" si="340"/>
        <v>0</v>
      </c>
      <c r="L343" s="58">
        <f t="shared" si="340"/>
        <v>0</v>
      </c>
      <c r="M343" s="58">
        <f t="shared" si="340"/>
        <v>0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0" customHeight="1">
      <c r="A344" s="70"/>
      <c r="B344" s="71"/>
      <c r="C344" s="66"/>
      <c r="D344" s="66">
        <f t="shared" si="3"/>
        <v>0</v>
      </c>
      <c r="E344" s="67"/>
      <c r="F344" s="58">
        <f t="shared" si="150"/>
        <v>-8</v>
      </c>
      <c r="G344" s="58"/>
      <c r="H344" s="58">
        <f t="shared" ref="H344:M344" si="341">SUMIFS($C344,$B344,H$8)+H343</f>
        <v>0</v>
      </c>
      <c r="I344" s="58">
        <f t="shared" si="341"/>
        <v>9</v>
      </c>
      <c r="J344" s="58">
        <f t="shared" si="341"/>
        <v>36</v>
      </c>
      <c r="K344" s="58">
        <f t="shared" si="341"/>
        <v>0</v>
      </c>
      <c r="L344" s="58">
        <f t="shared" si="341"/>
        <v>0</v>
      </c>
      <c r="M344" s="58">
        <f t="shared" si="341"/>
        <v>0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0" customHeight="1">
      <c r="A345" s="70"/>
      <c r="B345" s="71"/>
      <c r="C345" s="66"/>
      <c r="D345" s="66">
        <f t="shared" si="3"/>
        <v>0</v>
      </c>
      <c r="E345" s="67"/>
      <c r="F345" s="58">
        <f t="shared" si="150"/>
        <v>-8</v>
      </c>
      <c r="G345" s="58"/>
      <c r="H345" s="58">
        <f t="shared" ref="H345:M345" si="342">SUMIFS($C345,$B345,H$8)+H344</f>
        <v>0</v>
      </c>
      <c r="I345" s="58">
        <f t="shared" si="342"/>
        <v>9</v>
      </c>
      <c r="J345" s="58">
        <f t="shared" si="342"/>
        <v>36</v>
      </c>
      <c r="K345" s="58">
        <f t="shared" si="342"/>
        <v>0</v>
      </c>
      <c r="L345" s="58">
        <f t="shared" si="342"/>
        <v>0</v>
      </c>
      <c r="M345" s="58">
        <f t="shared" si="342"/>
        <v>0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0" customHeight="1">
      <c r="A346" s="70"/>
      <c r="B346" s="71"/>
      <c r="C346" s="66"/>
      <c r="D346" s="66">
        <f t="shared" si="3"/>
        <v>0</v>
      </c>
      <c r="E346" s="67"/>
      <c r="F346" s="58">
        <f t="shared" si="150"/>
        <v>-8</v>
      </c>
      <c r="G346" s="58"/>
      <c r="H346" s="58">
        <f t="shared" ref="H346:M346" si="343">SUMIFS($C346,$B346,H$8)+H345</f>
        <v>0</v>
      </c>
      <c r="I346" s="58">
        <f t="shared" si="343"/>
        <v>9</v>
      </c>
      <c r="J346" s="58">
        <f t="shared" si="343"/>
        <v>36</v>
      </c>
      <c r="K346" s="58">
        <f t="shared" si="343"/>
        <v>0</v>
      </c>
      <c r="L346" s="58">
        <f t="shared" si="343"/>
        <v>0</v>
      </c>
      <c r="M346" s="58">
        <f t="shared" si="343"/>
        <v>0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0" customHeight="1">
      <c r="A347" s="70"/>
      <c r="B347" s="71"/>
      <c r="C347" s="66"/>
      <c r="D347" s="66">
        <f t="shared" si="3"/>
        <v>0</v>
      </c>
      <c r="E347" s="67"/>
      <c r="F347" s="58">
        <f t="shared" si="150"/>
        <v>-8</v>
      </c>
      <c r="G347" s="58"/>
      <c r="H347" s="58">
        <f t="shared" ref="H347:M347" si="344">SUMIFS($C347,$B347,H$8)+H346</f>
        <v>0</v>
      </c>
      <c r="I347" s="58">
        <f t="shared" si="344"/>
        <v>9</v>
      </c>
      <c r="J347" s="58">
        <f t="shared" si="344"/>
        <v>36</v>
      </c>
      <c r="K347" s="58">
        <f t="shared" si="344"/>
        <v>0</v>
      </c>
      <c r="L347" s="58">
        <f t="shared" si="344"/>
        <v>0</v>
      </c>
      <c r="M347" s="58">
        <f t="shared" si="344"/>
        <v>0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0" customHeight="1">
      <c r="A348" s="70"/>
      <c r="B348" s="71"/>
      <c r="C348" s="66"/>
      <c r="D348" s="66">
        <f t="shared" si="3"/>
        <v>0</v>
      </c>
      <c r="E348" s="67"/>
      <c r="F348" s="58">
        <f t="shared" si="150"/>
        <v>-8</v>
      </c>
      <c r="G348" s="58"/>
      <c r="H348" s="58">
        <f t="shared" ref="H348:M348" si="345">SUMIFS($C348,$B348,H$8)+H347</f>
        <v>0</v>
      </c>
      <c r="I348" s="58">
        <f t="shared" si="345"/>
        <v>9</v>
      </c>
      <c r="J348" s="58">
        <f t="shared" si="345"/>
        <v>36</v>
      </c>
      <c r="K348" s="58">
        <f t="shared" si="345"/>
        <v>0</v>
      </c>
      <c r="L348" s="58">
        <f t="shared" si="345"/>
        <v>0</v>
      </c>
      <c r="M348" s="58">
        <f t="shared" si="345"/>
        <v>0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0" customHeight="1">
      <c r="A349" s="70"/>
      <c r="B349" s="71"/>
      <c r="C349" s="66"/>
      <c r="D349" s="66">
        <f t="shared" si="3"/>
        <v>0</v>
      </c>
      <c r="E349" s="67"/>
      <c r="F349" s="58">
        <f t="shared" si="150"/>
        <v>-8</v>
      </c>
      <c r="G349" s="58"/>
      <c r="H349" s="58">
        <f t="shared" ref="H349:M349" si="346">SUMIFS($C349,$B349,H$8)+H348</f>
        <v>0</v>
      </c>
      <c r="I349" s="58">
        <f t="shared" si="346"/>
        <v>9</v>
      </c>
      <c r="J349" s="58">
        <f t="shared" si="346"/>
        <v>36</v>
      </c>
      <c r="K349" s="58">
        <f t="shared" si="346"/>
        <v>0</v>
      </c>
      <c r="L349" s="58">
        <f t="shared" si="346"/>
        <v>0</v>
      </c>
      <c r="M349" s="58">
        <f t="shared" si="346"/>
        <v>0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0" customHeight="1">
      <c r="A350" s="70"/>
      <c r="B350" s="71"/>
      <c r="C350" s="66"/>
      <c r="D350" s="66">
        <f t="shared" si="3"/>
        <v>0</v>
      </c>
      <c r="E350" s="67"/>
      <c r="F350" s="58">
        <f t="shared" si="150"/>
        <v>-8</v>
      </c>
      <c r="G350" s="58"/>
      <c r="H350" s="58">
        <f t="shared" ref="H350:M350" si="347">SUMIFS($C350,$B350,H$8)+H349</f>
        <v>0</v>
      </c>
      <c r="I350" s="58">
        <f t="shared" si="347"/>
        <v>9</v>
      </c>
      <c r="J350" s="58">
        <f t="shared" si="347"/>
        <v>36</v>
      </c>
      <c r="K350" s="58">
        <f t="shared" si="347"/>
        <v>0</v>
      </c>
      <c r="L350" s="58">
        <f t="shared" si="347"/>
        <v>0</v>
      </c>
      <c r="M350" s="58">
        <f t="shared" si="347"/>
        <v>0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0" customHeight="1">
      <c r="A351" s="70"/>
      <c r="B351" s="71"/>
      <c r="C351" s="66"/>
      <c r="D351" s="66">
        <f t="shared" si="3"/>
        <v>0</v>
      </c>
      <c r="E351" s="67"/>
      <c r="F351" s="58">
        <f t="shared" si="150"/>
        <v>-8</v>
      </c>
      <c r="G351" s="58"/>
      <c r="H351" s="58">
        <f t="shared" ref="H351:M351" si="348">SUMIFS($C351,$B351,H$8)+H350</f>
        <v>0</v>
      </c>
      <c r="I351" s="58">
        <f t="shared" si="348"/>
        <v>9</v>
      </c>
      <c r="J351" s="58">
        <f t="shared" si="348"/>
        <v>36</v>
      </c>
      <c r="K351" s="58">
        <f t="shared" si="348"/>
        <v>0</v>
      </c>
      <c r="L351" s="58">
        <f t="shared" si="348"/>
        <v>0</v>
      </c>
      <c r="M351" s="58">
        <f t="shared" si="348"/>
        <v>0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0" customHeight="1">
      <c r="A352" s="70"/>
      <c r="B352" s="71"/>
      <c r="C352" s="66"/>
      <c r="D352" s="66">
        <f t="shared" si="3"/>
        <v>0</v>
      </c>
      <c r="E352" s="67"/>
      <c r="F352" s="58">
        <f t="shared" si="150"/>
        <v>-8</v>
      </c>
      <c r="G352" s="58"/>
      <c r="H352" s="58">
        <f t="shared" ref="H352:M352" si="349">SUMIFS($C352,$B352,H$8)+H351</f>
        <v>0</v>
      </c>
      <c r="I352" s="58">
        <f t="shared" si="349"/>
        <v>9</v>
      </c>
      <c r="J352" s="58">
        <f t="shared" si="349"/>
        <v>36</v>
      </c>
      <c r="K352" s="58">
        <f t="shared" si="349"/>
        <v>0</v>
      </c>
      <c r="L352" s="58">
        <f t="shared" si="349"/>
        <v>0</v>
      </c>
      <c r="M352" s="58">
        <f t="shared" si="349"/>
        <v>0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0" customHeight="1">
      <c r="A353" s="70"/>
      <c r="B353" s="71"/>
      <c r="C353" s="66"/>
      <c r="D353" s="66">
        <f t="shared" si="3"/>
        <v>0</v>
      </c>
      <c r="E353" s="67"/>
      <c r="F353" s="58">
        <f t="shared" si="150"/>
        <v>-8</v>
      </c>
      <c r="G353" s="58"/>
      <c r="H353" s="58">
        <f t="shared" ref="H353:M353" si="350">SUMIFS($C353,$B353,H$8)+H352</f>
        <v>0</v>
      </c>
      <c r="I353" s="58">
        <f t="shared" si="350"/>
        <v>9</v>
      </c>
      <c r="J353" s="58">
        <f t="shared" si="350"/>
        <v>36</v>
      </c>
      <c r="K353" s="58">
        <f t="shared" si="350"/>
        <v>0</v>
      </c>
      <c r="L353" s="58">
        <f t="shared" si="350"/>
        <v>0</v>
      </c>
      <c r="M353" s="58">
        <f t="shared" si="350"/>
        <v>0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0" customHeight="1">
      <c r="A354" s="70"/>
      <c r="B354" s="71"/>
      <c r="C354" s="66"/>
      <c r="D354" s="66">
        <f t="shared" si="3"/>
        <v>0</v>
      </c>
      <c r="E354" s="67"/>
      <c r="F354" s="58">
        <f t="shared" si="150"/>
        <v>-8</v>
      </c>
      <c r="G354" s="58"/>
      <c r="H354" s="58">
        <f t="shared" ref="H354:M354" si="351">SUMIFS($C354,$B354,H$8)+H353</f>
        <v>0</v>
      </c>
      <c r="I354" s="58">
        <f t="shared" si="351"/>
        <v>9</v>
      </c>
      <c r="J354" s="58">
        <f t="shared" si="351"/>
        <v>36</v>
      </c>
      <c r="K354" s="58">
        <f t="shared" si="351"/>
        <v>0</v>
      </c>
      <c r="L354" s="58">
        <f t="shared" si="351"/>
        <v>0</v>
      </c>
      <c r="M354" s="58">
        <f t="shared" si="351"/>
        <v>0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0" customHeight="1">
      <c r="A355" s="70"/>
      <c r="B355" s="71"/>
      <c r="C355" s="66"/>
      <c r="D355" s="66">
        <f t="shared" si="3"/>
        <v>0</v>
      </c>
      <c r="E355" s="67"/>
      <c r="F355" s="58">
        <f t="shared" si="150"/>
        <v>-8</v>
      </c>
      <c r="G355" s="58"/>
      <c r="H355" s="58">
        <f t="shared" ref="H355:M355" si="352">SUMIFS($C355,$B355,H$8)+H354</f>
        <v>0</v>
      </c>
      <c r="I355" s="58">
        <f t="shared" si="352"/>
        <v>9</v>
      </c>
      <c r="J355" s="58">
        <f t="shared" si="352"/>
        <v>36</v>
      </c>
      <c r="K355" s="58">
        <f t="shared" si="352"/>
        <v>0</v>
      </c>
      <c r="L355" s="58">
        <f t="shared" si="352"/>
        <v>0</v>
      </c>
      <c r="M355" s="58">
        <f t="shared" si="352"/>
        <v>0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0" customHeight="1">
      <c r="A356" s="70"/>
      <c r="B356" s="71"/>
      <c r="C356" s="66"/>
      <c r="D356" s="66">
        <f t="shared" si="3"/>
        <v>0</v>
      </c>
      <c r="E356" s="67"/>
      <c r="F356" s="58">
        <f t="shared" si="150"/>
        <v>-8</v>
      </c>
      <c r="G356" s="58"/>
      <c r="H356" s="58">
        <f t="shared" ref="H356:M356" si="353">SUMIFS($C356,$B356,H$8)+H355</f>
        <v>0</v>
      </c>
      <c r="I356" s="58">
        <f t="shared" si="353"/>
        <v>9</v>
      </c>
      <c r="J356" s="58">
        <f t="shared" si="353"/>
        <v>36</v>
      </c>
      <c r="K356" s="58">
        <f t="shared" si="353"/>
        <v>0</v>
      </c>
      <c r="L356" s="58">
        <f t="shared" si="353"/>
        <v>0</v>
      </c>
      <c r="M356" s="58">
        <f t="shared" si="353"/>
        <v>0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0" customHeight="1">
      <c r="A357" s="70"/>
      <c r="B357" s="71"/>
      <c r="C357" s="66"/>
      <c r="D357" s="66">
        <f t="shared" si="3"/>
        <v>0</v>
      </c>
      <c r="E357" s="67"/>
      <c r="F357" s="58">
        <f t="shared" si="150"/>
        <v>-8</v>
      </c>
      <c r="G357" s="58"/>
      <c r="H357" s="58">
        <f t="shared" ref="H357:M357" si="354">SUMIFS($C357,$B357,H$8)+H356</f>
        <v>0</v>
      </c>
      <c r="I357" s="58">
        <f t="shared" si="354"/>
        <v>9</v>
      </c>
      <c r="J357" s="58">
        <f t="shared" si="354"/>
        <v>36</v>
      </c>
      <c r="K357" s="58">
        <f t="shared" si="354"/>
        <v>0</v>
      </c>
      <c r="L357" s="58">
        <f t="shared" si="354"/>
        <v>0</v>
      </c>
      <c r="M357" s="58">
        <f t="shared" si="354"/>
        <v>0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0" customHeight="1">
      <c r="A358" s="70"/>
      <c r="B358" s="71"/>
      <c r="C358" s="66"/>
      <c r="D358" s="66">
        <f t="shared" si="3"/>
        <v>0</v>
      </c>
      <c r="E358" s="67"/>
      <c r="F358" s="58">
        <f t="shared" si="150"/>
        <v>-8</v>
      </c>
      <c r="G358" s="58"/>
      <c r="H358" s="58">
        <f t="shared" ref="H358:M358" si="355">SUMIFS($C358,$B358,H$8)+H357</f>
        <v>0</v>
      </c>
      <c r="I358" s="58">
        <f t="shared" si="355"/>
        <v>9</v>
      </c>
      <c r="J358" s="58">
        <f t="shared" si="355"/>
        <v>36</v>
      </c>
      <c r="K358" s="58">
        <f t="shared" si="355"/>
        <v>0</v>
      </c>
      <c r="L358" s="58">
        <f t="shared" si="355"/>
        <v>0</v>
      </c>
      <c r="M358" s="58">
        <f t="shared" si="355"/>
        <v>0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0" customHeight="1">
      <c r="A359" s="70"/>
      <c r="B359" s="71"/>
      <c r="C359" s="66"/>
      <c r="D359" s="66">
        <f t="shared" si="3"/>
        <v>0</v>
      </c>
      <c r="E359" s="67"/>
      <c r="F359" s="58">
        <f t="shared" si="150"/>
        <v>-8</v>
      </c>
      <c r="G359" s="58"/>
      <c r="H359" s="58">
        <f t="shared" ref="H359:M359" si="356">SUMIFS($C359,$B359,H$8)+H358</f>
        <v>0</v>
      </c>
      <c r="I359" s="58">
        <f t="shared" si="356"/>
        <v>9</v>
      </c>
      <c r="J359" s="58">
        <f t="shared" si="356"/>
        <v>36</v>
      </c>
      <c r="K359" s="58">
        <f t="shared" si="356"/>
        <v>0</v>
      </c>
      <c r="L359" s="58">
        <f t="shared" si="356"/>
        <v>0</v>
      </c>
      <c r="M359" s="58">
        <f t="shared" si="356"/>
        <v>0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0" customHeight="1">
      <c r="A360" s="70"/>
      <c r="B360" s="71"/>
      <c r="C360" s="66"/>
      <c r="D360" s="66">
        <f t="shared" si="3"/>
        <v>0</v>
      </c>
      <c r="E360" s="67"/>
      <c r="F360" s="58">
        <f t="shared" si="150"/>
        <v>-8</v>
      </c>
      <c r="G360" s="58"/>
      <c r="H360" s="58">
        <f t="shared" ref="H360:M360" si="357">SUMIFS($C360,$B360,H$8)+H359</f>
        <v>0</v>
      </c>
      <c r="I360" s="58">
        <f t="shared" si="357"/>
        <v>9</v>
      </c>
      <c r="J360" s="58">
        <f t="shared" si="357"/>
        <v>36</v>
      </c>
      <c r="K360" s="58">
        <f t="shared" si="357"/>
        <v>0</v>
      </c>
      <c r="L360" s="58">
        <f t="shared" si="357"/>
        <v>0</v>
      </c>
      <c r="M360" s="58">
        <f t="shared" si="357"/>
        <v>0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0" customHeight="1">
      <c r="A361" s="70"/>
      <c r="B361" s="71"/>
      <c r="C361" s="66"/>
      <c r="D361" s="66">
        <f t="shared" si="3"/>
        <v>0</v>
      </c>
      <c r="E361" s="67"/>
      <c r="F361" s="58">
        <f t="shared" si="150"/>
        <v>-8</v>
      </c>
      <c r="G361" s="58"/>
      <c r="H361" s="58">
        <f t="shared" ref="H361:M361" si="358">SUMIFS($C361,$B361,H$8)+H360</f>
        <v>0</v>
      </c>
      <c r="I361" s="58">
        <f t="shared" si="358"/>
        <v>9</v>
      </c>
      <c r="J361" s="58">
        <f t="shared" si="358"/>
        <v>36</v>
      </c>
      <c r="K361" s="58">
        <f t="shared" si="358"/>
        <v>0</v>
      </c>
      <c r="L361" s="58">
        <f t="shared" si="358"/>
        <v>0</v>
      </c>
      <c r="M361" s="58">
        <f t="shared" si="358"/>
        <v>0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0" customHeight="1">
      <c r="A362" s="70"/>
      <c r="B362" s="71"/>
      <c r="C362" s="66"/>
      <c r="D362" s="66">
        <f t="shared" si="3"/>
        <v>0</v>
      </c>
      <c r="E362" s="67"/>
      <c r="F362" s="58">
        <f t="shared" si="150"/>
        <v>-8</v>
      </c>
      <c r="G362" s="58"/>
      <c r="H362" s="58">
        <f t="shared" ref="H362:M362" si="359">SUMIFS($C362,$B362,H$8)+H361</f>
        <v>0</v>
      </c>
      <c r="I362" s="58">
        <f t="shared" si="359"/>
        <v>9</v>
      </c>
      <c r="J362" s="58">
        <f t="shared" si="359"/>
        <v>36</v>
      </c>
      <c r="K362" s="58">
        <f t="shared" si="359"/>
        <v>0</v>
      </c>
      <c r="L362" s="58">
        <f t="shared" si="359"/>
        <v>0</v>
      </c>
      <c r="M362" s="58">
        <f t="shared" si="359"/>
        <v>0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0" customHeight="1">
      <c r="A363" s="70"/>
      <c r="B363" s="71"/>
      <c r="C363" s="66"/>
      <c r="D363" s="66">
        <f t="shared" si="3"/>
        <v>0</v>
      </c>
      <c r="E363" s="67"/>
      <c r="F363" s="58">
        <f t="shared" si="150"/>
        <v>-8</v>
      </c>
      <c r="G363" s="58"/>
      <c r="H363" s="58">
        <f t="shared" ref="H363:M363" si="360">SUMIFS($C363,$B363,H$8)+H362</f>
        <v>0</v>
      </c>
      <c r="I363" s="58">
        <f t="shared" si="360"/>
        <v>9</v>
      </c>
      <c r="J363" s="58">
        <f t="shared" si="360"/>
        <v>36</v>
      </c>
      <c r="K363" s="58">
        <f t="shared" si="360"/>
        <v>0</v>
      </c>
      <c r="L363" s="58">
        <f t="shared" si="360"/>
        <v>0</v>
      </c>
      <c r="M363" s="58">
        <f t="shared" si="360"/>
        <v>0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0" customHeight="1">
      <c r="A364" s="70"/>
      <c r="B364" s="71"/>
      <c r="C364" s="66"/>
      <c r="D364" s="66">
        <f t="shared" si="3"/>
        <v>0</v>
      </c>
      <c r="E364" s="67"/>
      <c r="F364" s="58">
        <f t="shared" si="150"/>
        <v>-8</v>
      </c>
      <c r="G364" s="58"/>
      <c r="H364" s="58">
        <f t="shared" ref="H364:M364" si="361">SUMIFS($C364,$B364,H$8)+H363</f>
        <v>0</v>
      </c>
      <c r="I364" s="58">
        <f t="shared" si="361"/>
        <v>9</v>
      </c>
      <c r="J364" s="58">
        <f t="shared" si="361"/>
        <v>36</v>
      </c>
      <c r="K364" s="58">
        <f t="shared" si="361"/>
        <v>0</v>
      </c>
      <c r="L364" s="58">
        <f t="shared" si="361"/>
        <v>0</v>
      </c>
      <c r="M364" s="58">
        <f t="shared" si="361"/>
        <v>0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0" customHeight="1">
      <c r="A365" s="70"/>
      <c r="B365" s="71"/>
      <c r="C365" s="66"/>
      <c r="D365" s="66">
        <f t="shared" si="3"/>
        <v>0</v>
      </c>
      <c r="E365" s="67"/>
      <c r="F365" s="58">
        <f t="shared" si="150"/>
        <v>-8</v>
      </c>
      <c r="G365" s="58"/>
      <c r="H365" s="58">
        <f t="shared" ref="H365:M365" si="362">SUMIFS($C365,$B365,H$8)+H364</f>
        <v>0</v>
      </c>
      <c r="I365" s="58">
        <f t="shared" si="362"/>
        <v>9</v>
      </c>
      <c r="J365" s="58">
        <f t="shared" si="362"/>
        <v>36</v>
      </c>
      <c r="K365" s="58">
        <f t="shared" si="362"/>
        <v>0</v>
      </c>
      <c r="L365" s="58">
        <f t="shared" si="362"/>
        <v>0</v>
      </c>
      <c r="M365" s="58">
        <f t="shared" si="362"/>
        <v>0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0" customHeight="1">
      <c r="A366" s="70"/>
      <c r="B366" s="71"/>
      <c r="C366" s="66"/>
      <c r="D366" s="66">
        <f t="shared" si="3"/>
        <v>0</v>
      </c>
      <c r="E366" s="67"/>
      <c r="F366" s="58">
        <f t="shared" si="150"/>
        <v>-8</v>
      </c>
      <c r="G366" s="58"/>
      <c r="H366" s="58">
        <f t="shared" ref="H366:M366" si="363">SUMIFS($C366,$B366,H$8)+H365</f>
        <v>0</v>
      </c>
      <c r="I366" s="58">
        <f t="shared" si="363"/>
        <v>9</v>
      </c>
      <c r="J366" s="58">
        <f t="shared" si="363"/>
        <v>36</v>
      </c>
      <c r="K366" s="58">
        <f t="shared" si="363"/>
        <v>0</v>
      </c>
      <c r="L366" s="58">
        <f t="shared" si="363"/>
        <v>0</v>
      </c>
      <c r="M366" s="58">
        <f t="shared" si="363"/>
        <v>0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0" customHeight="1">
      <c r="A367" s="70"/>
      <c r="B367" s="71"/>
      <c r="C367" s="66"/>
      <c r="D367" s="66">
        <f t="shared" si="3"/>
        <v>0</v>
      </c>
      <c r="E367" s="67"/>
      <c r="F367" s="58">
        <f t="shared" si="150"/>
        <v>-8</v>
      </c>
      <c r="G367" s="58"/>
      <c r="H367" s="58">
        <f t="shared" ref="H367:M367" si="364">SUMIFS($C367,$B367,H$8)+H366</f>
        <v>0</v>
      </c>
      <c r="I367" s="58">
        <f t="shared" si="364"/>
        <v>9</v>
      </c>
      <c r="J367" s="58">
        <f t="shared" si="364"/>
        <v>36</v>
      </c>
      <c r="K367" s="58">
        <f t="shared" si="364"/>
        <v>0</v>
      </c>
      <c r="L367" s="58">
        <f t="shared" si="364"/>
        <v>0</v>
      </c>
      <c r="M367" s="58">
        <f t="shared" si="364"/>
        <v>0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0" customHeight="1">
      <c r="A368" s="70"/>
      <c r="B368" s="71"/>
      <c r="C368" s="66"/>
      <c r="D368" s="66">
        <f t="shared" si="3"/>
        <v>0</v>
      </c>
      <c r="E368" s="67"/>
      <c r="F368" s="58">
        <f t="shared" si="150"/>
        <v>-8</v>
      </c>
      <c r="G368" s="58"/>
      <c r="H368" s="58">
        <f t="shared" ref="H368:M368" si="365">SUMIFS($C368,$B368,H$8)+H367</f>
        <v>0</v>
      </c>
      <c r="I368" s="58">
        <f t="shared" si="365"/>
        <v>9</v>
      </c>
      <c r="J368" s="58">
        <f t="shared" si="365"/>
        <v>36</v>
      </c>
      <c r="K368" s="58">
        <f t="shared" si="365"/>
        <v>0</v>
      </c>
      <c r="L368" s="58">
        <f t="shared" si="365"/>
        <v>0</v>
      </c>
      <c r="M368" s="58">
        <f t="shared" si="365"/>
        <v>0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0" customHeight="1">
      <c r="A369" s="70"/>
      <c r="B369" s="71"/>
      <c r="C369" s="66"/>
      <c r="D369" s="66">
        <f t="shared" si="3"/>
        <v>0</v>
      </c>
      <c r="E369" s="67"/>
      <c r="F369" s="58">
        <f t="shared" si="150"/>
        <v>-8</v>
      </c>
      <c r="G369" s="58"/>
      <c r="H369" s="58">
        <f t="shared" ref="H369:M369" si="366">SUMIFS($C369,$B369,H$8)+H368</f>
        <v>0</v>
      </c>
      <c r="I369" s="58">
        <f t="shared" si="366"/>
        <v>9</v>
      </c>
      <c r="J369" s="58">
        <f t="shared" si="366"/>
        <v>36</v>
      </c>
      <c r="K369" s="58">
        <f t="shared" si="366"/>
        <v>0</v>
      </c>
      <c r="L369" s="58">
        <f t="shared" si="366"/>
        <v>0</v>
      </c>
      <c r="M369" s="58">
        <f t="shared" si="366"/>
        <v>0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0" customHeight="1">
      <c r="A370" s="70"/>
      <c r="B370" s="71"/>
      <c r="C370" s="66"/>
      <c r="D370" s="66">
        <f t="shared" si="3"/>
        <v>0</v>
      </c>
      <c r="E370" s="67"/>
      <c r="F370" s="58">
        <f t="shared" si="150"/>
        <v>-8</v>
      </c>
      <c r="G370" s="58"/>
      <c r="H370" s="58">
        <f t="shared" ref="H370:M370" si="367">SUMIFS($C370,$B370,H$8)+H369</f>
        <v>0</v>
      </c>
      <c r="I370" s="58">
        <f t="shared" si="367"/>
        <v>9</v>
      </c>
      <c r="J370" s="58">
        <f t="shared" si="367"/>
        <v>36</v>
      </c>
      <c r="K370" s="58">
        <f t="shared" si="367"/>
        <v>0</v>
      </c>
      <c r="L370" s="58">
        <f t="shared" si="367"/>
        <v>0</v>
      </c>
      <c r="M370" s="58">
        <f t="shared" si="367"/>
        <v>0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0" customHeight="1">
      <c r="A371" s="70"/>
      <c r="B371" s="71"/>
      <c r="C371" s="66"/>
      <c r="D371" s="66">
        <f t="shared" si="3"/>
        <v>0</v>
      </c>
      <c r="E371" s="67"/>
      <c r="F371" s="58">
        <f t="shared" si="150"/>
        <v>-8</v>
      </c>
      <c r="G371" s="58"/>
      <c r="H371" s="58">
        <f t="shared" ref="H371:M371" si="368">SUMIFS($C371,$B371,H$8)+H370</f>
        <v>0</v>
      </c>
      <c r="I371" s="58">
        <f t="shared" si="368"/>
        <v>9</v>
      </c>
      <c r="J371" s="58">
        <f t="shared" si="368"/>
        <v>36</v>
      </c>
      <c r="K371" s="58">
        <f t="shared" si="368"/>
        <v>0</v>
      </c>
      <c r="L371" s="58">
        <f t="shared" si="368"/>
        <v>0</v>
      </c>
      <c r="M371" s="58">
        <f t="shared" si="368"/>
        <v>0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0" customHeight="1">
      <c r="A372" s="70"/>
      <c r="B372" s="71"/>
      <c r="C372" s="66"/>
      <c r="D372" s="66">
        <f t="shared" si="3"/>
        <v>0</v>
      </c>
      <c r="E372" s="67"/>
      <c r="F372" s="58">
        <f t="shared" si="150"/>
        <v>-8</v>
      </c>
      <c r="G372" s="58"/>
      <c r="H372" s="58">
        <f t="shared" ref="H372:M372" si="369">SUMIFS($C372,$B372,H$8)+H371</f>
        <v>0</v>
      </c>
      <c r="I372" s="58">
        <f t="shared" si="369"/>
        <v>9</v>
      </c>
      <c r="J372" s="58">
        <f t="shared" si="369"/>
        <v>36</v>
      </c>
      <c r="K372" s="58">
        <f t="shared" si="369"/>
        <v>0</v>
      </c>
      <c r="L372" s="58">
        <f t="shared" si="369"/>
        <v>0</v>
      </c>
      <c r="M372" s="58">
        <f t="shared" si="369"/>
        <v>0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0" customHeight="1">
      <c r="A373" s="70"/>
      <c r="B373" s="71"/>
      <c r="C373" s="66"/>
      <c r="D373" s="66">
        <f t="shared" si="3"/>
        <v>0</v>
      </c>
      <c r="E373" s="67"/>
      <c r="F373" s="58">
        <f t="shared" si="150"/>
        <v>-8</v>
      </c>
      <c r="G373" s="58"/>
      <c r="H373" s="58">
        <f t="shared" ref="H373:M373" si="370">SUMIFS($C373,$B373,H$8)+H372</f>
        <v>0</v>
      </c>
      <c r="I373" s="58">
        <f t="shared" si="370"/>
        <v>9</v>
      </c>
      <c r="J373" s="58">
        <f t="shared" si="370"/>
        <v>36</v>
      </c>
      <c r="K373" s="58">
        <f t="shared" si="370"/>
        <v>0</v>
      </c>
      <c r="L373" s="58">
        <f t="shared" si="370"/>
        <v>0</v>
      </c>
      <c r="M373" s="58">
        <f t="shared" si="370"/>
        <v>0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0" customHeight="1">
      <c r="A374" s="70"/>
      <c r="B374" s="71"/>
      <c r="C374" s="66"/>
      <c r="D374" s="66">
        <f t="shared" si="3"/>
        <v>0</v>
      </c>
      <c r="E374" s="67"/>
      <c r="F374" s="58">
        <f t="shared" si="150"/>
        <v>-8</v>
      </c>
      <c r="G374" s="58"/>
      <c r="H374" s="58">
        <f t="shared" ref="H374:M374" si="371">SUMIFS($C374,$B374,H$8)+H373</f>
        <v>0</v>
      </c>
      <c r="I374" s="58">
        <f t="shared" si="371"/>
        <v>9</v>
      </c>
      <c r="J374" s="58">
        <f t="shared" si="371"/>
        <v>36</v>
      </c>
      <c r="K374" s="58">
        <f t="shared" si="371"/>
        <v>0</v>
      </c>
      <c r="L374" s="58">
        <f t="shared" si="371"/>
        <v>0</v>
      </c>
      <c r="M374" s="58">
        <f t="shared" si="371"/>
        <v>0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0" customHeight="1">
      <c r="A375" s="70"/>
      <c r="B375" s="71"/>
      <c r="C375" s="66"/>
      <c r="D375" s="66">
        <f t="shared" si="3"/>
        <v>0</v>
      </c>
      <c r="E375" s="67"/>
      <c r="F375" s="58">
        <f t="shared" si="150"/>
        <v>-8</v>
      </c>
      <c r="G375" s="58"/>
      <c r="H375" s="58">
        <f t="shared" ref="H375:M375" si="372">SUMIFS($C375,$B375,H$8)+H374</f>
        <v>0</v>
      </c>
      <c r="I375" s="58">
        <f t="shared" si="372"/>
        <v>9</v>
      </c>
      <c r="J375" s="58">
        <f t="shared" si="372"/>
        <v>36</v>
      </c>
      <c r="K375" s="58">
        <f t="shared" si="372"/>
        <v>0</v>
      </c>
      <c r="L375" s="58">
        <f t="shared" si="372"/>
        <v>0</v>
      </c>
      <c r="M375" s="58">
        <f t="shared" si="372"/>
        <v>0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0" customHeight="1">
      <c r="A376" s="70"/>
      <c r="B376" s="71"/>
      <c r="C376" s="66"/>
      <c r="D376" s="66">
        <f t="shared" si="3"/>
        <v>0</v>
      </c>
      <c r="E376" s="67"/>
      <c r="F376" s="58">
        <f t="shared" si="150"/>
        <v>-8</v>
      </c>
      <c r="G376" s="58"/>
      <c r="H376" s="58">
        <f t="shared" ref="H376:M376" si="373">SUMIFS($C376,$B376,H$8)+H375</f>
        <v>0</v>
      </c>
      <c r="I376" s="58">
        <f t="shared" si="373"/>
        <v>9</v>
      </c>
      <c r="J376" s="58">
        <f t="shared" si="373"/>
        <v>36</v>
      </c>
      <c r="K376" s="58">
        <f t="shared" si="373"/>
        <v>0</v>
      </c>
      <c r="L376" s="58">
        <f t="shared" si="373"/>
        <v>0</v>
      </c>
      <c r="M376" s="58">
        <f t="shared" si="373"/>
        <v>0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0" customHeight="1">
      <c r="A377" s="70"/>
      <c r="B377" s="71"/>
      <c r="C377" s="66"/>
      <c r="D377" s="66">
        <f t="shared" si="3"/>
        <v>0</v>
      </c>
      <c r="E377" s="67"/>
      <c r="F377" s="58">
        <f t="shared" si="150"/>
        <v>-8</v>
      </c>
      <c r="G377" s="58"/>
      <c r="H377" s="58">
        <f t="shared" ref="H377:M377" si="374">SUMIFS($C377,$B377,H$8)+H376</f>
        <v>0</v>
      </c>
      <c r="I377" s="58">
        <f t="shared" si="374"/>
        <v>9</v>
      </c>
      <c r="J377" s="58">
        <f t="shared" si="374"/>
        <v>36</v>
      </c>
      <c r="K377" s="58">
        <f t="shared" si="374"/>
        <v>0</v>
      </c>
      <c r="L377" s="58">
        <f t="shared" si="374"/>
        <v>0</v>
      </c>
      <c r="M377" s="58">
        <f t="shared" si="374"/>
        <v>0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0" customHeight="1">
      <c r="A378" s="70"/>
      <c r="B378" s="71"/>
      <c r="C378" s="66"/>
      <c r="D378" s="66">
        <f t="shared" si="3"/>
        <v>0</v>
      </c>
      <c r="E378" s="67"/>
      <c r="F378" s="58">
        <f t="shared" si="150"/>
        <v>-8</v>
      </c>
      <c r="G378" s="58"/>
      <c r="H378" s="58">
        <f t="shared" ref="H378:M378" si="375">SUMIFS($C378,$B378,H$8)+H377</f>
        <v>0</v>
      </c>
      <c r="I378" s="58">
        <f t="shared" si="375"/>
        <v>9</v>
      </c>
      <c r="J378" s="58">
        <f t="shared" si="375"/>
        <v>36</v>
      </c>
      <c r="K378" s="58">
        <f t="shared" si="375"/>
        <v>0</v>
      </c>
      <c r="L378" s="58">
        <f t="shared" si="375"/>
        <v>0</v>
      </c>
      <c r="M378" s="58">
        <f t="shared" si="375"/>
        <v>0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0" customHeight="1">
      <c r="A379" s="70"/>
      <c r="B379" s="71"/>
      <c r="C379" s="66"/>
      <c r="D379" s="66">
        <f t="shared" si="3"/>
        <v>0</v>
      </c>
      <c r="E379" s="67"/>
      <c r="F379" s="58">
        <f t="shared" si="150"/>
        <v>-8</v>
      </c>
      <c r="G379" s="58"/>
      <c r="H379" s="58">
        <f t="shared" ref="H379:M379" si="376">SUMIFS($C379,$B379,H$8)+H378</f>
        <v>0</v>
      </c>
      <c r="I379" s="58">
        <f t="shared" si="376"/>
        <v>9</v>
      </c>
      <c r="J379" s="58">
        <f t="shared" si="376"/>
        <v>36</v>
      </c>
      <c r="K379" s="58">
        <f t="shared" si="376"/>
        <v>0</v>
      </c>
      <c r="L379" s="58">
        <f t="shared" si="376"/>
        <v>0</v>
      </c>
      <c r="M379" s="58">
        <f t="shared" si="376"/>
        <v>0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0" customHeight="1">
      <c r="A380" s="70"/>
      <c r="B380" s="71"/>
      <c r="C380" s="66"/>
      <c r="D380" s="66">
        <f t="shared" si="3"/>
        <v>0</v>
      </c>
      <c r="E380" s="67"/>
      <c r="F380" s="58">
        <f t="shared" si="150"/>
        <v>-8</v>
      </c>
      <c r="G380" s="58"/>
      <c r="H380" s="58">
        <f t="shared" ref="H380:M380" si="377">SUMIFS($C380,$B380,H$8)+H379</f>
        <v>0</v>
      </c>
      <c r="I380" s="58">
        <f t="shared" si="377"/>
        <v>9</v>
      </c>
      <c r="J380" s="58">
        <f t="shared" si="377"/>
        <v>36</v>
      </c>
      <c r="K380" s="58">
        <f t="shared" si="377"/>
        <v>0</v>
      </c>
      <c r="L380" s="58">
        <f t="shared" si="377"/>
        <v>0</v>
      </c>
      <c r="M380" s="58">
        <f t="shared" si="377"/>
        <v>0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0" customHeight="1">
      <c r="A381" s="70"/>
      <c r="B381" s="71"/>
      <c r="C381" s="66"/>
      <c r="D381" s="66">
        <f t="shared" si="3"/>
        <v>0</v>
      </c>
      <c r="E381" s="67"/>
      <c r="F381" s="58">
        <f t="shared" si="150"/>
        <v>-8</v>
      </c>
      <c r="G381" s="58"/>
      <c r="H381" s="58">
        <f t="shared" ref="H381:M381" si="378">SUMIFS($C381,$B381,H$8)+H380</f>
        <v>0</v>
      </c>
      <c r="I381" s="58">
        <f t="shared" si="378"/>
        <v>9</v>
      </c>
      <c r="J381" s="58">
        <f t="shared" si="378"/>
        <v>36</v>
      </c>
      <c r="K381" s="58">
        <f t="shared" si="378"/>
        <v>0</v>
      </c>
      <c r="L381" s="58">
        <f t="shared" si="378"/>
        <v>0</v>
      </c>
      <c r="M381" s="58">
        <f t="shared" si="378"/>
        <v>0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0" customHeight="1">
      <c r="A382" s="70"/>
      <c r="B382" s="71"/>
      <c r="C382" s="66"/>
      <c r="D382" s="66">
        <f t="shared" si="3"/>
        <v>0</v>
      </c>
      <c r="E382" s="67"/>
      <c r="F382" s="58">
        <f t="shared" si="150"/>
        <v>-8</v>
      </c>
      <c r="G382" s="58"/>
      <c r="H382" s="58">
        <f t="shared" ref="H382:M382" si="379">SUMIFS($C382,$B382,H$8)+H381</f>
        <v>0</v>
      </c>
      <c r="I382" s="58">
        <f t="shared" si="379"/>
        <v>9</v>
      </c>
      <c r="J382" s="58">
        <f t="shared" si="379"/>
        <v>36</v>
      </c>
      <c r="K382" s="58">
        <f t="shared" si="379"/>
        <v>0</v>
      </c>
      <c r="L382" s="58">
        <f t="shared" si="379"/>
        <v>0</v>
      </c>
      <c r="M382" s="58">
        <f t="shared" si="379"/>
        <v>0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0" customHeight="1">
      <c r="A383" s="70"/>
      <c r="B383" s="71"/>
      <c r="C383" s="66"/>
      <c r="D383" s="66">
        <f t="shared" si="3"/>
        <v>0</v>
      </c>
      <c r="E383" s="67"/>
      <c r="F383" s="58">
        <f t="shared" si="150"/>
        <v>-8</v>
      </c>
      <c r="G383" s="58"/>
      <c r="H383" s="58">
        <f t="shared" ref="H383:M383" si="380">SUMIFS($C383,$B383,H$8)+H382</f>
        <v>0</v>
      </c>
      <c r="I383" s="58">
        <f t="shared" si="380"/>
        <v>9</v>
      </c>
      <c r="J383" s="58">
        <f t="shared" si="380"/>
        <v>36</v>
      </c>
      <c r="K383" s="58">
        <f t="shared" si="380"/>
        <v>0</v>
      </c>
      <c r="L383" s="58">
        <f t="shared" si="380"/>
        <v>0</v>
      </c>
      <c r="M383" s="58">
        <f t="shared" si="380"/>
        <v>0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0" customHeight="1">
      <c r="A384" s="70"/>
      <c r="B384" s="71"/>
      <c r="C384" s="66"/>
      <c r="D384" s="66">
        <f t="shared" si="3"/>
        <v>0</v>
      </c>
      <c r="E384" s="67"/>
      <c r="F384" s="58">
        <f t="shared" si="150"/>
        <v>-8</v>
      </c>
      <c r="G384" s="58"/>
      <c r="H384" s="58">
        <f t="shared" ref="H384:M384" si="381">SUMIFS($C384,$B384,H$8)+H383</f>
        <v>0</v>
      </c>
      <c r="I384" s="58">
        <f t="shared" si="381"/>
        <v>9</v>
      </c>
      <c r="J384" s="58">
        <f t="shared" si="381"/>
        <v>36</v>
      </c>
      <c r="K384" s="58">
        <f t="shared" si="381"/>
        <v>0</v>
      </c>
      <c r="L384" s="58">
        <f t="shared" si="381"/>
        <v>0</v>
      </c>
      <c r="M384" s="58">
        <f t="shared" si="381"/>
        <v>0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0" customHeight="1">
      <c r="A385" s="70"/>
      <c r="B385" s="71"/>
      <c r="C385" s="66"/>
      <c r="D385" s="66">
        <f t="shared" si="3"/>
        <v>0</v>
      </c>
      <c r="E385" s="67"/>
      <c r="F385" s="58">
        <f t="shared" si="150"/>
        <v>-8</v>
      </c>
      <c r="G385" s="58"/>
      <c r="H385" s="58">
        <f t="shared" ref="H385:M385" si="382">SUMIFS($C385,$B385,H$8)+H384</f>
        <v>0</v>
      </c>
      <c r="I385" s="58">
        <f t="shared" si="382"/>
        <v>9</v>
      </c>
      <c r="J385" s="58">
        <f t="shared" si="382"/>
        <v>36</v>
      </c>
      <c r="K385" s="58">
        <f t="shared" si="382"/>
        <v>0</v>
      </c>
      <c r="L385" s="58">
        <f t="shared" si="382"/>
        <v>0</v>
      </c>
      <c r="M385" s="58">
        <f t="shared" si="382"/>
        <v>0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0" customHeight="1">
      <c r="A386" s="70"/>
      <c r="B386" s="71"/>
      <c r="C386" s="66"/>
      <c r="D386" s="66">
        <f t="shared" si="3"/>
        <v>0</v>
      </c>
      <c r="E386" s="67"/>
      <c r="F386" s="58">
        <f t="shared" si="150"/>
        <v>-8</v>
      </c>
      <c r="G386" s="58"/>
      <c r="H386" s="58">
        <f t="shared" ref="H386:M386" si="383">SUMIFS($C386,$B386,H$8)+H385</f>
        <v>0</v>
      </c>
      <c r="I386" s="58">
        <f t="shared" si="383"/>
        <v>9</v>
      </c>
      <c r="J386" s="58">
        <f t="shared" si="383"/>
        <v>36</v>
      </c>
      <c r="K386" s="58">
        <f t="shared" si="383"/>
        <v>0</v>
      </c>
      <c r="L386" s="58">
        <f t="shared" si="383"/>
        <v>0</v>
      </c>
      <c r="M386" s="58">
        <f t="shared" si="383"/>
        <v>0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0" customHeight="1">
      <c r="A387" s="70"/>
      <c r="B387" s="71"/>
      <c r="C387" s="66"/>
      <c r="D387" s="66">
        <f t="shared" si="3"/>
        <v>0</v>
      </c>
      <c r="E387" s="67"/>
      <c r="F387" s="58">
        <f t="shared" si="150"/>
        <v>-8</v>
      </c>
      <c r="G387" s="58"/>
      <c r="H387" s="58">
        <f t="shared" ref="H387:M387" si="384">SUMIFS($C387,$B387,H$8)+H386</f>
        <v>0</v>
      </c>
      <c r="I387" s="58">
        <f t="shared" si="384"/>
        <v>9</v>
      </c>
      <c r="J387" s="58">
        <f t="shared" si="384"/>
        <v>36</v>
      </c>
      <c r="K387" s="58">
        <f t="shared" si="384"/>
        <v>0</v>
      </c>
      <c r="L387" s="58">
        <f t="shared" si="384"/>
        <v>0</v>
      </c>
      <c r="M387" s="58">
        <f t="shared" si="384"/>
        <v>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0" customHeight="1">
      <c r="A388" s="70"/>
      <c r="B388" s="71"/>
      <c r="C388" s="66"/>
      <c r="D388" s="66">
        <f t="shared" si="3"/>
        <v>0</v>
      </c>
      <c r="E388" s="67"/>
      <c r="F388" s="58">
        <f t="shared" si="150"/>
        <v>-8</v>
      </c>
      <c r="G388" s="58"/>
      <c r="H388" s="58">
        <f t="shared" ref="H388:M388" si="385">SUMIFS($C388,$B388,H$8)+H387</f>
        <v>0</v>
      </c>
      <c r="I388" s="58">
        <f t="shared" si="385"/>
        <v>9</v>
      </c>
      <c r="J388" s="58">
        <f t="shared" si="385"/>
        <v>36</v>
      </c>
      <c r="K388" s="58">
        <f t="shared" si="385"/>
        <v>0</v>
      </c>
      <c r="L388" s="58">
        <f t="shared" si="385"/>
        <v>0</v>
      </c>
      <c r="M388" s="58">
        <f t="shared" si="385"/>
        <v>0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0" customHeight="1">
      <c r="A389" s="70"/>
      <c r="B389" s="71"/>
      <c r="C389" s="66"/>
      <c r="D389" s="66">
        <f t="shared" si="3"/>
        <v>0</v>
      </c>
      <c r="E389" s="67"/>
      <c r="F389" s="58">
        <f t="shared" si="150"/>
        <v>-8</v>
      </c>
      <c r="G389" s="58"/>
      <c r="H389" s="58">
        <f t="shared" ref="H389:M389" si="386">SUMIFS($C389,$B389,H$8)+H388</f>
        <v>0</v>
      </c>
      <c r="I389" s="58">
        <f t="shared" si="386"/>
        <v>9</v>
      </c>
      <c r="J389" s="58">
        <f t="shared" si="386"/>
        <v>36</v>
      </c>
      <c r="K389" s="58">
        <f t="shared" si="386"/>
        <v>0</v>
      </c>
      <c r="L389" s="58">
        <f t="shared" si="386"/>
        <v>0</v>
      </c>
      <c r="M389" s="58">
        <f t="shared" si="386"/>
        <v>0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0" customHeight="1">
      <c r="A390" s="70"/>
      <c r="B390" s="71"/>
      <c r="C390" s="66"/>
      <c r="D390" s="66">
        <f t="shared" si="3"/>
        <v>0</v>
      </c>
      <c r="E390" s="67"/>
      <c r="F390" s="58">
        <f t="shared" si="150"/>
        <v>-8</v>
      </c>
      <c r="G390" s="58"/>
      <c r="H390" s="58">
        <f t="shared" ref="H390:M390" si="387">SUMIFS($C390,$B390,H$8)+H389</f>
        <v>0</v>
      </c>
      <c r="I390" s="58">
        <f t="shared" si="387"/>
        <v>9</v>
      </c>
      <c r="J390" s="58">
        <f t="shared" si="387"/>
        <v>36</v>
      </c>
      <c r="K390" s="58">
        <f t="shared" si="387"/>
        <v>0</v>
      </c>
      <c r="L390" s="58">
        <f t="shared" si="387"/>
        <v>0</v>
      </c>
      <c r="M390" s="58">
        <f t="shared" si="387"/>
        <v>0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0" customHeight="1">
      <c r="A391" s="70"/>
      <c r="B391" s="71"/>
      <c r="C391" s="66"/>
      <c r="D391" s="66">
        <f t="shared" si="3"/>
        <v>0</v>
      </c>
      <c r="E391" s="67"/>
      <c r="F391" s="58">
        <f t="shared" si="150"/>
        <v>-8</v>
      </c>
      <c r="G391" s="58"/>
      <c r="H391" s="58">
        <f t="shared" ref="H391:M391" si="388">SUMIFS($C391,$B391,H$8)+H390</f>
        <v>0</v>
      </c>
      <c r="I391" s="58">
        <f t="shared" si="388"/>
        <v>9</v>
      </c>
      <c r="J391" s="58">
        <f t="shared" si="388"/>
        <v>36</v>
      </c>
      <c r="K391" s="58">
        <f t="shared" si="388"/>
        <v>0</v>
      </c>
      <c r="L391" s="58">
        <f t="shared" si="388"/>
        <v>0</v>
      </c>
      <c r="M391" s="58">
        <f t="shared" si="388"/>
        <v>0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0" customHeight="1">
      <c r="A392" s="70"/>
      <c r="B392" s="71"/>
      <c r="C392" s="66"/>
      <c r="D392" s="66">
        <f t="shared" si="3"/>
        <v>0</v>
      </c>
      <c r="E392" s="67"/>
      <c r="F392" s="58">
        <f t="shared" si="150"/>
        <v>-8</v>
      </c>
      <c r="G392" s="58"/>
      <c r="H392" s="58">
        <f t="shared" ref="H392:M392" si="389">SUMIFS($C392,$B392,H$8)+H391</f>
        <v>0</v>
      </c>
      <c r="I392" s="58">
        <f t="shared" si="389"/>
        <v>9</v>
      </c>
      <c r="J392" s="58">
        <f t="shared" si="389"/>
        <v>36</v>
      </c>
      <c r="K392" s="58">
        <f t="shared" si="389"/>
        <v>0</v>
      </c>
      <c r="L392" s="58">
        <f t="shared" si="389"/>
        <v>0</v>
      </c>
      <c r="M392" s="58">
        <f t="shared" si="389"/>
        <v>0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0" customHeight="1">
      <c r="A393" s="70"/>
      <c r="B393" s="71"/>
      <c r="C393" s="66"/>
      <c r="D393" s="66">
        <f t="shared" si="3"/>
        <v>0</v>
      </c>
      <c r="E393" s="67"/>
      <c r="F393" s="58">
        <f t="shared" si="150"/>
        <v>-8</v>
      </c>
      <c r="G393" s="58"/>
      <c r="H393" s="58">
        <f t="shared" ref="H393:M393" si="390">SUMIFS($C393,$B393,H$8)+H392</f>
        <v>0</v>
      </c>
      <c r="I393" s="58">
        <f t="shared" si="390"/>
        <v>9</v>
      </c>
      <c r="J393" s="58">
        <f t="shared" si="390"/>
        <v>36</v>
      </c>
      <c r="K393" s="58">
        <f t="shared" si="390"/>
        <v>0</v>
      </c>
      <c r="L393" s="58">
        <f t="shared" si="390"/>
        <v>0</v>
      </c>
      <c r="M393" s="58">
        <f t="shared" si="390"/>
        <v>0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0" customHeight="1">
      <c r="A394" s="70"/>
      <c r="B394" s="71"/>
      <c r="C394" s="66"/>
      <c r="D394" s="66">
        <f t="shared" si="3"/>
        <v>0</v>
      </c>
      <c r="E394" s="67"/>
      <c r="F394" s="58">
        <f t="shared" si="150"/>
        <v>-8</v>
      </c>
      <c r="G394" s="58"/>
      <c r="H394" s="58">
        <f t="shared" ref="H394:M394" si="391">SUMIFS($C394,$B394,H$8)+H393</f>
        <v>0</v>
      </c>
      <c r="I394" s="58">
        <f t="shared" si="391"/>
        <v>9</v>
      </c>
      <c r="J394" s="58">
        <f t="shared" si="391"/>
        <v>36</v>
      </c>
      <c r="K394" s="58">
        <f t="shared" si="391"/>
        <v>0</v>
      </c>
      <c r="L394" s="58">
        <f t="shared" si="391"/>
        <v>0</v>
      </c>
      <c r="M394" s="58">
        <f t="shared" si="391"/>
        <v>0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0" customHeight="1">
      <c r="A395" s="70"/>
      <c r="B395" s="71"/>
      <c r="C395" s="66"/>
      <c r="D395" s="66">
        <f t="shared" si="3"/>
        <v>0</v>
      </c>
      <c r="E395" s="67"/>
      <c r="F395" s="58">
        <f t="shared" si="150"/>
        <v>-8</v>
      </c>
      <c r="G395" s="58"/>
      <c r="H395" s="58">
        <f t="shared" ref="H395:M395" si="392">SUMIFS($C395,$B395,H$8)+H394</f>
        <v>0</v>
      </c>
      <c r="I395" s="58">
        <f t="shared" si="392"/>
        <v>9</v>
      </c>
      <c r="J395" s="58">
        <f t="shared" si="392"/>
        <v>36</v>
      </c>
      <c r="K395" s="58">
        <f t="shared" si="392"/>
        <v>0</v>
      </c>
      <c r="L395" s="58">
        <f t="shared" si="392"/>
        <v>0</v>
      </c>
      <c r="M395" s="58">
        <f t="shared" si="392"/>
        <v>0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0" customHeight="1">
      <c r="A396" s="70"/>
      <c r="B396" s="71"/>
      <c r="C396" s="66"/>
      <c r="D396" s="66">
        <f t="shared" si="3"/>
        <v>0</v>
      </c>
      <c r="E396" s="67"/>
      <c r="F396" s="58">
        <f t="shared" si="150"/>
        <v>-8</v>
      </c>
      <c r="G396" s="58"/>
      <c r="H396" s="58">
        <f t="shared" ref="H396:M396" si="393">SUMIFS($C396,$B396,H$8)+H395</f>
        <v>0</v>
      </c>
      <c r="I396" s="58">
        <f t="shared" si="393"/>
        <v>9</v>
      </c>
      <c r="J396" s="58">
        <f t="shared" si="393"/>
        <v>36</v>
      </c>
      <c r="K396" s="58">
        <f t="shared" si="393"/>
        <v>0</v>
      </c>
      <c r="L396" s="58">
        <f t="shared" si="393"/>
        <v>0</v>
      </c>
      <c r="M396" s="58">
        <f t="shared" si="393"/>
        <v>0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0" customHeight="1">
      <c r="A397" s="70"/>
      <c r="B397" s="71"/>
      <c r="C397" s="66"/>
      <c r="D397" s="66">
        <f t="shared" si="3"/>
        <v>0</v>
      </c>
      <c r="E397" s="67"/>
      <c r="F397" s="58">
        <f t="shared" si="150"/>
        <v>-8</v>
      </c>
      <c r="G397" s="58"/>
      <c r="H397" s="58">
        <f t="shared" ref="H397:M397" si="394">SUMIFS($C397,$B397,H$8)+H396</f>
        <v>0</v>
      </c>
      <c r="I397" s="58">
        <f t="shared" si="394"/>
        <v>9</v>
      </c>
      <c r="J397" s="58">
        <f t="shared" si="394"/>
        <v>36</v>
      </c>
      <c r="K397" s="58">
        <f t="shared" si="394"/>
        <v>0</v>
      </c>
      <c r="L397" s="58">
        <f t="shared" si="394"/>
        <v>0</v>
      </c>
      <c r="M397" s="58">
        <f t="shared" si="394"/>
        <v>0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0" customHeight="1">
      <c r="A398" s="70"/>
      <c r="B398" s="71"/>
      <c r="C398" s="66"/>
      <c r="D398" s="66">
        <f t="shared" si="3"/>
        <v>0</v>
      </c>
      <c r="E398" s="67"/>
      <c r="F398" s="58">
        <f t="shared" si="150"/>
        <v>-8</v>
      </c>
      <c r="G398" s="58"/>
      <c r="H398" s="58">
        <f t="shared" ref="H398:M398" si="395">SUMIFS($C398,$B398,H$8)+H397</f>
        <v>0</v>
      </c>
      <c r="I398" s="58">
        <f t="shared" si="395"/>
        <v>9</v>
      </c>
      <c r="J398" s="58">
        <f t="shared" si="395"/>
        <v>36</v>
      </c>
      <c r="K398" s="58">
        <f t="shared" si="395"/>
        <v>0</v>
      </c>
      <c r="L398" s="58">
        <f t="shared" si="395"/>
        <v>0</v>
      </c>
      <c r="M398" s="58">
        <f t="shared" si="395"/>
        <v>0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0" customHeight="1">
      <c r="A399" s="70"/>
      <c r="B399" s="71"/>
      <c r="C399" s="66"/>
      <c r="D399" s="66">
        <f t="shared" si="3"/>
        <v>0</v>
      </c>
      <c r="E399" s="67"/>
      <c r="F399" s="58">
        <f t="shared" si="150"/>
        <v>-8</v>
      </c>
      <c r="G399" s="58"/>
      <c r="H399" s="58">
        <f t="shared" ref="H399:M399" si="396">SUMIFS($C399,$B399,H$8)+H398</f>
        <v>0</v>
      </c>
      <c r="I399" s="58">
        <f t="shared" si="396"/>
        <v>9</v>
      </c>
      <c r="J399" s="58">
        <f t="shared" si="396"/>
        <v>36</v>
      </c>
      <c r="K399" s="58">
        <f t="shared" si="396"/>
        <v>0</v>
      </c>
      <c r="L399" s="58">
        <f t="shared" si="396"/>
        <v>0</v>
      </c>
      <c r="M399" s="58">
        <f t="shared" si="396"/>
        <v>0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0" customHeight="1">
      <c r="A400" s="70"/>
      <c r="B400" s="71"/>
      <c r="C400" s="66"/>
      <c r="D400" s="66">
        <f t="shared" si="3"/>
        <v>0</v>
      </c>
      <c r="E400" s="67"/>
      <c r="F400" s="58">
        <f t="shared" si="150"/>
        <v>-8</v>
      </c>
      <c r="G400" s="58"/>
      <c r="H400" s="58">
        <f t="shared" ref="H400:M400" si="397">SUMIFS($C400,$B400,H$8)+H399</f>
        <v>0</v>
      </c>
      <c r="I400" s="58">
        <f t="shared" si="397"/>
        <v>9</v>
      </c>
      <c r="J400" s="58">
        <f t="shared" si="397"/>
        <v>36</v>
      </c>
      <c r="K400" s="58">
        <f t="shared" si="397"/>
        <v>0</v>
      </c>
      <c r="L400" s="58">
        <f t="shared" si="397"/>
        <v>0</v>
      </c>
      <c r="M400" s="58">
        <f t="shared" si="397"/>
        <v>0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0" customHeight="1">
      <c r="A401" s="70"/>
      <c r="B401" s="71"/>
      <c r="C401" s="66"/>
      <c r="D401" s="66">
        <f t="shared" si="3"/>
        <v>0</v>
      </c>
      <c r="E401" s="67"/>
      <c r="F401" s="58">
        <f t="shared" si="150"/>
        <v>-8</v>
      </c>
      <c r="G401" s="58"/>
      <c r="H401" s="58">
        <f t="shared" ref="H401:M401" si="398">SUMIFS($C401,$B401,H$8)+H400</f>
        <v>0</v>
      </c>
      <c r="I401" s="58">
        <f t="shared" si="398"/>
        <v>9</v>
      </c>
      <c r="J401" s="58">
        <f t="shared" si="398"/>
        <v>36</v>
      </c>
      <c r="K401" s="58">
        <f t="shared" si="398"/>
        <v>0</v>
      </c>
      <c r="L401" s="58">
        <f t="shared" si="398"/>
        <v>0</v>
      </c>
      <c r="M401" s="58">
        <f t="shared" si="398"/>
        <v>0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0" customHeight="1">
      <c r="A402" s="70"/>
      <c r="B402" s="71"/>
      <c r="C402" s="66"/>
      <c r="D402" s="66">
        <f t="shared" si="3"/>
        <v>0</v>
      </c>
      <c r="E402" s="67"/>
      <c r="F402" s="58">
        <f t="shared" si="150"/>
        <v>-8</v>
      </c>
      <c r="G402" s="58"/>
      <c r="H402" s="58">
        <f t="shared" ref="H402:M402" si="399">SUMIFS($C402,$B402,H$8)+H401</f>
        <v>0</v>
      </c>
      <c r="I402" s="58">
        <f t="shared" si="399"/>
        <v>9</v>
      </c>
      <c r="J402" s="58">
        <f t="shared" si="399"/>
        <v>36</v>
      </c>
      <c r="K402" s="58">
        <f t="shared" si="399"/>
        <v>0</v>
      </c>
      <c r="L402" s="58">
        <f t="shared" si="399"/>
        <v>0</v>
      </c>
      <c r="M402" s="58">
        <f t="shared" si="399"/>
        <v>0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0" customHeight="1">
      <c r="A403" s="70"/>
      <c r="B403" s="71"/>
      <c r="C403" s="66"/>
      <c r="D403" s="66">
        <f t="shared" si="3"/>
        <v>0</v>
      </c>
      <c r="E403" s="67"/>
      <c r="F403" s="58">
        <f t="shared" si="150"/>
        <v>-8</v>
      </c>
      <c r="G403" s="58"/>
      <c r="H403" s="58">
        <f t="shared" ref="H403:M403" si="400">SUMIFS($C403,$B403,H$8)+H402</f>
        <v>0</v>
      </c>
      <c r="I403" s="58">
        <f t="shared" si="400"/>
        <v>9</v>
      </c>
      <c r="J403" s="58">
        <f t="shared" si="400"/>
        <v>36</v>
      </c>
      <c r="K403" s="58">
        <f t="shared" si="400"/>
        <v>0</v>
      </c>
      <c r="L403" s="58">
        <f t="shared" si="400"/>
        <v>0</v>
      </c>
      <c r="M403" s="58">
        <f t="shared" si="400"/>
        <v>0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0" customHeight="1">
      <c r="A404" s="70"/>
      <c r="B404" s="71"/>
      <c r="C404" s="66"/>
      <c r="D404" s="66">
        <f t="shared" si="3"/>
        <v>0</v>
      </c>
      <c r="E404" s="67"/>
      <c r="F404" s="58">
        <f t="shared" si="150"/>
        <v>-8</v>
      </c>
      <c r="G404" s="58"/>
      <c r="H404" s="58">
        <f t="shared" ref="H404:M404" si="401">SUMIFS($C404,$B404,H$8)+H403</f>
        <v>0</v>
      </c>
      <c r="I404" s="58">
        <f t="shared" si="401"/>
        <v>9</v>
      </c>
      <c r="J404" s="58">
        <f t="shared" si="401"/>
        <v>36</v>
      </c>
      <c r="K404" s="58">
        <f t="shared" si="401"/>
        <v>0</v>
      </c>
      <c r="L404" s="58">
        <f t="shared" si="401"/>
        <v>0</v>
      </c>
      <c r="M404" s="58">
        <f t="shared" si="401"/>
        <v>0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0" customHeight="1">
      <c r="A405" s="70"/>
      <c r="B405" s="71"/>
      <c r="C405" s="66"/>
      <c r="D405" s="66">
        <f t="shared" si="3"/>
        <v>0</v>
      </c>
      <c r="E405" s="67"/>
      <c r="F405" s="58">
        <f t="shared" si="150"/>
        <v>-8</v>
      </c>
      <c r="G405" s="58"/>
      <c r="H405" s="58">
        <f t="shared" ref="H405:M405" si="402">SUMIFS($C405,$B405,H$8)+H404</f>
        <v>0</v>
      </c>
      <c r="I405" s="58">
        <f t="shared" si="402"/>
        <v>9</v>
      </c>
      <c r="J405" s="58">
        <f t="shared" si="402"/>
        <v>36</v>
      </c>
      <c r="K405" s="58">
        <f t="shared" si="402"/>
        <v>0</v>
      </c>
      <c r="L405" s="58">
        <f t="shared" si="402"/>
        <v>0</v>
      </c>
      <c r="M405" s="58">
        <f t="shared" si="402"/>
        <v>0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0" customHeight="1">
      <c r="A406" s="70"/>
      <c r="B406" s="71"/>
      <c r="C406" s="66"/>
      <c r="D406" s="66">
        <f t="shared" si="3"/>
        <v>0</v>
      </c>
      <c r="E406" s="67"/>
      <c r="F406" s="58">
        <f t="shared" si="150"/>
        <v>-8</v>
      </c>
      <c r="G406" s="58"/>
      <c r="H406" s="58">
        <f t="shared" ref="H406:M406" si="403">SUMIFS($C406,$B406,H$8)+H405</f>
        <v>0</v>
      </c>
      <c r="I406" s="58">
        <f t="shared" si="403"/>
        <v>9</v>
      </c>
      <c r="J406" s="58">
        <f t="shared" si="403"/>
        <v>36</v>
      </c>
      <c r="K406" s="58">
        <f t="shared" si="403"/>
        <v>0</v>
      </c>
      <c r="L406" s="58">
        <f t="shared" si="403"/>
        <v>0</v>
      </c>
      <c r="M406" s="58">
        <f t="shared" si="403"/>
        <v>0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0" customHeight="1">
      <c r="A407" s="70"/>
      <c r="B407" s="71"/>
      <c r="C407" s="66"/>
      <c r="D407" s="66">
        <f t="shared" si="3"/>
        <v>0</v>
      </c>
      <c r="E407" s="67"/>
      <c r="F407" s="58">
        <f t="shared" si="150"/>
        <v>-8</v>
      </c>
      <c r="G407" s="58"/>
      <c r="H407" s="58">
        <f t="shared" ref="H407:M407" si="404">SUMIFS($C407,$B407,H$8)+H406</f>
        <v>0</v>
      </c>
      <c r="I407" s="58">
        <f t="shared" si="404"/>
        <v>9</v>
      </c>
      <c r="J407" s="58">
        <f t="shared" si="404"/>
        <v>36</v>
      </c>
      <c r="K407" s="58">
        <f t="shared" si="404"/>
        <v>0</v>
      </c>
      <c r="L407" s="58">
        <f t="shared" si="404"/>
        <v>0</v>
      </c>
      <c r="M407" s="58">
        <f t="shared" si="404"/>
        <v>0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0" customHeight="1">
      <c r="A408" s="70"/>
      <c r="B408" s="71"/>
      <c r="C408" s="66"/>
      <c r="D408" s="66">
        <f t="shared" si="3"/>
        <v>0</v>
      </c>
      <c r="E408" s="67"/>
      <c r="F408" s="58">
        <f t="shared" si="150"/>
        <v>-8</v>
      </c>
      <c r="G408" s="58"/>
      <c r="H408" s="58">
        <f t="shared" ref="H408:M408" si="405">SUMIFS($C408,$B408,H$8)+H407</f>
        <v>0</v>
      </c>
      <c r="I408" s="58">
        <f t="shared" si="405"/>
        <v>9</v>
      </c>
      <c r="J408" s="58">
        <f t="shared" si="405"/>
        <v>36</v>
      </c>
      <c r="K408" s="58">
        <f t="shared" si="405"/>
        <v>0</v>
      </c>
      <c r="L408" s="58">
        <f t="shared" si="405"/>
        <v>0</v>
      </c>
      <c r="M408" s="58">
        <f t="shared" si="405"/>
        <v>0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0" customHeight="1">
      <c r="A409" s="70"/>
      <c r="B409" s="71"/>
      <c r="C409" s="66"/>
      <c r="D409" s="66">
        <f t="shared" si="3"/>
        <v>0</v>
      </c>
      <c r="E409" s="67"/>
      <c r="F409" s="58">
        <f t="shared" si="150"/>
        <v>-8</v>
      </c>
      <c r="G409" s="58"/>
      <c r="H409" s="58">
        <f t="shared" ref="H409:M409" si="406">SUMIFS($C409,$B409,H$8)+H408</f>
        <v>0</v>
      </c>
      <c r="I409" s="58">
        <f t="shared" si="406"/>
        <v>9</v>
      </c>
      <c r="J409" s="58">
        <f t="shared" si="406"/>
        <v>36</v>
      </c>
      <c r="K409" s="58">
        <f t="shared" si="406"/>
        <v>0</v>
      </c>
      <c r="L409" s="58">
        <f t="shared" si="406"/>
        <v>0</v>
      </c>
      <c r="M409" s="58">
        <f t="shared" si="406"/>
        <v>0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0" customHeight="1">
      <c r="A410" s="70"/>
      <c r="B410" s="71"/>
      <c r="C410" s="66"/>
      <c r="D410" s="66">
        <f t="shared" si="3"/>
        <v>0</v>
      </c>
      <c r="E410" s="67"/>
      <c r="F410" s="58">
        <f t="shared" si="150"/>
        <v>-8</v>
      </c>
      <c r="G410" s="58"/>
      <c r="H410" s="58">
        <f t="shared" ref="H410:M410" si="407">SUMIFS($C410,$B410,H$8)+H409</f>
        <v>0</v>
      </c>
      <c r="I410" s="58">
        <f t="shared" si="407"/>
        <v>9</v>
      </c>
      <c r="J410" s="58">
        <f t="shared" si="407"/>
        <v>36</v>
      </c>
      <c r="K410" s="58">
        <f t="shared" si="407"/>
        <v>0</v>
      </c>
      <c r="L410" s="58">
        <f t="shared" si="407"/>
        <v>0</v>
      </c>
      <c r="M410" s="58">
        <f t="shared" si="407"/>
        <v>0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0" customHeight="1">
      <c r="A411" s="70"/>
      <c r="B411" s="71"/>
      <c r="C411" s="66"/>
      <c r="D411" s="66">
        <f t="shared" si="3"/>
        <v>0</v>
      </c>
      <c r="E411" s="67"/>
      <c r="F411" s="58">
        <f t="shared" si="150"/>
        <v>-8</v>
      </c>
      <c r="G411" s="58"/>
      <c r="H411" s="58">
        <f t="shared" ref="H411:M411" si="408">SUMIFS($C411,$B411,H$8)+H410</f>
        <v>0</v>
      </c>
      <c r="I411" s="58">
        <f t="shared" si="408"/>
        <v>9</v>
      </c>
      <c r="J411" s="58">
        <f t="shared" si="408"/>
        <v>36</v>
      </c>
      <c r="K411" s="58">
        <f t="shared" si="408"/>
        <v>0</v>
      </c>
      <c r="L411" s="58">
        <f t="shared" si="408"/>
        <v>0</v>
      </c>
      <c r="M411" s="58">
        <f t="shared" si="408"/>
        <v>0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0" customHeight="1">
      <c r="A412" s="70"/>
      <c r="B412" s="71"/>
      <c r="C412" s="66"/>
      <c r="D412" s="66">
        <f t="shared" si="3"/>
        <v>0</v>
      </c>
      <c r="E412" s="67"/>
      <c r="F412" s="58">
        <f t="shared" si="150"/>
        <v>-8</v>
      </c>
      <c r="G412" s="58"/>
      <c r="H412" s="58">
        <f t="shared" ref="H412:M412" si="409">SUMIFS($C412,$B412,H$8)+H411</f>
        <v>0</v>
      </c>
      <c r="I412" s="58">
        <f t="shared" si="409"/>
        <v>9</v>
      </c>
      <c r="J412" s="58">
        <f t="shared" si="409"/>
        <v>36</v>
      </c>
      <c r="K412" s="58">
        <f t="shared" si="409"/>
        <v>0</v>
      </c>
      <c r="L412" s="58">
        <f t="shared" si="409"/>
        <v>0</v>
      </c>
      <c r="M412" s="58">
        <f t="shared" si="409"/>
        <v>0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0" customHeight="1">
      <c r="A413" s="70"/>
      <c r="B413" s="71"/>
      <c r="C413" s="66"/>
      <c r="D413" s="66">
        <f t="shared" si="3"/>
        <v>0</v>
      </c>
      <c r="E413" s="67"/>
      <c r="F413" s="58">
        <f t="shared" si="150"/>
        <v>-8</v>
      </c>
      <c r="G413" s="58"/>
      <c r="H413" s="58">
        <f t="shared" ref="H413:M413" si="410">SUMIFS($C413,$B413,H$8)+H412</f>
        <v>0</v>
      </c>
      <c r="I413" s="58">
        <f t="shared" si="410"/>
        <v>9</v>
      </c>
      <c r="J413" s="58">
        <f t="shared" si="410"/>
        <v>36</v>
      </c>
      <c r="K413" s="58">
        <f t="shared" si="410"/>
        <v>0</v>
      </c>
      <c r="L413" s="58">
        <f t="shared" si="410"/>
        <v>0</v>
      </c>
      <c r="M413" s="58">
        <f t="shared" si="410"/>
        <v>0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0" customHeight="1">
      <c r="A414" s="70"/>
      <c r="B414" s="71"/>
      <c r="C414" s="66"/>
      <c r="D414" s="66">
        <f t="shared" si="3"/>
        <v>0</v>
      </c>
      <c r="E414" s="67"/>
      <c r="F414" s="58">
        <f t="shared" si="150"/>
        <v>-8</v>
      </c>
      <c r="G414" s="58"/>
      <c r="H414" s="58">
        <f t="shared" ref="H414:M414" si="411">SUMIFS($C414,$B414,H$8)+H413</f>
        <v>0</v>
      </c>
      <c r="I414" s="58">
        <f t="shared" si="411"/>
        <v>9</v>
      </c>
      <c r="J414" s="58">
        <f t="shared" si="411"/>
        <v>36</v>
      </c>
      <c r="K414" s="58">
        <f t="shared" si="411"/>
        <v>0</v>
      </c>
      <c r="L414" s="58">
        <f t="shared" si="411"/>
        <v>0</v>
      </c>
      <c r="M414" s="58">
        <f t="shared" si="411"/>
        <v>0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0" customHeight="1">
      <c r="A415" s="70"/>
      <c r="B415" s="71"/>
      <c r="C415" s="66"/>
      <c r="D415" s="66">
        <f t="shared" si="3"/>
        <v>0</v>
      </c>
      <c r="E415" s="67"/>
      <c r="F415" s="58">
        <f t="shared" si="150"/>
        <v>-8</v>
      </c>
      <c r="G415" s="58"/>
      <c r="H415" s="58">
        <f t="shared" ref="H415:M415" si="412">SUMIFS($C415,$B415,H$8)+H414</f>
        <v>0</v>
      </c>
      <c r="I415" s="58">
        <f t="shared" si="412"/>
        <v>9</v>
      </c>
      <c r="J415" s="58">
        <f t="shared" si="412"/>
        <v>36</v>
      </c>
      <c r="K415" s="58">
        <f t="shared" si="412"/>
        <v>0</v>
      </c>
      <c r="L415" s="58">
        <f t="shared" si="412"/>
        <v>0</v>
      </c>
      <c r="M415" s="58">
        <f t="shared" si="412"/>
        <v>0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0" customHeight="1">
      <c r="A416" s="70"/>
      <c r="B416" s="71"/>
      <c r="C416" s="66"/>
      <c r="D416" s="66">
        <f t="shared" si="3"/>
        <v>0</v>
      </c>
      <c r="E416" s="67"/>
      <c r="F416" s="58">
        <f t="shared" si="150"/>
        <v>-8</v>
      </c>
      <c r="G416" s="58"/>
      <c r="H416" s="58">
        <f t="shared" ref="H416:M416" si="413">SUMIFS($C416,$B416,H$8)+H415</f>
        <v>0</v>
      </c>
      <c r="I416" s="58">
        <f t="shared" si="413"/>
        <v>9</v>
      </c>
      <c r="J416" s="58">
        <f t="shared" si="413"/>
        <v>36</v>
      </c>
      <c r="K416" s="58">
        <f t="shared" si="413"/>
        <v>0</v>
      </c>
      <c r="L416" s="58">
        <f t="shared" si="413"/>
        <v>0</v>
      </c>
      <c r="M416" s="58">
        <f t="shared" si="413"/>
        <v>0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0" customHeight="1">
      <c r="A417" s="70"/>
      <c r="B417" s="71"/>
      <c r="C417" s="66"/>
      <c r="D417" s="66">
        <f t="shared" si="3"/>
        <v>0</v>
      </c>
      <c r="E417" s="67"/>
      <c r="F417" s="58">
        <f t="shared" si="150"/>
        <v>-8</v>
      </c>
      <c r="G417" s="58"/>
      <c r="H417" s="58">
        <f t="shared" ref="H417:M417" si="414">SUMIFS($C417,$B417,H$8)+H416</f>
        <v>0</v>
      </c>
      <c r="I417" s="58">
        <f t="shared" si="414"/>
        <v>9</v>
      </c>
      <c r="J417" s="58">
        <f t="shared" si="414"/>
        <v>36</v>
      </c>
      <c r="K417" s="58">
        <f t="shared" si="414"/>
        <v>0</v>
      </c>
      <c r="L417" s="58">
        <f t="shared" si="414"/>
        <v>0</v>
      </c>
      <c r="M417" s="58">
        <f t="shared" si="414"/>
        <v>0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0" customHeight="1">
      <c r="A418" s="70"/>
      <c r="B418" s="71"/>
      <c r="C418" s="66"/>
      <c r="D418" s="66">
        <f t="shared" si="3"/>
        <v>0</v>
      </c>
      <c r="E418" s="67"/>
      <c r="F418" s="58">
        <f t="shared" si="150"/>
        <v>-8</v>
      </c>
      <c r="G418" s="58"/>
      <c r="H418" s="58">
        <f t="shared" ref="H418:M418" si="415">SUMIFS($C418,$B418,H$8)+H417</f>
        <v>0</v>
      </c>
      <c r="I418" s="58">
        <f t="shared" si="415"/>
        <v>9</v>
      </c>
      <c r="J418" s="58">
        <f t="shared" si="415"/>
        <v>36</v>
      </c>
      <c r="K418" s="58">
        <f t="shared" si="415"/>
        <v>0</v>
      </c>
      <c r="L418" s="58">
        <f t="shared" si="415"/>
        <v>0</v>
      </c>
      <c r="M418" s="58">
        <f t="shared" si="415"/>
        <v>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0" customHeight="1">
      <c r="A419" s="70"/>
      <c r="B419" s="71"/>
      <c r="C419" s="66"/>
      <c r="D419" s="66">
        <f t="shared" si="3"/>
        <v>0</v>
      </c>
      <c r="E419" s="67"/>
      <c r="F419" s="58">
        <f t="shared" si="150"/>
        <v>-8</v>
      </c>
      <c r="G419" s="58"/>
      <c r="H419" s="58">
        <f t="shared" ref="H419:M419" si="416">SUMIFS($C419,$B419,H$8)+H418</f>
        <v>0</v>
      </c>
      <c r="I419" s="58">
        <f t="shared" si="416"/>
        <v>9</v>
      </c>
      <c r="J419" s="58">
        <f t="shared" si="416"/>
        <v>36</v>
      </c>
      <c r="K419" s="58">
        <f t="shared" si="416"/>
        <v>0</v>
      </c>
      <c r="L419" s="58">
        <f t="shared" si="416"/>
        <v>0</v>
      </c>
      <c r="M419" s="58">
        <f t="shared" si="416"/>
        <v>0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0" customHeight="1">
      <c r="A420" s="70"/>
      <c r="B420" s="71"/>
      <c r="C420" s="66"/>
      <c r="D420" s="66">
        <f t="shared" si="3"/>
        <v>0</v>
      </c>
      <c r="E420" s="67"/>
      <c r="F420" s="58">
        <f t="shared" si="150"/>
        <v>-8</v>
      </c>
      <c r="G420" s="58"/>
      <c r="H420" s="58">
        <f t="shared" ref="H420:M420" si="417">SUMIFS($C420,$B420,H$8)+H419</f>
        <v>0</v>
      </c>
      <c r="I420" s="58">
        <f t="shared" si="417"/>
        <v>9</v>
      </c>
      <c r="J420" s="58">
        <f t="shared" si="417"/>
        <v>36</v>
      </c>
      <c r="K420" s="58">
        <f t="shared" si="417"/>
        <v>0</v>
      </c>
      <c r="L420" s="58">
        <f t="shared" si="417"/>
        <v>0</v>
      </c>
      <c r="M420" s="58">
        <f t="shared" si="417"/>
        <v>0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0" customHeight="1">
      <c r="A421" s="70"/>
      <c r="B421" s="71"/>
      <c r="C421" s="66"/>
      <c r="D421" s="66">
        <f t="shared" si="3"/>
        <v>0</v>
      </c>
      <c r="E421" s="67"/>
      <c r="F421" s="58">
        <f t="shared" si="150"/>
        <v>-8</v>
      </c>
      <c r="G421" s="58"/>
      <c r="H421" s="58">
        <f t="shared" ref="H421:M421" si="418">SUMIFS($C421,$B421,H$8)+H420</f>
        <v>0</v>
      </c>
      <c r="I421" s="58">
        <f t="shared" si="418"/>
        <v>9</v>
      </c>
      <c r="J421" s="58">
        <f t="shared" si="418"/>
        <v>36</v>
      </c>
      <c r="K421" s="58">
        <f t="shared" si="418"/>
        <v>0</v>
      </c>
      <c r="L421" s="58">
        <f t="shared" si="418"/>
        <v>0</v>
      </c>
      <c r="M421" s="58">
        <f t="shared" si="418"/>
        <v>0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0" customHeight="1">
      <c r="A422" s="70"/>
      <c r="B422" s="71"/>
      <c r="C422" s="66"/>
      <c r="D422" s="66">
        <f t="shared" si="3"/>
        <v>0</v>
      </c>
      <c r="E422" s="67"/>
      <c r="F422" s="58">
        <f t="shared" si="150"/>
        <v>-8</v>
      </c>
      <c r="G422" s="58"/>
      <c r="H422" s="58">
        <f t="shared" ref="H422:M422" si="419">SUMIFS($C422,$B422,H$8)+H421</f>
        <v>0</v>
      </c>
      <c r="I422" s="58">
        <f t="shared" si="419"/>
        <v>9</v>
      </c>
      <c r="J422" s="58">
        <f t="shared" si="419"/>
        <v>36</v>
      </c>
      <c r="K422" s="58">
        <f t="shared" si="419"/>
        <v>0</v>
      </c>
      <c r="L422" s="58">
        <f t="shared" si="419"/>
        <v>0</v>
      </c>
      <c r="M422" s="58">
        <f t="shared" si="419"/>
        <v>0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0" customHeight="1">
      <c r="A423" s="70"/>
      <c r="B423" s="71"/>
      <c r="C423" s="66"/>
      <c r="D423" s="66">
        <f t="shared" si="3"/>
        <v>0</v>
      </c>
      <c r="E423" s="67"/>
      <c r="F423" s="58">
        <f t="shared" si="150"/>
        <v>-8</v>
      </c>
      <c r="G423" s="58"/>
      <c r="H423" s="58">
        <f t="shared" ref="H423:M423" si="420">SUMIFS($C423,$B423,H$8)+H422</f>
        <v>0</v>
      </c>
      <c r="I423" s="58">
        <f t="shared" si="420"/>
        <v>9</v>
      </c>
      <c r="J423" s="58">
        <f t="shared" si="420"/>
        <v>36</v>
      </c>
      <c r="K423" s="58">
        <f t="shared" si="420"/>
        <v>0</v>
      </c>
      <c r="L423" s="58">
        <f t="shared" si="420"/>
        <v>0</v>
      </c>
      <c r="M423" s="58">
        <f t="shared" si="420"/>
        <v>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0" customHeight="1">
      <c r="A424" s="70"/>
      <c r="B424" s="71"/>
      <c r="C424" s="66"/>
      <c r="D424" s="66">
        <f t="shared" si="3"/>
        <v>0</v>
      </c>
      <c r="E424" s="67"/>
      <c r="F424" s="58">
        <f t="shared" si="150"/>
        <v>-8</v>
      </c>
      <c r="G424" s="58"/>
      <c r="H424" s="58">
        <f t="shared" ref="H424:M424" si="421">SUMIFS($C424,$B424,H$8)+H423</f>
        <v>0</v>
      </c>
      <c r="I424" s="58">
        <f t="shared" si="421"/>
        <v>9</v>
      </c>
      <c r="J424" s="58">
        <f t="shared" si="421"/>
        <v>36</v>
      </c>
      <c r="K424" s="58">
        <f t="shared" si="421"/>
        <v>0</v>
      </c>
      <c r="L424" s="58">
        <f t="shared" si="421"/>
        <v>0</v>
      </c>
      <c r="M424" s="58">
        <f t="shared" si="421"/>
        <v>0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0" customHeight="1">
      <c r="A425" s="70"/>
      <c r="B425" s="71"/>
      <c r="C425" s="66"/>
      <c r="D425" s="66">
        <f t="shared" si="3"/>
        <v>0</v>
      </c>
      <c r="E425" s="67"/>
      <c r="F425" s="58">
        <f t="shared" si="150"/>
        <v>-8</v>
      </c>
      <c r="G425" s="58"/>
      <c r="H425" s="58">
        <f t="shared" ref="H425:M425" si="422">SUMIFS($C425,$B425,H$8)+H424</f>
        <v>0</v>
      </c>
      <c r="I425" s="58">
        <f t="shared" si="422"/>
        <v>9</v>
      </c>
      <c r="J425" s="58">
        <f t="shared" si="422"/>
        <v>36</v>
      </c>
      <c r="K425" s="58">
        <f t="shared" si="422"/>
        <v>0</v>
      </c>
      <c r="L425" s="58">
        <f t="shared" si="422"/>
        <v>0</v>
      </c>
      <c r="M425" s="58">
        <f t="shared" si="422"/>
        <v>0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0" customHeight="1">
      <c r="A426" s="70"/>
      <c r="B426" s="71"/>
      <c r="C426" s="66"/>
      <c r="D426" s="66">
        <f t="shared" si="3"/>
        <v>0</v>
      </c>
      <c r="E426" s="67"/>
      <c r="F426" s="58">
        <f t="shared" si="150"/>
        <v>-8</v>
      </c>
      <c r="G426" s="58"/>
      <c r="H426" s="58">
        <f t="shared" ref="H426:M426" si="423">SUMIFS($C426,$B426,H$8)+H425</f>
        <v>0</v>
      </c>
      <c r="I426" s="58">
        <f t="shared" si="423"/>
        <v>9</v>
      </c>
      <c r="J426" s="58">
        <f t="shared" si="423"/>
        <v>36</v>
      </c>
      <c r="K426" s="58">
        <f t="shared" si="423"/>
        <v>0</v>
      </c>
      <c r="L426" s="58">
        <f t="shared" si="423"/>
        <v>0</v>
      </c>
      <c r="M426" s="58">
        <f t="shared" si="423"/>
        <v>0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0" customHeight="1">
      <c r="A427" s="70"/>
      <c r="B427" s="71"/>
      <c r="C427" s="66"/>
      <c r="D427" s="66">
        <f t="shared" si="3"/>
        <v>0</v>
      </c>
      <c r="E427" s="67"/>
      <c r="F427" s="58">
        <f t="shared" si="150"/>
        <v>-8</v>
      </c>
      <c r="G427" s="58"/>
      <c r="H427" s="58">
        <f t="shared" ref="H427:M427" si="424">SUMIFS($C427,$B427,H$8)+H426</f>
        <v>0</v>
      </c>
      <c r="I427" s="58">
        <f t="shared" si="424"/>
        <v>9</v>
      </c>
      <c r="J427" s="58">
        <f t="shared" si="424"/>
        <v>36</v>
      </c>
      <c r="K427" s="58">
        <f t="shared" si="424"/>
        <v>0</v>
      </c>
      <c r="L427" s="58">
        <f t="shared" si="424"/>
        <v>0</v>
      </c>
      <c r="M427" s="58">
        <f t="shared" si="424"/>
        <v>0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0" customHeight="1">
      <c r="A428" s="70"/>
      <c r="B428" s="71"/>
      <c r="C428" s="66"/>
      <c r="D428" s="66">
        <f t="shared" si="3"/>
        <v>0</v>
      </c>
      <c r="E428" s="67"/>
      <c r="F428" s="58">
        <f t="shared" si="150"/>
        <v>-8</v>
      </c>
      <c r="G428" s="58"/>
      <c r="H428" s="58">
        <f t="shared" ref="H428:M428" si="425">SUMIFS($C428,$B428,H$8)+H427</f>
        <v>0</v>
      </c>
      <c r="I428" s="58">
        <f t="shared" si="425"/>
        <v>9</v>
      </c>
      <c r="J428" s="58">
        <f t="shared" si="425"/>
        <v>36</v>
      </c>
      <c r="K428" s="58">
        <f t="shared" si="425"/>
        <v>0</v>
      </c>
      <c r="L428" s="58">
        <f t="shared" si="425"/>
        <v>0</v>
      </c>
      <c r="M428" s="58">
        <f t="shared" si="425"/>
        <v>0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0" customHeight="1">
      <c r="A429" s="70"/>
      <c r="B429" s="71"/>
      <c r="C429" s="66"/>
      <c r="D429" s="66">
        <f t="shared" si="3"/>
        <v>0</v>
      </c>
      <c r="E429" s="67"/>
      <c r="F429" s="58">
        <f t="shared" si="150"/>
        <v>-8</v>
      </c>
      <c r="G429" s="58"/>
      <c r="H429" s="58">
        <f t="shared" ref="H429:M429" si="426">SUMIFS($C429,$B429,H$8)+H428</f>
        <v>0</v>
      </c>
      <c r="I429" s="58">
        <f t="shared" si="426"/>
        <v>9</v>
      </c>
      <c r="J429" s="58">
        <f t="shared" si="426"/>
        <v>36</v>
      </c>
      <c r="K429" s="58">
        <f t="shared" si="426"/>
        <v>0</v>
      </c>
      <c r="L429" s="58">
        <f t="shared" si="426"/>
        <v>0</v>
      </c>
      <c r="M429" s="58">
        <f t="shared" si="426"/>
        <v>0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0" customHeight="1">
      <c r="A430" s="70"/>
      <c r="B430" s="71"/>
      <c r="C430" s="66"/>
      <c r="D430" s="66">
        <f t="shared" si="3"/>
        <v>0</v>
      </c>
      <c r="E430" s="67"/>
      <c r="F430" s="58">
        <f t="shared" si="150"/>
        <v>-8</v>
      </c>
      <c r="G430" s="58"/>
      <c r="H430" s="58">
        <f t="shared" ref="H430:M430" si="427">SUMIFS($C430,$B430,H$8)+H429</f>
        <v>0</v>
      </c>
      <c r="I430" s="58">
        <f t="shared" si="427"/>
        <v>9</v>
      </c>
      <c r="J430" s="58">
        <f t="shared" si="427"/>
        <v>36</v>
      </c>
      <c r="K430" s="58">
        <f t="shared" si="427"/>
        <v>0</v>
      </c>
      <c r="L430" s="58">
        <f t="shared" si="427"/>
        <v>0</v>
      </c>
      <c r="M430" s="58">
        <f t="shared" si="427"/>
        <v>0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0" customHeight="1">
      <c r="A431" s="70"/>
      <c r="B431" s="71"/>
      <c r="C431" s="66"/>
      <c r="D431" s="66">
        <f t="shared" si="3"/>
        <v>0</v>
      </c>
      <c r="E431" s="67"/>
      <c r="F431" s="58">
        <f t="shared" si="150"/>
        <v>-8</v>
      </c>
      <c r="G431" s="58"/>
      <c r="H431" s="58">
        <f t="shared" ref="H431:M431" si="428">SUMIFS($C431,$B431,H$8)+H430</f>
        <v>0</v>
      </c>
      <c r="I431" s="58">
        <f t="shared" si="428"/>
        <v>9</v>
      </c>
      <c r="J431" s="58">
        <f t="shared" si="428"/>
        <v>36</v>
      </c>
      <c r="K431" s="58">
        <f t="shared" si="428"/>
        <v>0</v>
      </c>
      <c r="L431" s="58">
        <f t="shared" si="428"/>
        <v>0</v>
      </c>
      <c r="M431" s="58">
        <f t="shared" si="428"/>
        <v>0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0" customHeight="1">
      <c r="A432" s="70"/>
      <c r="B432" s="71"/>
      <c r="C432" s="66"/>
      <c r="D432" s="66">
        <f t="shared" si="3"/>
        <v>0</v>
      </c>
      <c r="E432" s="67"/>
      <c r="F432" s="58">
        <f t="shared" si="150"/>
        <v>-8</v>
      </c>
      <c r="G432" s="58"/>
      <c r="H432" s="58">
        <f t="shared" ref="H432:M432" si="429">SUMIFS($C432,$B432,H$8)+H431</f>
        <v>0</v>
      </c>
      <c r="I432" s="58">
        <f t="shared" si="429"/>
        <v>9</v>
      </c>
      <c r="J432" s="58">
        <f t="shared" si="429"/>
        <v>36</v>
      </c>
      <c r="K432" s="58">
        <f t="shared" si="429"/>
        <v>0</v>
      </c>
      <c r="L432" s="58">
        <f t="shared" si="429"/>
        <v>0</v>
      </c>
      <c r="M432" s="58">
        <f t="shared" si="429"/>
        <v>0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0" customHeight="1">
      <c r="A433" s="70"/>
      <c r="B433" s="71"/>
      <c r="C433" s="66"/>
      <c r="D433" s="66">
        <f t="shared" si="3"/>
        <v>0</v>
      </c>
      <c r="E433" s="67"/>
      <c r="F433" s="58">
        <f t="shared" si="150"/>
        <v>-8</v>
      </c>
      <c r="G433" s="58"/>
      <c r="H433" s="58">
        <f t="shared" ref="H433:M433" si="430">SUMIFS($C433,$B433,H$8)+H432</f>
        <v>0</v>
      </c>
      <c r="I433" s="58">
        <f t="shared" si="430"/>
        <v>9</v>
      </c>
      <c r="J433" s="58">
        <f t="shared" si="430"/>
        <v>36</v>
      </c>
      <c r="K433" s="58">
        <f t="shared" si="430"/>
        <v>0</v>
      </c>
      <c r="L433" s="58">
        <f t="shared" si="430"/>
        <v>0</v>
      </c>
      <c r="M433" s="58">
        <f t="shared" si="430"/>
        <v>0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0" customHeight="1">
      <c r="A434" s="70"/>
      <c r="B434" s="71"/>
      <c r="C434" s="66"/>
      <c r="D434" s="66">
        <f t="shared" si="3"/>
        <v>0</v>
      </c>
      <c r="E434" s="67"/>
      <c r="F434" s="58">
        <f t="shared" si="150"/>
        <v>-8</v>
      </c>
      <c r="G434" s="58"/>
      <c r="H434" s="58">
        <f t="shared" ref="H434:M434" si="431">SUMIFS($C434,$B434,H$8)+H433</f>
        <v>0</v>
      </c>
      <c r="I434" s="58">
        <f t="shared" si="431"/>
        <v>9</v>
      </c>
      <c r="J434" s="58">
        <f t="shared" si="431"/>
        <v>36</v>
      </c>
      <c r="K434" s="58">
        <f t="shared" si="431"/>
        <v>0</v>
      </c>
      <c r="L434" s="58">
        <f t="shared" si="431"/>
        <v>0</v>
      </c>
      <c r="M434" s="58">
        <f t="shared" si="431"/>
        <v>0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0" customHeight="1">
      <c r="A435" s="70"/>
      <c r="B435" s="71"/>
      <c r="C435" s="66"/>
      <c r="D435" s="66">
        <f t="shared" si="3"/>
        <v>0</v>
      </c>
      <c r="E435" s="67"/>
      <c r="F435" s="58">
        <f t="shared" si="150"/>
        <v>-8</v>
      </c>
      <c r="G435" s="58"/>
      <c r="H435" s="58">
        <f t="shared" ref="H435:M435" si="432">SUMIFS($C435,$B435,H$8)+H434</f>
        <v>0</v>
      </c>
      <c r="I435" s="58">
        <f t="shared" si="432"/>
        <v>9</v>
      </c>
      <c r="J435" s="58">
        <f t="shared" si="432"/>
        <v>36</v>
      </c>
      <c r="K435" s="58">
        <f t="shared" si="432"/>
        <v>0</v>
      </c>
      <c r="L435" s="58">
        <f t="shared" si="432"/>
        <v>0</v>
      </c>
      <c r="M435" s="58">
        <f t="shared" si="432"/>
        <v>0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0" customHeight="1">
      <c r="A436" s="70"/>
      <c r="B436" s="71"/>
      <c r="C436" s="66"/>
      <c r="D436" s="66">
        <f t="shared" si="3"/>
        <v>0</v>
      </c>
      <c r="E436" s="67"/>
      <c r="F436" s="58">
        <f t="shared" si="150"/>
        <v>-8</v>
      </c>
      <c r="G436" s="58"/>
      <c r="H436" s="58">
        <f t="shared" ref="H436:M436" si="433">SUMIFS($C436,$B436,H$8)+H435</f>
        <v>0</v>
      </c>
      <c r="I436" s="58">
        <f t="shared" si="433"/>
        <v>9</v>
      </c>
      <c r="J436" s="58">
        <f t="shared" si="433"/>
        <v>36</v>
      </c>
      <c r="K436" s="58">
        <f t="shared" si="433"/>
        <v>0</v>
      </c>
      <c r="L436" s="58">
        <f t="shared" si="433"/>
        <v>0</v>
      </c>
      <c r="M436" s="58">
        <f t="shared" si="433"/>
        <v>0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0" customHeight="1">
      <c r="A437" s="70"/>
      <c r="B437" s="71"/>
      <c r="C437" s="66"/>
      <c r="D437" s="66">
        <f t="shared" si="3"/>
        <v>0</v>
      </c>
      <c r="E437" s="67"/>
      <c r="F437" s="58">
        <f t="shared" si="150"/>
        <v>-8</v>
      </c>
      <c r="G437" s="58"/>
      <c r="H437" s="58">
        <f t="shared" ref="H437:M437" si="434">SUMIFS($C437,$B437,H$8)+H436</f>
        <v>0</v>
      </c>
      <c r="I437" s="58">
        <f t="shared" si="434"/>
        <v>9</v>
      </c>
      <c r="J437" s="58">
        <f t="shared" si="434"/>
        <v>36</v>
      </c>
      <c r="K437" s="58">
        <f t="shared" si="434"/>
        <v>0</v>
      </c>
      <c r="L437" s="58">
        <f t="shared" si="434"/>
        <v>0</v>
      </c>
      <c r="M437" s="58">
        <f t="shared" si="434"/>
        <v>0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0" customHeight="1">
      <c r="A438" s="70"/>
      <c r="B438" s="71"/>
      <c r="C438" s="66"/>
      <c r="D438" s="66">
        <f t="shared" si="3"/>
        <v>0</v>
      </c>
      <c r="E438" s="67"/>
      <c r="F438" s="58">
        <f t="shared" si="150"/>
        <v>-8</v>
      </c>
      <c r="G438" s="58"/>
      <c r="H438" s="58">
        <f t="shared" ref="H438:M438" si="435">SUMIFS($C438,$B438,H$8)+H437</f>
        <v>0</v>
      </c>
      <c r="I438" s="58">
        <f t="shared" si="435"/>
        <v>9</v>
      </c>
      <c r="J438" s="58">
        <f t="shared" si="435"/>
        <v>36</v>
      </c>
      <c r="K438" s="58">
        <f t="shared" si="435"/>
        <v>0</v>
      </c>
      <c r="L438" s="58">
        <f t="shared" si="435"/>
        <v>0</v>
      </c>
      <c r="M438" s="58">
        <f t="shared" si="435"/>
        <v>0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0" customHeight="1">
      <c r="A439" s="70"/>
      <c r="B439" s="71"/>
      <c r="C439" s="66"/>
      <c r="D439" s="66">
        <f t="shared" si="3"/>
        <v>0</v>
      </c>
      <c r="E439" s="67"/>
      <c r="F439" s="58">
        <f t="shared" si="150"/>
        <v>-8</v>
      </c>
      <c r="G439" s="58"/>
      <c r="H439" s="58">
        <f t="shared" ref="H439:M439" si="436">SUMIFS($C439,$B439,H$8)+H438</f>
        <v>0</v>
      </c>
      <c r="I439" s="58">
        <f t="shared" si="436"/>
        <v>9</v>
      </c>
      <c r="J439" s="58">
        <f t="shared" si="436"/>
        <v>36</v>
      </c>
      <c r="K439" s="58">
        <f t="shared" si="436"/>
        <v>0</v>
      </c>
      <c r="L439" s="58">
        <f t="shared" si="436"/>
        <v>0</v>
      </c>
      <c r="M439" s="58">
        <f t="shared" si="436"/>
        <v>0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0" customHeight="1">
      <c r="A440" s="70"/>
      <c r="B440" s="71"/>
      <c r="C440" s="66"/>
      <c r="D440" s="66">
        <f t="shared" si="3"/>
        <v>0</v>
      </c>
      <c r="E440" s="67"/>
      <c r="F440" s="58">
        <f t="shared" si="150"/>
        <v>-8</v>
      </c>
      <c r="G440" s="58"/>
      <c r="H440" s="58">
        <f t="shared" ref="H440:M440" si="437">SUMIFS($C440,$B440,H$8)+H439</f>
        <v>0</v>
      </c>
      <c r="I440" s="58">
        <f t="shared" si="437"/>
        <v>9</v>
      </c>
      <c r="J440" s="58">
        <f t="shared" si="437"/>
        <v>36</v>
      </c>
      <c r="K440" s="58">
        <f t="shared" si="437"/>
        <v>0</v>
      </c>
      <c r="L440" s="58">
        <f t="shared" si="437"/>
        <v>0</v>
      </c>
      <c r="M440" s="58">
        <f t="shared" si="437"/>
        <v>0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0" customHeight="1">
      <c r="A441" s="70"/>
      <c r="B441" s="71"/>
      <c r="C441" s="66"/>
      <c r="D441" s="66">
        <f t="shared" si="3"/>
        <v>0</v>
      </c>
      <c r="E441" s="67"/>
      <c r="F441" s="58">
        <f t="shared" si="150"/>
        <v>-8</v>
      </c>
      <c r="G441" s="58"/>
      <c r="H441" s="58">
        <f t="shared" ref="H441:M441" si="438">SUMIFS($C441,$B441,H$8)+H440</f>
        <v>0</v>
      </c>
      <c r="I441" s="58">
        <f t="shared" si="438"/>
        <v>9</v>
      </c>
      <c r="J441" s="58">
        <f t="shared" si="438"/>
        <v>36</v>
      </c>
      <c r="K441" s="58">
        <f t="shared" si="438"/>
        <v>0</v>
      </c>
      <c r="L441" s="58">
        <f t="shared" si="438"/>
        <v>0</v>
      </c>
      <c r="M441" s="58">
        <f t="shared" si="438"/>
        <v>0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0" customHeight="1">
      <c r="A442" s="70"/>
      <c r="B442" s="71"/>
      <c r="C442" s="66"/>
      <c r="D442" s="66">
        <f t="shared" si="3"/>
        <v>0</v>
      </c>
      <c r="E442" s="67"/>
      <c r="F442" s="58">
        <f t="shared" si="150"/>
        <v>-8</v>
      </c>
      <c r="G442" s="58"/>
      <c r="H442" s="58">
        <f t="shared" ref="H442:M442" si="439">SUMIFS($C442,$B442,H$8)+H441</f>
        <v>0</v>
      </c>
      <c r="I442" s="58">
        <f t="shared" si="439"/>
        <v>9</v>
      </c>
      <c r="J442" s="58">
        <f t="shared" si="439"/>
        <v>36</v>
      </c>
      <c r="K442" s="58">
        <f t="shared" si="439"/>
        <v>0</v>
      </c>
      <c r="L442" s="58">
        <f t="shared" si="439"/>
        <v>0</v>
      </c>
      <c r="M442" s="58">
        <f t="shared" si="439"/>
        <v>0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0" customHeight="1">
      <c r="A443" s="70"/>
      <c r="B443" s="71"/>
      <c r="C443" s="66"/>
      <c r="D443" s="66">
        <f t="shared" si="3"/>
        <v>0</v>
      </c>
      <c r="E443" s="67"/>
      <c r="F443" s="58">
        <f t="shared" si="150"/>
        <v>-8</v>
      </c>
      <c r="G443" s="58"/>
      <c r="H443" s="58">
        <f t="shared" ref="H443:M443" si="440">SUMIFS($C443,$B443,H$8)+H442</f>
        <v>0</v>
      </c>
      <c r="I443" s="58">
        <f t="shared" si="440"/>
        <v>9</v>
      </c>
      <c r="J443" s="58">
        <f t="shared" si="440"/>
        <v>36</v>
      </c>
      <c r="K443" s="58">
        <f t="shared" si="440"/>
        <v>0</v>
      </c>
      <c r="L443" s="58">
        <f t="shared" si="440"/>
        <v>0</v>
      </c>
      <c r="M443" s="58">
        <f t="shared" si="440"/>
        <v>0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0" customHeight="1">
      <c r="A444" s="70"/>
      <c r="B444" s="71"/>
      <c r="C444" s="66"/>
      <c r="D444" s="66">
        <f t="shared" si="3"/>
        <v>0</v>
      </c>
      <c r="E444" s="67"/>
      <c r="F444" s="58">
        <f t="shared" si="150"/>
        <v>-8</v>
      </c>
      <c r="G444" s="58"/>
      <c r="H444" s="58">
        <f t="shared" ref="H444:M444" si="441">SUMIFS($C444,$B444,H$8)+H443</f>
        <v>0</v>
      </c>
      <c r="I444" s="58">
        <f t="shared" si="441"/>
        <v>9</v>
      </c>
      <c r="J444" s="58">
        <f t="shared" si="441"/>
        <v>36</v>
      </c>
      <c r="K444" s="58">
        <f t="shared" si="441"/>
        <v>0</v>
      </c>
      <c r="L444" s="58">
        <f t="shared" si="441"/>
        <v>0</v>
      </c>
      <c r="M444" s="58">
        <f t="shared" si="441"/>
        <v>0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0" customHeight="1">
      <c r="A445" s="70"/>
      <c r="B445" s="71"/>
      <c r="C445" s="66"/>
      <c r="D445" s="66">
        <f t="shared" si="3"/>
        <v>0</v>
      </c>
      <c r="E445" s="67"/>
      <c r="F445" s="58">
        <f t="shared" si="150"/>
        <v>-8</v>
      </c>
      <c r="G445" s="58"/>
      <c r="H445" s="58">
        <f t="shared" ref="H445:M445" si="442">SUMIFS($C445,$B445,H$8)+H444</f>
        <v>0</v>
      </c>
      <c r="I445" s="58">
        <f t="shared" si="442"/>
        <v>9</v>
      </c>
      <c r="J445" s="58">
        <f t="shared" si="442"/>
        <v>36</v>
      </c>
      <c r="K445" s="58">
        <f t="shared" si="442"/>
        <v>0</v>
      </c>
      <c r="L445" s="58">
        <f t="shared" si="442"/>
        <v>0</v>
      </c>
      <c r="M445" s="58">
        <f t="shared" si="442"/>
        <v>0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0" customHeight="1">
      <c r="A446" s="70"/>
      <c r="B446" s="71"/>
      <c r="C446" s="66"/>
      <c r="D446" s="66">
        <f t="shared" si="3"/>
        <v>0</v>
      </c>
      <c r="E446" s="67"/>
      <c r="F446" s="58">
        <f t="shared" si="150"/>
        <v>-8</v>
      </c>
      <c r="G446" s="58"/>
      <c r="H446" s="58">
        <f t="shared" ref="H446:M446" si="443">SUMIFS($C446,$B446,H$8)+H445</f>
        <v>0</v>
      </c>
      <c r="I446" s="58">
        <f t="shared" si="443"/>
        <v>9</v>
      </c>
      <c r="J446" s="58">
        <f t="shared" si="443"/>
        <v>36</v>
      </c>
      <c r="K446" s="58">
        <f t="shared" si="443"/>
        <v>0</v>
      </c>
      <c r="L446" s="58">
        <f t="shared" si="443"/>
        <v>0</v>
      </c>
      <c r="M446" s="58">
        <f t="shared" si="443"/>
        <v>0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0" customHeight="1">
      <c r="A447" s="70"/>
      <c r="B447" s="71"/>
      <c r="C447" s="66"/>
      <c r="D447" s="66">
        <f t="shared" si="3"/>
        <v>0</v>
      </c>
      <c r="E447" s="67"/>
      <c r="F447" s="58">
        <f t="shared" si="150"/>
        <v>-8</v>
      </c>
      <c r="G447" s="58"/>
      <c r="H447" s="58">
        <f t="shared" ref="H447:M447" si="444">SUMIFS($C447,$B447,H$8)+H446</f>
        <v>0</v>
      </c>
      <c r="I447" s="58">
        <f t="shared" si="444"/>
        <v>9</v>
      </c>
      <c r="J447" s="58">
        <f t="shared" si="444"/>
        <v>36</v>
      </c>
      <c r="K447" s="58">
        <f t="shared" si="444"/>
        <v>0</v>
      </c>
      <c r="L447" s="58">
        <f t="shared" si="444"/>
        <v>0</v>
      </c>
      <c r="M447" s="58">
        <f t="shared" si="444"/>
        <v>0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0" customHeight="1">
      <c r="A448" s="70"/>
      <c r="B448" s="71"/>
      <c r="C448" s="66"/>
      <c r="D448" s="66">
        <f t="shared" si="3"/>
        <v>0</v>
      </c>
      <c r="E448" s="67"/>
      <c r="F448" s="58">
        <f t="shared" si="150"/>
        <v>-8</v>
      </c>
      <c r="G448" s="58"/>
      <c r="H448" s="58">
        <f t="shared" ref="H448:M448" si="445">SUMIFS($C448,$B448,H$8)+H447</f>
        <v>0</v>
      </c>
      <c r="I448" s="58">
        <f t="shared" si="445"/>
        <v>9</v>
      </c>
      <c r="J448" s="58">
        <f t="shared" si="445"/>
        <v>36</v>
      </c>
      <c r="K448" s="58">
        <f t="shared" si="445"/>
        <v>0</v>
      </c>
      <c r="L448" s="58">
        <f t="shared" si="445"/>
        <v>0</v>
      </c>
      <c r="M448" s="58">
        <f t="shared" si="445"/>
        <v>0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0" customHeight="1">
      <c r="A449" s="70"/>
      <c r="B449" s="71"/>
      <c r="C449" s="66"/>
      <c r="D449" s="66">
        <f t="shared" si="3"/>
        <v>0</v>
      </c>
      <c r="E449" s="67"/>
      <c r="F449" s="58">
        <f t="shared" si="150"/>
        <v>-8</v>
      </c>
      <c r="G449" s="58"/>
      <c r="H449" s="58">
        <f t="shared" ref="H449:M449" si="446">SUMIFS($C449,$B449,H$8)+H448</f>
        <v>0</v>
      </c>
      <c r="I449" s="58">
        <f t="shared" si="446"/>
        <v>9</v>
      </c>
      <c r="J449" s="58">
        <f t="shared" si="446"/>
        <v>36</v>
      </c>
      <c r="K449" s="58">
        <f t="shared" si="446"/>
        <v>0</v>
      </c>
      <c r="L449" s="58">
        <f t="shared" si="446"/>
        <v>0</v>
      </c>
      <c r="M449" s="58">
        <f t="shared" si="446"/>
        <v>0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0" customHeight="1">
      <c r="A450" s="70"/>
      <c r="B450" s="71"/>
      <c r="C450" s="66"/>
      <c r="D450" s="66">
        <f t="shared" si="3"/>
        <v>0</v>
      </c>
      <c r="E450" s="67"/>
      <c r="F450" s="58">
        <f t="shared" si="150"/>
        <v>-8</v>
      </c>
      <c r="G450" s="58"/>
      <c r="H450" s="58">
        <f t="shared" ref="H450:M450" si="447">SUMIFS($C450,$B450,H$8)+H449</f>
        <v>0</v>
      </c>
      <c r="I450" s="58">
        <f t="shared" si="447"/>
        <v>9</v>
      </c>
      <c r="J450" s="58">
        <f t="shared" si="447"/>
        <v>36</v>
      </c>
      <c r="K450" s="58">
        <f t="shared" si="447"/>
        <v>0</v>
      </c>
      <c r="L450" s="58">
        <f t="shared" si="447"/>
        <v>0</v>
      </c>
      <c r="M450" s="58">
        <f t="shared" si="447"/>
        <v>0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0" customHeight="1">
      <c r="A451" s="70"/>
      <c r="B451" s="71"/>
      <c r="C451" s="66"/>
      <c r="D451" s="66">
        <f t="shared" si="3"/>
        <v>0</v>
      </c>
      <c r="E451" s="67"/>
      <c r="F451" s="58">
        <f t="shared" si="150"/>
        <v>-8</v>
      </c>
      <c r="G451" s="58"/>
      <c r="H451" s="58">
        <f t="shared" ref="H451:M451" si="448">SUMIFS($C451,$B451,H$8)+H450</f>
        <v>0</v>
      </c>
      <c r="I451" s="58">
        <f t="shared" si="448"/>
        <v>9</v>
      </c>
      <c r="J451" s="58">
        <f t="shared" si="448"/>
        <v>36</v>
      </c>
      <c r="K451" s="58">
        <f t="shared" si="448"/>
        <v>0</v>
      </c>
      <c r="L451" s="58">
        <f t="shared" si="448"/>
        <v>0</v>
      </c>
      <c r="M451" s="58">
        <f t="shared" si="448"/>
        <v>0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0" customHeight="1">
      <c r="A452" s="70"/>
      <c r="B452" s="71"/>
      <c r="C452" s="66"/>
      <c r="D452" s="66">
        <f t="shared" si="3"/>
        <v>0</v>
      </c>
      <c r="E452" s="67"/>
      <c r="F452" s="58">
        <f t="shared" si="150"/>
        <v>-8</v>
      </c>
      <c r="G452" s="58"/>
      <c r="H452" s="58">
        <f t="shared" ref="H452:M452" si="449">SUMIFS($C452,$B452,H$8)+H451</f>
        <v>0</v>
      </c>
      <c r="I452" s="58">
        <f t="shared" si="449"/>
        <v>9</v>
      </c>
      <c r="J452" s="58">
        <f t="shared" si="449"/>
        <v>36</v>
      </c>
      <c r="K452" s="58">
        <f t="shared" si="449"/>
        <v>0</v>
      </c>
      <c r="L452" s="58">
        <f t="shared" si="449"/>
        <v>0</v>
      </c>
      <c r="M452" s="58">
        <f t="shared" si="449"/>
        <v>0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0" customHeight="1">
      <c r="A453" s="70"/>
      <c r="B453" s="71"/>
      <c r="C453" s="66"/>
      <c r="D453" s="66">
        <f t="shared" si="3"/>
        <v>0</v>
      </c>
      <c r="E453" s="67"/>
      <c r="F453" s="58">
        <f t="shared" si="150"/>
        <v>-8</v>
      </c>
      <c r="G453" s="58"/>
      <c r="H453" s="58">
        <f t="shared" ref="H453:M453" si="450">SUMIFS($C453,$B453,H$8)+H452</f>
        <v>0</v>
      </c>
      <c r="I453" s="58">
        <f t="shared" si="450"/>
        <v>9</v>
      </c>
      <c r="J453" s="58">
        <f t="shared" si="450"/>
        <v>36</v>
      </c>
      <c r="K453" s="58">
        <f t="shared" si="450"/>
        <v>0</v>
      </c>
      <c r="L453" s="58">
        <f t="shared" si="450"/>
        <v>0</v>
      </c>
      <c r="M453" s="58">
        <f t="shared" si="450"/>
        <v>0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0" customHeight="1">
      <c r="A454" s="70"/>
      <c r="B454" s="71"/>
      <c r="C454" s="66"/>
      <c r="D454" s="66">
        <f t="shared" si="3"/>
        <v>0</v>
      </c>
      <c r="E454" s="67"/>
      <c r="F454" s="58">
        <f t="shared" si="150"/>
        <v>-8</v>
      </c>
      <c r="G454" s="58"/>
      <c r="H454" s="58">
        <f t="shared" ref="H454:M454" si="451">SUMIFS($C454,$B454,H$8)+H453</f>
        <v>0</v>
      </c>
      <c r="I454" s="58">
        <f t="shared" si="451"/>
        <v>9</v>
      </c>
      <c r="J454" s="58">
        <f t="shared" si="451"/>
        <v>36</v>
      </c>
      <c r="K454" s="58">
        <f t="shared" si="451"/>
        <v>0</v>
      </c>
      <c r="L454" s="58">
        <f t="shared" si="451"/>
        <v>0</v>
      </c>
      <c r="M454" s="58">
        <f t="shared" si="451"/>
        <v>0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0" customHeight="1">
      <c r="A455" s="70"/>
      <c r="B455" s="71"/>
      <c r="C455" s="66"/>
      <c r="D455" s="66">
        <f t="shared" si="3"/>
        <v>0</v>
      </c>
      <c r="E455" s="67"/>
      <c r="F455" s="58">
        <f t="shared" si="150"/>
        <v>-8</v>
      </c>
      <c r="G455" s="58"/>
      <c r="H455" s="58">
        <f t="shared" ref="H455:M455" si="452">SUMIFS($C455,$B455,H$8)+H454</f>
        <v>0</v>
      </c>
      <c r="I455" s="58">
        <f t="shared" si="452"/>
        <v>9</v>
      </c>
      <c r="J455" s="58">
        <f t="shared" si="452"/>
        <v>36</v>
      </c>
      <c r="K455" s="58">
        <f t="shared" si="452"/>
        <v>0</v>
      </c>
      <c r="L455" s="58">
        <f t="shared" si="452"/>
        <v>0</v>
      </c>
      <c r="M455" s="58">
        <f t="shared" si="452"/>
        <v>0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0" customHeight="1">
      <c r="A456" s="70"/>
      <c r="B456" s="71"/>
      <c r="C456" s="66"/>
      <c r="D456" s="66">
        <f t="shared" si="3"/>
        <v>0</v>
      </c>
      <c r="E456" s="67"/>
      <c r="F456" s="58">
        <f t="shared" si="150"/>
        <v>-8</v>
      </c>
      <c r="G456" s="58"/>
      <c r="H456" s="58">
        <f t="shared" ref="H456:M456" si="453">SUMIFS($C456,$B456,H$8)+H455</f>
        <v>0</v>
      </c>
      <c r="I456" s="58">
        <f t="shared" si="453"/>
        <v>9</v>
      </c>
      <c r="J456" s="58">
        <f t="shared" si="453"/>
        <v>36</v>
      </c>
      <c r="K456" s="58">
        <f t="shared" si="453"/>
        <v>0</v>
      </c>
      <c r="L456" s="58">
        <f t="shared" si="453"/>
        <v>0</v>
      </c>
      <c r="M456" s="58">
        <f t="shared" si="453"/>
        <v>0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0" customHeight="1">
      <c r="A457" s="70"/>
      <c r="B457" s="71"/>
      <c r="C457" s="66"/>
      <c r="D457" s="66">
        <f t="shared" si="3"/>
        <v>0</v>
      </c>
      <c r="E457" s="67"/>
      <c r="F457" s="58">
        <f t="shared" si="150"/>
        <v>-8</v>
      </c>
      <c r="G457" s="58"/>
      <c r="H457" s="58">
        <f t="shared" ref="H457:M457" si="454">SUMIFS($C457,$B457,H$8)+H456</f>
        <v>0</v>
      </c>
      <c r="I457" s="58">
        <f t="shared" si="454"/>
        <v>9</v>
      </c>
      <c r="J457" s="58">
        <f t="shared" si="454"/>
        <v>36</v>
      </c>
      <c r="K457" s="58">
        <f t="shared" si="454"/>
        <v>0</v>
      </c>
      <c r="L457" s="58">
        <f t="shared" si="454"/>
        <v>0</v>
      </c>
      <c r="M457" s="58">
        <f t="shared" si="454"/>
        <v>0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0" customHeight="1">
      <c r="A458" s="70"/>
      <c r="B458" s="71"/>
      <c r="C458" s="66"/>
      <c r="D458" s="66">
        <f t="shared" si="3"/>
        <v>0</v>
      </c>
      <c r="E458" s="67"/>
      <c r="F458" s="58">
        <f t="shared" si="150"/>
        <v>-8</v>
      </c>
      <c r="G458" s="58"/>
      <c r="H458" s="58">
        <f t="shared" ref="H458:M458" si="455">SUMIFS($C458,$B458,H$8)+H457</f>
        <v>0</v>
      </c>
      <c r="I458" s="58">
        <f t="shared" si="455"/>
        <v>9</v>
      </c>
      <c r="J458" s="58">
        <f t="shared" si="455"/>
        <v>36</v>
      </c>
      <c r="K458" s="58">
        <f t="shared" si="455"/>
        <v>0</v>
      </c>
      <c r="L458" s="58">
        <f t="shared" si="455"/>
        <v>0</v>
      </c>
      <c r="M458" s="58">
        <f t="shared" si="455"/>
        <v>0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0" customHeight="1">
      <c r="A459" s="70"/>
      <c r="B459" s="71"/>
      <c r="C459" s="66"/>
      <c r="D459" s="66">
        <f t="shared" si="3"/>
        <v>0</v>
      </c>
      <c r="E459" s="67"/>
      <c r="F459" s="58">
        <f t="shared" si="150"/>
        <v>-8</v>
      </c>
      <c r="G459" s="58"/>
      <c r="H459" s="58">
        <f t="shared" ref="H459:M459" si="456">SUMIFS($C459,$B459,H$8)+H458</f>
        <v>0</v>
      </c>
      <c r="I459" s="58">
        <f t="shared" si="456"/>
        <v>9</v>
      </c>
      <c r="J459" s="58">
        <f t="shared" si="456"/>
        <v>36</v>
      </c>
      <c r="K459" s="58">
        <f t="shared" si="456"/>
        <v>0</v>
      </c>
      <c r="L459" s="58">
        <f t="shared" si="456"/>
        <v>0</v>
      </c>
      <c r="M459" s="58">
        <f t="shared" si="456"/>
        <v>0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0" customHeight="1">
      <c r="A460" s="70"/>
      <c r="B460" s="71"/>
      <c r="C460" s="66"/>
      <c r="D460" s="66">
        <f t="shared" si="3"/>
        <v>0</v>
      </c>
      <c r="E460" s="67"/>
      <c r="F460" s="58">
        <f t="shared" si="150"/>
        <v>-8</v>
      </c>
      <c r="G460" s="58"/>
      <c r="H460" s="58">
        <f t="shared" ref="H460:M460" si="457">SUMIFS($C460,$B460,H$8)+H459</f>
        <v>0</v>
      </c>
      <c r="I460" s="58">
        <f t="shared" si="457"/>
        <v>9</v>
      </c>
      <c r="J460" s="58">
        <f t="shared" si="457"/>
        <v>36</v>
      </c>
      <c r="K460" s="58">
        <f t="shared" si="457"/>
        <v>0</v>
      </c>
      <c r="L460" s="58">
        <f t="shared" si="457"/>
        <v>0</v>
      </c>
      <c r="M460" s="58">
        <f t="shared" si="457"/>
        <v>0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0" customHeight="1">
      <c r="A461" s="70"/>
      <c r="B461" s="71"/>
      <c r="C461" s="66"/>
      <c r="D461" s="66">
        <f t="shared" si="3"/>
        <v>0</v>
      </c>
      <c r="E461" s="67"/>
      <c r="F461" s="58">
        <f t="shared" si="150"/>
        <v>-8</v>
      </c>
      <c r="G461" s="58"/>
      <c r="H461" s="58">
        <f t="shared" ref="H461:M461" si="458">SUMIFS($C461,$B461,H$8)+H460</f>
        <v>0</v>
      </c>
      <c r="I461" s="58">
        <f t="shared" si="458"/>
        <v>9</v>
      </c>
      <c r="J461" s="58">
        <f t="shared" si="458"/>
        <v>36</v>
      </c>
      <c r="K461" s="58">
        <f t="shared" si="458"/>
        <v>0</v>
      </c>
      <c r="L461" s="58">
        <f t="shared" si="458"/>
        <v>0</v>
      </c>
      <c r="M461" s="58">
        <f t="shared" si="458"/>
        <v>0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0" customHeight="1">
      <c r="A462" s="70"/>
      <c r="B462" s="71"/>
      <c r="C462" s="66"/>
      <c r="D462" s="66">
        <f t="shared" si="3"/>
        <v>0</v>
      </c>
      <c r="E462" s="67"/>
      <c r="F462" s="58">
        <f t="shared" si="150"/>
        <v>-8</v>
      </c>
      <c r="G462" s="58"/>
      <c r="H462" s="58">
        <f t="shared" ref="H462:M462" si="459">SUMIFS($C462,$B462,H$8)+H461</f>
        <v>0</v>
      </c>
      <c r="I462" s="58">
        <f t="shared" si="459"/>
        <v>9</v>
      </c>
      <c r="J462" s="58">
        <f t="shared" si="459"/>
        <v>36</v>
      </c>
      <c r="K462" s="58">
        <f t="shared" si="459"/>
        <v>0</v>
      </c>
      <c r="L462" s="58">
        <f t="shared" si="459"/>
        <v>0</v>
      </c>
      <c r="M462" s="58">
        <f t="shared" si="459"/>
        <v>0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0" customHeight="1">
      <c r="A463" s="70"/>
      <c r="B463" s="71"/>
      <c r="C463" s="66"/>
      <c r="D463" s="66">
        <f t="shared" si="3"/>
        <v>0</v>
      </c>
      <c r="E463" s="67"/>
      <c r="F463" s="58">
        <f t="shared" si="150"/>
        <v>-8</v>
      </c>
      <c r="G463" s="58"/>
      <c r="H463" s="58">
        <f t="shared" ref="H463:M463" si="460">SUMIFS($C463,$B463,H$8)+H462</f>
        <v>0</v>
      </c>
      <c r="I463" s="58">
        <f t="shared" si="460"/>
        <v>9</v>
      </c>
      <c r="J463" s="58">
        <f t="shared" si="460"/>
        <v>36</v>
      </c>
      <c r="K463" s="58">
        <f t="shared" si="460"/>
        <v>0</v>
      </c>
      <c r="L463" s="58">
        <f t="shared" si="460"/>
        <v>0</v>
      </c>
      <c r="M463" s="58">
        <f t="shared" si="460"/>
        <v>0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0" customHeight="1">
      <c r="A464" s="70"/>
      <c r="B464" s="71"/>
      <c r="C464" s="66"/>
      <c r="D464" s="66">
        <f t="shared" si="3"/>
        <v>0</v>
      </c>
      <c r="E464" s="67"/>
      <c r="F464" s="58">
        <f t="shared" si="150"/>
        <v>-8</v>
      </c>
      <c r="G464" s="58"/>
      <c r="H464" s="58">
        <f t="shared" ref="H464:M464" si="461">SUMIFS($C464,$B464,H$8)+H463</f>
        <v>0</v>
      </c>
      <c r="I464" s="58">
        <f t="shared" si="461"/>
        <v>9</v>
      </c>
      <c r="J464" s="58">
        <f t="shared" si="461"/>
        <v>36</v>
      </c>
      <c r="K464" s="58">
        <f t="shared" si="461"/>
        <v>0</v>
      </c>
      <c r="L464" s="58">
        <f t="shared" si="461"/>
        <v>0</v>
      </c>
      <c r="M464" s="58">
        <f t="shared" si="461"/>
        <v>0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0" customHeight="1">
      <c r="A465" s="70"/>
      <c r="B465" s="71"/>
      <c r="C465" s="66"/>
      <c r="D465" s="66">
        <f t="shared" si="3"/>
        <v>0</v>
      </c>
      <c r="E465" s="67"/>
      <c r="F465" s="58">
        <f t="shared" si="150"/>
        <v>-8</v>
      </c>
      <c r="G465" s="58"/>
      <c r="H465" s="58">
        <f t="shared" ref="H465:M465" si="462">SUMIFS($C465,$B465,H$8)+H464</f>
        <v>0</v>
      </c>
      <c r="I465" s="58">
        <f t="shared" si="462"/>
        <v>9</v>
      </c>
      <c r="J465" s="58">
        <f t="shared" si="462"/>
        <v>36</v>
      </c>
      <c r="K465" s="58">
        <f t="shared" si="462"/>
        <v>0</v>
      </c>
      <c r="L465" s="58">
        <f t="shared" si="462"/>
        <v>0</v>
      </c>
      <c r="M465" s="58">
        <f t="shared" si="462"/>
        <v>0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0" customHeight="1">
      <c r="A466" s="70"/>
      <c r="B466" s="71"/>
      <c r="C466" s="66"/>
      <c r="D466" s="66">
        <f t="shared" si="3"/>
        <v>0</v>
      </c>
      <c r="E466" s="67"/>
      <c r="F466" s="58">
        <f t="shared" si="150"/>
        <v>-8</v>
      </c>
      <c r="G466" s="58"/>
      <c r="H466" s="58">
        <f t="shared" ref="H466:M466" si="463">SUMIFS($C466,$B466,H$8)+H465</f>
        <v>0</v>
      </c>
      <c r="I466" s="58">
        <f t="shared" si="463"/>
        <v>9</v>
      </c>
      <c r="J466" s="58">
        <f t="shared" si="463"/>
        <v>36</v>
      </c>
      <c r="K466" s="58">
        <f t="shared" si="463"/>
        <v>0</v>
      </c>
      <c r="L466" s="58">
        <f t="shared" si="463"/>
        <v>0</v>
      </c>
      <c r="M466" s="58">
        <f t="shared" si="463"/>
        <v>0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0" customHeight="1">
      <c r="A467" s="70"/>
      <c r="B467" s="71"/>
      <c r="C467" s="66"/>
      <c r="D467" s="66">
        <f t="shared" si="3"/>
        <v>0</v>
      </c>
      <c r="E467" s="67"/>
      <c r="F467" s="58">
        <f t="shared" si="150"/>
        <v>-8</v>
      </c>
      <c r="G467" s="58"/>
      <c r="H467" s="58">
        <f t="shared" ref="H467:M467" si="464">SUMIFS($C467,$B467,H$8)+H466</f>
        <v>0</v>
      </c>
      <c r="I467" s="58">
        <f t="shared" si="464"/>
        <v>9</v>
      </c>
      <c r="J467" s="58">
        <f t="shared" si="464"/>
        <v>36</v>
      </c>
      <c r="K467" s="58">
        <f t="shared" si="464"/>
        <v>0</v>
      </c>
      <c r="L467" s="58">
        <f t="shared" si="464"/>
        <v>0</v>
      </c>
      <c r="M467" s="58">
        <f t="shared" si="464"/>
        <v>0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0" customHeight="1">
      <c r="A468" s="70"/>
      <c r="B468" s="71"/>
      <c r="C468" s="66"/>
      <c r="D468" s="66">
        <f t="shared" si="3"/>
        <v>0</v>
      </c>
      <c r="E468" s="67"/>
      <c r="F468" s="58">
        <f t="shared" si="150"/>
        <v>-8</v>
      </c>
      <c r="G468" s="58"/>
      <c r="H468" s="58">
        <f t="shared" ref="H468:M468" si="465">SUMIFS($C468,$B468,H$8)+H467</f>
        <v>0</v>
      </c>
      <c r="I468" s="58">
        <f t="shared" si="465"/>
        <v>9</v>
      </c>
      <c r="J468" s="58">
        <f t="shared" si="465"/>
        <v>36</v>
      </c>
      <c r="K468" s="58">
        <f t="shared" si="465"/>
        <v>0</v>
      </c>
      <c r="L468" s="58">
        <f t="shared" si="465"/>
        <v>0</v>
      </c>
      <c r="M468" s="58">
        <f t="shared" si="465"/>
        <v>0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0" customHeight="1">
      <c r="A469" s="70"/>
      <c r="B469" s="71"/>
      <c r="C469" s="66"/>
      <c r="D469" s="66">
        <f t="shared" si="3"/>
        <v>0</v>
      </c>
      <c r="E469" s="67"/>
      <c r="F469" s="58">
        <f t="shared" si="150"/>
        <v>-8</v>
      </c>
      <c r="G469" s="58"/>
      <c r="H469" s="58">
        <f t="shared" ref="H469:M469" si="466">SUMIFS($C469,$B469,H$8)+H468</f>
        <v>0</v>
      </c>
      <c r="I469" s="58">
        <f t="shared" si="466"/>
        <v>9</v>
      </c>
      <c r="J469" s="58">
        <f t="shared" si="466"/>
        <v>36</v>
      </c>
      <c r="K469" s="58">
        <f t="shared" si="466"/>
        <v>0</v>
      </c>
      <c r="L469" s="58">
        <f t="shared" si="466"/>
        <v>0</v>
      </c>
      <c r="M469" s="58">
        <f t="shared" si="466"/>
        <v>0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0" customHeight="1">
      <c r="A470" s="70"/>
      <c r="B470" s="71"/>
      <c r="C470" s="66"/>
      <c r="D470" s="66">
        <f t="shared" si="3"/>
        <v>0</v>
      </c>
      <c r="E470" s="67"/>
      <c r="F470" s="58">
        <f t="shared" si="150"/>
        <v>-8</v>
      </c>
      <c r="G470" s="58"/>
      <c r="H470" s="58">
        <f t="shared" ref="H470:M470" si="467">SUMIFS($C470,$B470,H$8)+H469</f>
        <v>0</v>
      </c>
      <c r="I470" s="58">
        <f t="shared" si="467"/>
        <v>9</v>
      </c>
      <c r="J470" s="58">
        <f t="shared" si="467"/>
        <v>36</v>
      </c>
      <c r="K470" s="58">
        <f t="shared" si="467"/>
        <v>0</v>
      </c>
      <c r="L470" s="58">
        <f t="shared" si="467"/>
        <v>0</v>
      </c>
      <c r="M470" s="58">
        <f t="shared" si="467"/>
        <v>0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0" customHeight="1">
      <c r="A471" s="70"/>
      <c r="B471" s="71"/>
      <c r="C471" s="66"/>
      <c r="D471" s="66">
        <f t="shared" si="3"/>
        <v>0</v>
      </c>
      <c r="E471" s="67"/>
      <c r="F471" s="58">
        <f t="shared" si="150"/>
        <v>-8</v>
      </c>
      <c r="G471" s="58"/>
      <c r="H471" s="58">
        <f t="shared" ref="H471:M471" si="468">SUMIFS($C471,$B471,H$8)+H470</f>
        <v>0</v>
      </c>
      <c r="I471" s="58">
        <f t="shared" si="468"/>
        <v>9</v>
      </c>
      <c r="J471" s="58">
        <f t="shared" si="468"/>
        <v>36</v>
      </c>
      <c r="K471" s="58">
        <f t="shared" si="468"/>
        <v>0</v>
      </c>
      <c r="L471" s="58">
        <f t="shared" si="468"/>
        <v>0</v>
      </c>
      <c r="M471" s="58">
        <f t="shared" si="468"/>
        <v>0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0" customHeight="1">
      <c r="A472" s="70"/>
      <c r="B472" s="71"/>
      <c r="C472" s="66"/>
      <c r="D472" s="66">
        <f t="shared" si="3"/>
        <v>0</v>
      </c>
      <c r="E472" s="67"/>
      <c r="F472" s="58">
        <f t="shared" si="150"/>
        <v>-8</v>
      </c>
      <c r="G472" s="58"/>
      <c r="H472" s="58">
        <f t="shared" ref="H472:M472" si="469">SUMIFS($C472,$B472,H$8)+H471</f>
        <v>0</v>
      </c>
      <c r="I472" s="58">
        <f t="shared" si="469"/>
        <v>9</v>
      </c>
      <c r="J472" s="58">
        <f t="shared" si="469"/>
        <v>36</v>
      </c>
      <c r="K472" s="58">
        <f t="shared" si="469"/>
        <v>0</v>
      </c>
      <c r="L472" s="58">
        <f t="shared" si="469"/>
        <v>0</v>
      </c>
      <c r="M472" s="58">
        <f t="shared" si="469"/>
        <v>0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0" customHeight="1">
      <c r="A473" s="70"/>
      <c r="B473" s="71"/>
      <c r="C473" s="66"/>
      <c r="D473" s="66">
        <f t="shared" si="3"/>
        <v>0</v>
      </c>
      <c r="E473" s="67"/>
      <c r="F473" s="58">
        <f t="shared" si="150"/>
        <v>-8</v>
      </c>
      <c r="G473" s="58"/>
      <c r="H473" s="58">
        <f t="shared" ref="H473:M473" si="470">SUMIFS($C473,$B473,H$8)+H472</f>
        <v>0</v>
      </c>
      <c r="I473" s="58">
        <f t="shared" si="470"/>
        <v>9</v>
      </c>
      <c r="J473" s="58">
        <f t="shared" si="470"/>
        <v>36</v>
      </c>
      <c r="K473" s="58">
        <f t="shared" si="470"/>
        <v>0</v>
      </c>
      <c r="L473" s="58">
        <f t="shared" si="470"/>
        <v>0</v>
      </c>
      <c r="M473" s="58">
        <f t="shared" si="470"/>
        <v>0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0" customHeight="1">
      <c r="A474" s="70"/>
      <c r="B474" s="71"/>
      <c r="C474" s="66"/>
      <c r="D474" s="66">
        <f t="shared" si="3"/>
        <v>0</v>
      </c>
      <c r="E474" s="67"/>
      <c r="F474" s="58">
        <f t="shared" si="150"/>
        <v>-8</v>
      </c>
      <c r="G474" s="58"/>
      <c r="H474" s="58">
        <f t="shared" ref="H474:M474" si="471">SUMIFS($C474,$B474,H$8)+H473</f>
        <v>0</v>
      </c>
      <c r="I474" s="58">
        <f t="shared" si="471"/>
        <v>9</v>
      </c>
      <c r="J474" s="58">
        <f t="shared" si="471"/>
        <v>36</v>
      </c>
      <c r="K474" s="58">
        <f t="shared" si="471"/>
        <v>0</v>
      </c>
      <c r="L474" s="58">
        <f t="shared" si="471"/>
        <v>0</v>
      </c>
      <c r="M474" s="58">
        <f t="shared" si="471"/>
        <v>0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0" customHeight="1">
      <c r="A475" s="70"/>
      <c r="B475" s="71"/>
      <c r="C475" s="66"/>
      <c r="D475" s="66">
        <f t="shared" si="3"/>
        <v>0</v>
      </c>
      <c r="E475" s="67"/>
      <c r="F475" s="58">
        <f t="shared" si="150"/>
        <v>-8</v>
      </c>
      <c r="G475" s="58"/>
      <c r="H475" s="58">
        <f t="shared" ref="H475:M475" si="472">SUMIFS($C475,$B475,H$8)+H474</f>
        <v>0</v>
      </c>
      <c r="I475" s="58">
        <f t="shared" si="472"/>
        <v>9</v>
      </c>
      <c r="J475" s="58">
        <f t="shared" si="472"/>
        <v>36</v>
      </c>
      <c r="K475" s="58">
        <f t="shared" si="472"/>
        <v>0</v>
      </c>
      <c r="L475" s="58">
        <f t="shared" si="472"/>
        <v>0</v>
      </c>
      <c r="M475" s="58">
        <f t="shared" si="472"/>
        <v>0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0" customHeight="1">
      <c r="A476" s="70"/>
      <c r="B476" s="71"/>
      <c r="C476" s="66"/>
      <c r="D476" s="66">
        <f t="shared" si="3"/>
        <v>0</v>
      </c>
      <c r="E476" s="67"/>
      <c r="F476" s="58">
        <f t="shared" si="150"/>
        <v>-8</v>
      </c>
      <c r="G476" s="58"/>
      <c r="H476" s="58">
        <f t="shared" ref="H476:M476" si="473">SUMIFS($C476,$B476,H$8)+H475</f>
        <v>0</v>
      </c>
      <c r="I476" s="58">
        <f t="shared" si="473"/>
        <v>9</v>
      </c>
      <c r="J476" s="58">
        <f t="shared" si="473"/>
        <v>36</v>
      </c>
      <c r="K476" s="58">
        <f t="shared" si="473"/>
        <v>0</v>
      </c>
      <c r="L476" s="58">
        <f t="shared" si="473"/>
        <v>0</v>
      </c>
      <c r="M476" s="58">
        <f t="shared" si="473"/>
        <v>0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0" customHeight="1">
      <c r="A477" s="70"/>
      <c r="B477" s="71"/>
      <c r="C477" s="66"/>
      <c r="D477" s="66">
        <f t="shared" si="3"/>
        <v>0</v>
      </c>
      <c r="E477" s="67"/>
      <c r="F477" s="58">
        <f t="shared" si="150"/>
        <v>-8</v>
      </c>
      <c r="G477" s="58"/>
      <c r="H477" s="58">
        <f t="shared" ref="H477:M477" si="474">SUMIFS($C477,$B477,H$8)+H476</f>
        <v>0</v>
      </c>
      <c r="I477" s="58">
        <f t="shared" si="474"/>
        <v>9</v>
      </c>
      <c r="J477" s="58">
        <f t="shared" si="474"/>
        <v>36</v>
      </c>
      <c r="K477" s="58">
        <f t="shared" si="474"/>
        <v>0</v>
      </c>
      <c r="L477" s="58">
        <f t="shared" si="474"/>
        <v>0</v>
      </c>
      <c r="M477" s="58">
        <f t="shared" si="474"/>
        <v>0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0" customHeight="1">
      <c r="A478" s="70"/>
      <c r="B478" s="71"/>
      <c r="C478" s="66"/>
      <c r="D478" s="66">
        <f t="shared" si="3"/>
        <v>0</v>
      </c>
      <c r="E478" s="67"/>
      <c r="F478" s="58">
        <f t="shared" si="150"/>
        <v>-8</v>
      </c>
      <c r="G478" s="58"/>
      <c r="H478" s="58">
        <f t="shared" ref="H478:M478" si="475">SUMIFS($C478,$B478,H$8)+H477</f>
        <v>0</v>
      </c>
      <c r="I478" s="58">
        <f t="shared" si="475"/>
        <v>9</v>
      </c>
      <c r="J478" s="58">
        <f t="shared" si="475"/>
        <v>36</v>
      </c>
      <c r="K478" s="58">
        <f t="shared" si="475"/>
        <v>0</v>
      </c>
      <c r="L478" s="58">
        <f t="shared" si="475"/>
        <v>0</v>
      </c>
      <c r="M478" s="58">
        <f t="shared" si="475"/>
        <v>0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0" customHeight="1">
      <c r="A479" s="70"/>
      <c r="B479" s="71"/>
      <c r="C479" s="66"/>
      <c r="D479" s="66">
        <f t="shared" si="3"/>
        <v>0</v>
      </c>
      <c r="E479" s="67"/>
      <c r="F479" s="58">
        <f t="shared" si="150"/>
        <v>-8</v>
      </c>
      <c r="G479" s="58"/>
      <c r="H479" s="58">
        <f t="shared" ref="H479:M479" si="476">SUMIFS($C479,$B479,H$8)+H478</f>
        <v>0</v>
      </c>
      <c r="I479" s="58">
        <f t="shared" si="476"/>
        <v>9</v>
      </c>
      <c r="J479" s="58">
        <f t="shared" si="476"/>
        <v>36</v>
      </c>
      <c r="K479" s="58">
        <f t="shared" si="476"/>
        <v>0</v>
      </c>
      <c r="L479" s="58">
        <f t="shared" si="476"/>
        <v>0</v>
      </c>
      <c r="M479" s="58">
        <f t="shared" si="476"/>
        <v>0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0" customHeight="1">
      <c r="A480" s="70"/>
      <c r="B480" s="71"/>
      <c r="C480" s="66"/>
      <c r="D480" s="66">
        <f t="shared" si="3"/>
        <v>0</v>
      </c>
      <c r="E480" s="67"/>
      <c r="F480" s="58">
        <f t="shared" si="150"/>
        <v>-8</v>
      </c>
      <c r="G480" s="58"/>
      <c r="H480" s="58">
        <f t="shared" ref="H480:M480" si="477">SUMIFS($C480,$B480,H$8)+H479</f>
        <v>0</v>
      </c>
      <c r="I480" s="58">
        <f t="shared" si="477"/>
        <v>9</v>
      </c>
      <c r="J480" s="58">
        <f t="shared" si="477"/>
        <v>36</v>
      </c>
      <c r="K480" s="58">
        <f t="shared" si="477"/>
        <v>0</v>
      </c>
      <c r="L480" s="58">
        <f t="shared" si="477"/>
        <v>0</v>
      </c>
      <c r="M480" s="58">
        <f t="shared" si="477"/>
        <v>0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0" customHeight="1">
      <c r="A481" s="70"/>
      <c r="B481" s="71"/>
      <c r="C481" s="66"/>
      <c r="D481" s="66">
        <f t="shared" si="3"/>
        <v>0</v>
      </c>
      <c r="E481" s="67"/>
      <c r="F481" s="58">
        <f t="shared" si="150"/>
        <v>-8</v>
      </c>
      <c r="G481" s="58"/>
      <c r="H481" s="58">
        <f t="shared" ref="H481:M481" si="478">SUMIFS($C481,$B481,H$8)+H480</f>
        <v>0</v>
      </c>
      <c r="I481" s="58">
        <f t="shared" si="478"/>
        <v>9</v>
      </c>
      <c r="J481" s="58">
        <f t="shared" si="478"/>
        <v>36</v>
      </c>
      <c r="K481" s="58">
        <f t="shared" si="478"/>
        <v>0</v>
      </c>
      <c r="L481" s="58">
        <f t="shared" si="478"/>
        <v>0</v>
      </c>
      <c r="M481" s="58">
        <f t="shared" si="478"/>
        <v>0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0" customHeight="1">
      <c r="A482" s="70"/>
      <c r="B482" s="71"/>
      <c r="C482" s="66"/>
      <c r="D482" s="66">
        <f t="shared" si="3"/>
        <v>0</v>
      </c>
      <c r="E482" s="67"/>
      <c r="F482" s="58">
        <f t="shared" si="150"/>
        <v>-8</v>
      </c>
      <c r="G482" s="58"/>
      <c r="H482" s="58">
        <f t="shared" ref="H482:M482" si="479">SUMIFS($C482,$B482,H$8)+H481</f>
        <v>0</v>
      </c>
      <c r="I482" s="58">
        <f t="shared" si="479"/>
        <v>9</v>
      </c>
      <c r="J482" s="58">
        <f t="shared" si="479"/>
        <v>36</v>
      </c>
      <c r="K482" s="58">
        <f t="shared" si="479"/>
        <v>0</v>
      </c>
      <c r="L482" s="58">
        <f t="shared" si="479"/>
        <v>0</v>
      </c>
      <c r="M482" s="58">
        <f t="shared" si="479"/>
        <v>0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0" customHeight="1">
      <c r="A483" s="70"/>
      <c r="B483" s="71"/>
      <c r="C483" s="66"/>
      <c r="D483" s="66">
        <f t="shared" si="3"/>
        <v>0</v>
      </c>
      <c r="E483" s="67"/>
      <c r="F483" s="58">
        <f t="shared" si="150"/>
        <v>-8</v>
      </c>
      <c r="G483" s="58"/>
      <c r="H483" s="58">
        <f t="shared" ref="H483:M483" si="480">SUMIFS($C483,$B483,H$8)+H482</f>
        <v>0</v>
      </c>
      <c r="I483" s="58">
        <f t="shared" si="480"/>
        <v>9</v>
      </c>
      <c r="J483" s="58">
        <f t="shared" si="480"/>
        <v>36</v>
      </c>
      <c r="K483" s="58">
        <f t="shared" si="480"/>
        <v>0</v>
      </c>
      <c r="L483" s="58">
        <f t="shared" si="480"/>
        <v>0</v>
      </c>
      <c r="M483" s="58">
        <f t="shared" si="480"/>
        <v>0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0" customHeight="1">
      <c r="A484" s="70"/>
      <c r="B484" s="71"/>
      <c r="C484" s="66"/>
      <c r="D484" s="66">
        <f t="shared" si="3"/>
        <v>0</v>
      </c>
      <c r="E484" s="67"/>
      <c r="F484" s="58">
        <f t="shared" si="150"/>
        <v>-8</v>
      </c>
      <c r="G484" s="58"/>
      <c r="H484" s="58">
        <f t="shared" ref="H484:M484" si="481">SUMIFS($C484,$B484,H$8)+H483</f>
        <v>0</v>
      </c>
      <c r="I484" s="58">
        <f t="shared" si="481"/>
        <v>9</v>
      </c>
      <c r="J484" s="58">
        <f t="shared" si="481"/>
        <v>36</v>
      </c>
      <c r="K484" s="58">
        <f t="shared" si="481"/>
        <v>0</v>
      </c>
      <c r="L484" s="58">
        <f t="shared" si="481"/>
        <v>0</v>
      </c>
      <c r="M484" s="58">
        <f t="shared" si="481"/>
        <v>0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0" customHeight="1">
      <c r="A485" s="70"/>
      <c r="B485" s="71"/>
      <c r="C485" s="66"/>
      <c r="D485" s="66">
        <f t="shared" si="3"/>
        <v>0</v>
      </c>
      <c r="E485" s="67"/>
      <c r="F485" s="58">
        <f t="shared" si="150"/>
        <v>-8</v>
      </c>
      <c r="G485" s="58"/>
      <c r="H485" s="58">
        <f t="shared" ref="H485:M485" si="482">SUMIFS($C485,$B485,H$8)+H484</f>
        <v>0</v>
      </c>
      <c r="I485" s="58">
        <f t="shared" si="482"/>
        <v>9</v>
      </c>
      <c r="J485" s="58">
        <f t="shared" si="482"/>
        <v>36</v>
      </c>
      <c r="K485" s="58">
        <f t="shared" si="482"/>
        <v>0</v>
      </c>
      <c r="L485" s="58">
        <f t="shared" si="482"/>
        <v>0</v>
      </c>
      <c r="M485" s="58">
        <f t="shared" si="482"/>
        <v>0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0" customHeight="1">
      <c r="A486" s="70"/>
      <c r="B486" s="71"/>
      <c r="C486" s="66"/>
      <c r="D486" s="66">
        <f t="shared" si="3"/>
        <v>0</v>
      </c>
      <c r="E486" s="67"/>
      <c r="F486" s="58">
        <f t="shared" si="150"/>
        <v>-8</v>
      </c>
      <c r="G486" s="58"/>
      <c r="H486" s="58">
        <f t="shared" ref="H486:M486" si="483">SUMIFS($C486,$B486,H$8)+H485</f>
        <v>0</v>
      </c>
      <c r="I486" s="58">
        <f t="shared" si="483"/>
        <v>9</v>
      </c>
      <c r="J486" s="58">
        <f t="shared" si="483"/>
        <v>36</v>
      </c>
      <c r="K486" s="58">
        <f t="shared" si="483"/>
        <v>0</v>
      </c>
      <c r="L486" s="58">
        <f t="shared" si="483"/>
        <v>0</v>
      </c>
      <c r="M486" s="58">
        <f t="shared" si="483"/>
        <v>0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0" customHeight="1">
      <c r="A487" s="70"/>
      <c r="B487" s="71"/>
      <c r="C487" s="66"/>
      <c r="D487" s="66">
        <f t="shared" si="3"/>
        <v>0</v>
      </c>
      <c r="E487" s="67"/>
      <c r="F487" s="58">
        <f t="shared" si="150"/>
        <v>-8</v>
      </c>
      <c r="G487" s="58"/>
      <c r="H487" s="58">
        <f t="shared" ref="H487:M487" si="484">SUMIFS($C487,$B487,H$8)+H486</f>
        <v>0</v>
      </c>
      <c r="I487" s="58">
        <f t="shared" si="484"/>
        <v>9</v>
      </c>
      <c r="J487" s="58">
        <f t="shared" si="484"/>
        <v>36</v>
      </c>
      <c r="K487" s="58">
        <f t="shared" si="484"/>
        <v>0</v>
      </c>
      <c r="L487" s="58">
        <f t="shared" si="484"/>
        <v>0</v>
      </c>
      <c r="M487" s="58">
        <f t="shared" si="484"/>
        <v>0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0" customHeight="1">
      <c r="A488" s="70"/>
      <c r="B488" s="71"/>
      <c r="C488" s="66"/>
      <c r="D488" s="66">
        <f t="shared" si="3"/>
        <v>0</v>
      </c>
      <c r="E488" s="67"/>
      <c r="F488" s="58">
        <f t="shared" si="150"/>
        <v>-8</v>
      </c>
      <c r="G488" s="58"/>
      <c r="H488" s="58">
        <f t="shared" ref="H488:M488" si="485">SUMIFS($C488,$B488,H$8)+H487</f>
        <v>0</v>
      </c>
      <c r="I488" s="58">
        <f t="shared" si="485"/>
        <v>9</v>
      </c>
      <c r="J488" s="58">
        <f t="shared" si="485"/>
        <v>36</v>
      </c>
      <c r="K488" s="58">
        <f t="shared" si="485"/>
        <v>0</v>
      </c>
      <c r="L488" s="58">
        <f t="shared" si="485"/>
        <v>0</v>
      </c>
      <c r="M488" s="58">
        <f t="shared" si="485"/>
        <v>0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0" customHeight="1">
      <c r="A489" s="70"/>
      <c r="B489" s="71"/>
      <c r="C489" s="66"/>
      <c r="D489" s="66">
        <f t="shared" si="3"/>
        <v>0</v>
      </c>
      <c r="E489" s="67"/>
      <c r="F489" s="58">
        <f t="shared" si="150"/>
        <v>-8</v>
      </c>
      <c r="G489" s="58"/>
      <c r="H489" s="58">
        <f t="shared" ref="H489:M489" si="486">SUMIFS($C489,$B489,H$8)+H488</f>
        <v>0</v>
      </c>
      <c r="I489" s="58">
        <f t="shared" si="486"/>
        <v>9</v>
      </c>
      <c r="J489" s="58">
        <f t="shared" si="486"/>
        <v>36</v>
      </c>
      <c r="K489" s="58">
        <f t="shared" si="486"/>
        <v>0</v>
      </c>
      <c r="L489" s="58">
        <f t="shared" si="486"/>
        <v>0</v>
      </c>
      <c r="M489" s="58">
        <f t="shared" si="486"/>
        <v>0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0" customHeight="1">
      <c r="A490" s="70"/>
      <c r="B490" s="71"/>
      <c r="C490" s="66"/>
      <c r="D490" s="66">
        <f t="shared" si="3"/>
        <v>0</v>
      </c>
      <c r="E490" s="67"/>
      <c r="F490" s="58">
        <f t="shared" si="150"/>
        <v>-8</v>
      </c>
      <c r="G490" s="58"/>
      <c r="H490" s="58">
        <f t="shared" ref="H490:M490" si="487">SUMIFS($C490,$B490,H$8)+H489</f>
        <v>0</v>
      </c>
      <c r="I490" s="58">
        <f t="shared" si="487"/>
        <v>9</v>
      </c>
      <c r="J490" s="58">
        <f t="shared" si="487"/>
        <v>36</v>
      </c>
      <c r="K490" s="58">
        <f t="shared" si="487"/>
        <v>0</v>
      </c>
      <c r="L490" s="58">
        <f t="shared" si="487"/>
        <v>0</v>
      </c>
      <c r="M490" s="58">
        <f t="shared" si="487"/>
        <v>0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0" customHeight="1">
      <c r="A491" s="70"/>
      <c r="B491" s="71"/>
      <c r="C491" s="66"/>
      <c r="D491" s="66">
        <f t="shared" si="3"/>
        <v>0</v>
      </c>
      <c r="E491" s="67"/>
      <c r="F491" s="58">
        <f t="shared" si="150"/>
        <v>-8</v>
      </c>
      <c r="G491" s="58"/>
      <c r="H491" s="58">
        <f t="shared" ref="H491:M491" si="488">SUMIFS($C491,$B491,H$8)+H490</f>
        <v>0</v>
      </c>
      <c r="I491" s="58">
        <f t="shared" si="488"/>
        <v>9</v>
      </c>
      <c r="J491" s="58">
        <f t="shared" si="488"/>
        <v>36</v>
      </c>
      <c r="K491" s="58">
        <f t="shared" si="488"/>
        <v>0</v>
      </c>
      <c r="L491" s="58">
        <f t="shared" si="488"/>
        <v>0</v>
      </c>
      <c r="M491" s="58">
        <f t="shared" si="488"/>
        <v>0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0" customHeight="1">
      <c r="A492" s="70"/>
      <c r="B492" s="71"/>
      <c r="C492" s="66"/>
      <c r="D492" s="66">
        <f t="shared" si="3"/>
        <v>0</v>
      </c>
      <c r="E492" s="67"/>
      <c r="F492" s="58">
        <f t="shared" si="150"/>
        <v>-8</v>
      </c>
      <c r="G492" s="58"/>
      <c r="H492" s="58">
        <f t="shared" ref="H492:M492" si="489">SUMIFS($C492,$B492,H$8)+H491</f>
        <v>0</v>
      </c>
      <c r="I492" s="58">
        <f t="shared" si="489"/>
        <v>9</v>
      </c>
      <c r="J492" s="58">
        <f t="shared" si="489"/>
        <v>36</v>
      </c>
      <c r="K492" s="58">
        <f t="shared" si="489"/>
        <v>0</v>
      </c>
      <c r="L492" s="58">
        <f t="shared" si="489"/>
        <v>0</v>
      </c>
      <c r="M492" s="58">
        <f t="shared" si="489"/>
        <v>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0" customHeight="1">
      <c r="A493" s="70"/>
      <c r="B493" s="71"/>
      <c r="C493" s="66"/>
      <c r="D493" s="66">
        <f t="shared" si="3"/>
        <v>0</v>
      </c>
      <c r="E493" s="67"/>
      <c r="F493" s="58">
        <f t="shared" si="150"/>
        <v>-8</v>
      </c>
      <c r="G493" s="58"/>
      <c r="H493" s="58">
        <f t="shared" ref="H493:M493" si="490">SUMIFS($C493,$B493,H$8)+H492</f>
        <v>0</v>
      </c>
      <c r="I493" s="58">
        <f t="shared" si="490"/>
        <v>9</v>
      </c>
      <c r="J493" s="58">
        <f t="shared" si="490"/>
        <v>36</v>
      </c>
      <c r="K493" s="58">
        <f t="shared" si="490"/>
        <v>0</v>
      </c>
      <c r="L493" s="58">
        <f t="shared" si="490"/>
        <v>0</v>
      </c>
      <c r="M493" s="58">
        <f t="shared" si="490"/>
        <v>0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0" customHeight="1">
      <c r="A494" s="70"/>
      <c r="B494" s="71"/>
      <c r="C494" s="66"/>
      <c r="D494" s="66">
        <f t="shared" si="3"/>
        <v>0</v>
      </c>
      <c r="E494" s="67"/>
      <c r="F494" s="58">
        <f t="shared" si="150"/>
        <v>-8</v>
      </c>
      <c r="G494" s="58"/>
      <c r="H494" s="58">
        <f t="shared" ref="H494:M494" si="491">SUMIFS($C494,$B494,H$8)+H493</f>
        <v>0</v>
      </c>
      <c r="I494" s="58">
        <f t="shared" si="491"/>
        <v>9</v>
      </c>
      <c r="J494" s="58">
        <f t="shared" si="491"/>
        <v>36</v>
      </c>
      <c r="K494" s="58">
        <f t="shared" si="491"/>
        <v>0</v>
      </c>
      <c r="L494" s="58">
        <f t="shared" si="491"/>
        <v>0</v>
      </c>
      <c r="M494" s="58">
        <f t="shared" si="491"/>
        <v>0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0" customHeight="1">
      <c r="A495" s="70"/>
      <c r="B495" s="71"/>
      <c r="C495" s="66"/>
      <c r="D495" s="66">
        <f t="shared" si="3"/>
        <v>0</v>
      </c>
      <c r="E495" s="67"/>
      <c r="F495" s="58">
        <f t="shared" si="150"/>
        <v>-8</v>
      </c>
      <c r="G495" s="58"/>
      <c r="H495" s="58">
        <f t="shared" ref="H495:M495" si="492">SUMIFS($C495,$B495,H$8)+H494</f>
        <v>0</v>
      </c>
      <c r="I495" s="58">
        <f t="shared" si="492"/>
        <v>9</v>
      </c>
      <c r="J495" s="58">
        <f t="shared" si="492"/>
        <v>36</v>
      </c>
      <c r="K495" s="58">
        <f t="shared" si="492"/>
        <v>0</v>
      </c>
      <c r="L495" s="58">
        <f t="shared" si="492"/>
        <v>0</v>
      </c>
      <c r="M495" s="58">
        <f t="shared" si="492"/>
        <v>0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0" customHeight="1">
      <c r="A496" s="70"/>
      <c r="B496" s="71"/>
      <c r="C496" s="66"/>
      <c r="D496" s="66">
        <f t="shared" si="3"/>
        <v>0</v>
      </c>
      <c r="E496" s="67"/>
      <c r="F496" s="58">
        <f t="shared" si="150"/>
        <v>-8</v>
      </c>
      <c r="G496" s="58"/>
      <c r="H496" s="58">
        <f t="shared" ref="H496:M496" si="493">SUMIFS($C496,$B496,H$8)+H495</f>
        <v>0</v>
      </c>
      <c r="I496" s="58">
        <f t="shared" si="493"/>
        <v>9</v>
      </c>
      <c r="J496" s="58">
        <f t="shared" si="493"/>
        <v>36</v>
      </c>
      <c r="K496" s="58">
        <f t="shared" si="493"/>
        <v>0</v>
      </c>
      <c r="L496" s="58">
        <f t="shared" si="493"/>
        <v>0</v>
      </c>
      <c r="M496" s="58">
        <f t="shared" si="493"/>
        <v>0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0" customHeight="1">
      <c r="A497" s="70"/>
      <c r="B497" s="71"/>
      <c r="C497" s="66"/>
      <c r="D497" s="66">
        <f t="shared" si="3"/>
        <v>0</v>
      </c>
      <c r="E497" s="67"/>
      <c r="F497" s="58">
        <f t="shared" si="150"/>
        <v>-8</v>
      </c>
      <c r="G497" s="58"/>
      <c r="H497" s="58">
        <f t="shared" ref="H497:M497" si="494">SUMIFS($C497,$B497,H$8)+H496</f>
        <v>0</v>
      </c>
      <c r="I497" s="58">
        <f t="shared" si="494"/>
        <v>9</v>
      </c>
      <c r="J497" s="58">
        <f t="shared" si="494"/>
        <v>36</v>
      </c>
      <c r="K497" s="58">
        <f t="shared" si="494"/>
        <v>0</v>
      </c>
      <c r="L497" s="58">
        <f t="shared" si="494"/>
        <v>0</v>
      </c>
      <c r="M497" s="58">
        <f t="shared" si="494"/>
        <v>0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0" customHeight="1">
      <c r="A498" s="70"/>
      <c r="B498" s="71"/>
      <c r="C498" s="66"/>
      <c r="D498" s="66">
        <f t="shared" si="3"/>
        <v>0</v>
      </c>
      <c r="E498" s="67"/>
      <c r="F498" s="58">
        <f t="shared" si="150"/>
        <v>-8</v>
      </c>
      <c r="G498" s="58"/>
      <c r="H498" s="58">
        <f t="shared" ref="H498:M498" si="495">SUMIFS($C498,$B498,H$8)+H497</f>
        <v>0</v>
      </c>
      <c r="I498" s="58">
        <f t="shared" si="495"/>
        <v>9</v>
      </c>
      <c r="J498" s="58">
        <f t="shared" si="495"/>
        <v>36</v>
      </c>
      <c r="K498" s="58">
        <f t="shared" si="495"/>
        <v>0</v>
      </c>
      <c r="L498" s="58">
        <f t="shared" si="495"/>
        <v>0</v>
      </c>
      <c r="M498" s="58">
        <f t="shared" si="495"/>
        <v>0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0" customHeight="1">
      <c r="A499" s="70"/>
      <c r="B499" s="71"/>
      <c r="C499" s="66"/>
      <c r="D499" s="66">
        <f t="shared" si="3"/>
        <v>0</v>
      </c>
      <c r="E499" s="67"/>
      <c r="F499" s="58">
        <f t="shared" si="150"/>
        <v>-8</v>
      </c>
      <c r="G499" s="58"/>
      <c r="H499" s="58">
        <f t="shared" ref="H499:M499" si="496">SUMIFS($C499,$B499,H$8)+H498</f>
        <v>0</v>
      </c>
      <c r="I499" s="58">
        <f t="shared" si="496"/>
        <v>9</v>
      </c>
      <c r="J499" s="58">
        <f t="shared" si="496"/>
        <v>36</v>
      </c>
      <c r="K499" s="58">
        <f t="shared" si="496"/>
        <v>0</v>
      </c>
      <c r="L499" s="58">
        <f t="shared" si="496"/>
        <v>0</v>
      </c>
      <c r="M499" s="58">
        <f t="shared" si="496"/>
        <v>0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0" customHeight="1">
      <c r="A500" s="70"/>
      <c r="B500" s="71"/>
      <c r="C500" s="66"/>
      <c r="D500" s="66">
        <f t="shared" si="3"/>
        <v>0</v>
      </c>
      <c r="E500" s="67"/>
      <c r="F500" s="58">
        <f t="shared" si="150"/>
        <v>-8</v>
      </c>
      <c r="G500" s="58"/>
      <c r="H500" s="58">
        <f t="shared" ref="H500:M500" si="497">SUMIFS($C500,$B500,H$8)+H499</f>
        <v>0</v>
      </c>
      <c r="I500" s="58">
        <f t="shared" si="497"/>
        <v>9</v>
      </c>
      <c r="J500" s="58">
        <f t="shared" si="497"/>
        <v>36</v>
      </c>
      <c r="K500" s="58">
        <f t="shared" si="497"/>
        <v>0</v>
      </c>
      <c r="L500" s="58">
        <f t="shared" si="497"/>
        <v>0</v>
      </c>
      <c r="M500" s="58">
        <f t="shared" si="497"/>
        <v>0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0" customHeight="1">
      <c r="A501" s="70"/>
      <c r="B501" s="71"/>
      <c r="C501" s="66"/>
      <c r="D501" s="66">
        <f t="shared" si="3"/>
        <v>0</v>
      </c>
      <c r="E501" s="67"/>
      <c r="F501" s="58">
        <f t="shared" si="150"/>
        <v>-8</v>
      </c>
      <c r="G501" s="58"/>
      <c r="H501" s="58">
        <f t="shared" ref="H501:M501" si="498">SUMIFS($C501,$B501,H$8)+H500</f>
        <v>0</v>
      </c>
      <c r="I501" s="58">
        <f t="shared" si="498"/>
        <v>9</v>
      </c>
      <c r="J501" s="58">
        <f t="shared" si="498"/>
        <v>36</v>
      </c>
      <c r="K501" s="58">
        <f t="shared" si="498"/>
        <v>0</v>
      </c>
      <c r="L501" s="58">
        <f t="shared" si="498"/>
        <v>0</v>
      </c>
      <c r="M501" s="58">
        <f t="shared" si="498"/>
        <v>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0" customHeight="1">
      <c r="A502" s="70"/>
      <c r="B502" s="71"/>
      <c r="C502" s="66"/>
      <c r="D502" s="66">
        <f t="shared" si="3"/>
        <v>0</v>
      </c>
      <c r="E502" s="67"/>
      <c r="F502" s="58">
        <f t="shared" si="150"/>
        <v>-8</v>
      </c>
      <c r="G502" s="58"/>
      <c r="H502" s="58">
        <f t="shared" ref="H502:M502" si="499">SUMIFS($C502,$B502,H$8)+H501</f>
        <v>0</v>
      </c>
      <c r="I502" s="58">
        <f t="shared" si="499"/>
        <v>9</v>
      </c>
      <c r="J502" s="58">
        <f t="shared" si="499"/>
        <v>36</v>
      </c>
      <c r="K502" s="58">
        <f t="shared" si="499"/>
        <v>0</v>
      </c>
      <c r="L502" s="58">
        <f t="shared" si="499"/>
        <v>0</v>
      </c>
      <c r="M502" s="58">
        <f t="shared" si="499"/>
        <v>0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0" customHeight="1">
      <c r="A503" s="70"/>
      <c r="B503" s="71"/>
      <c r="C503" s="66"/>
      <c r="D503" s="66">
        <f t="shared" si="3"/>
        <v>0</v>
      </c>
      <c r="E503" s="67"/>
      <c r="F503" s="58">
        <f t="shared" si="150"/>
        <v>-8</v>
      </c>
      <c r="G503" s="58"/>
      <c r="H503" s="58">
        <f t="shared" ref="H503:M503" si="500">SUMIFS($C503,$B503,H$8)+H502</f>
        <v>0</v>
      </c>
      <c r="I503" s="58">
        <f t="shared" si="500"/>
        <v>9</v>
      </c>
      <c r="J503" s="58">
        <f t="shared" si="500"/>
        <v>36</v>
      </c>
      <c r="K503" s="58">
        <f t="shared" si="500"/>
        <v>0</v>
      </c>
      <c r="L503" s="58">
        <f t="shared" si="500"/>
        <v>0</v>
      </c>
      <c r="M503" s="58">
        <f t="shared" si="500"/>
        <v>0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0" customHeight="1">
      <c r="A504" s="70"/>
      <c r="B504" s="71"/>
      <c r="C504" s="66"/>
      <c r="D504" s="66">
        <f t="shared" si="3"/>
        <v>0</v>
      </c>
      <c r="E504" s="67"/>
      <c r="F504" s="58">
        <f t="shared" si="150"/>
        <v>-8</v>
      </c>
      <c r="G504" s="58"/>
      <c r="H504" s="58">
        <f t="shared" ref="H504:M504" si="501">SUMIFS($C504,$B504,H$8)+H503</f>
        <v>0</v>
      </c>
      <c r="I504" s="58">
        <f t="shared" si="501"/>
        <v>9</v>
      </c>
      <c r="J504" s="58">
        <f t="shared" si="501"/>
        <v>36</v>
      </c>
      <c r="K504" s="58">
        <f t="shared" si="501"/>
        <v>0</v>
      </c>
      <c r="L504" s="58">
        <f t="shared" si="501"/>
        <v>0</v>
      </c>
      <c r="M504" s="58">
        <f t="shared" si="501"/>
        <v>0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0" customHeight="1">
      <c r="A505" s="70"/>
      <c r="B505" s="71"/>
      <c r="C505" s="66"/>
      <c r="D505" s="66">
        <f t="shared" si="3"/>
        <v>0</v>
      </c>
      <c r="E505" s="67"/>
      <c r="F505" s="58">
        <f t="shared" si="150"/>
        <v>-8</v>
      </c>
      <c r="G505" s="58"/>
      <c r="H505" s="58">
        <f t="shared" ref="H505:M505" si="502">SUMIFS($C505,$B505,H$8)+H504</f>
        <v>0</v>
      </c>
      <c r="I505" s="58">
        <f t="shared" si="502"/>
        <v>9</v>
      </c>
      <c r="J505" s="58">
        <f t="shared" si="502"/>
        <v>36</v>
      </c>
      <c r="K505" s="58">
        <f t="shared" si="502"/>
        <v>0</v>
      </c>
      <c r="L505" s="58">
        <f t="shared" si="502"/>
        <v>0</v>
      </c>
      <c r="M505" s="58">
        <f t="shared" si="502"/>
        <v>0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0" customHeight="1">
      <c r="A506" s="70"/>
      <c r="B506" s="71"/>
      <c r="C506" s="66"/>
      <c r="D506" s="66">
        <f t="shared" si="3"/>
        <v>0</v>
      </c>
      <c r="E506" s="67"/>
      <c r="F506" s="58">
        <f t="shared" si="150"/>
        <v>-8</v>
      </c>
      <c r="G506" s="58"/>
      <c r="H506" s="58">
        <f t="shared" ref="H506:M506" si="503">SUMIFS($C506,$B506,H$8)+H505</f>
        <v>0</v>
      </c>
      <c r="I506" s="58">
        <f t="shared" si="503"/>
        <v>9</v>
      </c>
      <c r="J506" s="58">
        <f t="shared" si="503"/>
        <v>36</v>
      </c>
      <c r="K506" s="58">
        <f t="shared" si="503"/>
        <v>0</v>
      </c>
      <c r="L506" s="58">
        <f t="shared" si="503"/>
        <v>0</v>
      </c>
      <c r="M506" s="58">
        <f t="shared" si="503"/>
        <v>0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0" customHeight="1">
      <c r="A507" s="70"/>
      <c r="B507" s="71"/>
      <c r="C507" s="66"/>
      <c r="D507" s="66">
        <f t="shared" si="3"/>
        <v>0</v>
      </c>
      <c r="E507" s="67"/>
      <c r="F507" s="58">
        <f t="shared" si="150"/>
        <v>-8</v>
      </c>
      <c r="G507" s="58"/>
      <c r="H507" s="58">
        <f t="shared" ref="H507:M507" si="504">SUMIFS($C507,$B507,H$8)+H506</f>
        <v>0</v>
      </c>
      <c r="I507" s="58">
        <f t="shared" si="504"/>
        <v>9</v>
      </c>
      <c r="J507" s="58">
        <f t="shared" si="504"/>
        <v>36</v>
      </c>
      <c r="K507" s="58">
        <f t="shared" si="504"/>
        <v>0</v>
      </c>
      <c r="L507" s="58">
        <f t="shared" si="504"/>
        <v>0</v>
      </c>
      <c r="M507" s="58">
        <f t="shared" si="504"/>
        <v>0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0" customHeight="1">
      <c r="A508" s="70"/>
      <c r="B508" s="71"/>
      <c r="C508" s="66"/>
      <c r="D508" s="66">
        <f t="shared" si="3"/>
        <v>0</v>
      </c>
      <c r="E508" s="67"/>
      <c r="F508" s="58">
        <f t="shared" si="150"/>
        <v>-8</v>
      </c>
      <c r="G508" s="58"/>
      <c r="H508" s="58">
        <f t="shared" ref="H508:M508" si="505">SUMIFS($C508,$B508,H$8)+H507</f>
        <v>0</v>
      </c>
      <c r="I508" s="58">
        <f t="shared" si="505"/>
        <v>9</v>
      </c>
      <c r="J508" s="58">
        <f t="shared" si="505"/>
        <v>36</v>
      </c>
      <c r="K508" s="58">
        <f t="shared" si="505"/>
        <v>0</v>
      </c>
      <c r="L508" s="58">
        <f t="shared" si="505"/>
        <v>0</v>
      </c>
      <c r="M508" s="58">
        <f t="shared" si="505"/>
        <v>0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0" customHeight="1">
      <c r="A509" s="70"/>
      <c r="B509" s="71"/>
      <c r="C509" s="66"/>
      <c r="D509" s="66">
        <f t="shared" si="3"/>
        <v>0</v>
      </c>
      <c r="E509" s="67"/>
      <c r="F509" s="58">
        <f t="shared" si="150"/>
        <v>-8</v>
      </c>
      <c r="G509" s="58"/>
      <c r="H509" s="58">
        <f t="shared" ref="H509:M509" si="506">SUMIFS($C509,$B509,H$8)+H508</f>
        <v>0</v>
      </c>
      <c r="I509" s="58">
        <f t="shared" si="506"/>
        <v>9</v>
      </c>
      <c r="J509" s="58">
        <f t="shared" si="506"/>
        <v>36</v>
      </c>
      <c r="K509" s="58">
        <f t="shared" si="506"/>
        <v>0</v>
      </c>
      <c r="L509" s="58">
        <f t="shared" si="506"/>
        <v>0</v>
      </c>
      <c r="M509" s="58">
        <f t="shared" si="506"/>
        <v>0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0" customHeight="1">
      <c r="A510" s="70"/>
      <c r="B510" s="71"/>
      <c r="C510" s="66"/>
      <c r="D510" s="66">
        <f t="shared" si="3"/>
        <v>0</v>
      </c>
      <c r="E510" s="67"/>
      <c r="F510" s="58">
        <f t="shared" si="150"/>
        <v>-8</v>
      </c>
      <c r="G510" s="58"/>
      <c r="H510" s="58">
        <f t="shared" ref="H510:M510" si="507">SUMIFS($C510,$B510,H$8)+H509</f>
        <v>0</v>
      </c>
      <c r="I510" s="58">
        <f t="shared" si="507"/>
        <v>9</v>
      </c>
      <c r="J510" s="58">
        <f t="shared" si="507"/>
        <v>36</v>
      </c>
      <c r="K510" s="58">
        <f t="shared" si="507"/>
        <v>0</v>
      </c>
      <c r="L510" s="58">
        <f t="shared" si="507"/>
        <v>0</v>
      </c>
      <c r="M510" s="58">
        <f t="shared" si="507"/>
        <v>0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0" customHeight="1">
      <c r="A511" s="70"/>
      <c r="B511" s="71"/>
      <c r="C511" s="66"/>
      <c r="D511" s="66">
        <f t="shared" si="3"/>
        <v>0</v>
      </c>
      <c r="E511" s="67"/>
      <c r="F511" s="58">
        <f t="shared" si="150"/>
        <v>-8</v>
      </c>
      <c r="G511" s="58"/>
      <c r="H511" s="58">
        <f t="shared" ref="H511:M511" si="508">SUMIFS($C511,$B511,H$8)+H510</f>
        <v>0</v>
      </c>
      <c r="I511" s="58">
        <f t="shared" si="508"/>
        <v>9</v>
      </c>
      <c r="J511" s="58">
        <f t="shared" si="508"/>
        <v>36</v>
      </c>
      <c r="K511" s="58">
        <f t="shared" si="508"/>
        <v>0</v>
      </c>
      <c r="L511" s="58">
        <f t="shared" si="508"/>
        <v>0</v>
      </c>
      <c r="M511" s="58">
        <f t="shared" si="508"/>
        <v>0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0" customHeight="1">
      <c r="A512" s="70"/>
      <c r="B512" s="71"/>
      <c r="C512" s="66"/>
      <c r="D512" s="66">
        <f t="shared" si="3"/>
        <v>0</v>
      </c>
      <c r="E512" s="67"/>
      <c r="F512" s="58">
        <f t="shared" si="150"/>
        <v>-8</v>
      </c>
      <c r="G512" s="58"/>
      <c r="H512" s="58">
        <f t="shared" ref="H512:M512" si="509">SUMIFS($C512,$B512,H$8)+H511</f>
        <v>0</v>
      </c>
      <c r="I512" s="58">
        <f t="shared" si="509"/>
        <v>9</v>
      </c>
      <c r="J512" s="58">
        <f t="shared" si="509"/>
        <v>36</v>
      </c>
      <c r="K512" s="58">
        <f t="shared" si="509"/>
        <v>0</v>
      </c>
      <c r="L512" s="58">
        <f t="shared" si="509"/>
        <v>0</v>
      </c>
      <c r="M512" s="58">
        <f t="shared" si="509"/>
        <v>0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0" customHeight="1">
      <c r="A513" s="70"/>
      <c r="B513" s="71"/>
      <c r="C513" s="66"/>
      <c r="D513" s="66">
        <f t="shared" si="3"/>
        <v>0</v>
      </c>
      <c r="E513" s="67"/>
      <c r="F513" s="58">
        <f t="shared" si="150"/>
        <v>-8</v>
      </c>
      <c r="G513" s="58"/>
      <c r="H513" s="58">
        <f t="shared" ref="H513:M513" si="510">SUMIFS($C513,$B513,H$8)+H512</f>
        <v>0</v>
      </c>
      <c r="I513" s="58">
        <f t="shared" si="510"/>
        <v>9</v>
      </c>
      <c r="J513" s="58">
        <f t="shared" si="510"/>
        <v>36</v>
      </c>
      <c r="K513" s="58">
        <f t="shared" si="510"/>
        <v>0</v>
      </c>
      <c r="L513" s="58">
        <f t="shared" si="510"/>
        <v>0</v>
      </c>
      <c r="M513" s="58">
        <f t="shared" si="510"/>
        <v>0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0" customHeight="1">
      <c r="A514" s="70"/>
      <c r="B514" s="71"/>
      <c r="C514" s="66"/>
      <c r="D514" s="66">
        <f t="shared" si="3"/>
        <v>0</v>
      </c>
      <c r="E514" s="67"/>
      <c r="F514" s="58">
        <f t="shared" si="150"/>
        <v>-8</v>
      </c>
      <c r="G514" s="58"/>
      <c r="H514" s="58">
        <f t="shared" ref="H514:M514" si="511">SUMIFS($C514,$B514,H$8)+H513</f>
        <v>0</v>
      </c>
      <c r="I514" s="58">
        <f t="shared" si="511"/>
        <v>9</v>
      </c>
      <c r="J514" s="58">
        <f t="shared" si="511"/>
        <v>36</v>
      </c>
      <c r="K514" s="58">
        <f t="shared" si="511"/>
        <v>0</v>
      </c>
      <c r="L514" s="58">
        <f t="shared" si="511"/>
        <v>0</v>
      </c>
      <c r="M514" s="58">
        <f t="shared" si="511"/>
        <v>0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0" customHeight="1">
      <c r="A515" s="70"/>
      <c r="B515" s="71"/>
      <c r="C515" s="66"/>
      <c r="D515" s="66">
        <f t="shared" si="3"/>
        <v>0</v>
      </c>
      <c r="E515" s="67"/>
      <c r="F515" s="58">
        <f t="shared" si="150"/>
        <v>-8</v>
      </c>
      <c r="G515" s="58"/>
      <c r="H515" s="58">
        <f t="shared" ref="H515:M515" si="512">SUMIFS($C515,$B515,H$8)+H514</f>
        <v>0</v>
      </c>
      <c r="I515" s="58">
        <f t="shared" si="512"/>
        <v>9</v>
      </c>
      <c r="J515" s="58">
        <f t="shared" si="512"/>
        <v>36</v>
      </c>
      <c r="K515" s="58">
        <f t="shared" si="512"/>
        <v>0</v>
      </c>
      <c r="L515" s="58">
        <f t="shared" si="512"/>
        <v>0</v>
      </c>
      <c r="M515" s="58">
        <f t="shared" si="512"/>
        <v>0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0" customHeight="1">
      <c r="A516" s="70"/>
      <c r="B516" s="71"/>
      <c r="C516" s="66"/>
      <c r="D516" s="66">
        <f t="shared" si="3"/>
        <v>0</v>
      </c>
      <c r="E516" s="67"/>
      <c r="F516" s="58">
        <f t="shared" si="150"/>
        <v>-8</v>
      </c>
      <c r="G516" s="58"/>
      <c r="H516" s="58">
        <f t="shared" ref="H516:M516" si="513">SUMIFS($C516,$B516,H$8)+H515</f>
        <v>0</v>
      </c>
      <c r="I516" s="58">
        <f t="shared" si="513"/>
        <v>9</v>
      </c>
      <c r="J516" s="58">
        <f t="shared" si="513"/>
        <v>36</v>
      </c>
      <c r="K516" s="58">
        <f t="shared" si="513"/>
        <v>0</v>
      </c>
      <c r="L516" s="58">
        <f t="shared" si="513"/>
        <v>0</v>
      </c>
      <c r="M516" s="58">
        <f t="shared" si="513"/>
        <v>0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0" customHeight="1">
      <c r="A517" s="70"/>
      <c r="B517" s="71"/>
      <c r="C517" s="66"/>
      <c r="D517" s="66">
        <f t="shared" si="3"/>
        <v>0</v>
      </c>
      <c r="E517" s="67"/>
      <c r="F517" s="58">
        <f t="shared" si="150"/>
        <v>-8</v>
      </c>
      <c r="G517" s="58"/>
      <c r="H517" s="58">
        <f t="shared" ref="H517:M517" si="514">SUMIFS($C517,$B517,H$8)+H516</f>
        <v>0</v>
      </c>
      <c r="I517" s="58">
        <f t="shared" si="514"/>
        <v>9</v>
      </c>
      <c r="J517" s="58">
        <f t="shared" si="514"/>
        <v>36</v>
      </c>
      <c r="K517" s="58">
        <f t="shared" si="514"/>
        <v>0</v>
      </c>
      <c r="L517" s="58">
        <f t="shared" si="514"/>
        <v>0</v>
      </c>
      <c r="M517" s="58">
        <f t="shared" si="514"/>
        <v>0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0" customHeight="1">
      <c r="A518" s="70"/>
      <c r="B518" s="71"/>
      <c r="C518" s="66"/>
      <c r="D518" s="66">
        <f t="shared" si="3"/>
        <v>0</v>
      </c>
      <c r="E518" s="67"/>
      <c r="F518" s="58">
        <f t="shared" si="150"/>
        <v>-8</v>
      </c>
      <c r="G518" s="58"/>
      <c r="H518" s="58">
        <f t="shared" ref="H518:M518" si="515">SUMIFS($C518,$B518,H$8)+H517</f>
        <v>0</v>
      </c>
      <c r="I518" s="58">
        <f t="shared" si="515"/>
        <v>9</v>
      </c>
      <c r="J518" s="58">
        <f t="shared" si="515"/>
        <v>36</v>
      </c>
      <c r="K518" s="58">
        <f t="shared" si="515"/>
        <v>0</v>
      </c>
      <c r="L518" s="58">
        <f t="shared" si="515"/>
        <v>0</v>
      </c>
      <c r="M518" s="58">
        <f t="shared" si="515"/>
        <v>0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0" customHeight="1">
      <c r="A519" s="70"/>
      <c r="B519" s="71"/>
      <c r="C519" s="66"/>
      <c r="D519" s="66">
        <f t="shared" si="3"/>
        <v>0</v>
      </c>
      <c r="E519" s="67"/>
      <c r="F519" s="58">
        <f t="shared" si="150"/>
        <v>-8</v>
      </c>
      <c r="G519" s="58"/>
      <c r="H519" s="58">
        <f t="shared" ref="H519:M519" si="516">SUMIFS($C519,$B519,H$8)+H518</f>
        <v>0</v>
      </c>
      <c r="I519" s="58">
        <f t="shared" si="516"/>
        <v>9</v>
      </c>
      <c r="J519" s="58">
        <f t="shared" si="516"/>
        <v>36</v>
      </c>
      <c r="K519" s="58">
        <f t="shared" si="516"/>
        <v>0</v>
      </c>
      <c r="L519" s="58">
        <f t="shared" si="516"/>
        <v>0</v>
      </c>
      <c r="M519" s="58">
        <f t="shared" si="516"/>
        <v>0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0" customHeight="1">
      <c r="A520" s="70"/>
      <c r="B520" s="71"/>
      <c r="C520" s="66"/>
      <c r="D520" s="66">
        <f t="shared" si="3"/>
        <v>0</v>
      </c>
      <c r="E520" s="67"/>
      <c r="F520" s="58">
        <f t="shared" si="150"/>
        <v>-8</v>
      </c>
      <c r="G520" s="58"/>
      <c r="H520" s="58">
        <f t="shared" ref="H520:M520" si="517">SUMIFS($C520,$B520,H$8)+H519</f>
        <v>0</v>
      </c>
      <c r="I520" s="58">
        <f t="shared" si="517"/>
        <v>9</v>
      </c>
      <c r="J520" s="58">
        <f t="shared" si="517"/>
        <v>36</v>
      </c>
      <c r="K520" s="58">
        <f t="shared" si="517"/>
        <v>0</v>
      </c>
      <c r="L520" s="58">
        <f t="shared" si="517"/>
        <v>0</v>
      </c>
      <c r="M520" s="58">
        <f t="shared" si="517"/>
        <v>0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0" customHeight="1">
      <c r="A521" s="70"/>
      <c r="B521" s="71"/>
      <c r="C521" s="66"/>
      <c r="D521" s="66">
        <f t="shared" si="3"/>
        <v>0</v>
      </c>
      <c r="E521" s="67"/>
      <c r="F521" s="58">
        <f t="shared" si="150"/>
        <v>-8</v>
      </c>
      <c r="G521" s="58"/>
      <c r="H521" s="58">
        <f t="shared" ref="H521:M521" si="518">SUMIFS($C521,$B521,H$8)+H520</f>
        <v>0</v>
      </c>
      <c r="I521" s="58">
        <f t="shared" si="518"/>
        <v>9</v>
      </c>
      <c r="J521" s="58">
        <f t="shared" si="518"/>
        <v>36</v>
      </c>
      <c r="K521" s="58">
        <f t="shared" si="518"/>
        <v>0</v>
      </c>
      <c r="L521" s="58">
        <f t="shared" si="518"/>
        <v>0</v>
      </c>
      <c r="M521" s="58">
        <f t="shared" si="518"/>
        <v>0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0" customHeight="1">
      <c r="A522" s="70"/>
      <c r="B522" s="71"/>
      <c r="C522" s="66"/>
      <c r="D522" s="66">
        <f t="shared" si="3"/>
        <v>0</v>
      </c>
      <c r="E522" s="67"/>
      <c r="F522" s="58">
        <f t="shared" si="150"/>
        <v>-8</v>
      </c>
      <c r="G522" s="58"/>
      <c r="H522" s="58">
        <f t="shared" ref="H522:M522" si="519">SUMIFS($C522,$B522,H$8)+H521</f>
        <v>0</v>
      </c>
      <c r="I522" s="58">
        <f t="shared" si="519"/>
        <v>9</v>
      </c>
      <c r="J522" s="58">
        <f t="shared" si="519"/>
        <v>36</v>
      </c>
      <c r="K522" s="58">
        <f t="shared" si="519"/>
        <v>0</v>
      </c>
      <c r="L522" s="58">
        <f t="shared" si="519"/>
        <v>0</v>
      </c>
      <c r="M522" s="58">
        <f t="shared" si="519"/>
        <v>0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0" customHeight="1">
      <c r="A523" s="70"/>
      <c r="B523" s="71"/>
      <c r="C523" s="66"/>
      <c r="D523" s="66">
        <f t="shared" si="3"/>
        <v>0</v>
      </c>
      <c r="E523" s="67"/>
      <c r="F523" s="58">
        <f t="shared" si="150"/>
        <v>-8</v>
      </c>
      <c r="G523" s="58"/>
      <c r="H523" s="58">
        <f t="shared" ref="H523:M523" si="520">SUMIFS($C523,$B523,H$8)+H522</f>
        <v>0</v>
      </c>
      <c r="I523" s="58">
        <f t="shared" si="520"/>
        <v>9</v>
      </c>
      <c r="J523" s="58">
        <f t="shared" si="520"/>
        <v>36</v>
      </c>
      <c r="K523" s="58">
        <f t="shared" si="520"/>
        <v>0</v>
      </c>
      <c r="L523" s="58">
        <f t="shared" si="520"/>
        <v>0</v>
      </c>
      <c r="M523" s="58">
        <f t="shared" si="520"/>
        <v>0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0" customHeight="1">
      <c r="A524" s="70"/>
      <c r="B524" s="71"/>
      <c r="C524" s="66"/>
      <c r="D524" s="66">
        <f t="shared" si="3"/>
        <v>0</v>
      </c>
      <c r="E524" s="67"/>
      <c r="F524" s="58">
        <f t="shared" si="150"/>
        <v>-8</v>
      </c>
      <c r="G524" s="58"/>
      <c r="H524" s="58">
        <f t="shared" ref="H524:M524" si="521">SUMIFS($C524,$B524,H$8)+H523</f>
        <v>0</v>
      </c>
      <c r="I524" s="58">
        <f t="shared" si="521"/>
        <v>9</v>
      </c>
      <c r="J524" s="58">
        <f t="shared" si="521"/>
        <v>36</v>
      </c>
      <c r="K524" s="58">
        <f t="shared" si="521"/>
        <v>0</v>
      </c>
      <c r="L524" s="58">
        <f t="shared" si="521"/>
        <v>0</v>
      </c>
      <c r="M524" s="58">
        <f t="shared" si="521"/>
        <v>0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0" customHeight="1">
      <c r="A525" s="70"/>
      <c r="B525" s="71"/>
      <c r="C525" s="66"/>
      <c r="D525" s="66">
        <f t="shared" si="3"/>
        <v>0</v>
      </c>
      <c r="E525" s="67"/>
      <c r="F525" s="58">
        <f t="shared" si="150"/>
        <v>-8</v>
      </c>
      <c r="G525" s="58"/>
      <c r="H525" s="58">
        <f t="shared" ref="H525:M525" si="522">SUMIFS($C525,$B525,H$8)+H524</f>
        <v>0</v>
      </c>
      <c r="I525" s="58">
        <f t="shared" si="522"/>
        <v>9</v>
      </c>
      <c r="J525" s="58">
        <f t="shared" si="522"/>
        <v>36</v>
      </c>
      <c r="K525" s="58">
        <f t="shared" si="522"/>
        <v>0</v>
      </c>
      <c r="L525" s="58">
        <f t="shared" si="522"/>
        <v>0</v>
      </c>
      <c r="M525" s="58">
        <f t="shared" si="522"/>
        <v>0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0" customHeight="1">
      <c r="A526" s="70"/>
      <c r="B526" s="71"/>
      <c r="C526" s="66"/>
      <c r="D526" s="66">
        <f t="shared" si="3"/>
        <v>0</v>
      </c>
      <c r="E526" s="67"/>
      <c r="F526" s="58">
        <f t="shared" si="150"/>
        <v>-8</v>
      </c>
      <c r="G526" s="58"/>
      <c r="H526" s="58">
        <f t="shared" ref="H526:M526" si="523">SUMIFS($C526,$B526,H$8)+H525</f>
        <v>0</v>
      </c>
      <c r="I526" s="58">
        <f t="shared" si="523"/>
        <v>9</v>
      </c>
      <c r="J526" s="58">
        <f t="shared" si="523"/>
        <v>36</v>
      </c>
      <c r="K526" s="58">
        <f t="shared" si="523"/>
        <v>0</v>
      </c>
      <c r="L526" s="58">
        <f t="shared" si="523"/>
        <v>0</v>
      </c>
      <c r="M526" s="58">
        <f t="shared" si="523"/>
        <v>0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0" customHeight="1">
      <c r="A527" s="70"/>
      <c r="B527" s="71"/>
      <c r="C527" s="66"/>
      <c r="D527" s="66">
        <f t="shared" si="3"/>
        <v>0</v>
      </c>
      <c r="E527" s="67"/>
      <c r="F527" s="58">
        <f t="shared" si="150"/>
        <v>-8</v>
      </c>
      <c r="G527" s="58"/>
      <c r="H527" s="58">
        <f t="shared" ref="H527:M527" si="524">SUMIFS($C527,$B527,H$8)+H526</f>
        <v>0</v>
      </c>
      <c r="I527" s="58">
        <f t="shared" si="524"/>
        <v>9</v>
      </c>
      <c r="J527" s="58">
        <f t="shared" si="524"/>
        <v>36</v>
      </c>
      <c r="K527" s="58">
        <f t="shared" si="524"/>
        <v>0</v>
      </c>
      <c r="L527" s="58">
        <f t="shared" si="524"/>
        <v>0</v>
      </c>
      <c r="M527" s="58">
        <f t="shared" si="524"/>
        <v>0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0" customHeight="1">
      <c r="A528" s="70"/>
      <c r="B528" s="71"/>
      <c r="C528" s="66"/>
      <c r="D528" s="66">
        <f t="shared" si="3"/>
        <v>0</v>
      </c>
      <c r="E528" s="67"/>
      <c r="F528" s="58">
        <f t="shared" si="150"/>
        <v>-8</v>
      </c>
      <c r="G528" s="58"/>
      <c r="H528" s="58">
        <f t="shared" ref="H528:M528" si="525">SUMIFS($C528,$B528,H$8)+H527</f>
        <v>0</v>
      </c>
      <c r="I528" s="58">
        <f t="shared" si="525"/>
        <v>9</v>
      </c>
      <c r="J528" s="58">
        <f t="shared" si="525"/>
        <v>36</v>
      </c>
      <c r="K528" s="58">
        <f t="shared" si="525"/>
        <v>0</v>
      </c>
      <c r="L528" s="58">
        <f t="shared" si="525"/>
        <v>0</v>
      </c>
      <c r="M528" s="58">
        <f t="shared" si="525"/>
        <v>0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0" customHeight="1">
      <c r="A529" s="70"/>
      <c r="B529" s="71"/>
      <c r="C529" s="66"/>
      <c r="D529" s="66">
        <f t="shared" si="3"/>
        <v>0</v>
      </c>
      <c r="E529" s="67"/>
      <c r="F529" s="58">
        <f t="shared" si="150"/>
        <v>-8</v>
      </c>
      <c r="G529" s="58"/>
      <c r="H529" s="58">
        <f t="shared" ref="H529:M529" si="526">SUMIFS($C529,$B529,H$8)+H528</f>
        <v>0</v>
      </c>
      <c r="I529" s="58">
        <f t="shared" si="526"/>
        <v>9</v>
      </c>
      <c r="J529" s="58">
        <f t="shared" si="526"/>
        <v>36</v>
      </c>
      <c r="K529" s="58">
        <f t="shared" si="526"/>
        <v>0</v>
      </c>
      <c r="L529" s="58">
        <f t="shared" si="526"/>
        <v>0</v>
      </c>
      <c r="M529" s="58">
        <f t="shared" si="526"/>
        <v>0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0" customHeight="1">
      <c r="A530" s="70"/>
      <c r="B530" s="71"/>
      <c r="C530" s="66"/>
      <c r="D530" s="66">
        <f t="shared" si="3"/>
        <v>0</v>
      </c>
      <c r="E530" s="67"/>
      <c r="F530" s="58">
        <f t="shared" si="150"/>
        <v>-8</v>
      </c>
      <c r="G530" s="58"/>
      <c r="H530" s="58">
        <f t="shared" ref="H530:M530" si="527">SUMIFS($C530,$B530,H$8)+H529</f>
        <v>0</v>
      </c>
      <c r="I530" s="58">
        <f t="shared" si="527"/>
        <v>9</v>
      </c>
      <c r="J530" s="58">
        <f t="shared" si="527"/>
        <v>36</v>
      </c>
      <c r="K530" s="58">
        <f t="shared" si="527"/>
        <v>0</v>
      </c>
      <c r="L530" s="58">
        <f t="shared" si="527"/>
        <v>0</v>
      </c>
      <c r="M530" s="58">
        <f t="shared" si="527"/>
        <v>0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0" customHeight="1">
      <c r="A531" s="70"/>
      <c r="B531" s="71"/>
      <c r="C531" s="66"/>
      <c r="D531" s="66">
        <f t="shared" si="3"/>
        <v>0</v>
      </c>
      <c r="E531" s="67"/>
      <c r="F531" s="58">
        <f t="shared" si="150"/>
        <v>-8</v>
      </c>
      <c r="G531" s="58"/>
      <c r="H531" s="58">
        <f t="shared" ref="H531:M531" si="528">SUMIFS($C531,$B531,H$8)+H530</f>
        <v>0</v>
      </c>
      <c r="I531" s="58">
        <f t="shared" si="528"/>
        <v>9</v>
      </c>
      <c r="J531" s="58">
        <f t="shared" si="528"/>
        <v>36</v>
      </c>
      <c r="K531" s="58">
        <f t="shared" si="528"/>
        <v>0</v>
      </c>
      <c r="L531" s="58">
        <f t="shared" si="528"/>
        <v>0</v>
      </c>
      <c r="M531" s="58">
        <f t="shared" si="528"/>
        <v>0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0" customHeight="1">
      <c r="A532" s="70"/>
      <c r="B532" s="71"/>
      <c r="C532" s="66"/>
      <c r="D532" s="66">
        <f t="shared" si="3"/>
        <v>0</v>
      </c>
      <c r="E532" s="67"/>
      <c r="F532" s="58">
        <f t="shared" si="150"/>
        <v>-8</v>
      </c>
      <c r="G532" s="58"/>
      <c r="H532" s="58">
        <f t="shared" ref="H532:M532" si="529">SUMIFS($C532,$B532,H$8)+H531</f>
        <v>0</v>
      </c>
      <c r="I532" s="58">
        <f t="shared" si="529"/>
        <v>9</v>
      </c>
      <c r="J532" s="58">
        <f t="shared" si="529"/>
        <v>36</v>
      </c>
      <c r="K532" s="58">
        <f t="shared" si="529"/>
        <v>0</v>
      </c>
      <c r="L532" s="58">
        <f t="shared" si="529"/>
        <v>0</v>
      </c>
      <c r="M532" s="58">
        <f t="shared" si="529"/>
        <v>0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0" customHeight="1">
      <c r="A533" s="70"/>
      <c r="B533" s="71"/>
      <c r="C533" s="66"/>
      <c r="D533" s="66">
        <f t="shared" si="3"/>
        <v>0</v>
      </c>
      <c r="E533" s="67"/>
      <c r="F533" s="58">
        <f t="shared" si="150"/>
        <v>-8</v>
      </c>
      <c r="G533" s="58"/>
      <c r="H533" s="58">
        <f t="shared" ref="H533:M533" si="530">SUMIFS($C533,$B533,H$8)+H532</f>
        <v>0</v>
      </c>
      <c r="I533" s="58">
        <f t="shared" si="530"/>
        <v>9</v>
      </c>
      <c r="J533" s="58">
        <f t="shared" si="530"/>
        <v>36</v>
      </c>
      <c r="K533" s="58">
        <f t="shared" si="530"/>
        <v>0</v>
      </c>
      <c r="L533" s="58">
        <f t="shared" si="530"/>
        <v>0</v>
      </c>
      <c r="M533" s="58">
        <f t="shared" si="530"/>
        <v>0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0" customHeight="1">
      <c r="A534" s="70"/>
      <c r="B534" s="71"/>
      <c r="C534" s="66"/>
      <c r="D534" s="66">
        <f t="shared" si="3"/>
        <v>0</v>
      </c>
      <c r="E534" s="67"/>
      <c r="F534" s="58">
        <f t="shared" si="150"/>
        <v>-8</v>
      </c>
      <c r="G534" s="58"/>
      <c r="H534" s="58">
        <f t="shared" ref="H534:M534" si="531">SUMIFS($C534,$B534,H$8)+H533</f>
        <v>0</v>
      </c>
      <c r="I534" s="58">
        <f t="shared" si="531"/>
        <v>9</v>
      </c>
      <c r="J534" s="58">
        <f t="shared" si="531"/>
        <v>36</v>
      </c>
      <c r="K534" s="58">
        <f t="shared" si="531"/>
        <v>0</v>
      </c>
      <c r="L534" s="58">
        <f t="shared" si="531"/>
        <v>0</v>
      </c>
      <c r="M534" s="58">
        <f t="shared" si="531"/>
        <v>0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0" customHeight="1">
      <c r="A535" s="70"/>
      <c r="B535" s="71"/>
      <c r="C535" s="66"/>
      <c r="D535" s="66">
        <f t="shared" si="3"/>
        <v>0</v>
      </c>
      <c r="E535" s="67"/>
      <c r="F535" s="58">
        <f t="shared" si="150"/>
        <v>-8</v>
      </c>
      <c r="G535" s="58"/>
      <c r="H535" s="58">
        <f t="shared" ref="H535:M535" si="532">SUMIFS($C535,$B535,H$8)+H534</f>
        <v>0</v>
      </c>
      <c r="I535" s="58">
        <f t="shared" si="532"/>
        <v>9</v>
      </c>
      <c r="J535" s="58">
        <f t="shared" si="532"/>
        <v>36</v>
      </c>
      <c r="K535" s="58">
        <f t="shared" si="532"/>
        <v>0</v>
      </c>
      <c r="L535" s="58">
        <f t="shared" si="532"/>
        <v>0</v>
      </c>
      <c r="M535" s="58">
        <f t="shared" si="532"/>
        <v>0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0" customHeight="1">
      <c r="A536" s="70"/>
      <c r="B536" s="71"/>
      <c r="C536" s="66"/>
      <c r="D536" s="66">
        <f t="shared" si="3"/>
        <v>0</v>
      </c>
      <c r="E536" s="67"/>
      <c r="F536" s="58">
        <f t="shared" si="150"/>
        <v>-8</v>
      </c>
      <c r="G536" s="58"/>
      <c r="H536" s="58">
        <f t="shared" ref="H536:M536" si="533">SUMIFS($C536,$B536,H$8)+H535</f>
        <v>0</v>
      </c>
      <c r="I536" s="58">
        <f t="shared" si="533"/>
        <v>9</v>
      </c>
      <c r="J536" s="58">
        <f t="shared" si="533"/>
        <v>36</v>
      </c>
      <c r="K536" s="58">
        <f t="shared" si="533"/>
        <v>0</v>
      </c>
      <c r="L536" s="58">
        <f t="shared" si="533"/>
        <v>0</v>
      </c>
      <c r="M536" s="58">
        <f t="shared" si="533"/>
        <v>0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0" customHeight="1">
      <c r="A537" s="70"/>
      <c r="B537" s="71"/>
      <c r="C537" s="66"/>
      <c r="D537" s="66">
        <f t="shared" si="3"/>
        <v>0</v>
      </c>
      <c r="E537" s="67"/>
      <c r="F537" s="58">
        <f t="shared" si="150"/>
        <v>-8</v>
      </c>
      <c r="G537" s="58"/>
      <c r="H537" s="58">
        <f t="shared" ref="H537:M537" si="534">SUMIFS($C537,$B537,H$8)+H536</f>
        <v>0</v>
      </c>
      <c r="I537" s="58">
        <f t="shared" si="534"/>
        <v>9</v>
      </c>
      <c r="J537" s="58">
        <f t="shared" si="534"/>
        <v>36</v>
      </c>
      <c r="K537" s="58">
        <f t="shared" si="534"/>
        <v>0</v>
      </c>
      <c r="L537" s="58">
        <f t="shared" si="534"/>
        <v>0</v>
      </c>
      <c r="M537" s="58">
        <f t="shared" si="534"/>
        <v>0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0" customHeight="1">
      <c r="A538" s="70"/>
      <c r="B538" s="71"/>
      <c r="C538" s="66"/>
      <c r="D538" s="66">
        <f t="shared" si="3"/>
        <v>0</v>
      </c>
      <c r="E538" s="67"/>
      <c r="F538" s="58">
        <f t="shared" si="150"/>
        <v>-8</v>
      </c>
      <c r="G538" s="58"/>
      <c r="H538" s="58">
        <f t="shared" ref="H538:M538" si="535">SUMIFS($C538,$B538,H$8)+H537</f>
        <v>0</v>
      </c>
      <c r="I538" s="58">
        <f t="shared" si="535"/>
        <v>9</v>
      </c>
      <c r="J538" s="58">
        <f t="shared" si="535"/>
        <v>36</v>
      </c>
      <c r="K538" s="58">
        <f t="shared" si="535"/>
        <v>0</v>
      </c>
      <c r="L538" s="58">
        <f t="shared" si="535"/>
        <v>0</v>
      </c>
      <c r="M538" s="58">
        <f t="shared" si="535"/>
        <v>0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0" customHeight="1">
      <c r="A539" s="70"/>
      <c r="B539" s="71"/>
      <c r="C539" s="66"/>
      <c r="D539" s="66">
        <f t="shared" si="3"/>
        <v>0</v>
      </c>
      <c r="E539" s="67"/>
      <c r="F539" s="58">
        <f t="shared" si="150"/>
        <v>-8</v>
      </c>
      <c r="G539" s="58"/>
      <c r="H539" s="58">
        <f t="shared" ref="H539:M539" si="536">SUMIFS($C539,$B539,H$8)+H538</f>
        <v>0</v>
      </c>
      <c r="I539" s="58">
        <f t="shared" si="536"/>
        <v>9</v>
      </c>
      <c r="J539" s="58">
        <f t="shared" si="536"/>
        <v>36</v>
      </c>
      <c r="K539" s="58">
        <f t="shared" si="536"/>
        <v>0</v>
      </c>
      <c r="L539" s="58">
        <f t="shared" si="536"/>
        <v>0</v>
      </c>
      <c r="M539" s="58">
        <f t="shared" si="536"/>
        <v>0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0" customHeight="1">
      <c r="A540" s="70"/>
      <c r="B540" s="71"/>
      <c r="C540" s="66"/>
      <c r="D540" s="66">
        <f t="shared" si="3"/>
        <v>0</v>
      </c>
      <c r="E540" s="67"/>
      <c r="F540" s="58">
        <f t="shared" si="150"/>
        <v>-8</v>
      </c>
      <c r="G540" s="58"/>
      <c r="H540" s="58">
        <f t="shared" ref="H540:M540" si="537">SUMIFS($C540,$B540,H$8)+H539</f>
        <v>0</v>
      </c>
      <c r="I540" s="58">
        <f t="shared" si="537"/>
        <v>9</v>
      </c>
      <c r="J540" s="58">
        <f t="shared" si="537"/>
        <v>36</v>
      </c>
      <c r="K540" s="58">
        <f t="shared" si="537"/>
        <v>0</v>
      </c>
      <c r="L540" s="58">
        <f t="shared" si="537"/>
        <v>0</v>
      </c>
      <c r="M540" s="58">
        <f t="shared" si="537"/>
        <v>0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0" customHeight="1">
      <c r="A541" s="70"/>
      <c r="B541" s="71"/>
      <c r="C541" s="66"/>
      <c r="D541" s="66">
        <f t="shared" si="3"/>
        <v>0</v>
      </c>
      <c r="E541" s="67"/>
      <c r="F541" s="58">
        <f t="shared" si="150"/>
        <v>-8</v>
      </c>
      <c r="G541" s="58"/>
      <c r="H541" s="58">
        <f t="shared" ref="H541:M541" si="538">SUMIFS($C541,$B541,H$8)+H540</f>
        <v>0</v>
      </c>
      <c r="I541" s="58">
        <f t="shared" si="538"/>
        <v>9</v>
      </c>
      <c r="J541" s="58">
        <f t="shared" si="538"/>
        <v>36</v>
      </c>
      <c r="K541" s="58">
        <f t="shared" si="538"/>
        <v>0</v>
      </c>
      <c r="L541" s="58">
        <f t="shared" si="538"/>
        <v>0</v>
      </c>
      <c r="M541" s="58">
        <f t="shared" si="538"/>
        <v>0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0" customHeight="1">
      <c r="A542" s="70"/>
      <c r="B542" s="71"/>
      <c r="C542" s="66"/>
      <c r="D542" s="66">
        <f t="shared" si="3"/>
        <v>0</v>
      </c>
      <c r="E542" s="67"/>
      <c r="F542" s="58">
        <f t="shared" si="150"/>
        <v>-8</v>
      </c>
      <c r="G542" s="58"/>
      <c r="H542" s="58">
        <f t="shared" ref="H542:M542" si="539">SUMIFS($C542,$B542,H$8)+H541</f>
        <v>0</v>
      </c>
      <c r="I542" s="58">
        <f t="shared" si="539"/>
        <v>9</v>
      </c>
      <c r="J542" s="58">
        <f t="shared" si="539"/>
        <v>36</v>
      </c>
      <c r="K542" s="58">
        <f t="shared" si="539"/>
        <v>0</v>
      </c>
      <c r="L542" s="58">
        <f t="shared" si="539"/>
        <v>0</v>
      </c>
      <c r="M542" s="58">
        <f t="shared" si="539"/>
        <v>0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0" customHeight="1">
      <c r="A543" s="70"/>
      <c r="B543" s="71"/>
      <c r="C543" s="66"/>
      <c r="D543" s="66">
        <f t="shared" si="3"/>
        <v>0</v>
      </c>
      <c r="E543" s="67"/>
      <c r="F543" s="58">
        <f t="shared" si="150"/>
        <v>-8</v>
      </c>
      <c r="G543" s="58"/>
      <c r="H543" s="58">
        <f t="shared" ref="H543:M543" si="540">SUMIFS($C543,$B543,H$8)+H542</f>
        <v>0</v>
      </c>
      <c r="I543" s="58">
        <f t="shared" si="540"/>
        <v>9</v>
      </c>
      <c r="J543" s="58">
        <f t="shared" si="540"/>
        <v>36</v>
      </c>
      <c r="K543" s="58">
        <f t="shared" si="540"/>
        <v>0</v>
      </c>
      <c r="L543" s="58">
        <f t="shared" si="540"/>
        <v>0</v>
      </c>
      <c r="M543" s="58">
        <f t="shared" si="540"/>
        <v>0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0" customHeight="1">
      <c r="A544" s="70"/>
      <c r="B544" s="71"/>
      <c r="C544" s="66"/>
      <c r="D544" s="66">
        <f t="shared" si="3"/>
        <v>0</v>
      </c>
      <c r="E544" s="67"/>
      <c r="F544" s="58">
        <f t="shared" si="150"/>
        <v>-8</v>
      </c>
      <c r="G544" s="58"/>
      <c r="H544" s="58">
        <f t="shared" ref="H544:M544" si="541">SUMIFS($C544,$B544,H$8)+H543</f>
        <v>0</v>
      </c>
      <c r="I544" s="58">
        <f t="shared" si="541"/>
        <v>9</v>
      </c>
      <c r="J544" s="58">
        <f t="shared" si="541"/>
        <v>36</v>
      </c>
      <c r="K544" s="58">
        <f t="shared" si="541"/>
        <v>0</v>
      </c>
      <c r="L544" s="58">
        <f t="shared" si="541"/>
        <v>0</v>
      </c>
      <c r="M544" s="58">
        <f t="shared" si="541"/>
        <v>0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0" customHeight="1">
      <c r="A545" s="70"/>
      <c r="B545" s="71"/>
      <c r="C545" s="66"/>
      <c r="D545" s="66">
        <f t="shared" si="3"/>
        <v>0</v>
      </c>
      <c r="E545" s="67"/>
      <c r="F545" s="58">
        <f t="shared" si="150"/>
        <v>-8</v>
      </c>
      <c r="G545" s="58"/>
      <c r="H545" s="58">
        <f t="shared" ref="H545:M545" si="542">SUMIFS($C545,$B545,H$8)+H544</f>
        <v>0</v>
      </c>
      <c r="I545" s="58">
        <f t="shared" si="542"/>
        <v>9</v>
      </c>
      <c r="J545" s="58">
        <f t="shared" si="542"/>
        <v>36</v>
      </c>
      <c r="K545" s="58">
        <f t="shared" si="542"/>
        <v>0</v>
      </c>
      <c r="L545" s="58">
        <f t="shared" si="542"/>
        <v>0</v>
      </c>
      <c r="M545" s="58">
        <f t="shared" si="542"/>
        <v>0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0" customHeight="1">
      <c r="A546" s="70"/>
      <c r="B546" s="71"/>
      <c r="C546" s="66"/>
      <c r="D546" s="66">
        <f t="shared" si="3"/>
        <v>0</v>
      </c>
      <c r="E546" s="67"/>
      <c r="F546" s="58">
        <f t="shared" si="150"/>
        <v>-8</v>
      </c>
      <c r="G546" s="58"/>
      <c r="H546" s="58">
        <f t="shared" ref="H546:M546" si="543">SUMIFS($C546,$B546,H$8)+H545</f>
        <v>0</v>
      </c>
      <c r="I546" s="58">
        <f t="shared" si="543"/>
        <v>9</v>
      </c>
      <c r="J546" s="58">
        <f t="shared" si="543"/>
        <v>36</v>
      </c>
      <c r="K546" s="58">
        <f t="shared" si="543"/>
        <v>0</v>
      </c>
      <c r="L546" s="58">
        <f t="shared" si="543"/>
        <v>0</v>
      </c>
      <c r="M546" s="58">
        <f t="shared" si="543"/>
        <v>0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0" customHeight="1">
      <c r="A547" s="70"/>
      <c r="B547" s="71"/>
      <c r="C547" s="66"/>
      <c r="D547" s="66">
        <f t="shared" si="3"/>
        <v>0</v>
      </c>
      <c r="E547" s="67"/>
      <c r="F547" s="58">
        <f t="shared" si="150"/>
        <v>-8</v>
      </c>
      <c r="G547" s="58"/>
      <c r="H547" s="58">
        <f t="shared" ref="H547:M547" si="544">SUMIFS($C547,$B547,H$8)+H546</f>
        <v>0</v>
      </c>
      <c r="I547" s="58">
        <f t="shared" si="544"/>
        <v>9</v>
      </c>
      <c r="J547" s="58">
        <f t="shared" si="544"/>
        <v>36</v>
      </c>
      <c r="K547" s="58">
        <f t="shared" si="544"/>
        <v>0</v>
      </c>
      <c r="L547" s="58">
        <f t="shared" si="544"/>
        <v>0</v>
      </c>
      <c r="M547" s="58">
        <f t="shared" si="544"/>
        <v>0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0" customHeight="1">
      <c r="A548" s="70"/>
      <c r="B548" s="71"/>
      <c r="C548" s="66"/>
      <c r="D548" s="66">
        <f t="shared" si="3"/>
        <v>0</v>
      </c>
      <c r="E548" s="67"/>
      <c r="F548" s="58">
        <f t="shared" si="150"/>
        <v>-8</v>
      </c>
      <c r="G548" s="58"/>
      <c r="H548" s="58">
        <f t="shared" ref="H548:M548" si="545">SUMIFS($C548,$B548,H$8)+H547</f>
        <v>0</v>
      </c>
      <c r="I548" s="58">
        <f t="shared" si="545"/>
        <v>9</v>
      </c>
      <c r="J548" s="58">
        <f t="shared" si="545"/>
        <v>36</v>
      </c>
      <c r="K548" s="58">
        <f t="shared" si="545"/>
        <v>0</v>
      </c>
      <c r="L548" s="58">
        <f t="shared" si="545"/>
        <v>0</v>
      </c>
      <c r="M548" s="58">
        <f t="shared" si="545"/>
        <v>0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0" customHeight="1">
      <c r="A549" s="70"/>
      <c r="B549" s="71"/>
      <c r="C549" s="66"/>
      <c r="D549" s="66">
        <f t="shared" si="3"/>
        <v>0</v>
      </c>
      <c r="E549" s="67"/>
      <c r="F549" s="58">
        <f t="shared" si="150"/>
        <v>-8</v>
      </c>
      <c r="G549" s="58"/>
      <c r="H549" s="58">
        <f t="shared" ref="H549:M549" si="546">SUMIFS($C549,$B549,H$8)+H548</f>
        <v>0</v>
      </c>
      <c r="I549" s="58">
        <f t="shared" si="546"/>
        <v>9</v>
      </c>
      <c r="J549" s="58">
        <f t="shared" si="546"/>
        <v>36</v>
      </c>
      <c r="K549" s="58">
        <f t="shared" si="546"/>
        <v>0</v>
      </c>
      <c r="L549" s="58">
        <f t="shared" si="546"/>
        <v>0</v>
      </c>
      <c r="M549" s="58">
        <f t="shared" si="546"/>
        <v>0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0" customHeight="1">
      <c r="A550" s="70"/>
      <c r="B550" s="71"/>
      <c r="C550" s="66"/>
      <c r="D550" s="66">
        <f t="shared" si="3"/>
        <v>0</v>
      </c>
      <c r="E550" s="67"/>
      <c r="F550" s="58">
        <f t="shared" si="150"/>
        <v>-8</v>
      </c>
      <c r="G550" s="58"/>
      <c r="H550" s="58">
        <f t="shared" ref="H550:M550" si="547">SUMIFS($C550,$B550,H$8)+H549</f>
        <v>0</v>
      </c>
      <c r="I550" s="58">
        <f t="shared" si="547"/>
        <v>9</v>
      </c>
      <c r="J550" s="58">
        <f t="shared" si="547"/>
        <v>36</v>
      </c>
      <c r="K550" s="58">
        <f t="shared" si="547"/>
        <v>0</v>
      </c>
      <c r="L550" s="58">
        <f t="shared" si="547"/>
        <v>0</v>
      </c>
      <c r="M550" s="58">
        <f t="shared" si="547"/>
        <v>0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0" customHeight="1">
      <c r="A551" s="70"/>
      <c r="B551" s="71"/>
      <c r="C551" s="66"/>
      <c r="D551" s="66">
        <f t="shared" si="3"/>
        <v>0</v>
      </c>
      <c r="E551" s="67"/>
      <c r="F551" s="58">
        <f t="shared" si="150"/>
        <v>-8</v>
      </c>
      <c r="G551" s="58"/>
      <c r="H551" s="58">
        <f t="shared" ref="H551:M551" si="548">SUMIFS($C551,$B551,H$8)+H550</f>
        <v>0</v>
      </c>
      <c r="I551" s="58">
        <f t="shared" si="548"/>
        <v>9</v>
      </c>
      <c r="J551" s="58">
        <f t="shared" si="548"/>
        <v>36</v>
      </c>
      <c r="K551" s="58">
        <f t="shared" si="548"/>
        <v>0</v>
      </c>
      <c r="L551" s="58">
        <f t="shared" si="548"/>
        <v>0</v>
      </c>
      <c r="M551" s="58">
        <f t="shared" si="548"/>
        <v>0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0" customHeight="1">
      <c r="A552" s="70"/>
      <c r="B552" s="71"/>
      <c r="C552" s="66"/>
      <c r="D552" s="66">
        <f t="shared" si="3"/>
        <v>0</v>
      </c>
      <c r="E552" s="67"/>
      <c r="F552" s="58">
        <f t="shared" si="150"/>
        <v>-8</v>
      </c>
      <c r="G552" s="58"/>
      <c r="H552" s="58">
        <f t="shared" ref="H552:M552" si="549">SUMIFS($C552,$B552,H$8)+H551</f>
        <v>0</v>
      </c>
      <c r="I552" s="58">
        <f t="shared" si="549"/>
        <v>9</v>
      </c>
      <c r="J552" s="58">
        <f t="shared" si="549"/>
        <v>36</v>
      </c>
      <c r="K552" s="58">
        <f t="shared" si="549"/>
        <v>0</v>
      </c>
      <c r="L552" s="58">
        <f t="shared" si="549"/>
        <v>0</v>
      </c>
      <c r="M552" s="58">
        <f t="shared" si="549"/>
        <v>0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0" customHeight="1">
      <c r="A553" s="70"/>
      <c r="B553" s="71"/>
      <c r="C553" s="66"/>
      <c r="D553" s="66">
        <f t="shared" si="3"/>
        <v>0</v>
      </c>
      <c r="E553" s="67"/>
      <c r="F553" s="58">
        <f t="shared" si="150"/>
        <v>-8</v>
      </c>
      <c r="G553" s="58"/>
      <c r="H553" s="58">
        <f t="shared" ref="H553:M553" si="550">SUMIFS($C553,$B553,H$8)+H552</f>
        <v>0</v>
      </c>
      <c r="I553" s="58">
        <f t="shared" si="550"/>
        <v>9</v>
      </c>
      <c r="J553" s="58">
        <f t="shared" si="550"/>
        <v>36</v>
      </c>
      <c r="K553" s="58">
        <f t="shared" si="550"/>
        <v>0</v>
      </c>
      <c r="L553" s="58">
        <f t="shared" si="550"/>
        <v>0</v>
      </c>
      <c r="M553" s="58">
        <f t="shared" si="550"/>
        <v>0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0" customHeight="1">
      <c r="A554" s="70"/>
      <c r="B554" s="71"/>
      <c r="C554" s="66"/>
      <c r="D554" s="66">
        <f t="shared" si="3"/>
        <v>0</v>
      </c>
      <c r="E554" s="67"/>
      <c r="F554" s="58">
        <f t="shared" si="150"/>
        <v>-8</v>
      </c>
      <c r="G554" s="58"/>
      <c r="H554" s="58">
        <f t="shared" ref="H554:M554" si="551">SUMIFS($C554,$B554,H$8)+H553</f>
        <v>0</v>
      </c>
      <c r="I554" s="58">
        <f t="shared" si="551"/>
        <v>9</v>
      </c>
      <c r="J554" s="58">
        <f t="shared" si="551"/>
        <v>36</v>
      </c>
      <c r="K554" s="58">
        <f t="shared" si="551"/>
        <v>0</v>
      </c>
      <c r="L554" s="58">
        <f t="shared" si="551"/>
        <v>0</v>
      </c>
      <c r="M554" s="58">
        <f t="shared" si="551"/>
        <v>0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0" customHeight="1">
      <c r="A555" s="70"/>
      <c r="B555" s="71"/>
      <c r="C555" s="66"/>
      <c r="D555" s="66">
        <f t="shared" si="3"/>
        <v>0</v>
      </c>
      <c r="E555" s="67"/>
      <c r="F555" s="58">
        <f t="shared" si="150"/>
        <v>-8</v>
      </c>
      <c r="G555" s="58"/>
      <c r="H555" s="58">
        <f t="shared" ref="H555:M555" si="552">SUMIFS($C555,$B555,H$8)+H554</f>
        <v>0</v>
      </c>
      <c r="I555" s="58">
        <f t="shared" si="552"/>
        <v>9</v>
      </c>
      <c r="J555" s="58">
        <f t="shared" si="552"/>
        <v>36</v>
      </c>
      <c r="K555" s="58">
        <f t="shared" si="552"/>
        <v>0</v>
      </c>
      <c r="L555" s="58">
        <f t="shared" si="552"/>
        <v>0</v>
      </c>
      <c r="M555" s="58">
        <f t="shared" si="552"/>
        <v>0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0" customHeight="1">
      <c r="A556" s="70"/>
      <c r="B556" s="71"/>
      <c r="C556" s="66"/>
      <c r="D556" s="66">
        <f t="shared" si="3"/>
        <v>0</v>
      </c>
      <c r="E556" s="67"/>
      <c r="F556" s="58">
        <f t="shared" si="150"/>
        <v>-8</v>
      </c>
      <c r="G556" s="58"/>
      <c r="H556" s="58">
        <f t="shared" ref="H556:M556" si="553">SUMIFS($C556,$B556,H$8)+H555</f>
        <v>0</v>
      </c>
      <c r="I556" s="58">
        <f t="shared" si="553"/>
        <v>9</v>
      </c>
      <c r="J556" s="58">
        <f t="shared" si="553"/>
        <v>36</v>
      </c>
      <c r="K556" s="58">
        <f t="shared" si="553"/>
        <v>0</v>
      </c>
      <c r="L556" s="58">
        <f t="shared" si="553"/>
        <v>0</v>
      </c>
      <c r="M556" s="58">
        <f t="shared" si="553"/>
        <v>0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0" customHeight="1">
      <c r="A557" s="70"/>
      <c r="B557" s="71"/>
      <c r="C557" s="66"/>
      <c r="D557" s="66">
        <f t="shared" si="3"/>
        <v>0</v>
      </c>
      <c r="E557" s="67"/>
      <c r="F557" s="58">
        <f t="shared" si="150"/>
        <v>-8</v>
      </c>
      <c r="G557" s="58"/>
      <c r="H557" s="58">
        <f t="shared" ref="H557:M557" si="554">SUMIFS($C557,$B557,H$8)+H556</f>
        <v>0</v>
      </c>
      <c r="I557" s="58">
        <f t="shared" si="554"/>
        <v>9</v>
      </c>
      <c r="J557" s="58">
        <f t="shared" si="554"/>
        <v>36</v>
      </c>
      <c r="K557" s="58">
        <f t="shared" si="554"/>
        <v>0</v>
      </c>
      <c r="L557" s="58">
        <f t="shared" si="554"/>
        <v>0</v>
      </c>
      <c r="M557" s="58">
        <f t="shared" si="554"/>
        <v>0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0" customHeight="1">
      <c r="A558" s="70"/>
      <c r="B558" s="71"/>
      <c r="C558" s="66"/>
      <c r="D558" s="66">
        <f t="shared" si="3"/>
        <v>0</v>
      </c>
      <c r="E558" s="67"/>
      <c r="F558" s="58">
        <f t="shared" si="150"/>
        <v>-8</v>
      </c>
      <c r="G558" s="58"/>
      <c r="H558" s="58">
        <f t="shared" ref="H558:M558" si="555">SUMIFS($C558,$B558,H$8)+H557</f>
        <v>0</v>
      </c>
      <c r="I558" s="58">
        <f t="shared" si="555"/>
        <v>9</v>
      </c>
      <c r="J558" s="58">
        <f t="shared" si="555"/>
        <v>36</v>
      </c>
      <c r="K558" s="58">
        <f t="shared" si="555"/>
        <v>0</v>
      </c>
      <c r="L558" s="58">
        <f t="shared" si="555"/>
        <v>0</v>
      </c>
      <c r="M558" s="58">
        <f t="shared" si="555"/>
        <v>0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0" customHeight="1">
      <c r="A559" s="70"/>
      <c r="B559" s="71"/>
      <c r="C559" s="66"/>
      <c r="D559" s="66">
        <f t="shared" si="3"/>
        <v>0</v>
      </c>
      <c r="E559" s="67"/>
      <c r="F559" s="58">
        <f t="shared" si="150"/>
        <v>-8</v>
      </c>
      <c r="G559" s="58"/>
      <c r="H559" s="58">
        <f t="shared" ref="H559:M559" si="556">SUMIFS($C559,$B559,H$8)+H558</f>
        <v>0</v>
      </c>
      <c r="I559" s="58">
        <f t="shared" si="556"/>
        <v>9</v>
      </c>
      <c r="J559" s="58">
        <f t="shared" si="556"/>
        <v>36</v>
      </c>
      <c r="K559" s="58">
        <f t="shared" si="556"/>
        <v>0</v>
      </c>
      <c r="L559" s="58">
        <f t="shared" si="556"/>
        <v>0</v>
      </c>
      <c r="M559" s="58">
        <f t="shared" si="556"/>
        <v>0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0" customHeight="1">
      <c r="A560" s="70"/>
      <c r="B560" s="71"/>
      <c r="C560" s="66"/>
      <c r="D560" s="66">
        <f t="shared" si="3"/>
        <v>0</v>
      </c>
      <c r="E560" s="67"/>
      <c r="F560" s="58">
        <f t="shared" si="150"/>
        <v>-8</v>
      </c>
      <c r="G560" s="58"/>
      <c r="H560" s="58">
        <f t="shared" ref="H560:M560" si="557">SUMIFS($C560,$B560,H$8)+H559</f>
        <v>0</v>
      </c>
      <c r="I560" s="58">
        <f t="shared" si="557"/>
        <v>9</v>
      </c>
      <c r="J560" s="58">
        <f t="shared" si="557"/>
        <v>36</v>
      </c>
      <c r="K560" s="58">
        <f t="shared" si="557"/>
        <v>0</v>
      </c>
      <c r="L560" s="58">
        <f t="shared" si="557"/>
        <v>0</v>
      </c>
      <c r="M560" s="58">
        <f t="shared" si="557"/>
        <v>0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0" customHeight="1">
      <c r="A561" s="70"/>
      <c r="B561" s="71"/>
      <c r="C561" s="66"/>
      <c r="D561" s="66">
        <f t="shared" si="3"/>
        <v>0</v>
      </c>
      <c r="E561" s="67"/>
      <c r="F561" s="58">
        <f t="shared" si="150"/>
        <v>-8</v>
      </c>
      <c r="G561" s="58"/>
      <c r="H561" s="58">
        <f t="shared" ref="H561:M561" si="558">SUMIFS($C561,$B561,H$8)+H560</f>
        <v>0</v>
      </c>
      <c r="I561" s="58">
        <f t="shared" si="558"/>
        <v>9</v>
      </c>
      <c r="J561" s="58">
        <f t="shared" si="558"/>
        <v>36</v>
      </c>
      <c r="K561" s="58">
        <f t="shared" si="558"/>
        <v>0</v>
      </c>
      <c r="L561" s="58">
        <f t="shared" si="558"/>
        <v>0</v>
      </c>
      <c r="M561" s="58">
        <f t="shared" si="558"/>
        <v>0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0" customHeight="1">
      <c r="A562" s="70"/>
      <c r="B562" s="71"/>
      <c r="C562" s="66"/>
      <c r="D562" s="66">
        <f t="shared" si="3"/>
        <v>0</v>
      </c>
      <c r="E562" s="67"/>
      <c r="F562" s="58">
        <f t="shared" si="150"/>
        <v>-8</v>
      </c>
      <c r="G562" s="58"/>
      <c r="H562" s="58">
        <f t="shared" ref="H562:M562" si="559">SUMIFS($C562,$B562,H$8)+H561</f>
        <v>0</v>
      </c>
      <c r="I562" s="58">
        <f t="shared" si="559"/>
        <v>9</v>
      </c>
      <c r="J562" s="58">
        <f t="shared" si="559"/>
        <v>36</v>
      </c>
      <c r="K562" s="58">
        <f t="shared" si="559"/>
        <v>0</v>
      </c>
      <c r="L562" s="58">
        <f t="shared" si="559"/>
        <v>0</v>
      </c>
      <c r="M562" s="58">
        <f t="shared" si="559"/>
        <v>0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0" customHeight="1">
      <c r="A563" s="70"/>
      <c r="B563" s="71"/>
      <c r="C563" s="66"/>
      <c r="D563" s="66">
        <f t="shared" si="3"/>
        <v>0</v>
      </c>
      <c r="E563" s="67"/>
      <c r="F563" s="58">
        <f t="shared" si="150"/>
        <v>-8</v>
      </c>
      <c r="G563" s="58"/>
      <c r="H563" s="58">
        <f t="shared" ref="H563:M563" si="560">SUMIFS($C563,$B563,H$8)+H562</f>
        <v>0</v>
      </c>
      <c r="I563" s="58">
        <f t="shared" si="560"/>
        <v>9</v>
      </c>
      <c r="J563" s="58">
        <f t="shared" si="560"/>
        <v>36</v>
      </c>
      <c r="K563" s="58">
        <f t="shared" si="560"/>
        <v>0</v>
      </c>
      <c r="L563" s="58">
        <f t="shared" si="560"/>
        <v>0</v>
      </c>
      <c r="M563" s="58">
        <f t="shared" si="560"/>
        <v>0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0" customHeight="1">
      <c r="A564" s="70"/>
      <c r="B564" s="71"/>
      <c r="C564" s="66"/>
      <c r="D564" s="66">
        <f t="shared" si="3"/>
        <v>0</v>
      </c>
      <c r="E564" s="67"/>
      <c r="F564" s="58">
        <f t="shared" si="150"/>
        <v>-8</v>
      </c>
      <c r="G564" s="58"/>
      <c r="H564" s="58">
        <f t="shared" ref="H564:M564" si="561">SUMIFS($C564,$B564,H$8)+H563</f>
        <v>0</v>
      </c>
      <c r="I564" s="58">
        <f t="shared" si="561"/>
        <v>9</v>
      </c>
      <c r="J564" s="58">
        <f t="shared" si="561"/>
        <v>36</v>
      </c>
      <c r="K564" s="58">
        <f t="shared" si="561"/>
        <v>0</v>
      </c>
      <c r="L564" s="58">
        <f t="shared" si="561"/>
        <v>0</v>
      </c>
      <c r="M564" s="58">
        <f t="shared" si="561"/>
        <v>0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0" customHeight="1">
      <c r="A565" s="70"/>
      <c r="B565" s="71"/>
      <c r="C565" s="66"/>
      <c r="D565" s="66">
        <f t="shared" si="3"/>
        <v>0</v>
      </c>
      <c r="E565" s="67"/>
      <c r="F565" s="58">
        <f t="shared" si="150"/>
        <v>-8</v>
      </c>
      <c r="G565" s="58"/>
      <c r="H565" s="58">
        <f t="shared" ref="H565:M565" si="562">SUMIFS($C565,$B565,H$8)+H564</f>
        <v>0</v>
      </c>
      <c r="I565" s="58">
        <f t="shared" si="562"/>
        <v>9</v>
      </c>
      <c r="J565" s="58">
        <f t="shared" si="562"/>
        <v>36</v>
      </c>
      <c r="K565" s="58">
        <f t="shared" si="562"/>
        <v>0</v>
      </c>
      <c r="L565" s="58">
        <f t="shared" si="562"/>
        <v>0</v>
      </c>
      <c r="M565" s="58">
        <f t="shared" si="562"/>
        <v>0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0" customHeight="1">
      <c r="A566" s="70"/>
      <c r="B566" s="71"/>
      <c r="C566" s="66"/>
      <c r="D566" s="66">
        <f t="shared" si="3"/>
        <v>0</v>
      </c>
      <c r="E566" s="67"/>
      <c r="F566" s="58">
        <f t="shared" si="150"/>
        <v>-8</v>
      </c>
      <c r="G566" s="58"/>
      <c r="H566" s="58">
        <f t="shared" ref="H566:M566" si="563">SUMIFS($C566,$B566,H$8)+H565</f>
        <v>0</v>
      </c>
      <c r="I566" s="58">
        <f t="shared" si="563"/>
        <v>9</v>
      </c>
      <c r="J566" s="58">
        <f t="shared" si="563"/>
        <v>36</v>
      </c>
      <c r="K566" s="58">
        <f t="shared" si="563"/>
        <v>0</v>
      </c>
      <c r="L566" s="58">
        <f t="shared" si="563"/>
        <v>0</v>
      </c>
      <c r="M566" s="58">
        <f t="shared" si="563"/>
        <v>0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0" customHeight="1">
      <c r="A567" s="70"/>
      <c r="B567" s="71"/>
      <c r="C567" s="66"/>
      <c r="D567" s="66">
        <f t="shared" si="3"/>
        <v>0</v>
      </c>
      <c r="E567" s="67"/>
      <c r="F567" s="58">
        <f t="shared" si="150"/>
        <v>-8</v>
      </c>
      <c r="G567" s="58"/>
      <c r="H567" s="58">
        <f t="shared" ref="H567:M567" si="564">SUMIFS($C567,$B567,H$8)+H566</f>
        <v>0</v>
      </c>
      <c r="I567" s="58">
        <f t="shared" si="564"/>
        <v>9</v>
      </c>
      <c r="J567" s="58">
        <f t="shared" si="564"/>
        <v>36</v>
      </c>
      <c r="K567" s="58">
        <f t="shared" si="564"/>
        <v>0</v>
      </c>
      <c r="L567" s="58">
        <f t="shared" si="564"/>
        <v>0</v>
      </c>
      <c r="M567" s="58">
        <f t="shared" si="564"/>
        <v>0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0" customHeight="1">
      <c r="A568" s="70"/>
      <c r="B568" s="71"/>
      <c r="C568" s="66"/>
      <c r="D568" s="66">
        <f t="shared" si="3"/>
        <v>0</v>
      </c>
      <c r="E568" s="67"/>
      <c r="F568" s="58">
        <f t="shared" si="150"/>
        <v>-8</v>
      </c>
      <c r="G568" s="58"/>
      <c r="H568" s="58">
        <f t="shared" ref="H568:M568" si="565">SUMIFS($C568,$B568,H$8)+H567</f>
        <v>0</v>
      </c>
      <c r="I568" s="58">
        <f t="shared" si="565"/>
        <v>9</v>
      </c>
      <c r="J568" s="58">
        <f t="shared" si="565"/>
        <v>36</v>
      </c>
      <c r="K568" s="58">
        <f t="shared" si="565"/>
        <v>0</v>
      </c>
      <c r="L568" s="58">
        <f t="shared" si="565"/>
        <v>0</v>
      </c>
      <c r="M568" s="58">
        <f t="shared" si="565"/>
        <v>0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0" customHeight="1">
      <c r="A569" s="70"/>
      <c r="B569" s="71"/>
      <c r="C569" s="66"/>
      <c r="D569" s="66">
        <f t="shared" si="3"/>
        <v>0</v>
      </c>
      <c r="E569" s="67"/>
      <c r="F569" s="58">
        <f t="shared" si="150"/>
        <v>-8</v>
      </c>
      <c r="G569" s="58"/>
      <c r="H569" s="58">
        <f t="shared" ref="H569:M569" si="566">SUMIFS($C569,$B569,H$8)+H568</f>
        <v>0</v>
      </c>
      <c r="I569" s="58">
        <f t="shared" si="566"/>
        <v>9</v>
      </c>
      <c r="J569" s="58">
        <f t="shared" si="566"/>
        <v>36</v>
      </c>
      <c r="K569" s="58">
        <f t="shared" si="566"/>
        <v>0</v>
      </c>
      <c r="L569" s="58">
        <f t="shared" si="566"/>
        <v>0</v>
      </c>
      <c r="M569" s="58">
        <f t="shared" si="566"/>
        <v>0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0" customHeight="1">
      <c r="A570" s="70"/>
      <c r="B570" s="71"/>
      <c r="C570" s="66"/>
      <c r="D570" s="66">
        <f t="shared" si="3"/>
        <v>0</v>
      </c>
      <c r="E570" s="67"/>
      <c r="F570" s="58">
        <f t="shared" si="150"/>
        <v>-8</v>
      </c>
      <c r="G570" s="58"/>
      <c r="H570" s="58">
        <f t="shared" ref="H570:M570" si="567">SUMIFS($C570,$B570,H$8)+H569</f>
        <v>0</v>
      </c>
      <c r="I570" s="58">
        <f t="shared" si="567"/>
        <v>9</v>
      </c>
      <c r="J570" s="58">
        <f t="shared" si="567"/>
        <v>36</v>
      </c>
      <c r="K570" s="58">
        <f t="shared" si="567"/>
        <v>0</v>
      </c>
      <c r="L570" s="58">
        <f t="shared" si="567"/>
        <v>0</v>
      </c>
      <c r="M570" s="58">
        <f t="shared" si="567"/>
        <v>0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0" customHeight="1">
      <c r="A571" s="70"/>
      <c r="B571" s="71"/>
      <c r="C571" s="66"/>
      <c r="D571" s="66">
        <f t="shared" si="3"/>
        <v>0</v>
      </c>
      <c r="E571" s="67"/>
      <c r="F571" s="58">
        <f t="shared" si="150"/>
        <v>-8</v>
      </c>
      <c r="G571" s="58"/>
      <c r="H571" s="58">
        <f t="shared" ref="H571:M571" si="568">SUMIFS($C571,$B571,H$8)+H570</f>
        <v>0</v>
      </c>
      <c r="I571" s="58">
        <f t="shared" si="568"/>
        <v>9</v>
      </c>
      <c r="J571" s="58">
        <f t="shared" si="568"/>
        <v>36</v>
      </c>
      <c r="K571" s="58">
        <f t="shared" si="568"/>
        <v>0</v>
      </c>
      <c r="L571" s="58">
        <f t="shared" si="568"/>
        <v>0</v>
      </c>
      <c r="M571" s="58">
        <f t="shared" si="568"/>
        <v>0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0" customHeight="1">
      <c r="A572" s="70"/>
      <c r="B572" s="71"/>
      <c r="C572" s="66"/>
      <c r="D572" s="66">
        <f t="shared" si="3"/>
        <v>0</v>
      </c>
      <c r="E572" s="67"/>
      <c r="F572" s="58">
        <f t="shared" si="150"/>
        <v>-8</v>
      </c>
      <c r="G572" s="58"/>
      <c r="H572" s="58">
        <f t="shared" ref="H572:M572" si="569">SUMIFS($C572,$B572,H$8)+H571</f>
        <v>0</v>
      </c>
      <c r="I572" s="58">
        <f t="shared" si="569"/>
        <v>9</v>
      </c>
      <c r="J572" s="58">
        <f t="shared" si="569"/>
        <v>36</v>
      </c>
      <c r="K572" s="58">
        <f t="shared" si="569"/>
        <v>0</v>
      </c>
      <c r="L572" s="58">
        <f t="shared" si="569"/>
        <v>0</v>
      </c>
      <c r="M572" s="58">
        <f t="shared" si="569"/>
        <v>0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0" customHeight="1">
      <c r="A573" s="70"/>
      <c r="B573" s="71"/>
      <c r="C573" s="66"/>
      <c r="D573" s="66">
        <f t="shared" si="3"/>
        <v>0</v>
      </c>
      <c r="E573" s="67"/>
      <c r="F573" s="58">
        <f t="shared" si="150"/>
        <v>-8</v>
      </c>
      <c r="G573" s="58"/>
      <c r="H573" s="58">
        <f t="shared" ref="H573:M573" si="570">SUMIFS($C573,$B573,H$8)+H572</f>
        <v>0</v>
      </c>
      <c r="I573" s="58">
        <f t="shared" si="570"/>
        <v>9</v>
      </c>
      <c r="J573" s="58">
        <f t="shared" si="570"/>
        <v>36</v>
      </c>
      <c r="K573" s="58">
        <f t="shared" si="570"/>
        <v>0</v>
      </c>
      <c r="L573" s="58">
        <f t="shared" si="570"/>
        <v>0</v>
      </c>
      <c r="M573" s="58">
        <f t="shared" si="570"/>
        <v>0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0" customHeight="1">
      <c r="A574" s="70"/>
      <c r="B574" s="71"/>
      <c r="C574" s="66"/>
      <c r="D574" s="66">
        <f t="shared" si="3"/>
        <v>0</v>
      </c>
      <c r="E574" s="67"/>
      <c r="F574" s="58">
        <f t="shared" si="150"/>
        <v>-8</v>
      </c>
      <c r="G574" s="58"/>
      <c r="H574" s="58">
        <f t="shared" ref="H574:M574" si="571">SUMIFS($C574,$B574,H$8)+H573</f>
        <v>0</v>
      </c>
      <c r="I574" s="58">
        <f t="shared" si="571"/>
        <v>9</v>
      </c>
      <c r="J574" s="58">
        <f t="shared" si="571"/>
        <v>36</v>
      </c>
      <c r="K574" s="58">
        <f t="shared" si="571"/>
        <v>0</v>
      </c>
      <c r="L574" s="58">
        <f t="shared" si="571"/>
        <v>0</v>
      </c>
      <c r="M574" s="58">
        <f t="shared" si="571"/>
        <v>0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0" customHeight="1">
      <c r="A575" s="70"/>
      <c r="B575" s="71"/>
      <c r="C575" s="66"/>
      <c r="D575" s="66">
        <f t="shared" si="3"/>
        <v>0</v>
      </c>
      <c r="E575" s="67"/>
      <c r="F575" s="58">
        <f t="shared" si="150"/>
        <v>-8</v>
      </c>
      <c r="G575" s="58"/>
      <c r="H575" s="58">
        <f t="shared" ref="H575:M575" si="572">SUMIFS($C575,$B575,H$8)+H574</f>
        <v>0</v>
      </c>
      <c r="I575" s="58">
        <f t="shared" si="572"/>
        <v>9</v>
      </c>
      <c r="J575" s="58">
        <f t="shared" si="572"/>
        <v>36</v>
      </c>
      <c r="K575" s="58">
        <f t="shared" si="572"/>
        <v>0</v>
      </c>
      <c r="L575" s="58">
        <f t="shared" si="572"/>
        <v>0</v>
      </c>
      <c r="M575" s="58">
        <f t="shared" si="572"/>
        <v>0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0" customHeight="1">
      <c r="A576" s="70"/>
      <c r="B576" s="71"/>
      <c r="C576" s="66"/>
      <c r="D576" s="66">
        <f t="shared" si="3"/>
        <v>0</v>
      </c>
      <c r="E576" s="67"/>
      <c r="F576" s="58">
        <f t="shared" si="150"/>
        <v>-8</v>
      </c>
      <c r="G576" s="58"/>
      <c r="H576" s="58">
        <f t="shared" ref="H576:M576" si="573">SUMIFS($C576,$B576,H$8)+H575</f>
        <v>0</v>
      </c>
      <c r="I576" s="58">
        <f t="shared" si="573"/>
        <v>9</v>
      </c>
      <c r="J576" s="58">
        <f t="shared" si="573"/>
        <v>36</v>
      </c>
      <c r="K576" s="58">
        <f t="shared" si="573"/>
        <v>0</v>
      </c>
      <c r="L576" s="58">
        <f t="shared" si="573"/>
        <v>0</v>
      </c>
      <c r="M576" s="58">
        <f t="shared" si="573"/>
        <v>0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0" customHeight="1">
      <c r="A577" s="70"/>
      <c r="B577" s="71"/>
      <c r="C577" s="66"/>
      <c r="D577" s="66">
        <f t="shared" si="3"/>
        <v>0</v>
      </c>
      <c r="E577" s="67"/>
      <c r="F577" s="58">
        <f t="shared" si="150"/>
        <v>-8</v>
      </c>
      <c r="G577" s="58"/>
      <c r="H577" s="58">
        <f t="shared" ref="H577:M577" si="574">SUMIFS($C577,$B577,H$8)+H576</f>
        <v>0</v>
      </c>
      <c r="I577" s="58">
        <f t="shared" si="574"/>
        <v>9</v>
      </c>
      <c r="J577" s="58">
        <f t="shared" si="574"/>
        <v>36</v>
      </c>
      <c r="K577" s="58">
        <f t="shared" si="574"/>
        <v>0</v>
      </c>
      <c r="L577" s="58">
        <f t="shared" si="574"/>
        <v>0</v>
      </c>
      <c r="M577" s="58">
        <f t="shared" si="574"/>
        <v>0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0" customHeight="1">
      <c r="A578" s="70"/>
      <c r="B578" s="71"/>
      <c r="C578" s="66"/>
      <c r="D578" s="66">
        <f t="shared" si="3"/>
        <v>0</v>
      </c>
      <c r="E578" s="67"/>
      <c r="F578" s="58">
        <f t="shared" si="150"/>
        <v>-8</v>
      </c>
      <c r="G578" s="58"/>
      <c r="H578" s="58">
        <f t="shared" ref="H578:M578" si="575">SUMIFS($C578,$B578,H$8)+H577</f>
        <v>0</v>
      </c>
      <c r="I578" s="58">
        <f t="shared" si="575"/>
        <v>9</v>
      </c>
      <c r="J578" s="58">
        <f t="shared" si="575"/>
        <v>36</v>
      </c>
      <c r="K578" s="58">
        <f t="shared" si="575"/>
        <v>0</v>
      </c>
      <c r="L578" s="58">
        <f t="shared" si="575"/>
        <v>0</v>
      </c>
      <c r="M578" s="58">
        <f t="shared" si="575"/>
        <v>0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0" customHeight="1">
      <c r="A579" s="70"/>
      <c r="B579" s="71"/>
      <c r="C579" s="66"/>
      <c r="D579" s="66">
        <f t="shared" si="3"/>
        <v>0</v>
      </c>
      <c r="E579" s="67"/>
      <c r="F579" s="58">
        <f t="shared" si="150"/>
        <v>-8</v>
      </c>
      <c r="G579" s="58"/>
      <c r="H579" s="58">
        <f t="shared" ref="H579:M579" si="576">SUMIFS($C579,$B579,H$8)+H578</f>
        <v>0</v>
      </c>
      <c r="I579" s="58">
        <f t="shared" si="576"/>
        <v>9</v>
      </c>
      <c r="J579" s="58">
        <f t="shared" si="576"/>
        <v>36</v>
      </c>
      <c r="K579" s="58">
        <f t="shared" si="576"/>
        <v>0</v>
      </c>
      <c r="L579" s="58">
        <f t="shared" si="576"/>
        <v>0</v>
      </c>
      <c r="M579" s="58">
        <f t="shared" si="576"/>
        <v>0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0" customHeight="1">
      <c r="A580" s="70"/>
      <c r="B580" s="71"/>
      <c r="C580" s="66"/>
      <c r="D580" s="66">
        <f t="shared" si="3"/>
        <v>0</v>
      </c>
      <c r="E580" s="67"/>
      <c r="F580" s="58">
        <f t="shared" si="150"/>
        <v>-8</v>
      </c>
      <c r="G580" s="58"/>
      <c r="H580" s="58">
        <f t="shared" ref="H580:M580" si="577">SUMIFS($C580,$B580,H$8)+H579</f>
        <v>0</v>
      </c>
      <c r="I580" s="58">
        <f t="shared" si="577"/>
        <v>9</v>
      </c>
      <c r="J580" s="58">
        <f t="shared" si="577"/>
        <v>36</v>
      </c>
      <c r="K580" s="58">
        <f t="shared" si="577"/>
        <v>0</v>
      </c>
      <c r="L580" s="58">
        <f t="shared" si="577"/>
        <v>0</v>
      </c>
      <c r="M580" s="58">
        <f t="shared" si="577"/>
        <v>0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0" customHeight="1">
      <c r="A581" s="70"/>
      <c r="B581" s="71"/>
      <c r="C581" s="66"/>
      <c r="D581" s="66">
        <f t="shared" si="3"/>
        <v>0</v>
      </c>
      <c r="E581" s="67"/>
      <c r="F581" s="58">
        <f t="shared" si="150"/>
        <v>-8</v>
      </c>
      <c r="G581" s="58"/>
      <c r="H581" s="58">
        <f t="shared" ref="H581:M581" si="578">SUMIFS($C581,$B581,H$8)+H580</f>
        <v>0</v>
      </c>
      <c r="I581" s="58">
        <f t="shared" si="578"/>
        <v>9</v>
      </c>
      <c r="J581" s="58">
        <f t="shared" si="578"/>
        <v>36</v>
      </c>
      <c r="K581" s="58">
        <f t="shared" si="578"/>
        <v>0</v>
      </c>
      <c r="L581" s="58">
        <f t="shared" si="578"/>
        <v>0</v>
      </c>
      <c r="M581" s="58">
        <f t="shared" si="578"/>
        <v>0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0" customHeight="1">
      <c r="A582" s="70"/>
      <c r="B582" s="71"/>
      <c r="C582" s="66"/>
      <c r="D582" s="66">
        <f t="shared" si="3"/>
        <v>0</v>
      </c>
      <c r="E582" s="67"/>
      <c r="F582" s="58">
        <f t="shared" si="150"/>
        <v>-8</v>
      </c>
      <c r="G582" s="58"/>
      <c r="H582" s="58">
        <f t="shared" ref="H582:M582" si="579">SUMIFS($C582,$B582,H$8)+H581</f>
        <v>0</v>
      </c>
      <c r="I582" s="58">
        <f t="shared" si="579"/>
        <v>9</v>
      </c>
      <c r="J582" s="58">
        <f t="shared" si="579"/>
        <v>36</v>
      </c>
      <c r="K582" s="58">
        <f t="shared" si="579"/>
        <v>0</v>
      </c>
      <c r="L582" s="58">
        <f t="shared" si="579"/>
        <v>0</v>
      </c>
      <c r="M582" s="58">
        <f t="shared" si="579"/>
        <v>0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0" customHeight="1">
      <c r="A583" s="70"/>
      <c r="B583" s="71"/>
      <c r="C583" s="66"/>
      <c r="D583" s="66">
        <f t="shared" si="3"/>
        <v>0</v>
      </c>
      <c r="E583" s="67"/>
      <c r="F583" s="58">
        <f t="shared" si="150"/>
        <v>-8</v>
      </c>
      <c r="G583" s="58"/>
      <c r="H583" s="58">
        <f t="shared" ref="H583:M583" si="580">SUMIFS($C583,$B583,H$8)+H582</f>
        <v>0</v>
      </c>
      <c r="I583" s="58">
        <f t="shared" si="580"/>
        <v>9</v>
      </c>
      <c r="J583" s="58">
        <f t="shared" si="580"/>
        <v>36</v>
      </c>
      <c r="K583" s="58">
        <f t="shared" si="580"/>
        <v>0</v>
      </c>
      <c r="L583" s="58">
        <f t="shared" si="580"/>
        <v>0</v>
      </c>
      <c r="M583" s="58">
        <f t="shared" si="580"/>
        <v>0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0" customHeight="1">
      <c r="A584" s="70"/>
      <c r="B584" s="71"/>
      <c r="C584" s="66"/>
      <c r="D584" s="66">
        <f t="shared" si="3"/>
        <v>0</v>
      </c>
      <c r="E584" s="67"/>
      <c r="F584" s="58">
        <f t="shared" si="150"/>
        <v>-8</v>
      </c>
      <c r="G584" s="58"/>
      <c r="H584" s="58">
        <f t="shared" ref="H584:M584" si="581">SUMIFS($C584,$B584,H$8)+H583</f>
        <v>0</v>
      </c>
      <c r="I584" s="58">
        <f t="shared" si="581"/>
        <v>9</v>
      </c>
      <c r="J584" s="58">
        <f t="shared" si="581"/>
        <v>36</v>
      </c>
      <c r="K584" s="58">
        <f t="shared" si="581"/>
        <v>0</v>
      </c>
      <c r="L584" s="58">
        <f t="shared" si="581"/>
        <v>0</v>
      </c>
      <c r="M584" s="58">
        <f t="shared" si="581"/>
        <v>0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0" customHeight="1">
      <c r="A585" s="70"/>
      <c r="B585" s="71"/>
      <c r="C585" s="66"/>
      <c r="D585" s="66">
        <f t="shared" si="3"/>
        <v>0</v>
      </c>
      <c r="E585" s="67"/>
      <c r="F585" s="58">
        <f t="shared" si="150"/>
        <v>-8</v>
      </c>
      <c r="G585" s="58"/>
      <c r="H585" s="58">
        <f t="shared" ref="H585:M585" si="582">SUMIFS($C585,$B585,H$8)+H584</f>
        <v>0</v>
      </c>
      <c r="I585" s="58">
        <f t="shared" si="582"/>
        <v>9</v>
      </c>
      <c r="J585" s="58">
        <f t="shared" si="582"/>
        <v>36</v>
      </c>
      <c r="K585" s="58">
        <f t="shared" si="582"/>
        <v>0</v>
      </c>
      <c r="L585" s="58">
        <f t="shared" si="582"/>
        <v>0</v>
      </c>
      <c r="M585" s="58">
        <f t="shared" si="582"/>
        <v>0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0" customHeight="1">
      <c r="A586" s="70"/>
      <c r="B586" s="71"/>
      <c r="C586" s="66"/>
      <c r="D586" s="66">
        <f t="shared" si="3"/>
        <v>0</v>
      </c>
      <c r="E586" s="67"/>
      <c r="F586" s="58">
        <f t="shared" si="150"/>
        <v>-8</v>
      </c>
      <c r="G586" s="58"/>
      <c r="H586" s="58">
        <f t="shared" ref="H586:M586" si="583">SUMIFS($C586,$B586,H$8)+H585</f>
        <v>0</v>
      </c>
      <c r="I586" s="58">
        <f t="shared" si="583"/>
        <v>9</v>
      </c>
      <c r="J586" s="58">
        <f t="shared" si="583"/>
        <v>36</v>
      </c>
      <c r="K586" s="58">
        <f t="shared" si="583"/>
        <v>0</v>
      </c>
      <c r="L586" s="58">
        <f t="shared" si="583"/>
        <v>0</v>
      </c>
      <c r="M586" s="58">
        <f t="shared" si="583"/>
        <v>0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0" customHeight="1">
      <c r="A587" s="70"/>
      <c r="B587" s="71"/>
      <c r="C587" s="66"/>
      <c r="D587" s="66">
        <f t="shared" si="3"/>
        <v>0</v>
      </c>
      <c r="E587" s="67"/>
      <c r="F587" s="58">
        <f t="shared" si="150"/>
        <v>-8</v>
      </c>
      <c r="G587" s="58"/>
      <c r="H587" s="58">
        <f t="shared" ref="H587:M587" si="584">SUMIFS($C587,$B587,H$8)+H586</f>
        <v>0</v>
      </c>
      <c r="I587" s="58">
        <f t="shared" si="584"/>
        <v>9</v>
      </c>
      <c r="J587" s="58">
        <f t="shared" si="584"/>
        <v>36</v>
      </c>
      <c r="K587" s="58">
        <f t="shared" si="584"/>
        <v>0</v>
      </c>
      <c r="L587" s="58">
        <f t="shared" si="584"/>
        <v>0</v>
      </c>
      <c r="M587" s="58">
        <f t="shared" si="584"/>
        <v>0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0" customHeight="1">
      <c r="A588" s="70"/>
      <c r="B588" s="71"/>
      <c r="C588" s="66"/>
      <c r="D588" s="66">
        <f t="shared" si="3"/>
        <v>0</v>
      </c>
      <c r="E588" s="67"/>
      <c r="F588" s="58">
        <f t="shared" si="150"/>
        <v>-8</v>
      </c>
      <c r="G588" s="58"/>
      <c r="H588" s="58">
        <f t="shared" ref="H588:M588" si="585">SUMIFS($C588,$B588,H$8)+H587</f>
        <v>0</v>
      </c>
      <c r="I588" s="58">
        <f t="shared" si="585"/>
        <v>9</v>
      </c>
      <c r="J588" s="58">
        <f t="shared" si="585"/>
        <v>36</v>
      </c>
      <c r="K588" s="58">
        <f t="shared" si="585"/>
        <v>0</v>
      </c>
      <c r="L588" s="58">
        <f t="shared" si="585"/>
        <v>0</v>
      </c>
      <c r="M588" s="58">
        <f t="shared" si="585"/>
        <v>0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0" customHeight="1">
      <c r="A589" s="70"/>
      <c r="B589" s="71"/>
      <c r="C589" s="66"/>
      <c r="D589" s="66">
        <f t="shared" si="3"/>
        <v>0</v>
      </c>
      <c r="E589" s="67"/>
      <c r="F589" s="58">
        <f t="shared" si="150"/>
        <v>-8</v>
      </c>
      <c r="G589" s="58"/>
      <c r="H589" s="58">
        <f t="shared" ref="H589:M589" si="586">SUMIFS($C589,$B589,H$8)+H588</f>
        <v>0</v>
      </c>
      <c r="I589" s="58">
        <f t="shared" si="586"/>
        <v>9</v>
      </c>
      <c r="J589" s="58">
        <f t="shared" si="586"/>
        <v>36</v>
      </c>
      <c r="K589" s="58">
        <f t="shared" si="586"/>
        <v>0</v>
      </c>
      <c r="L589" s="58">
        <f t="shared" si="586"/>
        <v>0</v>
      </c>
      <c r="M589" s="58">
        <f t="shared" si="586"/>
        <v>0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0" customHeight="1">
      <c r="A590" s="70"/>
      <c r="B590" s="71"/>
      <c r="C590" s="66"/>
      <c r="D590" s="66">
        <f t="shared" si="3"/>
        <v>0</v>
      </c>
      <c r="E590" s="67"/>
      <c r="F590" s="58">
        <f t="shared" si="150"/>
        <v>-8</v>
      </c>
      <c r="G590" s="58"/>
      <c r="H590" s="58">
        <f t="shared" ref="H590:M590" si="587">SUMIFS($C590,$B590,H$8)+H589</f>
        <v>0</v>
      </c>
      <c r="I590" s="58">
        <f t="shared" si="587"/>
        <v>9</v>
      </c>
      <c r="J590" s="58">
        <f t="shared" si="587"/>
        <v>36</v>
      </c>
      <c r="K590" s="58">
        <f t="shared" si="587"/>
        <v>0</v>
      </c>
      <c r="L590" s="58">
        <f t="shared" si="587"/>
        <v>0</v>
      </c>
      <c r="M590" s="58">
        <f t="shared" si="587"/>
        <v>0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0" customHeight="1">
      <c r="A591" s="70"/>
      <c r="B591" s="71"/>
      <c r="C591" s="66"/>
      <c r="D591" s="66">
        <f t="shared" si="3"/>
        <v>0</v>
      </c>
      <c r="E591" s="67"/>
      <c r="F591" s="58">
        <f t="shared" si="150"/>
        <v>-8</v>
      </c>
      <c r="G591" s="58"/>
      <c r="H591" s="58">
        <f t="shared" ref="H591:M591" si="588">SUMIFS($C591,$B591,H$8)+H590</f>
        <v>0</v>
      </c>
      <c r="I591" s="58">
        <f t="shared" si="588"/>
        <v>9</v>
      </c>
      <c r="J591" s="58">
        <f t="shared" si="588"/>
        <v>36</v>
      </c>
      <c r="K591" s="58">
        <f t="shared" si="588"/>
        <v>0</v>
      </c>
      <c r="L591" s="58">
        <f t="shared" si="588"/>
        <v>0</v>
      </c>
      <c r="M591" s="58">
        <f t="shared" si="588"/>
        <v>0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0" customHeight="1">
      <c r="A592" s="70"/>
      <c r="B592" s="71"/>
      <c r="C592" s="66"/>
      <c r="D592" s="66">
        <f t="shared" si="3"/>
        <v>0</v>
      </c>
      <c r="E592" s="67"/>
      <c r="F592" s="58">
        <f t="shared" si="150"/>
        <v>-8</v>
      </c>
      <c r="G592" s="58"/>
      <c r="H592" s="58">
        <f t="shared" ref="H592:M592" si="589">SUMIFS($C592,$B592,H$8)+H591</f>
        <v>0</v>
      </c>
      <c r="I592" s="58">
        <f t="shared" si="589"/>
        <v>9</v>
      </c>
      <c r="J592" s="58">
        <f t="shared" si="589"/>
        <v>36</v>
      </c>
      <c r="K592" s="58">
        <f t="shared" si="589"/>
        <v>0</v>
      </c>
      <c r="L592" s="58">
        <f t="shared" si="589"/>
        <v>0</v>
      </c>
      <c r="M592" s="58">
        <f t="shared" si="589"/>
        <v>0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0" customHeight="1">
      <c r="A593" s="70"/>
      <c r="B593" s="71"/>
      <c r="C593" s="66"/>
      <c r="D593" s="66">
        <f t="shared" si="3"/>
        <v>0</v>
      </c>
      <c r="E593" s="67"/>
      <c r="F593" s="58">
        <f t="shared" si="150"/>
        <v>-8</v>
      </c>
      <c r="G593" s="58"/>
      <c r="H593" s="58">
        <f t="shared" ref="H593:M593" si="590">SUMIFS($C593,$B593,H$8)+H592</f>
        <v>0</v>
      </c>
      <c r="I593" s="58">
        <f t="shared" si="590"/>
        <v>9</v>
      </c>
      <c r="J593" s="58">
        <f t="shared" si="590"/>
        <v>36</v>
      </c>
      <c r="K593" s="58">
        <f t="shared" si="590"/>
        <v>0</v>
      </c>
      <c r="L593" s="58">
        <f t="shared" si="590"/>
        <v>0</v>
      </c>
      <c r="M593" s="58">
        <f t="shared" si="590"/>
        <v>0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0" customHeight="1">
      <c r="A594" s="70"/>
      <c r="B594" s="71"/>
      <c r="C594" s="66"/>
      <c r="D594" s="66">
        <f t="shared" si="3"/>
        <v>0</v>
      </c>
      <c r="E594" s="67"/>
      <c r="F594" s="58">
        <f t="shared" si="150"/>
        <v>-8</v>
      </c>
      <c r="G594" s="58"/>
      <c r="H594" s="58">
        <f t="shared" ref="H594:M594" si="591">SUMIFS($C594,$B594,H$8)+H593</f>
        <v>0</v>
      </c>
      <c r="I594" s="58">
        <f t="shared" si="591"/>
        <v>9</v>
      </c>
      <c r="J594" s="58">
        <f t="shared" si="591"/>
        <v>36</v>
      </c>
      <c r="K594" s="58">
        <f t="shared" si="591"/>
        <v>0</v>
      </c>
      <c r="L594" s="58">
        <f t="shared" si="591"/>
        <v>0</v>
      </c>
      <c r="M594" s="58">
        <f t="shared" si="591"/>
        <v>0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0" customHeight="1">
      <c r="A595" s="70"/>
      <c r="B595" s="71"/>
      <c r="C595" s="66"/>
      <c r="D595" s="66">
        <f t="shared" si="3"/>
        <v>0</v>
      </c>
      <c r="E595" s="67"/>
      <c r="F595" s="58">
        <f t="shared" si="150"/>
        <v>-8</v>
      </c>
      <c r="G595" s="58"/>
      <c r="H595" s="58">
        <f t="shared" ref="H595:M595" si="592">SUMIFS($C595,$B595,H$8)+H594</f>
        <v>0</v>
      </c>
      <c r="I595" s="58">
        <f t="shared" si="592"/>
        <v>9</v>
      </c>
      <c r="J595" s="58">
        <f t="shared" si="592"/>
        <v>36</v>
      </c>
      <c r="K595" s="58">
        <f t="shared" si="592"/>
        <v>0</v>
      </c>
      <c r="L595" s="58">
        <f t="shared" si="592"/>
        <v>0</v>
      </c>
      <c r="M595" s="58">
        <f t="shared" si="592"/>
        <v>0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0" customHeight="1">
      <c r="A596" s="70"/>
      <c r="B596" s="71"/>
      <c r="C596" s="66"/>
      <c r="D596" s="66">
        <f t="shared" si="3"/>
        <v>0</v>
      </c>
      <c r="E596" s="67"/>
      <c r="F596" s="58">
        <f t="shared" si="150"/>
        <v>-8</v>
      </c>
      <c r="G596" s="58"/>
      <c r="H596" s="58">
        <f t="shared" ref="H596:M596" si="593">SUMIFS($C596,$B596,H$8)+H595</f>
        <v>0</v>
      </c>
      <c r="I596" s="58">
        <f t="shared" si="593"/>
        <v>9</v>
      </c>
      <c r="J596" s="58">
        <f t="shared" si="593"/>
        <v>36</v>
      </c>
      <c r="K596" s="58">
        <f t="shared" si="593"/>
        <v>0</v>
      </c>
      <c r="L596" s="58">
        <f t="shared" si="593"/>
        <v>0</v>
      </c>
      <c r="M596" s="58">
        <f t="shared" si="593"/>
        <v>0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0" customHeight="1">
      <c r="A597" s="70"/>
      <c r="B597" s="71"/>
      <c r="C597" s="66"/>
      <c r="D597" s="66">
        <f t="shared" si="3"/>
        <v>0</v>
      </c>
      <c r="E597" s="67"/>
      <c r="F597" s="58">
        <f t="shared" si="150"/>
        <v>-8</v>
      </c>
      <c r="G597" s="58"/>
      <c r="H597" s="58">
        <f t="shared" ref="H597:M597" si="594">SUMIFS($C597,$B597,H$8)+H596</f>
        <v>0</v>
      </c>
      <c r="I597" s="58">
        <f t="shared" si="594"/>
        <v>9</v>
      </c>
      <c r="J597" s="58">
        <f t="shared" si="594"/>
        <v>36</v>
      </c>
      <c r="K597" s="58">
        <f t="shared" si="594"/>
        <v>0</v>
      </c>
      <c r="L597" s="58">
        <f t="shared" si="594"/>
        <v>0</v>
      </c>
      <c r="M597" s="58">
        <f t="shared" si="594"/>
        <v>0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0" customHeight="1">
      <c r="A598" s="70"/>
      <c r="B598" s="71"/>
      <c r="C598" s="66"/>
      <c r="D598" s="66">
        <f t="shared" si="3"/>
        <v>0</v>
      </c>
      <c r="E598" s="67"/>
      <c r="F598" s="58">
        <f t="shared" si="150"/>
        <v>-8</v>
      </c>
      <c r="G598" s="58"/>
      <c r="H598" s="58">
        <f t="shared" ref="H598:M598" si="595">SUMIFS($C598,$B598,H$8)+H597</f>
        <v>0</v>
      </c>
      <c r="I598" s="58">
        <f t="shared" si="595"/>
        <v>9</v>
      </c>
      <c r="J598" s="58">
        <f t="shared" si="595"/>
        <v>36</v>
      </c>
      <c r="K598" s="58">
        <f t="shared" si="595"/>
        <v>0</v>
      </c>
      <c r="L598" s="58">
        <f t="shared" si="595"/>
        <v>0</v>
      </c>
      <c r="M598" s="58">
        <f t="shared" si="595"/>
        <v>0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0" customHeight="1">
      <c r="A599" s="70"/>
      <c r="B599" s="71"/>
      <c r="C599" s="66"/>
      <c r="D599" s="66">
        <f t="shared" si="3"/>
        <v>0</v>
      </c>
      <c r="E599" s="67"/>
      <c r="F599" s="58">
        <f t="shared" si="150"/>
        <v>-8</v>
      </c>
      <c r="G599" s="58"/>
      <c r="H599" s="58">
        <f t="shared" ref="H599:M599" si="596">SUMIFS($C599,$B599,H$8)+H598</f>
        <v>0</v>
      </c>
      <c r="I599" s="58">
        <f t="shared" si="596"/>
        <v>9</v>
      </c>
      <c r="J599" s="58">
        <f t="shared" si="596"/>
        <v>36</v>
      </c>
      <c r="K599" s="58">
        <f t="shared" si="596"/>
        <v>0</v>
      </c>
      <c r="L599" s="58">
        <f t="shared" si="596"/>
        <v>0</v>
      </c>
      <c r="M599" s="58">
        <f t="shared" si="596"/>
        <v>0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0" customHeight="1">
      <c r="A600" s="70"/>
      <c r="B600" s="71"/>
      <c r="C600" s="66"/>
      <c r="D600" s="66">
        <f t="shared" si="3"/>
        <v>0</v>
      </c>
      <c r="E600" s="67"/>
      <c r="F600" s="58">
        <f t="shared" si="150"/>
        <v>-8</v>
      </c>
      <c r="G600" s="58"/>
      <c r="H600" s="58">
        <f t="shared" ref="H600:M600" si="597">SUMIFS($C600,$B600,H$8)+H599</f>
        <v>0</v>
      </c>
      <c r="I600" s="58">
        <f t="shared" si="597"/>
        <v>9</v>
      </c>
      <c r="J600" s="58">
        <f t="shared" si="597"/>
        <v>36</v>
      </c>
      <c r="K600" s="58">
        <f t="shared" si="597"/>
        <v>0</v>
      </c>
      <c r="L600" s="58">
        <f t="shared" si="597"/>
        <v>0</v>
      </c>
      <c r="M600" s="58">
        <f t="shared" si="597"/>
        <v>0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0" customHeight="1">
      <c r="A601" s="70"/>
      <c r="B601" s="71"/>
      <c r="C601" s="66"/>
      <c r="D601" s="66">
        <f t="shared" si="3"/>
        <v>0</v>
      </c>
      <c r="E601" s="67"/>
      <c r="F601" s="58">
        <f t="shared" si="150"/>
        <v>-8</v>
      </c>
      <c r="G601" s="58"/>
      <c r="H601" s="58">
        <f t="shared" ref="H601:M601" si="598">SUMIFS($C601,$B601,H$8)+H600</f>
        <v>0</v>
      </c>
      <c r="I601" s="58">
        <f t="shared" si="598"/>
        <v>9</v>
      </c>
      <c r="J601" s="58">
        <f t="shared" si="598"/>
        <v>36</v>
      </c>
      <c r="K601" s="58">
        <f t="shared" si="598"/>
        <v>0</v>
      </c>
      <c r="L601" s="58">
        <f t="shared" si="598"/>
        <v>0</v>
      </c>
      <c r="M601" s="58">
        <f t="shared" si="598"/>
        <v>0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0" customHeight="1">
      <c r="A602" s="70"/>
      <c r="B602" s="71"/>
      <c r="C602" s="66"/>
      <c r="D602" s="66">
        <f t="shared" si="3"/>
        <v>0</v>
      </c>
      <c r="E602" s="67"/>
      <c r="F602" s="58">
        <f t="shared" si="150"/>
        <v>-8</v>
      </c>
      <c r="G602" s="58"/>
      <c r="H602" s="58">
        <f t="shared" ref="H602:M602" si="599">SUMIFS($C602,$B602,H$8)+H601</f>
        <v>0</v>
      </c>
      <c r="I602" s="58">
        <f t="shared" si="599"/>
        <v>9</v>
      </c>
      <c r="J602" s="58">
        <f t="shared" si="599"/>
        <v>36</v>
      </c>
      <c r="K602" s="58">
        <f t="shared" si="599"/>
        <v>0</v>
      </c>
      <c r="L602" s="58">
        <f t="shared" si="599"/>
        <v>0</v>
      </c>
      <c r="M602" s="58">
        <f t="shared" si="599"/>
        <v>0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0" customHeight="1">
      <c r="A603" s="70"/>
      <c r="B603" s="71"/>
      <c r="C603" s="66"/>
      <c r="D603" s="66">
        <f t="shared" si="3"/>
        <v>0</v>
      </c>
      <c r="E603" s="67"/>
      <c r="F603" s="58">
        <f t="shared" si="150"/>
        <v>-8</v>
      </c>
      <c r="G603" s="58"/>
      <c r="H603" s="58">
        <f t="shared" ref="H603:M603" si="600">SUMIFS($C603,$B603,H$8)+H602</f>
        <v>0</v>
      </c>
      <c r="I603" s="58">
        <f t="shared" si="600"/>
        <v>9</v>
      </c>
      <c r="J603" s="58">
        <f t="shared" si="600"/>
        <v>36</v>
      </c>
      <c r="K603" s="58">
        <f t="shared" si="600"/>
        <v>0</v>
      </c>
      <c r="L603" s="58">
        <f t="shared" si="600"/>
        <v>0</v>
      </c>
      <c r="M603" s="58">
        <f t="shared" si="600"/>
        <v>0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0" customHeight="1">
      <c r="A604" s="70"/>
      <c r="B604" s="71"/>
      <c r="C604" s="66"/>
      <c r="D604" s="66">
        <f t="shared" si="3"/>
        <v>0</v>
      </c>
      <c r="E604" s="67"/>
      <c r="F604" s="58">
        <f t="shared" si="150"/>
        <v>-8</v>
      </c>
      <c r="G604" s="58"/>
      <c r="H604" s="58">
        <f t="shared" ref="H604:M604" si="601">SUMIFS($C604,$B604,H$8)+H603</f>
        <v>0</v>
      </c>
      <c r="I604" s="58">
        <f t="shared" si="601"/>
        <v>9</v>
      </c>
      <c r="J604" s="58">
        <f t="shared" si="601"/>
        <v>36</v>
      </c>
      <c r="K604" s="58">
        <f t="shared" si="601"/>
        <v>0</v>
      </c>
      <c r="L604" s="58">
        <f t="shared" si="601"/>
        <v>0</v>
      </c>
      <c r="M604" s="58">
        <f t="shared" si="601"/>
        <v>0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0" customHeight="1">
      <c r="A605" s="70"/>
      <c r="B605" s="71"/>
      <c r="C605" s="66"/>
      <c r="D605" s="66">
        <f t="shared" si="3"/>
        <v>0</v>
      </c>
      <c r="E605" s="67"/>
      <c r="F605" s="58">
        <f t="shared" si="150"/>
        <v>-8</v>
      </c>
      <c r="G605" s="58"/>
      <c r="H605" s="58">
        <f t="shared" ref="H605:M605" si="602">SUMIFS($C605,$B605,H$8)+H604</f>
        <v>0</v>
      </c>
      <c r="I605" s="58">
        <f t="shared" si="602"/>
        <v>9</v>
      </c>
      <c r="J605" s="58">
        <f t="shared" si="602"/>
        <v>36</v>
      </c>
      <c r="K605" s="58">
        <f t="shared" si="602"/>
        <v>0</v>
      </c>
      <c r="L605" s="58">
        <f t="shared" si="602"/>
        <v>0</v>
      </c>
      <c r="M605" s="58">
        <f t="shared" si="602"/>
        <v>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0" customHeight="1">
      <c r="A606" s="70"/>
      <c r="B606" s="71"/>
      <c r="C606" s="66"/>
      <c r="D606" s="66">
        <f t="shared" si="3"/>
        <v>0</v>
      </c>
      <c r="E606" s="67"/>
      <c r="F606" s="58">
        <f t="shared" si="150"/>
        <v>-8</v>
      </c>
      <c r="G606" s="58"/>
      <c r="H606" s="58">
        <f t="shared" ref="H606:M606" si="603">SUMIFS($C606,$B606,H$8)+H605</f>
        <v>0</v>
      </c>
      <c r="I606" s="58">
        <f t="shared" si="603"/>
        <v>9</v>
      </c>
      <c r="J606" s="58">
        <f t="shared" si="603"/>
        <v>36</v>
      </c>
      <c r="K606" s="58">
        <f t="shared" si="603"/>
        <v>0</v>
      </c>
      <c r="L606" s="58">
        <f t="shared" si="603"/>
        <v>0</v>
      </c>
      <c r="M606" s="58">
        <f t="shared" si="603"/>
        <v>0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0" customHeight="1">
      <c r="A607" s="70"/>
      <c r="B607" s="71"/>
      <c r="C607" s="66"/>
      <c r="D607" s="66">
        <f t="shared" si="3"/>
        <v>0</v>
      </c>
      <c r="E607" s="67"/>
      <c r="F607" s="58">
        <f t="shared" si="150"/>
        <v>-8</v>
      </c>
      <c r="G607" s="58"/>
      <c r="H607" s="58">
        <f t="shared" ref="H607:M607" si="604">SUMIFS($C607,$B607,H$8)+H606</f>
        <v>0</v>
      </c>
      <c r="I607" s="58">
        <f t="shared" si="604"/>
        <v>9</v>
      </c>
      <c r="J607" s="58">
        <f t="shared" si="604"/>
        <v>36</v>
      </c>
      <c r="K607" s="58">
        <f t="shared" si="604"/>
        <v>0</v>
      </c>
      <c r="L607" s="58">
        <f t="shared" si="604"/>
        <v>0</v>
      </c>
      <c r="M607" s="58">
        <f t="shared" si="604"/>
        <v>0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0" customHeight="1">
      <c r="A608" s="70"/>
      <c r="B608" s="71"/>
      <c r="C608" s="66"/>
      <c r="D608" s="66">
        <f t="shared" si="3"/>
        <v>0</v>
      </c>
      <c r="E608" s="67"/>
      <c r="F608" s="58">
        <f t="shared" si="150"/>
        <v>-8</v>
      </c>
      <c r="G608" s="58"/>
      <c r="H608" s="58">
        <f t="shared" ref="H608:M608" si="605">SUMIFS($C608,$B608,H$8)+H607</f>
        <v>0</v>
      </c>
      <c r="I608" s="58">
        <f t="shared" si="605"/>
        <v>9</v>
      </c>
      <c r="J608" s="58">
        <f t="shared" si="605"/>
        <v>36</v>
      </c>
      <c r="K608" s="58">
        <f t="shared" si="605"/>
        <v>0</v>
      </c>
      <c r="L608" s="58">
        <f t="shared" si="605"/>
        <v>0</v>
      </c>
      <c r="M608" s="58">
        <f t="shared" si="605"/>
        <v>0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0" customHeight="1">
      <c r="A609" s="70"/>
      <c r="B609" s="71"/>
      <c r="C609" s="66"/>
      <c r="D609" s="66">
        <f t="shared" si="3"/>
        <v>0</v>
      </c>
      <c r="E609" s="67"/>
      <c r="F609" s="58">
        <f t="shared" si="150"/>
        <v>-8</v>
      </c>
      <c r="G609" s="58"/>
      <c r="H609" s="58">
        <f t="shared" ref="H609:M609" si="606">SUMIFS($C609,$B609,H$8)+H608</f>
        <v>0</v>
      </c>
      <c r="I609" s="58">
        <f t="shared" si="606"/>
        <v>9</v>
      </c>
      <c r="J609" s="58">
        <f t="shared" si="606"/>
        <v>36</v>
      </c>
      <c r="K609" s="58">
        <f t="shared" si="606"/>
        <v>0</v>
      </c>
      <c r="L609" s="58">
        <f t="shared" si="606"/>
        <v>0</v>
      </c>
      <c r="M609" s="58">
        <f t="shared" si="606"/>
        <v>0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0" customHeight="1">
      <c r="A610" s="70"/>
      <c r="B610" s="71"/>
      <c r="C610" s="66"/>
      <c r="D610" s="66">
        <f t="shared" si="3"/>
        <v>0</v>
      </c>
      <c r="E610" s="67"/>
      <c r="F610" s="58">
        <f t="shared" si="150"/>
        <v>-8</v>
      </c>
      <c r="G610" s="58"/>
      <c r="H610" s="58">
        <f t="shared" ref="H610:M610" si="607">SUMIFS($C610,$B610,H$8)+H609</f>
        <v>0</v>
      </c>
      <c r="I610" s="58">
        <f t="shared" si="607"/>
        <v>9</v>
      </c>
      <c r="J610" s="58">
        <f t="shared" si="607"/>
        <v>36</v>
      </c>
      <c r="K610" s="58">
        <f t="shared" si="607"/>
        <v>0</v>
      </c>
      <c r="L610" s="58">
        <f t="shared" si="607"/>
        <v>0</v>
      </c>
      <c r="M610" s="58">
        <f t="shared" si="607"/>
        <v>0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0" customHeight="1">
      <c r="A611" s="70"/>
      <c r="B611" s="71"/>
      <c r="C611" s="66"/>
      <c r="D611" s="66">
        <f t="shared" si="3"/>
        <v>0</v>
      </c>
      <c r="E611" s="67"/>
      <c r="F611" s="58">
        <f t="shared" si="150"/>
        <v>-8</v>
      </c>
      <c r="G611" s="58"/>
      <c r="H611" s="58">
        <f t="shared" ref="H611:M611" si="608">SUMIFS($C611,$B611,H$8)+H610</f>
        <v>0</v>
      </c>
      <c r="I611" s="58">
        <f t="shared" si="608"/>
        <v>9</v>
      </c>
      <c r="J611" s="58">
        <f t="shared" si="608"/>
        <v>36</v>
      </c>
      <c r="K611" s="58">
        <f t="shared" si="608"/>
        <v>0</v>
      </c>
      <c r="L611" s="58">
        <f t="shared" si="608"/>
        <v>0</v>
      </c>
      <c r="M611" s="58">
        <f t="shared" si="608"/>
        <v>0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0" customHeight="1">
      <c r="A612" s="70"/>
      <c r="B612" s="71"/>
      <c r="C612" s="66"/>
      <c r="D612" s="66">
        <f t="shared" si="3"/>
        <v>0</v>
      </c>
      <c r="E612" s="67"/>
      <c r="F612" s="58">
        <f t="shared" si="150"/>
        <v>-8</v>
      </c>
      <c r="G612" s="58"/>
      <c r="H612" s="58">
        <f t="shared" ref="H612:M612" si="609">SUMIFS($C612,$B612,H$8)+H611</f>
        <v>0</v>
      </c>
      <c r="I612" s="58">
        <f t="shared" si="609"/>
        <v>9</v>
      </c>
      <c r="J612" s="58">
        <f t="shared" si="609"/>
        <v>36</v>
      </c>
      <c r="K612" s="58">
        <f t="shared" si="609"/>
        <v>0</v>
      </c>
      <c r="L612" s="58">
        <f t="shared" si="609"/>
        <v>0</v>
      </c>
      <c r="M612" s="58">
        <f t="shared" si="609"/>
        <v>0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0" customHeight="1">
      <c r="A613" s="70"/>
      <c r="B613" s="71"/>
      <c r="C613" s="66"/>
      <c r="D613" s="66">
        <f t="shared" si="3"/>
        <v>0</v>
      </c>
      <c r="E613" s="67"/>
      <c r="F613" s="58">
        <f t="shared" si="150"/>
        <v>-8</v>
      </c>
      <c r="G613" s="58"/>
      <c r="H613" s="58">
        <f t="shared" ref="H613:M613" si="610">SUMIFS($C613,$B613,H$8)+H612</f>
        <v>0</v>
      </c>
      <c r="I613" s="58">
        <f t="shared" si="610"/>
        <v>9</v>
      </c>
      <c r="J613" s="58">
        <f t="shared" si="610"/>
        <v>36</v>
      </c>
      <c r="K613" s="58">
        <f t="shared" si="610"/>
        <v>0</v>
      </c>
      <c r="L613" s="58">
        <f t="shared" si="610"/>
        <v>0</v>
      </c>
      <c r="M613" s="58">
        <f t="shared" si="610"/>
        <v>0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0" customHeight="1">
      <c r="A614" s="70"/>
      <c r="B614" s="71"/>
      <c r="C614" s="66"/>
      <c r="D614" s="66">
        <f t="shared" si="3"/>
        <v>0</v>
      </c>
      <c r="E614" s="67"/>
      <c r="F614" s="58">
        <f t="shared" si="150"/>
        <v>-8</v>
      </c>
      <c r="G614" s="58"/>
      <c r="H614" s="58">
        <f t="shared" ref="H614:M614" si="611">SUMIFS($C614,$B614,H$8)+H613</f>
        <v>0</v>
      </c>
      <c r="I614" s="58">
        <f t="shared" si="611"/>
        <v>9</v>
      </c>
      <c r="J614" s="58">
        <f t="shared" si="611"/>
        <v>36</v>
      </c>
      <c r="K614" s="58">
        <f t="shared" si="611"/>
        <v>0</v>
      </c>
      <c r="L614" s="58">
        <f t="shared" si="611"/>
        <v>0</v>
      </c>
      <c r="M614" s="58">
        <f t="shared" si="611"/>
        <v>0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0" customHeight="1">
      <c r="A615" s="70"/>
      <c r="B615" s="71"/>
      <c r="C615" s="66"/>
      <c r="D615" s="66">
        <f t="shared" si="3"/>
        <v>0</v>
      </c>
      <c r="E615" s="67"/>
      <c r="F615" s="58">
        <f t="shared" si="150"/>
        <v>-8</v>
      </c>
      <c r="G615" s="58"/>
      <c r="H615" s="58">
        <f t="shared" ref="H615:M615" si="612">SUMIFS($C615,$B615,H$8)+H614</f>
        <v>0</v>
      </c>
      <c r="I615" s="58">
        <f t="shared" si="612"/>
        <v>9</v>
      </c>
      <c r="J615" s="58">
        <f t="shared" si="612"/>
        <v>36</v>
      </c>
      <c r="K615" s="58">
        <f t="shared" si="612"/>
        <v>0</v>
      </c>
      <c r="L615" s="58">
        <f t="shared" si="612"/>
        <v>0</v>
      </c>
      <c r="M615" s="58">
        <f t="shared" si="612"/>
        <v>0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0" customHeight="1">
      <c r="A616" s="70"/>
      <c r="B616" s="71"/>
      <c r="C616" s="66"/>
      <c r="D616" s="66">
        <f t="shared" si="3"/>
        <v>0</v>
      </c>
      <c r="E616" s="67"/>
      <c r="F616" s="58">
        <f t="shared" si="150"/>
        <v>-8</v>
      </c>
      <c r="G616" s="58"/>
      <c r="H616" s="58">
        <f t="shared" ref="H616:M616" si="613">SUMIFS($C616,$B616,H$8)+H615</f>
        <v>0</v>
      </c>
      <c r="I616" s="58">
        <f t="shared" si="613"/>
        <v>9</v>
      </c>
      <c r="J616" s="58">
        <f t="shared" si="613"/>
        <v>36</v>
      </c>
      <c r="K616" s="58">
        <f t="shared" si="613"/>
        <v>0</v>
      </c>
      <c r="L616" s="58">
        <f t="shared" si="613"/>
        <v>0</v>
      </c>
      <c r="M616" s="58">
        <f t="shared" si="613"/>
        <v>0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0" customHeight="1">
      <c r="A617" s="70"/>
      <c r="B617" s="71"/>
      <c r="C617" s="66"/>
      <c r="D617" s="66">
        <f t="shared" si="3"/>
        <v>0</v>
      </c>
      <c r="E617" s="67"/>
      <c r="F617" s="58">
        <f t="shared" si="150"/>
        <v>-8</v>
      </c>
      <c r="G617" s="58"/>
      <c r="H617" s="58">
        <f t="shared" ref="H617:M617" si="614">SUMIFS($C617,$B617,H$8)+H616</f>
        <v>0</v>
      </c>
      <c r="I617" s="58">
        <f t="shared" si="614"/>
        <v>9</v>
      </c>
      <c r="J617" s="58">
        <f t="shared" si="614"/>
        <v>36</v>
      </c>
      <c r="K617" s="58">
        <f t="shared" si="614"/>
        <v>0</v>
      </c>
      <c r="L617" s="58">
        <f t="shared" si="614"/>
        <v>0</v>
      </c>
      <c r="M617" s="58">
        <f t="shared" si="614"/>
        <v>0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0" customHeight="1">
      <c r="A618" s="70"/>
      <c r="B618" s="71"/>
      <c r="C618" s="66"/>
      <c r="D618" s="66">
        <f t="shared" si="3"/>
        <v>0</v>
      </c>
      <c r="E618" s="67"/>
      <c r="F618" s="58">
        <f t="shared" si="150"/>
        <v>-8</v>
      </c>
      <c r="G618" s="58"/>
      <c r="H618" s="58">
        <f t="shared" ref="H618:M618" si="615">SUMIFS($C618,$B618,H$8)+H617</f>
        <v>0</v>
      </c>
      <c r="I618" s="58">
        <f t="shared" si="615"/>
        <v>9</v>
      </c>
      <c r="J618" s="58">
        <f t="shared" si="615"/>
        <v>36</v>
      </c>
      <c r="K618" s="58">
        <f t="shared" si="615"/>
        <v>0</v>
      </c>
      <c r="L618" s="58">
        <f t="shared" si="615"/>
        <v>0</v>
      </c>
      <c r="M618" s="58">
        <f t="shared" si="615"/>
        <v>0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0" customHeight="1">
      <c r="A619" s="70"/>
      <c r="B619" s="71"/>
      <c r="C619" s="66"/>
      <c r="D619" s="66">
        <f t="shared" si="3"/>
        <v>0</v>
      </c>
      <c r="E619" s="67"/>
      <c r="F619" s="58">
        <f t="shared" si="150"/>
        <v>-8</v>
      </c>
      <c r="G619" s="58"/>
      <c r="H619" s="58">
        <f t="shared" ref="H619:M619" si="616">SUMIFS($C619,$B619,H$8)+H618</f>
        <v>0</v>
      </c>
      <c r="I619" s="58">
        <f t="shared" si="616"/>
        <v>9</v>
      </c>
      <c r="J619" s="58">
        <f t="shared" si="616"/>
        <v>36</v>
      </c>
      <c r="K619" s="58">
        <f t="shared" si="616"/>
        <v>0</v>
      </c>
      <c r="L619" s="58">
        <f t="shared" si="616"/>
        <v>0</v>
      </c>
      <c r="M619" s="58">
        <f t="shared" si="616"/>
        <v>0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0" customHeight="1">
      <c r="A620" s="70"/>
      <c r="B620" s="71"/>
      <c r="C620" s="66"/>
      <c r="D620" s="66">
        <f t="shared" si="3"/>
        <v>0</v>
      </c>
      <c r="E620" s="67"/>
      <c r="F620" s="58">
        <f t="shared" si="150"/>
        <v>-8</v>
      </c>
      <c r="G620" s="58"/>
      <c r="H620" s="58">
        <f t="shared" ref="H620:M620" si="617">SUMIFS($C620,$B620,H$8)+H619</f>
        <v>0</v>
      </c>
      <c r="I620" s="58">
        <f t="shared" si="617"/>
        <v>9</v>
      </c>
      <c r="J620" s="58">
        <f t="shared" si="617"/>
        <v>36</v>
      </c>
      <c r="K620" s="58">
        <f t="shared" si="617"/>
        <v>0</v>
      </c>
      <c r="L620" s="58">
        <f t="shared" si="617"/>
        <v>0</v>
      </c>
      <c r="M620" s="58">
        <f t="shared" si="617"/>
        <v>0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0" customHeight="1">
      <c r="A621" s="70"/>
      <c r="B621" s="71"/>
      <c r="C621" s="66"/>
      <c r="D621" s="66">
        <f t="shared" si="3"/>
        <v>0</v>
      </c>
      <c r="E621" s="67"/>
      <c r="F621" s="58">
        <f t="shared" si="150"/>
        <v>-8</v>
      </c>
      <c r="G621" s="58"/>
      <c r="H621" s="58">
        <f t="shared" ref="H621:M621" si="618">SUMIFS($C621,$B621,H$8)+H620</f>
        <v>0</v>
      </c>
      <c r="I621" s="58">
        <f t="shared" si="618"/>
        <v>9</v>
      </c>
      <c r="J621" s="58">
        <f t="shared" si="618"/>
        <v>36</v>
      </c>
      <c r="K621" s="58">
        <f t="shared" si="618"/>
        <v>0</v>
      </c>
      <c r="L621" s="58">
        <f t="shared" si="618"/>
        <v>0</v>
      </c>
      <c r="M621" s="58">
        <f t="shared" si="618"/>
        <v>0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0" customHeight="1">
      <c r="A622" s="70"/>
      <c r="B622" s="71"/>
      <c r="C622" s="66"/>
      <c r="D622" s="66">
        <f t="shared" si="3"/>
        <v>0</v>
      </c>
      <c r="E622" s="67"/>
      <c r="F622" s="58">
        <f t="shared" si="150"/>
        <v>-8</v>
      </c>
      <c r="G622" s="58"/>
      <c r="H622" s="58">
        <f t="shared" ref="H622:M622" si="619">SUMIFS($C622,$B622,H$8)+H621</f>
        <v>0</v>
      </c>
      <c r="I622" s="58">
        <f t="shared" si="619"/>
        <v>9</v>
      </c>
      <c r="J622" s="58">
        <f t="shared" si="619"/>
        <v>36</v>
      </c>
      <c r="K622" s="58">
        <f t="shared" si="619"/>
        <v>0</v>
      </c>
      <c r="L622" s="58">
        <f t="shared" si="619"/>
        <v>0</v>
      </c>
      <c r="M622" s="58">
        <f t="shared" si="619"/>
        <v>0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0" customHeight="1">
      <c r="A623" s="70"/>
      <c r="B623" s="71"/>
      <c r="C623" s="66"/>
      <c r="D623" s="66">
        <f t="shared" si="3"/>
        <v>0</v>
      </c>
      <c r="E623" s="67"/>
      <c r="F623" s="58">
        <f t="shared" si="150"/>
        <v>-8</v>
      </c>
      <c r="G623" s="58"/>
      <c r="H623" s="58">
        <f t="shared" ref="H623:M623" si="620">SUMIFS($C623,$B623,H$8)+H622</f>
        <v>0</v>
      </c>
      <c r="I623" s="58">
        <f t="shared" si="620"/>
        <v>9</v>
      </c>
      <c r="J623" s="58">
        <f t="shared" si="620"/>
        <v>36</v>
      </c>
      <c r="K623" s="58">
        <f t="shared" si="620"/>
        <v>0</v>
      </c>
      <c r="L623" s="58">
        <f t="shared" si="620"/>
        <v>0</v>
      </c>
      <c r="M623" s="58">
        <f t="shared" si="620"/>
        <v>0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0" customHeight="1">
      <c r="A624" s="70"/>
      <c r="B624" s="71"/>
      <c r="C624" s="66"/>
      <c r="D624" s="66">
        <f t="shared" si="3"/>
        <v>0</v>
      </c>
      <c r="E624" s="67"/>
      <c r="F624" s="58">
        <f t="shared" si="150"/>
        <v>-8</v>
      </c>
      <c r="G624" s="58"/>
      <c r="H624" s="58">
        <f t="shared" ref="H624:M624" si="621">SUMIFS($C624,$B624,H$8)+H623</f>
        <v>0</v>
      </c>
      <c r="I624" s="58">
        <f t="shared" si="621"/>
        <v>9</v>
      </c>
      <c r="J624" s="58">
        <f t="shared" si="621"/>
        <v>36</v>
      </c>
      <c r="K624" s="58">
        <f t="shared" si="621"/>
        <v>0</v>
      </c>
      <c r="L624" s="58">
        <f t="shared" si="621"/>
        <v>0</v>
      </c>
      <c r="M624" s="58">
        <f t="shared" si="621"/>
        <v>0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0" customHeight="1">
      <c r="A625" s="70"/>
      <c r="B625" s="71"/>
      <c r="C625" s="66"/>
      <c r="D625" s="66">
        <f t="shared" si="3"/>
        <v>0</v>
      </c>
      <c r="E625" s="67"/>
      <c r="F625" s="58">
        <f t="shared" si="150"/>
        <v>-8</v>
      </c>
      <c r="G625" s="58"/>
      <c r="H625" s="58">
        <f t="shared" ref="H625:M625" si="622">SUMIFS($C625,$B625,H$8)+H624</f>
        <v>0</v>
      </c>
      <c r="I625" s="58">
        <f t="shared" si="622"/>
        <v>9</v>
      </c>
      <c r="J625" s="58">
        <f t="shared" si="622"/>
        <v>36</v>
      </c>
      <c r="K625" s="58">
        <f t="shared" si="622"/>
        <v>0</v>
      </c>
      <c r="L625" s="58">
        <f t="shared" si="622"/>
        <v>0</v>
      </c>
      <c r="M625" s="58">
        <f t="shared" si="622"/>
        <v>0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0" customHeight="1">
      <c r="A626" s="70"/>
      <c r="B626" s="71"/>
      <c r="C626" s="66"/>
      <c r="D626" s="66">
        <f t="shared" si="3"/>
        <v>0</v>
      </c>
      <c r="E626" s="67"/>
      <c r="F626" s="58">
        <f t="shared" si="150"/>
        <v>-8</v>
      </c>
      <c r="G626" s="58"/>
      <c r="H626" s="58">
        <f t="shared" ref="H626:M626" si="623">SUMIFS($C626,$B626,H$8)+H625</f>
        <v>0</v>
      </c>
      <c r="I626" s="58">
        <f t="shared" si="623"/>
        <v>9</v>
      </c>
      <c r="J626" s="58">
        <f t="shared" si="623"/>
        <v>36</v>
      </c>
      <c r="K626" s="58">
        <f t="shared" si="623"/>
        <v>0</v>
      </c>
      <c r="L626" s="58">
        <f t="shared" si="623"/>
        <v>0</v>
      </c>
      <c r="M626" s="58">
        <f t="shared" si="623"/>
        <v>0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0" customHeight="1">
      <c r="A627" s="70"/>
      <c r="B627" s="71"/>
      <c r="C627" s="66"/>
      <c r="D627" s="66">
        <f t="shared" si="3"/>
        <v>0</v>
      </c>
      <c r="E627" s="67"/>
      <c r="F627" s="58">
        <f t="shared" si="150"/>
        <v>-8</v>
      </c>
      <c r="G627" s="58"/>
      <c r="H627" s="58">
        <f t="shared" ref="H627:M627" si="624">SUMIFS($C627,$B627,H$8)+H626</f>
        <v>0</v>
      </c>
      <c r="I627" s="58">
        <f t="shared" si="624"/>
        <v>9</v>
      </c>
      <c r="J627" s="58">
        <f t="shared" si="624"/>
        <v>36</v>
      </c>
      <c r="K627" s="58">
        <f t="shared" si="624"/>
        <v>0</v>
      </c>
      <c r="L627" s="58">
        <f t="shared" si="624"/>
        <v>0</v>
      </c>
      <c r="M627" s="58">
        <f t="shared" si="624"/>
        <v>0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0" customHeight="1">
      <c r="A628" s="70"/>
      <c r="B628" s="71"/>
      <c r="C628" s="66"/>
      <c r="D628" s="66">
        <f t="shared" si="3"/>
        <v>0</v>
      </c>
      <c r="E628" s="67"/>
      <c r="F628" s="58">
        <f t="shared" si="150"/>
        <v>-8</v>
      </c>
      <c r="G628" s="58"/>
      <c r="H628" s="58">
        <f t="shared" ref="H628:M628" si="625">SUMIFS($C628,$B628,H$8)+H627</f>
        <v>0</v>
      </c>
      <c r="I628" s="58">
        <f t="shared" si="625"/>
        <v>9</v>
      </c>
      <c r="J628" s="58">
        <f t="shared" si="625"/>
        <v>36</v>
      </c>
      <c r="K628" s="58">
        <f t="shared" si="625"/>
        <v>0</v>
      </c>
      <c r="L628" s="58">
        <f t="shared" si="625"/>
        <v>0</v>
      </c>
      <c r="M628" s="58">
        <f t="shared" si="625"/>
        <v>0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0" customHeight="1">
      <c r="A629" s="70"/>
      <c r="B629" s="71"/>
      <c r="C629" s="66"/>
      <c r="D629" s="66">
        <f t="shared" si="3"/>
        <v>0</v>
      </c>
      <c r="E629" s="67"/>
      <c r="F629" s="58">
        <f t="shared" si="150"/>
        <v>-8</v>
      </c>
      <c r="G629" s="58"/>
      <c r="H629" s="58">
        <f t="shared" ref="H629:M629" si="626">SUMIFS($C629,$B629,H$8)+H628</f>
        <v>0</v>
      </c>
      <c r="I629" s="58">
        <f t="shared" si="626"/>
        <v>9</v>
      </c>
      <c r="J629" s="58">
        <f t="shared" si="626"/>
        <v>36</v>
      </c>
      <c r="K629" s="58">
        <f t="shared" si="626"/>
        <v>0</v>
      </c>
      <c r="L629" s="58">
        <f t="shared" si="626"/>
        <v>0</v>
      </c>
      <c r="M629" s="58">
        <f t="shared" si="626"/>
        <v>0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0" customHeight="1">
      <c r="A630" s="70"/>
      <c r="B630" s="71"/>
      <c r="C630" s="66"/>
      <c r="D630" s="66">
        <f t="shared" si="3"/>
        <v>0</v>
      </c>
      <c r="E630" s="67"/>
      <c r="F630" s="58">
        <f t="shared" si="150"/>
        <v>-8</v>
      </c>
      <c r="G630" s="58"/>
      <c r="H630" s="58">
        <f t="shared" ref="H630:M630" si="627">SUMIFS($C630,$B630,H$8)+H629</f>
        <v>0</v>
      </c>
      <c r="I630" s="58">
        <f t="shared" si="627"/>
        <v>9</v>
      </c>
      <c r="J630" s="58">
        <f t="shared" si="627"/>
        <v>36</v>
      </c>
      <c r="K630" s="58">
        <f t="shared" si="627"/>
        <v>0</v>
      </c>
      <c r="L630" s="58">
        <f t="shared" si="627"/>
        <v>0</v>
      </c>
      <c r="M630" s="58">
        <f t="shared" si="627"/>
        <v>0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0" customHeight="1">
      <c r="A631" s="70"/>
      <c r="B631" s="71"/>
      <c r="C631" s="66"/>
      <c r="D631" s="66">
        <f t="shared" si="3"/>
        <v>0</v>
      </c>
      <c r="E631" s="67"/>
      <c r="F631" s="58">
        <f t="shared" si="150"/>
        <v>-8</v>
      </c>
      <c r="G631" s="58"/>
      <c r="H631" s="58">
        <f t="shared" ref="H631:M631" si="628">SUMIFS($C631,$B631,H$8)+H630</f>
        <v>0</v>
      </c>
      <c r="I631" s="58">
        <f t="shared" si="628"/>
        <v>9</v>
      </c>
      <c r="J631" s="58">
        <f t="shared" si="628"/>
        <v>36</v>
      </c>
      <c r="K631" s="58">
        <f t="shared" si="628"/>
        <v>0</v>
      </c>
      <c r="L631" s="58">
        <f t="shared" si="628"/>
        <v>0</v>
      </c>
      <c r="M631" s="58">
        <f t="shared" si="628"/>
        <v>0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0" customHeight="1">
      <c r="A632" s="70"/>
      <c r="B632" s="71"/>
      <c r="C632" s="66"/>
      <c r="D632" s="66">
        <f t="shared" si="3"/>
        <v>0</v>
      </c>
      <c r="E632" s="67"/>
      <c r="F632" s="58">
        <f t="shared" si="150"/>
        <v>-8</v>
      </c>
      <c r="G632" s="58"/>
      <c r="H632" s="58">
        <f t="shared" ref="H632:M632" si="629">SUMIFS($C632,$B632,H$8)+H631</f>
        <v>0</v>
      </c>
      <c r="I632" s="58">
        <f t="shared" si="629"/>
        <v>9</v>
      </c>
      <c r="J632" s="58">
        <f t="shared" si="629"/>
        <v>36</v>
      </c>
      <c r="K632" s="58">
        <f t="shared" si="629"/>
        <v>0</v>
      </c>
      <c r="L632" s="58">
        <f t="shared" si="629"/>
        <v>0</v>
      </c>
      <c r="M632" s="58">
        <f t="shared" si="629"/>
        <v>0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0" customHeight="1">
      <c r="A633" s="70"/>
      <c r="B633" s="71"/>
      <c r="C633" s="66"/>
      <c r="D633" s="66">
        <f t="shared" si="3"/>
        <v>0</v>
      </c>
      <c r="E633" s="67"/>
      <c r="F633" s="58">
        <f t="shared" si="150"/>
        <v>-8</v>
      </c>
      <c r="G633" s="58"/>
      <c r="H633" s="58">
        <f t="shared" ref="H633:M633" si="630">SUMIFS($C633,$B633,H$8)+H632</f>
        <v>0</v>
      </c>
      <c r="I633" s="58">
        <f t="shared" si="630"/>
        <v>9</v>
      </c>
      <c r="J633" s="58">
        <f t="shared" si="630"/>
        <v>36</v>
      </c>
      <c r="K633" s="58">
        <f t="shared" si="630"/>
        <v>0</v>
      </c>
      <c r="L633" s="58">
        <f t="shared" si="630"/>
        <v>0</v>
      </c>
      <c r="M633" s="58">
        <f t="shared" si="630"/>
        <v>0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0" customHeight="1">
      <c r="A634" s="70"/>
      <c r="B634" s="71"/>
      <c r="C634" s="66"/>
      <c r="D634" s="66">
        <f t="shared" si="3"/>
        <v>0</v>
      </c>
      <c r="E634" s="67"/>
      <c r="F634" s="58">
        <f t="shared" si="150"/>
        <v>-8</v>
      </c>
      <c r="G634" s="58"/>
      <c r="H634" s="58">
        <f t="shared" ref="H634:M634" si="631">SUMIFS($C634,$B634,H$8)+H633</f>
        <v>0</v>
      </c>
      <c r="I634" s="58">
        <f t="shared" si="631"/>
        <v>9</v>
      </c>
      <c r="J634" s="58">
        <f t="shared" si="631"/>
        <v>36</v>
      </c>
      <c r="K634" s="58">
        <f t="shared" si="631"/>
        <v>0</v>
      </c>
      <c r="L634" s="58">
        <f t="shared" si="631"/>
        <v>0</v>
      </c>
      <c r="M634" s="58">
        <f t="shared" si="631"/>
        <v>0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0" customHeight="1">
      <c r="A635" s="70"/>
      <c r="B635" s="71"/>
      <c r="C635" s="66"/>
      <c r="D635" s="66">
        <f t="shared" si="3"/>
        <v>0</v>
      </c>
      <c r="E635" s="67"/>
      <c r="F635" s="58">
        <f t="shared" si="150"/>
        <v>-8</v>
      </c>
      <c r="G635" s="58"/>
      <c r="H635" s="58">
        <f t="shared" ref="H635:M635" si="632">SUMIFS($C635,$B635,H$8)+H634</f>
        <v>0</v>
      </c>
      <c r="I635" s="58">
        <f t="shared" si="632"/>
        <v>9</v>
      </c>
      <c r="J635" s="58">
        <f t="shared" si="632"/>
        <v>36</v>
      </c>
      <c r="K635" s="58">
        <f t="shared" si="632"/>
        <v>0</v>
      </c>
      <c r="L635" s="58">
        <f t="shared" si="632"/>
        <v>0</v>
      </c>
      <c r="M635" s="58">
        <f t="shared" si="632"/>
        <v>0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0" customHeight="1">
      <c r="A636" s="70"/>
      <c r="B636" s="71"/>
      <c r="C636" s="66"/>
      <c r="D636" s="66">
        <f t="shared" si="3"/>
        <v>0</v>
      </c>
      <c r="E636" s="67"/>
      <c r="F636" s="58">
        <f t="shared" si="150"/>
        <v>-8</v>
      </c>
      <c r="G636" s="58"/>
      <c r="H636" s="58">
        <f t="shared" ref="H636:M636" si="633">SUMIFS($C636,$B636,H$8)+H635</f>
        <v>0</v>
      </c>
      <c r="I636" s="58">
        <f t="shared" si="633"/>
        <v>9</v>
      </c>
      <c r="J636" s="58">
        <f t="shared" si="633"/>
        <v>36</v>
      </c>
      <c r="K636" s="58">
        <f t="shared" si="633"/>
        <v>0</v>
      </c>
      <c r="L636" s="58">
        <f t="shared" si="633"/>
        <v>0</v>
      </c>
      <c r="M636" s="58">
        <f t="shared" si="633"/>
        <v>0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0" customHeight="1">
      <c r="A637" s="70"/>
      <c r="B637" s="71"/>
      <c r="C637" s="66"/>
      <c r="D637" s="66">
        <f t="shared" si="3"/>
        <v>0</v>
      </c>
      <c r="E637" s="67"/>
      <c r="F637" s="58">
        <f t="shared" si="150"/>
        <v>-8</v>
      </c>
      <c r="G637" s="58"/>
      <c r="H637" s="58">
        <f t="shared" ref="H637:M637" si="634">SUMIFS($C637,$B637,H$8)+H636</f>
        <v>0</v>
      </c>
      <c r="I637" s="58">
        <f t="shared" si="634"/>
        <v>9</v>
      </c>
      <c r="J637" s="58">
        <f t="shared" si="634"/>
        <v>36</v>
      </c>
      <c r="K637" s="58">
        <f t="shared" si="634"/>
        <v>0</v>
      </c>
      <c r="L637" s="58">
        <f t="shared" si="634"/>
        <v>0</v>
      </c>
      <c r="M637" s="58">
        <f t="shared" si="634"/>
        <v>0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0" customHeight="1">
      <c r="A638" s="70"/>
      <c r="B638" s="71"/>
      <c r="C638" s="66"/>
      <c r="D638" s="66">
        <f t="shared" si="3"/>
        <v>0</v>
      </c>
      <c r="E638" s="67"/>
      <c r="F638" s="58">
        <f t="shared" si="150"/>
        <v>-8</v>
      </c>
      <c r="G638" s="58"/>
      <c r="H638" s="58">
        <f t="shared" ref="H638:M638" si="635">SUMIFS($C638,$B638,H$8)+H637</f>
        <v>0</v>
      </c>
      <c r="I638" s="58">
        <f t="shared" si="635"/>
        <v>9</v>
      </c>
      <c r="J638" s="58">
        <f t="shared" si="635"/>
        <v>36</v>
      </c>
      <c r="K638" s="58">
        <f t="shared" si="635"/>
        <v>0</v>
      </c>
      <c r="L638" s="58">
        <f t="shared" si="635"/>
        <v>0</v>
      </c>
      <c r="M638" s="58">
        <f t="shared" si="635"/>
        <v>0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0" customHeight="1">
      <c r="A639" s="70"/>
      <c r="B639" s="71"/>
      <c r="C639" s="66"/>
      <c r="D639" s="66">
        <f t="shared" si="3"/>
        <v>0</v>
      </c>
      <c r="E639" s="67"/>
      <c r="F639" s="58">
        <f t="shared" si="150"/>
        <v>-8</v>
      </c>
      <c r="G639" s="58"/>
      <c r="H639" s="58">
        <f t="shared" ref="H639:M639" si="636">SUMIFS($C639,$B639,H$8)+H638</f>
        <v>0</v>
      </c>
      <c r="I639" s="58">
        <f t="shared" si="636"/>
        <v>9</v>
      </c>
      <c r="J639" s="58">
        <f t="shared" si="636"/>
        <v>36</v>
      </c>
      <c r="K639" s="58">
        <f t="shared" si="636"/>
        <v>0</v>
      </c>
      <c r="L639" s="58">
        <f t="shared" si="636"/>
        <v>0</v>
      </c>
      <c r="M639" s="58">
        <f t="shared" si="636"/>
        <v>0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0" customHeight="1">
      <c r="A640" s="70"/>
      <c r="B640" s="71"/>
      <c r="C640" s="66"/>
      <c r="D640" s="66">
        <f t="shared" si="3"/>
        <v>0</v>
      </c>
      <c r="E640" s="67"/>
      <c r="F640" s="58">
        <f t="shared" si="150"/>
        <v>-8</v>
      </c>
      <c r="G640" s="58"/>
      <c r="H640" s="58">
        <f t="shared" ref="H640:M640" si="637">SUMIFS($C640,$B640,H$8)+H639</f>
        <v>0</v>
      </c>
      <c r="I640" s="58">
        <f t="shared" si="637"/>
        <v>9</v>
      </c>
      <c r="J640" s="58">
        <f t="shared" si="637"/>
        <v>36</v>
      </c>
      <c r="K640" s="58">
        <f t="shared" si="637"/>
        <v>0</v>
      </c>
      <c r="L640" s="58">
        <f t="shared" si="637"/>
        <v>0</v>
      </c>
      <c r="M640" s="58">
        <f t="shared" si="637"/>
        <v>0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0" customHeight="1">
      <c r="A641" s="70"/>
      <c r="B641" s="71"/>
      <c r="C641" s="66"/>
      <c r="D641" s="66">
        <f t="shared" si="3"/>
        <v>0</v>
      </c>
      <c r="E641" s="67"/>
      <c r="F641" s="58">
        <f t="shared" si="150"/>
        <v>-8</v>
      </c>
      <c r="G641" s="58"/>
      <c r="H641" s="58">
        <f t="shared" ref="H641:M641" si="638">SUMIFS($C641,$B641,H$8)+H640</f>
        <v>0</v>
      </c>
      <c r="I641" s="58">
        <f t="shared" si="638"/>
        <v>9</v>
      </c>
      <c r="J641" s="58">
        <f t="shared" si="638"/>
        <v>36</v>
      </c>
      <c r="K641" s="58">
        <f t="shared" si="638"/>
        <v>0</v>
      </c>
      <c r="L641" s="58">
        <f t="shared" si="638"/>
        <v>0</v>
      </c>
      <c r="M641" s="58">
        <f t="shared" si="638"/>
        <v>0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0" customHeight="1">
      <c r="A642" s="70"/>
      <c r="B642" s="71"/>
      <c r="C642" s="66"/>
      <c r="D642" s="66">
        <f t="shared" si="3"/>
        <v>0</v>
      </c>
      <c r="E642" s="67"/>
      <c r="F642" s="58">
        <f t="shared" si="150"/>
        <v>-8</v>
      </c>
      <c r="G642" s="58"/>
      <c r="H642" s="58">
        <f t="shared" ref="H642:M642" si="639">SUMIFS($C642,$B642,H$8)+H641</f>
        <v>0</v>
      </c>
      <c r="I642" s="58">
        <f t="shared" si="639"/>
        <v>9</v>
      </c>
      <c r="J642" s="58">
        <f t="shared" si="639"/>
        <v>36</v>
      </c>
      <c r="K642" s="58">
        <f t="shared" si="639"/>
        <v>0</v>
      </c>
      <c r="L642" s="58">
        <f t="shared" si="639"/>
        <v>0</v>
      </c>
      <c r="M642" s="58">
        <f t="shared" si="639"/>
        <v>0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0" customHeight="1">
      <c r="A643" s="70"/>
      <c r="B643" s="71"/>
      <c r="C643" s="66"/>
      <c r="D643" s="66">
        <f t="shared" si="3"/>
        <v>0</v>
      </c>
      <c r="E643" s="67"/>
      <c r="F643" s="58">
        <f t="shared" si="150"/>
        <v>-8</v>
      </c>
      <c r="G643" s="58"/>
      <c r="H643" s="58">
        <f t="shared" ref="H643:M643" si="640">SUMIFS($C643,$B643,H$8)+H642</f>
        <v>0</v>
      </c>
      <c r="I643" s="58">
        <f t="shared" si="640"/>
        <v>9</v>
      </c>
      <c r="J643" s="58">
        <f t="shared" si="640"/>
        <v>36</v>
      </c>
      <c r="K643" s="58">
        <f t="shared" si="640"/>
        <v>0</v>
      </c>
      <c r="L643" s="58">
        <f t="shared" si="640"/>
        <v>0</v>
      </c>
      <c r="M643" s="58">
        <f t="shared" si="640"/>
        <v>0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0" customHeight="1">
      <c r="A644" s="70"/>
      <c r="B644" s="71"/>
      <c r="C644" s="66"/>
      <c r="D644" s="66">
        <f t="shared" si="3"/>
        <v>0</v>
      </c>
      <c r="E644" s="67"/>
      <c r="F644" s="58">
        <f t="shared" si="150"/>
        <v>-8</v>
      </c>
      <c r="G644" s="58"/>
      <c r="H644" s="58">
        <f t="shared" ref="H644:M644" si="641">SUMIFS($C644,$B644,H$8)+H643</f>
        <v>0</v>
      </c>
      <c r="I644" s="58">
        <f t="shared" si="641"/>
        <v>9</v>
      </c>
      <c r="J644" s="58">
        <f t="shared" si="641"/>
        <v>36</v>
      </c>
      <c r="K644" s="58">
        <f t="shared" si="641"/>
        <v>0</v>
      </c>
      <c r="L644" s="58">
        <f t="shared" si="641"/>
        <v>0</v>
      </c>
      <c r="M644" s="58">
        <f t="shared" si="641"/>
        <v>0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0" customHeight="1">
      <c r="A645" s="70"/>
      <c r="B645" s="71"/>
      <c r="C645" s="66"/>
      <c r="D645" s="66">
        <f t="shared" si="3"/>
        <v>0</v>
      </c>
      <c r="E645" s="67"/>
      <c r="F645" s="58">
        <f t="shared" si="150"/>
        <v>-8</v>
      </c>
      <c r="G645" s="58"/>
      <c r="H645" s="58">
        <f t="shared" ref="H645:M645" si="642">SUMIFS($C645,$B645,H$8)+H644</f>
        <v>0</v>
      </c>
      <c r="I645" s="58">
        <f t="shared" si="642"/>
        <v>9</v>
      </c>
      <c r="J645" s="58">
        <f t="shared" si="642"/>
        <v>36</v>
      </c>
      <c r="K645" s="58">
        <f t="shared" si="642"/>
        <v>0</v>
      </c>
      <c r="L645" s="58">
        <f t="shared" si="642"/>
        <v>0</v>
      </c>
      <c r="M645" s="58">
        <f t="shared" si="642"/>
        <v>0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0" customHeight="1">
      <c r="A646" s="70"/>
      <c r="B646" s="71"/>
      <c r="C646" s="66"/>
      <c r="D646" s="66">
        <f t="shared" si="3"/>
        <v>0</v>
      </c>
      <c r="E646" s="67"/>
      <c r="F646" s="58">
        <f t="shared" si="150"/>
        <v>-8</v>
      </c>
      <c r="G646" s="58"/>
      <c r="H646" s="58">
        <f t="shared" ref="H646:M646" si="643">SUMIFS($C646,$B646,H$8)+H645</f>
        <v>0</v>
      </c>
      <c r="I646" s="58">
        <f t="shared" si="643"/>
        <v>9</v>
      </c>
      <c r="J646" s="58">
        <f t="shared" si="643"/>
        <v>36</v>
      </c>
      <c r="K646" s="58">
        <f t="shared" si="643"/>
        <v>0</v>
      </c>
      <c r="L646" s="58">
        <f t="shared" si="643"/>
        <v>0</v>
      </c>
      <c r="M646" s="58">
        <f t="shared" si="643"/>
        <v>0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0" customHeight="1">
      <c r="A647" s="70"/>
      <c r="B647" s="71"/>
      <c r="C647" s="66"/>
      <c r="D647" s="66">
        <f t="shared" si="3"/>
        <v>0</v>
      </c>
      <c r="E647" s="67"/>
      <c r="F647" s="58">
        <f t="shared" si="150"/>
        <v>-8</v>
      </c>
      <c r="G647" s="58"/>
      <c r="H647" s="58">
        <f t="shared" ref="H647:M647" si="644">SUMIFS($C647,$B647,H$8)+H646</f>
        <v>0</v>
      </c>
      <c r="I647" s="58">
        <f t="shared" si="644"/>
        <v>9</v>
      </c>
      <c r="J647" s="58">
        <f t="shared" si="644"/>
        <v>36</v>
      </c>
      <c r="K647" s="58">
        <f t="shared" si="644"/>
        <v>0</v>
      </c>
      <c r="L647" s="58">
        <f t="shared" si="644"/>
        <v>0</v>
      </c>
      <c r="M647" s="58">
        <f t="shared" si="644"/>
        <v>0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0" customHeight="1">
      <c r="A648" s="70"/>
      <c r="B648" s="71"/>
      <c r="C648" s="66"/>
      <c r="D648" s="66">
        <f t="shared" si="3"/>
        <v>0</v>
      </c>
      <c r="E648" s="67"/>
      <c r="F648" s="58">
        <f t="shared" si="150"/>
        <v>-8</v>
      </c>
      <c r="G648" s="58"/>
      <c r="H648" s="58">
        <f t="shared" ref="H648:M648" si="645">SUMIFS($C648,$B648,H$8)+H647</f>
        <v>0</v>
      </c>
      <c r="I648" s="58">
        <f t="shared" si="645"/>
        <v>9</v>
      </c>
      <c r="J648" s="58">
        <f t="shared" si="645"/>
        <v>36</v>
      </c>
      <c r="K648" s="58">
        <f t="shared" si="645"/>
        <v>0</v>
      </c>
      <c r="L648" s="58">
        <f t="shared" si="645"/>
        <v>0</v>
      </c>
      <c r="M648" s="58">
        <f t="shared" si="645"/>
        <v>0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0" customHeight="1">
      <c r="A649" s="70"/>
      <c r="B649" s="71"/>
      <c r="C649" s="66"/>
      <c r="D649" s="66">
        <f t="shared" si="3"/>
        <v>0</v>
      </c>
      <c r="E649" s="67"/>
      <c r="F649" s="58">
        <f t="shared" si="150"/>
        <v>-8</v>
      </c>
      <c r="G649" s="58"/>
      <c r="H649" s="58">
        <f t="shared" ref="H649:M649" si="646">SUMIFS($C649,$B649,H$8)+H648</f>
        <v>0</v>
      </c>
      <c r="I649" s="58">
        <f t="shared" si="646"/>
        <v>9</v>
      </c>
      <c r="J649" s="58">
        <f t="shared" si="646"/>
        <v>36</v>
      </c>
      <c r="K649" s="58">
        <f t="shared" si="646"/>
        <v>0</v>
      </c>
      <c r="L649" s="58">
        <f t="shared" si="646"/>
        <v>0</v>
      </c>
      <c r="M649" s="58">
        <f t="shared" si="646"/>
        <v>0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0" customHeight="1">
      <c r="A650" s="70"/>
      <c r="B650" s="71"/>
      <c r="C650" s="66"/>
      <c r="D650" s="66">
        <f t="shared" si="3"/>
        <v>0</v>
      </c>
      <c r="E650" s="67"/>
      <c r="F650" s="58">
        <f t="shared" si="150"/>
        <v>-8</v>
      </c>
      <c r="G650" s="58"/>
      <c r="H650" s="58">
        <f t="shared" ref="H650:M650" si="647">SUMIFS($C650,$B650,H$8)+H649</f>
        <v>0</v>
      </c>
      <c r="I650" s="58">
        <f t="shared" si="647"/>
        <v>9</v>
      </c>
      <c r="J650" s="58">
        <f t="shared" si="647"/>
        <v>36</v>
      </c>
      <c r="K650" s="58">
        <f t="shared" si="647"/>
        <v>0</v>
      </c>
      <c r="L650" s="58">
        <f t="shared" si="647"/>
        <v>0</v>
      </c>
      <c r="M650" s="58">
        <f t="shared" si="647"/>
        <v>0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0" customHeight="1">
      <c r="A651" s="70"/>
      <c r="B651" s="71"/>
      <c r="C651" s="66"/>
      <c r="D651" s="66">
        <f t="shared" si="3"/>
        <v>0</v>
      </c>
      <c r="E651" s="67"/>
      <c r="F651" s="58">
        <f t="shared" si="150"/>
        <v>-8</v>
      </c>
      <c r="G651" s="58"/>
      <c r="H651" s="58">
        <f t="shared" ref="H651:M651" si="648">SUMIFS($C651,$B651,H$8)+H650</f>
        <v>0</v>
      </c>
      <c r="I651" s="58">
        <f t="shared" si="648"/>
        <v>9</v>
      </c>
      <c r="J651" s="58">
        <f t="shared" si="648"/>
        <v>36</v>
      </c>
      <c r="K651" s="58">
        <f t="shared" si="648"/>
        <v>0</v>
      </c>
      <c r="L651" s="58">
        <f t="shared" si="648"/>
        <v>0</v>
      </c>
      <c r="M651" s="58">
        <f t="shared" si="648"/>
        <v>0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0" customHeight="1">
      <c r="A652" s="70"/>
      <c r="B652" s="71"/>
      <c r="C652" s="66"/>
      <c r="D652" s="66">
        <f t="shared" si="3"/>
        <v>0</v>
      </c>
      <c r="E652" s="67"/>
      <c r="F652" s="58">
        <f t="shared" si="150"/>
        <v>-8</v>
      </c>
      <c r="G652" s="58"/>
      <c r="H652" s="58">
        <f t="shared" ref="H652:M652" si="649">SUMIFS($C652,$B652,H$8)+H651</f>
        <v>0</v>
      </c>
      <c r="I652" s="58">
        <f t="shared" si="649"/>
        <v>9</v>
      </c>
      <c r="J652" s="58">
        <f t="shared" si="649"/>
        <v>36</v>
      </c>
      <c r="K652" s="58">
        <f t="shared" si="649"/>
        <v>0</v>
      </c>
      <c r="L652" s="58">
        <f t="shared" si="649"/>
        <v>0</v>
      </c>
      <c r="M652" s="58">
        <f t="shared" si="649"/>
        <v>0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0" customHeight="1">
      <c r="A653" s="70"/>
      <c r="B653" s="71"/>
      <c r="C653" s="66"/>
      <c r="D653" s="66">
        <f t="shared" si="3"/>
        <v>0</v>
      </c>
      <c r="E653" s="67"/>
      <c r="F653" s="58">
        <f t="shared" si="150"/>
        <v>-8</v>
      </c>
      <c r="G653" s="58"/>
      <c r="H653" s="58">
        <f t="shared" ref="H653:M653" si="650">SUMIFS($C653,$B653,H$8)+H652</f>
        <v>0</v>
      </c>
      <c r="I653" s="58">
        <f t="shared" si="650"/>
        <v>9</v>
      </c>
      <c r="J653" s="58">
        <f t="shared" si="650"/>
        <v>36</v>
      </c>
      <c r="K653" s="58">
        <f t="shared" si="650"/>
        <v>0</v>
      </c>
      <c r="L653" s="58">
        <f t="shared" si="650"/>
        <v>0</v>
      </c>
      <c r="M653" s="58">
        <f t="shared" si="650"/>
        <v>0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0" customHeight="1">
      <c r="A654" s="70"/>
      <c r="B654" s="71"/>
      <c r="C654" s="66"/>
      <c r="D654" s="66">
        <f t="shared" si="3"/>
        <v>0</v>
      </c>
      <c r="E654" s="67"/>
      <c r="F654" s="58">
        <f t="shared" si="150"/>
        <v>-8</v>
      </c>
      <c r="G654" s="58"/>
      <c r="H654" s="58">
        <f t="shared" ref="H654:M654" si="651">SUMIFS($C654,$B654,H$8)+H653</f>
        <v>0</v>
      </c>
      <c r="I654" s="58">
        <f t="shared" si="651"/>
        <v>9</v>
      </c>
      <c r="J654" s="58">
        <f t="shared" si="651"/>
        <v>36</v>
      </c>
      <c r="K654" s="58">
        <f t="shared" si="651"/>
        <v>0</v>
      </c>
      <c r="L654" s="58">
        <f t="shared" si="651"/>
        <v>0</v>
      </c>
      <c r="M654" s="58">
        <f t="shared" si="651"/>
        <v>0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0" customHeight="1">
      <c r="A655" s="70"/>
      <c r="B655" s="71"/>
      <c r="C655" s="66"/>
      <c r="D655" s="66">
        <f t="shared" si="3"/>
        <v>0</v>
      </c>
      <c r="E655" s="67"/>
      <c r="F655" s="58">
        <f t="shared" si="150"/>
        <v>-8</v>
      </c>
      <c r="G655" s="58"/>
      <c r="H655" s="58">
        <f t="shared" ref="H655:M655" si="652">SUMIFS($C655,$B655,H$8)+H654</f>
        <v>0</v>
      </c>
      <c r="I655" s="58">
        <f t="shared" si="652"/>
        <v>9</v>
      </c>
      <c r="J655" s="58">
        <f t="shared" si="652"/>
        <v>36</v>
      </c>
      <c r="K655" s="58">
        <f t="shared" si="652"/>
        <v>0</v>
      </c>
      <c r="L655" s="58">
        <f t="shared" si="652"/>
        <v>0</v>
      </c>
      <c r="M655" s="58">
        <f t="shared" si="652"/>
        <v>0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0" customHeight="1">
      <c r="A656" s="70"/>
      <c r="B656" s="71"/>
      <c r="C656" s="66"/>
      <c r="D656" s="66">
        <f t="shared" si="3"/>
        <v>0</v>
      </c>
      <c r="E656" s="67"/>
      <c r="F656" s="58">
        <f t="shared" si="150"/>
        <v>-8</v>
      </c>
      <c r="G656" s="58"/>
      <c r="H656" s="58">
        <f t="shared" ref="H656:M656" si="653">SUMIFS($C656,$B656,H$8)+H655</f>
        <v>0</v>
      </c>
      <c r="I656" s="58">
        <f t="shared" si="653"/>
        <v>9</v>
      </c>
      <c r="J656" s="58">
        <f t="shared" si="653"/>
        <v>36</v>
      </c>
      <c r="K656" s="58">
        <f t="shared" si="653"/>
        <v>0</v>
      </c>
      <c r="L656" s="58">
        <f t="shared" si="653"/>
        <v>0</v>
      </c>
      <c r="M656" s="58">
        <f t="shared" si="653"/>
        <v>0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0" customHeight="1">
      <c r="A657" s="70"/>
      <c r="B657" s="71"/>
      <c r="C657" s="66"/>
      <c r="D657" s="66">
        <f t="shared" si="3"/>
        <v>0</v>
      </c>
      <c r="E657" s="67"/>
      <c r="F657" s="58">
        <f t="shared" si="150"/>
        <v>-8</v>
      </c>
      <c r="G657" s="58"/>
      <c r="H657" s="58">
        <f t="shared" ref="H657:M657" si="654">SUMIFS($C657,$B657,H$8)+H656</f>
        <v>0</v>
      </c>
      <c r="I657" s="58">
        <f t="shared" si="654"/>
        <v>9</v>
      </c>
      <c r="J657" s="58">
        <f t="shared" si="654"/>
        <v>36</v>
      </c>
      <c r="K657" s="58">
        <f t="shared" si="654"/>
        <v>0</v>
      </c>
      <c r="L657" s="58">
        <f t="shared" si="654"/>
        <v>0</v>
      </c>
      <c r="M657" s="58">
        <f t="shared" si="654"/>
        <v>0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0" customHeight="1">
      <c r="A658" s="70"/>
      <c r="B658" s="71"/>
      <c r="C658" s="66"/>
      <c r="D658" s="66">
        <f t="shared" si="3"/>
        <v>0</v>
      </c>
      <c r="E658" s="67"/>
      <c r="F658" s="58">
        <f t="shared" si="150"/>
        <v>-8</v>
      </c>
      <c r="G658" s="58"/>
      <c r="H658" s="58">
        <f t="shared" ref="H658:M658" si="655">SUMIFS($C658,$B658,H$8)+H657</f>
        <v>0</v>
      </c>
      <c r="I658" s="58">
        <f t="shared" si="655"/>
        <v>9</v>
      </c>
      <c r="J658" s="58">
        <f t="shared" si="655"/>
        <v>36</v>
      </c>
      <c r="K658" s="58">
        <f t="shared" si="655"/>
        <v>0</v>
      </c>
      <c r="L658" s="58">
        <f t="shared" si="655"/>
        <v>0</v>
      </c>
      <c r="M658" s="58">
        <f t="shared" si="655"/>
        <v>0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0" customHeight="1">
      <c r="A659" s="70"/>
      <c r="B659" s="71"/>
      <c r="C659" s="66"/>
      <c r="D659" s="66">
        <f t="shared" si="3"/>
        <v>0</v>
      </c>
      <c r="E659" s="67"/>
      <c r="F659" s="58">
        <f t="shared" si="150"/>
        <v>-8</v>
      </c>
      <c r="G659" s="58"/>
      <c r="H659" s="58">
        <f t="shared" ref="H659:M659" si="656">SUMIFS($C659,$B659,H$8)+H658</f>
        <v>0</v>
      </c>
      <c r="I659" s="58">
        <f t="shared" si="656"/>
        <v>9</v>
      </c>
      <c r="J659" s="58">
        <f t="shared" si="656"/>
        <v>36</v>
      </c>
      <c r="K659" s="58">
        <f t="shared" si="656"/>
        <v>0</v>
      </c>
      <c r="L659" s="58">
        <f t="shared" si="656"/>
        <v>0</v>
      </c>
      <c r="M659" s="58">
        <f t="shared" si="656"/>
        <v>0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0" customHeight="1">
      <c r="A660" s="70"/>
      <c r="B660" s="71"/>
      <c r="C660" s="66"/>
      <c r="D660" s="66">
        <f t="shared" si="3"/>
        <v>0</v>
      </c>
      <c r="E660" s="67"/>
      <c r="F660" s="58">
        <f t="shared" si="150"/>
        <v>-8</v>
      </c>
      <c r="G660" s="58"/>
      <c r="H660" s="58">
        <f t="shared" ref="H660:M660" si="657">SUMIFS($C660,$B660,H$8)+H659</f>
        <v>0</v>
      </c>
      <c r="I660" s="58">
        <f t="shared" si="657"/>
        <v>9</v>
      </c>
      <c r="J660" s="58">
        <f t="shared" si="657"/>
        <v>36</v>
      </c>
      <c r="K660" s="58">
        <f t="shared" si="657"/>
        <v>0</v>
      </c>
      <c r="L660" s="58">
        <f t="shared" si="657"/>
        <v>0</v>
      </c>
      <c r="M660" s="58">
        <f t="shared" si="657"/>
        <v>0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0" customHeight="1">
      <c r="A661" s="70"/>
      <c r="B661" s="71"/>
      <c r="C661" s="66"/>
      <c r="D661" s="66">
        <f t="shared" si="3"/>
        <v>0</v>
      </c>
      <c r="E661" s="67"/>
      <c r="F661" s="58">
        <f t="shared" si="150"/>
        <v>-8</v>
      </c>
      <c r="G661" s="58"/>
      <c r="H661" s="58">
        <f t="shared" ref="H661:M661" si="658">SUMIFS($C661,$B661,H$8)+H660</f>
        <v>0</v>
      </c>
      <c r="I661" s="58">
        <f t="shared" si="658"/>
        <v>9</v>
      </c>
      <c r="J661" s="58">
        <f t="shared" si="658"/>
        <v>36</v>
      </c>
      <c r="K661" s="58">
        <f t="shared" si="658"/>
        <v>0</v>
      </c>
      <c r="L661" s="58">
        <f t="shared" si="658"/>
        <v>0</v>
      </c>
      <c r="M661" s="58">
        <f t="shared" si="658"/>
        <v>0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0" customHeight="1">
      <c r="A662" s="70"/>
      <c r="B662" s="71"/>
      <c r="C662" s="66"/>
      <c r="D662" s="66">
        <f t="shared" si="3"/>
        <v>0</v>
      </c>
      <c r="E662" s="67"/>
      <c r="F662" s="58">
        <f t="shared" si="150"/>
        <v>-8</v>
      </c>
      <c r="G662" s="58"/>
      <c r="H662" s="58">
        <f t="shared" ref="H662:M662" si="659">SUMIFS($C662,$B662,H$8)+H661</f>
        <v>0</v>
      </c>
      <c r="I662" s="58">
        <f t="shared" si="659"/>
        <v>9</v>
      </c>
      <c r="J662" s="58">
        <f t="shared" si="659"/>
        <v>36</v>
      </c>
      <c r="K662" s="58">
        <f t="shared" si="659"/>
        <v>0</v>
      </c>
      <c r="L662" s="58">
        <f t="shared" si="659"/>
        <v>0</v>
      </c>
      <c r="M662" s="58">
        <f t="shared" si="659"/>
        <v>0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0" customHeight="1">
      <c r="A663" s="70"/>
      <c r="B663" s="71"/>
      <c r="C663" s="66"/>
      <c r="D663" s="66">
        <f t="shared" si="3"/>
        <v>0</v>
      </c>
      <c r="E663" s="67"/>
      <c r="F663" s="58">
        <f t="shared" si="150"/>
        <v>-8</v>
      </c>
      <c r="G663" s="58"/>
      <c r="H663" s="58">
        <f t="shared" ref="H663:M663" si="660">SUMIFS($C663,$B663,H$8)+H662</f>
        <v>0</v>
      </c>
      <c r="I663" s="58">
        <f t="shared" si="660"/>
        <v>9</v>
      </c>
      <c r="J663" s="58">
        <f t="shared" si="660"/>
        <v>36</v>
      </c>
      <c r="K663" s="58">
        <f t="shared" si="660"/>
        <v>0</v>
      </c>
      <c r="L663" s="58">
        <f t="shared" si="660"/>
        <v>0</v>
      </c>
      <c r="M663" s="58">
        <f t="shared" si="660"/>
        <v>0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0" customHeight="1">
      <c r="A664" s="70"/>
      <c r="B664" s="71"/>
      <c r="C664" s="66"/>
      <c r="D664" s="66">
        <f t="shared" si="3"/>
        <v>0</v>
      </c>
      <c r="E664" s="67"/>
      <c r="F664" s="58">
        <f t="shared" si="150"/>
        <v>-8</v>
      </c>
      <c r="G664" s="58"/>
      <c r="H664" s="58">
        <f t="shared" ref="H664:M664" si="661">SUMIFS($C664,$B664,H$8)+H663</f>
        <v>0</v>
      </c>
      <c r="I664" s="58">
        <f t="shared" si="661"/>
        <v>9</v>
      </c>
      <c r="J664" s="58">
        <f t="shared" si="661"/>
        <v>36</v>
      </c>
      <c r="K664" s="58">
        <f t="shared" si="661"/>
        <v>0</v>
      </c>
      <c r="L664" s="58">
        <f t="shared" si="661"/>
        <v>0</v>
      </c>
      <c r="M664" s="58">
        <f t="shared" si="661"/>
        <v>0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0" customHeight="1">
      <c r="A665" s="70"/>
      <c r="B665" s="71"/>
      <c r="C665" s="66"/>
      <c r="D665" s="66">
        <f t="shared" si="3"/>
        <v>0</v>
      </c>
      <c r="E665" s="67"/>
      <c r="F665" s="58">
        <f t="shared" si="150"/>
        <v>-8</v>
      </c>
      <c r="G665" s="58"/>
      <c r="H665" s="58">
        <f t="shared" ref="H665:M665" si="662">SUMIFS($C665,$B665,H$8)+H664</f>
        <v>0</v>
      </c>
      <c r="I665" s="58">
        <f t="shared" si="662"/>
        <v>9</v>
      </c>
      <c r="J665" s="58">
        <f t="shared" si="662"/>
        <v>36</v>
      </c>
      <c r="K665" s="58">
        <f t="shared" si="662"/>
        <v>0</v>
      </c>
      <c r="L665" s="58">
        <f t="shared" si="662"/>
        <v>0</v>
      </c>
      <c r="M665" s="58">
        <f t="shared" si="662"/>
        <v>0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0" customHeight="1">
      <c r="A666" s="70"/>
      <c r="B666" s="71"/>
      <c r="C666" s="66"/>
      <c r="D666" s="66">
        <f t="shared" si="3"/>
        <v>0</v>
      </c>
      <c r="E666" s="67"/>
      <c r="F666" s="58">
        <f t="shared" si="150"/>
        <v>-8</v>
      </c>
      <c r="G666" s="58"/>
      <c r="H666" s="58">
        <f t="shared" ref="H666:M666" si="663">SUMIFS($C666,$B666,H$8)+H665</f>
        <v>0</v>
      </c>
      <c r="I666" s="58">
        <f t="shared" si="663"/>
        <v>9</v>
      </c>
      <c r="J666" s="58">
        <f t="shared" si="663"/>
        <v>36</v>
      </c>
      <c r="K666" s="58">
        <f t="shared" si="663"/>
        <v>0</v>
      </c>
      <c r="L666" s="58">
        <f t="shared" si="663"/>
        <v>0</v>
      </c>
      <c r="M666" s="58">
        <f t="shared" si="663"/>
        <v>0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0" customHeight="1">
      <c r="A667" s="70"/>
      <c r="B667" s="71"/>
      <c r="C667" s="66"/>
      <c r="D667" s="66">
        <f t="shared" si="3"/>
        <v>0</v>
      </c>
      <c r="E667" s="67"/>
      <c r="F667" s="58">
        <f t="shared" si="150"/>
        <v>-8</v>
      </c>
      <c r="G667" s="58"/>
      <c r="H667" s="58">
        <f t="shared" ref="H667:M667" si="664">SUMIFS($C667,$B667,H$8)+H666</f>
        <v>0</v>
      </c>
      <c r="I667" s="58">
        <f t="shared" si="664"/>
        <v>9</v>
      </c>
      <c r="J667" s="58">
        <f t="shared" si="664"/>
        <v>36</v>
      </c>
      <c r="K667" s="58">
        <f t="shared" si="664"/>
        <v>0</v>
      </c>
      <c r="L667" s="58">
        <f t="shared" si="664"/>
        <v>0</v>
      </c>
      <c r="M667" s="58">
        <f t="shared" si="664"/>
        <v>0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0" customHeight="1">
      <c r="A668" s="70"/>
      <c r="B668" s="71"/>
      <c r="C668" s="66"/>
      <c r="D668" s="66">
        <f t="shared" si="3"/>
        <v>0</v>
      </c>
      <c r="E668" s="67"/>
      <c r="F668" s="58">
        <f t="shared" si="150"/>
        <v>-8</v>
      </c>
      <c r="G668" s="58"/>
      <c r="H668" s="58">
        <f t="shared" ref="H668:M668" si="665">SUMIFS($C668,$B668,H$8)+H667</f>
        <v>0</v>
      </c>
      <c r="I668" s="58">
        <f t="shared" si="665"/>
        <v>9</v>
      </c>
      <c r="J668" s="58">
        <f t="shared" si="665"/>
        <v>36</v>
      </c>
      <c r="K668" s="58">
        <f t="shared" si="665"/>
        <v>0</v>
      </c>
      <c r="L668" s="58">
        <f t="shared" si="665"/>
        <v>0</v>
      </c>
      <c r="M668" s="58">
        <f t="shared" si="665"/>
        <v>0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0" customHeight="1">
      <c r="A669" s="70"/>
      <c r="B669" s="71"/>
      <c r="C669" s="66"/>
      <c r="D669" s="66">
        <f t="shared" si="3"/>
        <v>0</v>
      </c>
      <c r="E669" s="67"/>
      <c r="F669" s="58">
        <f t="shared" si="150"/>
        <v>-8</v>
      </c>
      <c r="G669" s="58"/>
      <c r="H669" s="58">
        <f t="shared" ref="H669:M669" si="666">SUMIFS($C669,$B669,H$8)+H668</f>
        <v>0</v>
      </c>
      <c r="I669" s="58">
        <f t="shared" si="666"/>
        <v>9</v>
      </c>
      <c r="J669" s="58">
        <f t="shared" si="666"/>
        <v>36</v>
      </c>
      <c r="K669" s="58">
        <f t="shared" si="666"/>
        <v>0</v>
      </c>
      <c r="L669" s="58">
        <f t="shared" si="666"/>
        <v>0</v>
      </c>
      <c r="M669" s="58">
        <f t="shared" si="666"/>
        <v>0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0" customHeight="1">
      <c r="A670" s="70"/>
      <c r="B670" s="71"/>
      <c r="C670" s="66"/>
      <c r="D670" s="66">
        <f t="shared" si="3"/>
        <v>0</v>
      </c>
      <c r="E670" s="67"/>
      <c r="F670" s="58">
        <f t="shared" si="150"/>
        <v>-8</v>
      </c>
      <c r="G670" s="58"/>
      <c r="H670" s="58">
        <f t="shared" ref="H670:M670" si="667">SUMIFS($C670,$B670,H$8)+H669</f>
        <v>0</v>
      </c>
      <c r="I670" s="58">
        <f t="shared" si="667"/>
        <v>9</v>
      </c>
      <c r="J670" s="58">
        <f t="shared" si="667"/>
        <v>36</v>
      </c>
      <c r="K670" s="58">
        <f t="shared" si="667"/>
        <v>0</v>
      </c>
      <c r="L670" s="58">
        <f t="shared" si="667"/>
        <v>0</v>
      </c>
      <c r="M670" s="58">
        <f t="shared" si="667"/>
        <v>0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0" customHeight="1">
      <c r="A671" s="70"/>
      <c r="B671" s="71"/>
      <c r="C671" s="66"/>
      <c r="D671" s="66">
        <f t="shared" si="3"/>
        <v>0</v>
      </c>
      <c r="E671" s="67"/>
      <c r="F671" s="58">
        <f t="shared" si="150"/>
        <v>-8</v>
      </c>
      <c r="G671" s="58"/>
      <c r="H671" s="58">
        <f t="shared" ref="H671:M671" si="668">SUMIFS($C671,$B671,H$8)+H670</f>
        <v>0</v>
      </c>
      <c r="I671" s="58">
        <f t="shared" si="668"/>
        <v>9</v>
      </c>
      <c r="J671" s="58">
        <f t="shared" si="668"/>
        <v>36</v>
      </c>
      <c r="K671" s="58">
        <f t="shared" si="668"/>
        <v>0</v>
      </c>
      <c r="L671" s="58">
        <f t="shared" si="668"/>
        <v>0</v>
      </c>
      <c r="M671" s="58">
        <f t="shared" si="668"/>
        <v>0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0" customHeight="1">
      <c r="A672" s="70"/>
      <c r="B672" s="71"/>
      <c r="C672" s="66"/>
      <c r="D672" s="66">
        <f t="shared" si="3"/>
        <v>0</v>
      </c>
      <c r="E672" s="67"/>
      <c r="F672" s="58">
        <f t="shared" si="150"/>
        <v>-8</v>
      </c>
      <c r="G672" s="58"/>
      <c r="H672" s="58">
        <f t="shared" ref="H672:M672" si="669">SUMIFS($C672,$B672,H$8)+H671</f>
        <v>0</v>
      </c>
      <c r="I672" s="58">
        <f t="shared" si="669"/>
        <v>9</v>
      </c>
      <c r="J672" s="58">
        <f t="shared" si="669"/>
        <v>36</v>
      </c>
      <c r="K672" s="58">
        <f t="shared" si="669"/>
        <v>0</v>
      </c>
      <c r="L672" s="58">
        <f t="shared" si="669"/>
        <v>0</v>
      </c>
      <c r="M672" s="58">
        <f t="shared" si="669"/>
        <v>0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0" customHeight="1">
      <c r="A673" s="70"/>
      <c r="B673" s="71"/>
      <c r="C673" s="66"/>
      <c r="D673" s="66">
        <f t="shared" si="3"/>
        <v>0</v>
      </c>
      <c r="E673" s="67"/>
      <c r="F673" s="58">
        <f t="shared" si="150"/>
        <v>-8</v>
      </c>
      <c r="G673" s="58"/>
      <c r="H673" s="58">
        <f t="shared" ref="H673:M673" si="670">SUMIFS($C673,$B673,H$8)+H672</f>
        <v>0</v>
      </c>
      <c r="I673" s="58">
        <f t="shared" si="670"/>
        <v>9</v>
      </c>
      <c r="J673" s="58">
        <f t="shared" si="670"/>
        <v>36</v>
      </c>
      <c r="K673" s="58">
        <f t="shared" si="670"/>
        <v>0</v>
      </c>
      <c r="L673" s="58">
        <f t="shared" si="670"/>
        <v>0</v>
      </c>
      <c r="M673" s="58">
        <f t="shared" si="670"/>
        <v>0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0" customHeight="1">
      <c r="A674" s="70"/>
      <c r="B674" s="71"/>
      <c r="C674" s="66"/>
      <c r="D674" s="66">
        <f t="shared" si="3"/>
        <v>0</v>
      </c>
      <c r="E674" s="67"/>
      <c r="F674" s="58">
        <f t="shared" si="150"/>
        <v>-8</v>
      </c>
      <c r="G674" s="58"/>
      <c r="H674" s="58">
        <f t="shared" ref="H674:M674" si="671">SUMIFS($C674,$B674,H$8)+H673</f>
        <v>0</v>
      </c>
      <c r="I674" s="58">
        <f t="shared" si="671"/>
        <v>9</v>
      </c>
      <c r="J674" s="58">
        <f t="shared" si="671"/>
        <v>36</v>
      </c>
      <c r="K674" s="58">
        <f t="shared" si="671"/>
        <v>0</v>
      </c>
      <c r="L674" s="58">
        <f t="shared" si="671"/>
        <v>0</v>
      </c>
      <c r="M674" s="58">
        <f t="shared" si="671"/>
        <v>0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0" customHeight="1">
      <c r="A675" s="70"/>
      <c r="B675" s="71"/>
      <c r="C675" s="66"/>
      <c r="D675" s="66">
        <f t="shared" si="3"/>
        <v>0</v>
      </c>
      <c r="E675" s="67"/>
      <c r="F675" s="58">
        <f t="shared" si="150"/>
        <v>-8</v>
      </c>
      <c r="G675" s="58"/>
      <c r="H675" s="58">
        <f t="shared" ref="H675:M675" si="672">SUMIFS($C675,$B675,H$8)+H674</f>
        <v>0</v>
      </c>
      <c r="I675" s="58">
        <f t="shared" si="672"/>
        <v>9</v>
      </c>
      <c r="J675" s="58">
        <f t="shared" si="672"/>
        <v>36</v>
      </c>
      <c r="K675" s="58">
        <f t="shared" si="672"/>
        <v>0</v>
      </c>
      <c r="L675" s="58">
        <f t="shared" si="672"/>
        <v>0</v>
      </c>
      <c r="M675" s="58">
        <f t="shared" si="672"/>
        <v>0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0" customHeight="1">
      <c r="A676" s="70"/>
      <c r="B676" s="71"/>
      <c r="C676" s="66"/>
      <c r="D676" s="66">
        <f t="shared" si="3"/>
        <v>0</v>
      </c>
      <c r="E676" s="67"/>
      <c r="F676" s="58">
        <f t="shared" si="150"/>
        <v>-8</v>
      </c>
      <c r="G676" s="58"/>
      <c r="H676" s="58">
        <f t="shared" ref="H676:M676" si="673">SUMIFS($C676,$B676,H$8)+H675</f>
        <v>0</v>
      </c>
      <c r="I676" s="58">
        <f t="shared" si="673"/>
        <v>9</v>
      </c>
      <c r="J676" s="58">
        <f t="shared" si="673"/>
        <v>36</v>
      </c>
      <c r="K676" s="58">
        <f t="shared" si="673"/>
        <v>0</v>
      </c>
      <c r="L676" s="58">
        <f t="shared" si="673"/>
        <v>0</v>
      </c>
      <c r="M676" s="58">
        <f t="shared" si="673"/>
        <v>0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0" customHeight="1">
      <c r="A677" s="70"/>
      <c r="B677" s="71"/>
      <c r="C677" s="66"/>
      <c r="D677" s="66">
        <f t="shared" si="3"/>
        <v>0</v>
      </c>
      <c r="E677" s="67"/>
      <c r="F677" s="58">
        <f t="shared" si="150"/>
        <v>-8</v>
      </c>
      <c r="G677" s="58"/>
      <c r="H677" s="58">
        <f t="shared" ref="H677:M677" si="674">SUMIFS($C677,$B677,H$8)+H676</f>
        <v>0</v>
      </c>
      <c r="I677" s="58">
        <f t="shared" si="674"/>
        <v>9</v>
      </c>
      <c r="J677" s="58">
        <f t="shared" si="674"/>
        <v>36</v>
      </c>
      <c r="K677" s="58">
        <f t="shared" si="674"/>
        <v>0</v>
      </c>
      <c r="L677" s="58">
        <f t="shared" si="674"/>
        <v>0</v>
      </c>
      <c r="M677" s="58">
        <f t="shared" si="674"/>
        <v>0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0" customHeight="1">
      <c r="A678" s="70"/>
      <c r="B678" s="71"/>
      <c r="C678" s="66"/>
      <c r="D678" s="66">
        <f t="shared" si="3"/>
        <v>0</v>
      </c>
      <c r="E678" s="67"/>
      <c r="F678" s="58">
        <f t="shared" si="150"/>
        <v>-8</v>
      </c>
      <c r="G678" s="58"/>
      <c r="H678" s="58">
        <f t="shared" ref="H678:M678" si="675">SUMIFS($C678,$B678,H$8)+H677</f>
        <v>0</v>
      </c>
      <c r="I678" s="58">
        <f t="shared" si="675"/>
        <v>9</v>
      </c>
      <c r="J678" s="58">
        <f t="shared" si="675"/>
        <v>36</v>
      </c>
      <c r="K678" s="58">
        <f t="shared" si="675"/>
        <v>0</v>
      </c>
      <c r="L678" s="58">
        <f t="shared" si="675"/>
        <v>0</v>
      </c>
      <c r="M678" s="58">
        <f t="shared" si="675"/>
        <v>0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0" customHeight="1">
      <c r="A679" s="70"/>
      <c r="B679" s="71"/>
      <c r="C679" s="66"/>
      <c r="D679" s="66">
        <f t="shared" si="3"/>
        <v>0</v>
      </c>
      <c r="E679" s="67"/>
      <c r="F679" s="58">
        <f t="shared" si="150"/>
        <v>-8</v>
      </c>
      <c r="G679" s="58"/>
      <c r="H679" s="58">
        <f t="shared" ref="H679:M679" si="676">SUMIFS($C679,$B679,H$8)+H678</f>
        <v>0</v>
      </c>
      <c r="I679" s="58">
        <f t="shared" si="676"/>
        <v>9</v>
      </c>
      <c r="J679" s="58">
        <f t="shared" si="676"/>
        <v>36</v>
      </c>
      <c r="K679" s="58">
        <f t="shared" si="676"/>
        <v>0</v>
      </c>
      <c r="L679" s="58">
        <f t="shared" si="676"/>
        <v>0</v>
      </c>
      <c r="M679" s="58">
        <f t="shared" si="676"/>
        <v>0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0" customHeight="1">
      <c r="A680" s="70"/>
      <c r="B680" s="71"/>
      <c r="C680" s="66"/>
      <c r="D680" s="66">
        <f t="shared" si="3"/>
        <v>0</v>
      </c>
      <c r="E680" s="67"/>
      <c r="F680" s="58">
        <f t="shared" si="150"/>
        <v>-8</v>
      </c>
      <c r="G680" s="58"/>
      <c r="H680" s="58">
        <f t="shared" ref="H680:M680" si="677">SUMIFS($C680,$B680,H$8)+H679</f>
        <v>0</v>
      </c>
      <c r="I680" s="58">
        <f t="shared" si="677"/>
        <v>9</v>
      </c>
      <c r="J680" s="58">
        <f t="shared" si="677"/>
        <v>36</v>
      </c>
      <c r="K680" s="58">
        <f t="shared" si="677"/>
        <v>0</v>
      </c>
      <c r="L680" s="58">
        <f t="shared" si="677"/>
        <v>0</v>
      </c>
      <c r="M680" s="58">
        <f t="shared" si="677"/>
        <v>0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0" customHeight="1">
      <c r="A681" s="70"/>
      <c r="B681" s="71"/>
      <c r="C681" s="66"/>
      <c r="D681" s="66">
        <f t="shared" si="3"/>
        <v>0</v>
      </c>
      <c r="E681" s="67"/>
      <c r="F681" s="58">
        <f t="shared" si="150"/>
        <v>-8</v>
      </c>
      <c r="G681" s="58"/>
      <c r="H681" s="58">
        <f t="shared" ref="H681:M681" si="678">SUMIFS($C681,$B681,H$8)+H680</f>
        <v>0</v>
      </c>
      <c r="I681" s="58">
        <f t="shared" si="678"/>
        <v>9</v>
      </c>
      <c r="J681" s="58">
        <f t="shared" si="678"/>
        <v>36</v>
      </c>
      <c r="K681" s="58">
        <f t="shared" si="678"/>
        <v>0</v>
      </c>
      <c r="L681" s="58">
        <f t="shared" si="678"/>
        <v>0</v>
      </c>
      <c r="M681" s="58">
        <f t="shared" si="678"/>
        <v>0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0" customHeight="1">
      <c r="A682" s="70"/>
      <c r="B682" s="71"/>
      <c r="C682" s="66"/>
      <c r="D682" s="66">
        <f t="shared" si="3"/>
        <v>0</v>
      </c>
      <c r="E682" s="67"/>
      <c r="F682" s="58">
        <f t="shared" si="150"/>
        <v>-8</v>
      </c>
      <c r="G682" s="58"/>
      <c r="H682" s="58">
        <f t="shared" ref="H682:M682" si="679">SUMIFS($C682,$B682,H$8)+H681</f>
        <v>0</v>
      </c>
      <c r="I682" s="58">
        <f t="shared" si="679"/>
        <v>9</v>
      </c>
      <c r="J682" s="58">
        <f t="shared" si="679"/>
        <v>36</v>
      </c>
      <c r="K682" s="58">
        <f t="shared" si="679"/>
        <v>0</v>
      </c>
      <c r="L682" s="58">
        <f t="shared" si="679"/>
        <v>0</v>
      </c>
      <c r="M682" s="58">
        <f t="shared" si="679"/>
        <v>0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0" customHeight="1">
      <c r="A683" s="70"/>
      <c r="B683" s="71"/>
      <c r="C683" s="66"/>
      <c r="D683" s="66">
        <f t="shared" si="3"/>
        <v>0</v>
      </c>
      <c r="E683" s="67"/>
      <c r="F683" s="58">
        <f t="shared" si="150"/>
        <v>-8</v>
      </c>
      <c r="G683" s="58"/>
      <c r="H683" s="58">
        <f t="shared" ref="H683:M683" si="680">SUMIFS($C683,$B683,H$8)+H682</f>
        <v>0</v>
      </c>
      <c r="I683" s="58">
        <f t="shared" si="680"/>
        <v>9</v>
      </c>
      <c r="J683" s="58">
        <f t="shared" si="680"/>
        <v>36</v>
      </c>
      <c r="K683" s="58">
        <f t="shared" si="680"/>
        <v>0</v>
      </c>
      <c r="L683" s="58">
        <f t="shared" si="680"/>
        <v>0</v>
      </c>
      <c r="M683" s="58">
        <f t="shared" si="680"/>
        <v>0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0" customHeight="1">
      <c r="A684" s="70"/>
      <c r="B684" s="71"/>
      <c r="C684" s="66"/>
      <c r="D684" s="66">
        <f t="shared" si="3"/>
        <v>0</v>
      </c>
      <c r="E684" s="67"/>
      <c r="F684" s="58">
        <f t="shared" si="150"/>
        <v>-8</v>
      </c>
      <c r="G684" s="58"/>
      <c r="H684" s="58">
        <f t="shared" ref="H684:M684" si="681">SUMIFS($C684,$B684,H$8)+H683</f>
        <v>0</v>
      </c>
      <c r="I684" s="58">
        <f t="shared" si="681"/>
        <v>9</v>
      </c>
      <c r="J684" s="58">
        <f t="shared" si="681"/>
        <v>36</v>
      </c>
      <c r="K684" s="58">
        <f t="shared" si="681"/>
        <v>0</v>
      </c>
      <c r="L684" s="58">
        <f t="shared" si="681"/>
        <v>0</v>
      </c>
      <c r="M684" s="58">
        <f t="shared" si="681"/>
        <v>0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0" customHeight="1">
      <c r="A685" s="70"/>
      <c r="B685" s="71"/>
      <c r="C685" s="66"/>
      <c r="D685" s="66">
        <f t="shared" si="3"/>
        <v>0</v>
      </c>
      <c r="E685" s="67"/>
      <c r="F685" s="58">
        <f t="shared" si="150"/>
        <v>-8</v>
      </c>
      <c r="G685" s="58"/>
      <c r="H685" s="58">
        <f t="shared" ref="H685:M685" si="682">SUMIFS($C685,$B685,H$8)+H684</f>
        <v>0</v>
      </c>
      <c r="I685" s="58">
        <f t="shared" si="682"/>
        <v>9</v>
      </c>
      <c r="J685" s="58">
        <f t="shared" si="682"/>
        <v>36</v>
      </c>
      <c r="K685" s="58">
        <f t="shared" si="682"/>
        <v>0</v>
      </c>
      <c r="L685" s="58">
        <f t="shared" si="682"/>
        <v>0</v>
      </c>
      <c r="M685" s="58">
        <f t="shared" si="682"/>
        <v>0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0" customHeight="1">
      <c r="A686" s="70"/>
      <c r="B686" s="71"/>
      <c r="C686" s="66"/>
      <c r="D686" s="66">
        <f t="shared" si="3"/>
        <v>0</v>
      </c>
      <c r="E686" s="67"/>
      <c r="F686" s="58">
        <f t="shared" si="150"/>
        <v>-8</v>
      </c>
      <c r="G686" s="58"/>
      <c r="H686" s="58">
        <f t="shared" ref="H686:M686" si="683">SUMIFS($C686,$B686,H$8)+H685</f>
        <v>0</v>
      </c>
      <c r="I686" s="58">
        <f t="shared" si="683"/>
        <v>9</v>
      </c>
      <c r="J686" s="58">
        <f t="shared" si="683"/>
        <v>36</v>
      </c>
      <c r="K686" s="58">
        <f t="shared" si="683"/>
        <v>0</v>
      </c>
      <c r="L686" s="58">
        <f t="shared" si="683"/>
        <v>0</v>
      </c>
      <c r="M686" s="58">
        <f t="shared" si="683"/>
        <v>0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0" customHeight="1">
      <c r="A687" s="70"/>
      <c r="B687" s="71"/>
      <c r="C687" s="66"/>
      <c r="D687" s="66">
        <f t="shared" si="3"/>
        <v>0</v>
      </c>
      <c r="E687" s="67"/>
      <c r="F687" s="58">
        <f t="shared" si="150"/>
        <v>-8</v>
      </c>
      <c r="G687" s="58"/>
      <c r="H687" s="58">
        <f t="shared" ref="H687:M687" si="684">SUMIFS($C687,$B687,H$8)+H686</f>
        <v>0</v>
      </c>
      <c r="I687" s="58">
        <f t="shared" si="684"/>
        <v>9</v>
      </c>
      <c r="J687" s="58">
        <f t="shared" si="684"/>
        <v>36</v>
      </c>
      <c r="K687" s="58">
        <f t="shared" si="684"/>
        <v>0</v>
      </c>
      <c r="L687" s="58">
        <f t="shared" si="684"/>
        <v>0</v>
      </c>
      <c r="M687" s="58">
        <f t="shared" si="684"/>
        <v>0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0" customHeight="1">
      <c r="A688" s="70"/>
      <c r="B688" s="71"/>
      <c r="C688" s="66"/>
      <c r="D688" s="66">
        <f t="shared" si="3"/>
        <v>0</v>
      </c>
      <c r="E688" s="67"/>
      <c r="F688" s="58">
        <f t="shared" si="150"/>
        <v>-8</v>
      </c>
      <c r="G688" s="58"/>
      <c r="H688" s="58">
        <f t="shared" ref="H688:M688" si="685">SUMIFS($C688,$B688,H$8)+H687</f>
        <v>0</v>
      </c>
      <c r="I688" s="58">
        <f t="shared" si="685"/>
        <v>9</v>
      </c>
      <c r="J688" s="58">
        <f t="shared" si="685"/>
        <v>36</v>
      </c>
      <c r="K688" s="58">
        <f t="shared" si="685"/>
        <v>0</v>
      </c>
      <c r="L688" s="58">
        <f t="shared" si="685"/>
        <v>0</v>
      </c>
      <c r="M688" s="58">
        <f t="shared" si="685"/>
        <v>0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0" customHeight="1">
      <c r="A689" s="70"/>
      <c r="B689" s="71"/>
      <c r="C689" s="66"/>
      <c r="D689" s="66">
        <f t="shared" si="3"/>
        <v>0</v>
      </c>
      <c r="E689" s="67"/>
      <c r="F689" s="58">
        <f t="shared" si="150"/>
        <v>-8</v>
      </c>
      <c r="G689" s="58"/>
      <c r="H689" s="58">
        <f t="shared" ref="H689:M689" si="686">SUMIFS($C689,$B689,H$8)+H688</f>
        <v>0</v>
      </c>
      <c r="I689" s="58">
        <f t="shared" si="686"/>
        <v>9</v>
      </c>
      <c r="J689" s="58">
        <f t="shared" si="686"/>
        <v>36</v>
      </c>
      <c r="K689" s="58">
        <f t="shared" si="686"/>
        <v>0</v>
      </c>
      <c r="L689" s="58">
        <f t="shared" si="686"/>
        <v>0</v>
      </c>
      <c r="M689" s="58">
        <f t="shared" si="686"/>
        <v>0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0" customHeight="1">
      <c r="A690" s="70"/>
      <c r="B690" s="71"/>
      <c r="C690" s="66"/>
      <c r="D690" s="66">
        <f t="shared" si="3"/>
        <v>0</v>
      </c>
      <c r="E690" s="67"/>
      <c r="F690" s="58">
        <f t="shared" si="150"/>
        <v>-8</v>
      </c>
      <c r="G690" s="58"/>
      <c r="H690" s="58">
        <f t="shared" ref="H690:M690" si="687">SUMIFS($C690,$B690,H$8)+H689</f>
        <v>0</v>
      </c>
      <c r="I690" s="58">
        <f t="shared" si="687"/>
        <v>9</v>
      </c>
      <c r="J690" s="58">
        <f t="shared" si="687"/>
        <v>36</v>
      </c>
      <c r="K690" s="58">
        <f t="shared" si="687"/>
        <v>0</v>
      </c>
      <c r="L690" s="58">
        <f t="shared" si="687"/>
        <v>0</v>
      </c>
      <c r="M690" s="58">
        <f t="shared" si="687"/>
        <v>0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0" customHeight="1">
      <c r="A691" s="70"/>
      <c r="B691" s="71"/>
      <c r="C691" s="66"/>
      <c r="D691" s="66">
        <f t="shared" si="3"/>
        <v>0</v>
      </c>
      <c r="E691" s="67"/>
      <c r="F691" s="58">
        <f t="shared" si="150"/>
        <v>-8</v>
      </c>
      <c r="G691" s="58"/>
      <c r="H691" s="58">
        <f t="shared" ref="H691:M691" si="688">SUMIFS($C691,$B691,H$8)+H690</f>
        <v>0</v>
      </c>
      <c r="I691" s="58">
        <f t="shared" si="688"/>
        <v>9</v>
      </c>
      <c r="J691" s="58">
        <f t="shared" si="688"/>
        <v>36</v>
      </c>
      <c r="K691" s="58">
        <f t="shared" si="688"/>
        <v>0</v>
      </c>
      <c r="L691" s="58">
        <f t="shared" si="688"/>
        <v>0</v>
      </c>
      <c r="M691" s="58">
        <f t="shared" si="688"/>
        <v>0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0" customHeight="1">
      <c r="A692" s="70"/>
      <c r="B692" s="71"/>
      <c r="C692" s="66"/>
      <c r="D692" s="66">
        <f t="shared" si="3"/>
        <v>0</v>
      </c>
      <c r="E692" s="67"/>
      <c r="F692" s="58">
        <f t="shared" si="150"/>
        <v>-8</v>
      </c>
      <c r="G692" s="58"/>
      <c r="H692" s="58">
        <f t="shared" ref="H692:M692" si="689">SUMIFS($C692,$B692,H$8)+H691</f>
        <v>0</v>
      </c>
      <c r="I692" s="58">
        <f t="shared" si="689"/>
        <v>9</v>
      </c>
      <c r="J692" s="58">
        <f t="shared" si="689"/>
        <v>36</v>
      </c>
      <c r="K692" s="58">
        <f t="shared" si="689"/>
        <v>0</v>
      </c>
      <c r="L692" s="58">
        <f t="shared" si="689"/>
        <v>0</v>
      </c>
      <c r="M692" s="58">
        <f t="shared" si="689"/>
        <v>0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0" customHeight="1">
      <c r="A693" s="70"/>
      <c r="B693" s="71"/>
      <c r="C693" s="66"/>
      <c r="D693" s="66">
        <f t="shared" si="3"/>
        <v>0</v>
      </c>
      <c r="E693" s="67"/>
      <c r="F693" s="58">
        <f t="shared" si="150"/>
        <v>-8</v>
      </c>
      <c r="G693" s="58"/>
      <c r="H693" s="58">
        <f t="shared" ref="H693:M693" si="690">SUMIFS($C693,$B693,H$8)+H692</f>
        <v>0</v>
      </c>
      <c r="I693" s="58">
        <f t="shared" si="690"/>
        <v>9</v>
      </c>
      <c r="J693" s="58">
        <f t="shared" si="690"/>
        <v>36</v>
      </c>
      <c r="K693" s="58">
        <f t="shared" si="690"/>
        <v>0</v>
      </c>
      <c r="L693" s="58">
        <f t="shared" si="690"/>
        <v>0</v>
      </c>
      <c r="M693" s="58">
        <f t="shared" si="690"/>
        <v>0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0" customHeight="1">
      <c r="A694" s="70"/>
      <c r="B694" s="71"/>
      <c r="C694" s="66"/>
      <c r="D694" s="66">
        <f t="shared" si="3"/>
        <v>0</v>
      </c>
      <c r="E694" s="67"/>
      <c r="F694" s="58">
        <f t="shared" si="150"/>
        <v>-8</v>
      </c>
      <c r="G694" s="58"/>
      <c r="H694" s="58">
        <f t="shared" ref="H694:M694" si="691">SUMIFS($C694,$B694,H$8)+H693</f>
        <v>0</v>
      </c>
      <c r="I694" s="58">
        <f t="shared" si="691"/>
        <v>9</v>
      </c>
      <c r="J694" s="58">
        <f t="shared" si="691"/>
        <v>36</v>
      </c>
      <c r="K694" s="58">
        <f t="shared" si="691"/>
        <v>0</v>
      </c>
      <c r="L694" s="58">
        <f t="shared" si="691"/>
        <v>0</v>
      </c>
      <c r="M694" s="58">
        <f t="shared" si="691"/>
        <v>0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0" customHeight="1">
      <c r="A695" s="70"/>
      <c r="B695" s="71"/>
      <c r="C695" s="66"/>
      <c r="D695" s="66">
        <f t="shared" si="3"/>
        <v>0</v>
      </c>
      <c r="E695" s="67"/>
      <c r="F695" s="58">
        <f t="shared" si="150"/>
        <v>-8</v>
      </c>
      <c r="G695" s="58"/>
      <c r="H695" s="58">
        <f t="shared" ref="H695:M695" si="692">SUMIFS($C695,$B695,H$8)+H694</f>
        <v>0</v>
      </c>
      <c r="I695" s="58">
        <f t="shared" si="692"/>
        <v>9</v>
      </c>
      <c r="J695" s="58">
        <f t="shared" si="692"/>
        <v>36</v>
      </c>
      <c r="K695" s="58">
        <f t="shared" si="692"/>
        <v>0</v>
      </c>
      <c r="L695" s="58">
        <f t="shared" si="692"/>
        <v>0</v>
      </c>
      <c r="M695" s="58">
        <f t="shared" si="692"/>
        <v>0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0" customHeight="1">
      <c r="A696" s="70"/>
      <c r="B696" s="71"/>
      <c r="C696" s="66"/>
      <c r="D696" s="66">
        <f t="shared" si="3"/>
        <v>0</v>
      </c>
      <c r="E696" s="67"/>
      <c r="F696" s="58">
        <f t="shared" si="150"/>
        <v>-8</v>
      </c>
      <c r="G696" s="58"/>
      <c r="H696" s="58">
        <f t="shared" ref="H696:M696" si="693">SUMIFS($C696,$B696,H$8)+H695</f>
        <v>0</v>
      </c>
      <c r="I696" s="58">
        <f t="shared" si="693"/>
        <v>9</v>
      </c>
      <c r="J696" s="58">
        <f t="shared" si="693"/>
        <v>36</v>
      </c>
      <c r="K696" s="58">
        <f t="shared" si="693"/>
        <v>0</v>
      </c>
      <c r="L696" s="58">
        <f t="shared" si="693"/>
        <v>0</v>
      </c>
      <c r="M696" s="58">
        <f t="shared" si="693"/>
        <v>0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0" customHeight="1">
      <c r="A697" s="70"/>
      <c r="B697" s="71"/>
      <c r="C697" s="66"/>
      <c r="D697" s="66">
        <f t="shared" si="3"/>
        <v>0</v>
      </c>
      <c r="E697" s="67"/>
      <c r="F697" s="58">
        <f t="shared" si="150"/>
        <v>-8</v>
      </c>
      <c r="G697" s="58"/>
      <c r="H697" s="58">
        <f t="shared" ref="H697:M697" si="694">SUMIFS($C697,$B697,H$8)+H696</f>
        <v>0</v>
      </c>
      <c r="I697" s="58">
        <f t="shared" si="694"/>
        <v>9</v>
      </c>
      <c r="J697" s="58">
        <f t="shared" si="694"/>
        <v>36</v>
      </c>
      <c r="K697" s="58">
        <f t="shared" si="694"/>
        <v>0</v>
      </c>
      <c r="L697" s="58">
        <f t="shared" si="694"/>
        <v>0</v>
      </c>
      <c r="M697" s="58">
        <f t="shared" si="694"/>
        <v>0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0" customHeight="1">
      <c r="A698" s="70"/>
      <c r="B698" s="71"/>
      <c r="C698" s="66"/>
      <c r="D698" s="66">
        <f t="shared" si="3"/>
        <v>0</v>
      </c>
      <c r="E698" s="67"/>
      <c r="F698" s="58">
        <f t="shared" si="150"/>
        <v>-8</v>
      </c>
      <c r="G698" s="58"/>
      <c r="H698" s="58">
        <f t="shared" ref="H698:M698" si="695">SUMIFS($C698,$B698,H$8)+H697</f>
        <v>0</v>
      </c>
      <c r="I698" s="58">
        <f t="shared" si="695"/>
        <v>9</v>
      </c>
      <c r="J698" s="58">
        <f t="shared" si="695"/>
        <v>36</v>
      </c>
      <c r="K698" s="58">
        <f t="shared" si="695"/>
        <v>0</v>
      </c>
      <c r="L698" s="58">
        <f t="shared" si="695"/>
        <v>0</v>
      </c>
      <c r="M698" s="58">
        <f t="shared" si="695"/>
        <v>0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0" customHeight="1">
      <c r="A699" s="70"/>
      <c r="B699" s="71"/>
      <c r="C699" s="66"/>
      <c r="D699" s="66">
        <f t="shared" si="3"/>
        <v>0</v>
      </c>
      <c r="E699" s="67"/>
      <c r="F699" s="58">
        <f t="shared" si="150"/>
        <v>-8</v>
      </c>
      <c r="G699" s="58"/>
      <c r="H699" s="58">
        <f t="shared" ref="H699:M699" si="696">SUMIFS($C699,$B699,H$8)+H698</f>
        <v>0</v>
      </c>
      <c r="I699" s="58">
        <f t="shared" si="696"/>
        <v>9</v>
      </c>
      <c r="J699" s="58">
        <f t="shared" si="696"/>
        <v>36</v>
      </c>
      <c r="K699" s="58">
        <f t="shared" si="696"/>
        <v>0</v>
      </c>
      <c r="L699" s="58">
        <f t="shared" si="696"/>
        <v>0</v>
      </c>
      <c r="M699" s="58">
        <f t="shared" si="696"/>
        <v>0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0" customHeight="1">
      <c r="A700" s="70"/>
      <c r="B700" s="71"/>
      <c r="C700" s="66"/>
      <c r="D700" s="66">
        <f t="shared" si="3"/>
        <v>0</v>
      </c>
      <c r="E700" s="67"/>
      <c r="F700" s="58">
        <f t="shared" si="150"/>
        <v>-8</v>
      </c>
      <c r="G700" s="58"/>
      <c r="H700" s="58">
        <f t="shared" ref="H700:M700" si="697">SUMIFS($C700,$B700,H$8)+H699</f>
        <v>0</v>
      </c>
      <c r="I700" s="58">
        <f t="shared" si="697"/>
        <v>9</v>
      </c>
      <c r="J700" s="58">
        <f t="shared" si="697"/>
        <v>36</v>
      </c>
      <c r="K700" s="58">
        <f t="shared" si="697"/>
        <v>0</v>
      </c>
      <c r="L700" s="58">
        <f t="shared" si="697"/>
        <v>0</v>
      </c>
      <c r="M700" s="58">
        <f t="shared" si="697"/>
        <v>0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0" customHeight="1">
      <c r="A701" s="70"/>
      <c r="B701" s="71"/>
      <c r="C701" s="66"/>
      <c r="D701" s="66">
        <f t="shared" si="3"/>
        <v>0</v>
      </c>
      <c r="E701" s="67"/>
      <c r="F701" s="58">
        <f t="shared" si="150"/>
        <v>-8</v>
      </c>
      <c r="G701" s="58"/>
      <c r="H701" s="58">
        <f t="shared" ref="H701:M701" si="698">SUMIFS($C701,$B701,H$8)+H700</f>
        <v>0</v>
      </c>
      <c r="I701" s="58">
        <f t="shared" si="698"/>
        <v>9</v>
      </c>
      <c r="J701" s="58">
        <f t="shared" si="698"/>
        <v>36</v>
      </c>
      <c r="K701" s="58">
        <f t="shared" si="698"/>
        <v>0</v>
      </c>
      <c r="L701" s="58">
        <f t="shared" si="698"/>
        <v>0</v>
      </c>
      <c r="M701" s="58">
        <f t="shared" si="698"/>
        <v>0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0" customHeight="1">
      <c r="A702" s="70"/>
      <c r="B702" s="71"/>
      <c r="C702" s="66"/>
      <c r="D702" s="66">
        <f t="shared" si="3"/>
        <v>0</v>
      </c>
      <c r="E702" s="67"/>
      <c r="F702" s="58">
        <f t="shared" si="150"/>
        <v>-8</v>
      </c>
      <c r="G702" s="58"/>
      <c r="H702" s="58">
        <f t="shared" ref="H702:M702" si="699">SUMIFS($C702,$B702,H$8)+H701</f>
        <v>0</v>
      </c>
      <c r="I702" s="58">
        <f t="shared" si="699"/>
        <v>9</v>
      </c>
      <c r="J702" s="58">
        <f t="shared" si="699"/>
        <v>36</v>
      </c>
      <c r="K702" s="58">
        <f t="shared" si="699"/>
        <v>0</v>
      </c>
      <c r="L702" s="58">
        <f t="shared" si="699"/>
        <v>0</v>
      </c>
      <c r="M702" s="58">
        <f t="shared" si="699"/>
        <v>0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0" customHeight="1">
      <c r="A703" s="70"/>
      <c r="B703" s="71"/>
      <c r="C703" s="66"/>
      <c r="D703" s="66">
        <f t="shared" si="3"/>
        <v>0</v>
      </c>
      <c r="E703" s="67"/>
      <c r="F703" s="58">
        <f t="shared" si="150"/>
        <v>-8</v>
      </c>
      <c r="G703" s="58"/>
      <c r="H703" s="58">
        <f t="shared" ref="H703:M703" si="700">SUMIFS($C703,$B703,H$8)+H702</f>
        <v>0</v>
      </c>
      <c r="I703" s="58">
        <f t="shared" si="700"/>
        <v>9</v>
      </c>
      <c r="J703" s="58">
        <f t="shared" si="700"/>
        <v>36</v>
      </c>
      <c r="K703" s="58">
        <f t="shared" si="700"/>
        <v>0</v>
      </c>
      <c r="L703" s="58">
        <f t="shared" si="700"/>
        <v>0</v>
      </c>
      <c r="M703" s="58">
        <f t="shared" si="700"/>
        <v>0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0" customHeight="1">
      <c r="A704" s="70"/>
      <c r="B704" s="71"/>
      <c r="C704" s="66"/>
      <c r="D704" s="66">
        <f t="shared" si="3"/>
        <v>0</v>
      </c>
      <c r="E704" s="67"/>
      <c r="F704" s="58">
        <f t="shared" si="150"/>
        <v>-8</v>
      </c>
      <c r="G704" s="58"/>
      <c r="H704" s="58">
        <f t="shared" ref="H704:M704" si="701">SUMIFS($C704,$B704,H$8)+H703</f>
        <v>0</v>
      </c>
      <c r="I704" s="58">
        <f t="shared" si="701"/>
        <v>9</v>
      </c>
      <c r="J704" s="58">
        <f t="shared" si="701"/>
        <v>36</v>
      </c>
      <c r="K704" s="58">
        <f t="shared" si="701"/>
        <v>0</v>
      </c>
      <c r="L704" s="58">
        <f t="shared" si="701"/>
        <v>0</v>
      </c>
      <c r="M704" s="58">
        <f t="shared" si="701"/>
        <v>0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0" customHeight="1">
      <c r="A705" s="70"/>
      <c r="B705" s="71"/>
      <c r="C705" s="66"/>
      <c r="D705" s="66">
        <f t="shared" si="3"/>
        <v>0</v>
      </c>
      <c r="E705" s="67"/>
      <c r="F705" s="58">
        <f t="shared" si="150"/>
        <v>-8</v>
      </c>
      <c r="G705" s="58"/>
      <c r="H705" s="58">
        <f t="shared" ref="H705:M705" si="702">SUMIFS($C705,$B705,H$8)+H704</f>
        <v>0</v>
      </c>
      <c r="I705" s="58">
        <f t="shared" si="702"/>
        <v>9</v>
      </c>
      <c r="J705" s="58">
        <f t="shared" si="702"/>
        <v>36</v>
      </c>
      <c r="K705" s="58">
        <f t="shared" si="702"/>
        <v>0</v>
      </c>
      <c r="L705" s="58">
        <f t="shared" si="702"/>
        <v>0</v>
      </c>
      <c r="M705" s="58">
        <f t="shared" si="702"/>
        <v>0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0" customHeight="1">
      <c r="A706" s="70"/>
      <c r="B706" s="71"/>
      <c r="C706" s="66"/>
      <c r="D706" s="66">
        <f t="shared" si="3"/>
        <v>0</v>
      </c>
      <c r="E706" s="67"/>
      <c r="F706" s="58">
        <f t="shared" si="150"/>
        <v>-8</v>
      </c>
      <c r="G706" s="58"/>
      <c r="H706" s="58">
        <f t="shared" ref="H706:M706" si="703">SUMIFS($C706,$B706,H$8)+H705</f>
        <v>0</v>
      </c>
      <c r="I706" s="58">
        <f t="shared" si="703"/>
        <v>9</v>
      </c>
      <c r="J706" s="58">
        <f t="shared" si="703"/>
        <v>36</v>
      </c>
      <c r="K706" s="58">
        <f t="shared" si="703"/>
        <v>0</v>
      </c>
      <c r="L706" s="58">
        <f t="shared" si="703"/>
        <v>0</v>
      </c>
      <c r="M706" s="58">
        <f t="shared" si="703"/>
        <v>0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0" customHeight="1">
      <c r="A707" s="70"/>
      <c r="B707" s="71"/>
      <c r="C707" s="66"/>
      <c r="D707" s="66">
        <f t="shared" si="3"/>
        <v>0</v>
      </c>
      <c r="E707" s="67"/>
      <c r="F707" s="58">
        <f t="shared" si="150"/>
        <v>-8</v>
      </c>
      <c r="G707" s="58"/>
      <c r="H707" s="58">
        <f t="shared" ref="H707:M707" si="704">SUMIFS($C707,$B707,H$8)+H706</f>
        <v>0</v>
      </c>
      <c r="I707" s="58">
        <f t="shared" si="704"/>
        <v>9</v>
      </c>
      <c r="J707" s="58">
        <f t="shared" si="704"/>
        <v>36</v>
      </c>
      <c r="K707" s="58">
        <f t="shared" si="704"/>
        <v>0</v>
      </c>
      <c r="L707" s="58">
        <f t="shared" si="704"/>
        <v>0</v>
      </c>
      <c r="M707" s="58">
        <f t="shared" si="704"/>
        <v>0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0" customHeight="1">
      <c r="A708" s="70"/>
      <c r="B708" s="71"/>
      <c r="C708" s="66"/>
      <c r="D708" s="66">
        <f t="shared" si="3"/>
        <v>0</v>
      </c>
      <c r="E708" s="67"/>
      <c r="F708" s="58">
        <f t="shared" si="150"/>
        <v>-8</v>
      </c>
      <c r="G708" s="58"/>
      <c r="H708" s="58">
        <f t="shared" ref="H708:M708" si="705">SUMIFS($C708,$B708,H$8)+H707</f>
        <v>0</v>
      </c>
      <c r="I708" s="58">
        <f t="shared" si="705"/>
        <v>9</v>
      </c>
      <c r="J708" s="58">
        <f t="shared" si="705"/>
        <v>36</v>
      </c>
      <c r="K708" s="58">
        <f t="shared" si="705"/>
        <v>0</v>
      </c>
      <c r="L708" s="58">
        <f t="shared" si="705"/>
        <v>0</v>
      </c>
      <c r="M708" s="58">
        <f t="shared" si="705"/>
        <v>0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0" customHeight="1">
      <c r="A709" s="70"/>
      <c r="B709" s="71"/>
      <c r="C709" s="66"/>
      <c r="D709" s="66">
        <f t="shared" si="3"/>
        <v>0</v>
      </c>
      <c r="E709" s="67"/>
      <c r="F709" s="58">
        <f t="shared" si="150"/>
        <v>-8</v>
      </c>
      <c r="G709" s="58"/>
      <c r="H709" s="58">
        <f t="shared" ref="H709:M709" si="706">SUMIFS($C709,$B709,H$8)+H708</f>
        <v>0</v>
      </c>
      <c r="I709" s="58">
        <f t="shared" si="706"/>
        <v>9</v>
      </c>
      <c r="J709" s="58">
        <f t="shared" si="706"/>
        <v>36</v>
      </c>
      <c r="K709" s="58">
        <f t="shared" si="706"/>
        <v>0</v>
      </c>
      <c r="L709" s="58">
        <f t="shared" si="706"/>
        <v>0</v>
      </c>
      <c r="M709" s="58">
        <f t="shared" si="706"/>
        <v>0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0" customHeight="1">
      <c r="A710" s="70"/>
      <c r="B710" s="71"/>
      <c r="C710" s="66"/>
      <c r="D710" s="66">
        <f t="shared" si="3"/>
        <v>0</v>
      </c>
      <c r="E710" s="67"/>
      <c r="F710" s="58">
        <f t="shared" si="150"/>
        <v>-8</v>
      </c>
      <c r="G710" s="58"/>
      <c r="H710" s="58">
        <f t="shared" ref="H710:M710" si="707">SUMIFS($C710,$B710,H$8)+H709</f>
        <v>0</v>
      </c>
      <c r="I710" s="58">
        <f t="shared" si="707"/>
        <v>9</v>
      </c>
      <c r="J710" s="58">
        <f t="shared" si="707"/>
        <v>36</v>
      </c>
      <c r="K710" s="58">
        <f t="shared" si="707"/>
        <v>0</v>
      </c>
      <c r="L710" s="58">
        <f t="shared" si="707"/>
        <v>0</v>
      </c>
      <c r="M710" s="58">
        <f t="shared" si="707"/>
        <v>0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0" customHeight="1">
      <c r="A711" s="70"/>
      <c r="B711" s="71"/>
      <c r="C711" s="66"/>
      <c r="D711" s="66">
        <f t="shared" si="3"/>
        <v>0</v>
      </c>
      <c r="E711" s="67"/>
      <c r="F711" s="58">
        <f t="shared" si="150"/>
        <v>-8</v>
      </c>
      <c r="G711" s="58"/>
      <c r="H711" s="58">
        <f t="shared" ref="H711:M711" si="708">SUMIFS($C711,$B711,H$8)+H710</f>
        <v>0</v>
      </c>
      <c r="I711" s="58">
        <f t="shared" si="708"/>
        <v>9</v>
      </c>
      <c r="J711" s="58">
        <f t="shared" si="708"/>
        <v>36</v>
      </c>
      <c r="K711" s="58">
        <f t="shared" si="708"/>
        <v>0</v>
      </c>
      <c r="L711" s="58">
        <f t="shared" si="708"/>
        <v>0</v>
      </c>
      <c r="M711" s="58">
        <f t="shared" si="708"/>
        <v>0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0" customHeight="1">
      <c r="A712" s="70"/>
      <c r="B712" s="71"/>
      <c r="C712" s="66"/>
      <c r="D712" s="66">
        <f t="shared" si="3"/>
        <v>0</v>
      </c>
      <c r="E712" s="67"/>
      <c r="F712" s="58">
        <f t="shared" si="150"/>
        <v>-8</v>
      </c>
      <c r="G712" s="58"/>
      <c r="H712" s="58">
        <f t="shared" ref="H712:M712" si="709">SUMIFS($C712,$B712,H$8)+H711</f>
        <v>0</v>
      </c>
      <c r="I712" s="58">
        <f t="shared" si="709"/>
        <v>9</v>
      </c>
      <c r="J712" s="58">
        <f t="shared" si="709"/>
        <v>36</v>
      </c>
      <c r="K712" s="58">
        <f t="shared" si="709"/>
        <v>0</v>
      </c>
      <c r="L712" s="58">
        <f t="shared" si="709"/>
        <v>0</v>
      </c>
      <c r="M712" s="58">
        <f t="shared" si="709"/>
        <v>0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0" customHeight="1">
      <c r="A713" s="70"/>
      <c r="B713" s="71"/>
      <c r="C713" s="66"/>
      <c r="D713" s="66">
        <f t="shared" si="3"/>
        <v>0</v>
      </c>
      <c r="E713" s="67"/>
      <c r="F713" s="58">
        <f t="shared" si="150"/>
        <v>-8</v>
      </c>
      <c r="G713" s="58"/>
      <c r="H713" s="58">
        <f t="shared" ref="H713:M713" si="710">SUMIFS($C713,$B713,H$8)+H712</f>
        <v>0</v>
      </c>
      <c r="I713" s="58">
        <f t="shared" si="710"/>
        <v>9</v>
      </c>
      <c r="J713" s="58">
        <f t="shared" si="710"/>
        <v>36</v>
      </c>
      <c r="K713" s="58">
        <f t="shared" si="710"/>
        <v>0</v>
      </c>
      <c r="L713" s="58">
        <f t="shared" si="710"/>
        <v>0</v>
      </c>
      <c r="M713" s="58">
        <f t="shared" si="710"/>
        <v>0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0" customHeight="1">
      <c r="A714" s="70"/>
      <c r="B714" s="71"/>
      <c r="C714" s="66"/>
      <c r="D714" s="66">
        <f t="shared" si="3"/>
        <v>0</v>
      </c>
      <c r="E714" s="67"/>
      <c r="F714" s="58">
        <f t="shared" si="150"/>
        <v>-8</v>
      </c>
      <c r="G714" s="58"/>
      <c r="H714" s="58">
        <f t="shared" ref="H714:M714" si="711">SUMIFS($C714,$B714,H$8)+H713</f>
        <v>0</v>
      </c>
      <c r="I714" s="58">
        <f t="shared" si="711"/>
        <v>9</v>
      </c>
      <c r="J714" s="58">
        <f t="shared" si="711"/>
        <v>36</v>
      </c>
      <c r="K714" s="58">
        <f t="shared" si="711"/>
        <v>0</v>
      </c>
      <c r="L714" s="58">
        <f t="shared" si="711"/>
        <v>0</v>
      </c>
      <c r="M714" s="58">
        <f t="shared" si="711"/>
        <v>0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0" customHeight="1">
      <c r="A715" s="70"/>
      <c r="B715" s="71"/>
      <c r="C715" s="66"/>
      <c r="D715" s="66">
        <f t="shared" si="3"/>
        <v>0</v>
      </c>
      <c r="E715" s="67"/>
      <c r="F715" s="58">
        <f t="shared" si="150"/>
        <v>-8</v>
      </c>
      <c r="G715" s="58"/>
      <c r="H715" s="58">
        <f t="shared" ref="H715:M715" si="712">SUMIFS($C715,$B715,H$8)+H714</f>
        <v>0</v>
      </c>
      <c r="I715" s="58">
        <f t="shared" si="712"/>
        <v>9</v>
      </c>
      <c r="J715" s="58">
        <f t="shared" si="712"/>
        <v>36</v>
      </c>
      <c r="K715" s="58">
        <f t="shared" si="712"/>
        <v>0</v>
      </c>
      <c r="L715" s="58">
        <f t="shared" si="712"/>
        <v>0</v>
      </c>
      <c r="M715" s="58">
        <f t="shared" si="712"/>
        <v>0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0" customHeight="1">
      <c r="A716" s="70"/>
      <c r="B716" s="71"/>
      <c r="C716" s="66"/>
      <c r="D716" s="66">
        <f t="shared" si="3"/>
        <v>0</v>
      </c>
      <c r="E716" s="67"/>
      <c r="F716" s="58">
        <f t="shared" si="150"/>
        <v>-8</v>
      </c>
      <c r="G716" s="58"/>
      <c r="H716" s="58">
        <f t="shared" ref="H716:M716" si="713">SUMIFS($C716,$B716,H$8)+H715</f>
        <v>0</v>
      </c>
      <c r="I716" s="58">
        <f t="shared" si="713"/>
        <v>9</v>
      </c>
      <c r="J716" s="58">
        <f t="shared" si="713"/>
        <v>36</v>
      </c>
      <c r="K716" s="58">
        <f t="shared" si="713"/>
        <v>0</v>
      </c>
      <c r="L716" s="58">
        <f t="shared" si="713"/>
        <v>0</v>
      </c>
      <c r="M716" s="58">
        <f t="shared" si="713"/>
        <v>0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0" customHeight="1">
      <c r="A717" s="70"/>
      <c r="B717" s="71"/>
      <c r="C717" s="66"/>
      <c r="D717" s="66">
        <f t="shared" si="3"/>
        <v>0</v>
      </c>
      <c r="E717" s="67"/>
      <c r="F717" s="58">
        <f t="shared" si="150"/>
        <v>-8</v>
      </c>
      <c r="G717" s="58"/>
      <c r="H717" s="58">
        <f t="shared" ref="H717:M717" si="714">SUMIFS($C717,$B717,H$8)+H716</f>
        <v>0</v>
      </c>
      <c r="I717" s="58">
        <f t="shared" si="714"/>
        <v>9</v>
      </c>
      <c r="J717" s="58">
        <f t="shared" si="714"/>
        <v>36</v>
      </c>
      <c r="K717" s="58">
        <f t="shared" si="714"/>
        <v>0</v>
      </c>
      <c r="L717" s="58">
        <f t="shared" si="714"/>
        <v>0</v>
      </c>
      <c r="M717" s="58">
        <f t="shared" si="714"/>
        <v>0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0" customHeight="1">
      <c r="A718" s="70"/>
      <c r="B718" s="71"/>
      <c r="C718" s="66"/>
      <c r="D718" s="66">
        <f t="shared" si="3"/>
        <v>0</v>
      </c>
      <c r="E718" s="67"/>
      <c r="F718" s="58">
        <f t="shared" si="150"/>
        <v>-8</v>
      </c>
      <c r="G718" s="58"/>
      <c r="H718" s="58">
        <f t="shared" ref="H718:M718" si="715">SUMIFS($C718,$B718,H$8)+H717</f>
        <v>0</v>
      </c>
      <c r="I718" s="58">
        <f t="shared" si="715"/>
        <v>9</v>
      </c>
      <c r="J718" s="58">
        <f t="shared" si="715"/>
        <v>36</v>
      </c>
      <c r="K718" s="58">
        <f t="shared" si="715"/>
        <v>0</v>
      </c>
      <c r="L718" s="58">
        <f t="shared" si="715"/>
        <v>0</v>
      </c>
      <c r="M718" s="58">
        <f t="shared" si="715"/>
        <v>0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0" customHeight="1">
      <c r="A719" s="70"/>
      <c r="B719" s="71"/>
      <c r="C719" s="66"/>
      <c r="D719" s="66">
        <f t="shared" si="3"/>
        <v>0</v>
      </c>
      <c r="E719" s="67"/>
      <c r="F719" s="58">
        <f t="shared" si="150"/>
        <v>-8</v>
      </c>
      <c r="G719" s="58"/>
      <c r="H719" s="58">
        <f t="shared" ref="H719:M719" si="716">SUMIFS($C719,$B719,H$8)+H718</f>
        <v>0</v>
      </c>
      <c r="I719" s="58">
        <f t="shared" si="716"/>
        <v>9</v>
      </c>
      <c r="J719" s="58">
        <f t="shared" si="716"/>
        <v>36</v>
      </c>
      <c r="K719" s="58">
        <f t="shared" si="716"/>
        <v>0</v>
      </c>
      <c r="L719" s="58">
        <f t="shared" si="716"/>
        <v>0</v>
      </c>
      <c r="M719" s="58">
        <f t="shared" si="716"/>
        <v>0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0" customHeight="1">
      <c r="A720" s="70"/>
      <c r="B720" s="71"/>
      <c r="C720" s="66"/>
      <c r="D720" s="66">
        <f t="shared" si="3"/>
        <v>0</v>
      </c>
      <c r="E720" s="67"/>
      <c r="F720" s="58">
        <f t="shared" si="150"/>
        <v>-8</v>
      </c>
      <c r="G720" s="58"/>
      <c r="H720" s="58">
        <f t="shared" ref="H720:M720" si="717">SUMIFS($C720,$B720,H$8)+H719</f>
        <v>0</v>
      </c>
      <c r="I720" s="58">
        <f t="shared" si="717"/>
        <v>9</v>
      </c>
      <c r="J720" s="58">
        <f t="shared" si="717"/>
        <v>36</v>
      </c>
      <c r="K720" s="58">
        <f t="shared" si="717"/>
        <v>0</v>
      </c>
      <c r="L720" s="58">
        <f t="shared" si="717"/>
        <v>0</v>
      </c>
      <c r="M720" s="58">
        <f t="shared" si="717"/>
        <v>0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0" customHeight="1">
      <c r="A721" s="70"/>
      <c r="B721" s="71"/>
      <c r="C721" s="66"/>
      <c r="D721" s="66">
        <f t="shared" si="3"/>
        <v>0</v>
      </c>
      <c r="E721" s="67"/>
      <c r="F721" s="58">
        <f t="shared" si="150"/>
        <v>-8</v>
      </c>
      <c r="G721" s="58"/>
      <c r="H721" s="58">
        <f t="shared" ref="H721:M721" si="718">SUMIFS($C721,$B721,H$8)+H720</f>
        <v>0</v>
      </c>
      <c r="I721" s="58">
        <f t="shared" si="718"/>
        <v>9</v>
      </c>
      <c r="J721" s="58">
        <f t="shared" si="718"/>
        <v>36</v>
      </c>
      <c r="K721" s="58">
        <f t="shared" si="718"/>
        <v>0</v>
      </c>
      <c r="L721" s="58">
        <f t="shared" si="718"/>
        <v>0</v>
      </c>
      <c r="M721" s="58">
        <f t="shared" si="718"/>
        <v>0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0" customHeight="1">
      <c r="A722" s="70"/>
      <c r="B722" s="71"/>
      <c r="C722" s="66"/>
      <c r="D722" s="66">
        <f t="shared" si="3"/>
        <v>0</v>
      </c>
      <c r="E722" s="67"/>
      <c r="F722" s="58">
        <f t="shared" si="150"/>
        <v>-8</v>
      </c>
      <c r="G722" s="58"/>
      <c r="H722" s="58">
        <f t="shared" ref="H722:M722" si="719">SUMIFS($C722,$B722,H$8)+H721</f>
        <v>0</v>
      </c>
      <c r="I722" s="58">
        <f t="shared" si="719"/>
        <v>9</v>
      </c>
      <c r="J722" s="58">
        <f t="shared" si="719"/>
        <v>36</v>
      </c>
      <c r="K722" s="58">
        <f t="shared" si="719"/>
        <v>0</v>
      </c>
      <c r="L722" s="58">
        <f t="shared" si="719"/>
        <v>0</v>
      </c>
      <c r="M722" s="58">
        <f t="shared" si="719"/>
        <v>0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0" customHeight="1">
      <c r="A723" s="70"/>
      <c r="B723" s="71"/>
      <c r="C723" s="66"/>
      <c r="D723" s="66">
        <f t="shared" si="3"/>
        <v>0</v>
      </c>
      <c r="E723" s="67"/>
      <c r="F723" s="58">
        <f t="shared" si="150"/>
        <v>-8</v>
      </c>
      <c r="G723" s="58"/>
      <c r="H723" s="58">
        <f t="shared" ref="H723:M723" si="720">SUMIFS($C723,$B723,H$8)+H722</f>
        <v>0</v>
      </c>
      <c r="I723" s="58">
        <f t="shared" si="720"/>
        <v>9</v>
      </c>
      <c r="J723" s="58">
        <f t="shared" si="720"/>
        <v>36</v>
      </c>
      <c r="K723" s="58">
        <f t="shared" si="720"/>
        <v>0</v>
      </c>
      <c r="L723" s="58">
        <f t="shared" si="720"/>
        <v>0</v>
      </c>
      <c r="M723" s="58">
        <f t="shared" si="720"/>
        <v>0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0" customHeight="1">
      <c r="A724" s="70"/>
      <c r="B724" s="71"/>
      <c r="C724" s="66"/>
      <c r="D724" s="66">
        <f t="shared" si="3"/>
        <v>0</v>
      </c>
      <c r="E724" s="67"/>
      <c r="F724" s="58">
        <f t="shared" si="150"/>
        <v>-8</v>
      </c>
      <c r="G724" s="58"/>
      <c r="H724" s="58">
        <f t="shared" ref="H724:M724" si="721">SUMIFS($C724,$B724,H$8)+H723</f>
        <v>0</v>
      </c>
      <c r="I724" s="58">
        <f t="shared" si="721"/>
        <v>9</v>
      </c>
      <c r="J724" s="58">
        <f t="shared" si="721"/>
        <v>36</v>
      </c>
      <c r="K724" s="58">
        <f t="shared" si="721"/>
        <v>0</v>
      </c>
      <c r="L724" s="58">
        <f t="shared" si="721"/>
        <v>0</v>
      </c>
      <c r="M724" s="58">
        <f t="shared" si="721"/>
        <v>0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0" customHeight="1">
      <c r="A725" s="70"/>
      <c r="B725" s="71"/>
      <c r="C725" s="66"/>
      <c r="D725" s="66">
        <f t="shared" si="3"/>
        <v>0</v>
      </c>
      <c r="E725" s="67"/>
      <c r="F725" s="58">
        <f t="shared" si="150"/>
        <v>-8</v>
      </c>
      <c r="G725" s="58"/>
      <c r="H725" s="58">
        <f t="shared" ref="H725:M725" si="722">SUMIFS($C725,$B725,H$8)+H724</f>
        <v>0</v>
      </c>
      <c r="I725" s="58">
        <f t="shared" si="722"/>
        <v>9</v>
      </c>
      <c r="J725" s="58">
        <f t="shared" si="722"/>
        <v>36</v>
      </c>
      <c r="K725" s="58">
        <f t="shared" si="722"/>
        <v>0</v>
      </c>
      <c r="L725" s="58">
        <f t="shared" si="722"/>
        <v>0</v>
      </c>
      <c r="M725" s="58">
        <f t="shared" si="722"/>
        <v>0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0" customHeight="1">
      <c r="A726" s="70"/>
      <c r="B726" s="71"/>
      <c r="C726" s="66"/>
      <c r="D726" s="66">
        <f t="shared" si="3"/>
        <v>0</v>
      </c>
      <c r="E726" s="67"/>
      <c r="F726" s="58">
        <f t="shared" si="150"/>
        <v>-8</v>
      </c>
      <c r="G726" s="58"/>
      <c r="H726" s="58">
        <f t="shared" ref="H726:M726" si="723">SUMIFS($C726,$B726,H$8)+H725</f>
        <v>0</v>
      </c>
      <c r="I726" s="58">
        <f t="shared" si="723"/>
        <v>9</v>
      </c>
      <c r="J726" s="58">
        <f t="shared" si="723"/>
        <v>36</v>
      </c>
      <c r="K726" s="58">
        <f t="shared" si="723"/>
        <v>0</v>
      </c>
      <c r="L726" s="58">
        <f t="shared" si="723"/>
        <v>0</v>
      </c>
      <c r="M726" s="58">
        <f t="shared" si="723"/>
        <v>0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0" customHeight="1">
      <c r="A727" s="70"/>
      <c r="B727" s="71"/>
      <c r="C727" s="66"/>
      <c r="D727" s="66">
        <f t="shared" si="3"/>
        <v>0</v>
      </c>
      <c r="E727" s="67"/>
      <c r="F727" s="58">
        <f t="shared" si="150"/>
        <v>-8</v>
      </c>
      <c r="G727" s="58"/>
      <c r="H727" s="58">
        <f t="shared" ref="H727:M727" si="724">SUMIFS($C727,$B727,H$8)+H726</f>
        <v>0</v>
      </c>
      <c r="I727" s="58">
        <f t="shared" si="724"/>
        <v>9</v>
      </c>
      <c r="J727" s="58">
        <f t="shared" si="724"/>
        <v>36</v>
      </c>
      <c r="K727" s="58">
        <f t="shared" si="724"/>
        <v>0</v>
      </c>
      <c r="L727" s="58">
        <f t="shared" si="724"/>
        <v>0</v>
      </c>
      <c r="M727" s="58">
        <f t="shared" si="724"/>
        <v>0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0" customHeight="1">
      <c r="A728" s="70"/>
      <c r="B728" s="71"/>
      <c r="C728" s="66"/>
      <c r="D728" s="66">
        <f t="shared" si="3"/>
        <v>0</v>
      </c>
      <c r="E728" s="67"/>
      <c r="F728" s="58">
        <f t="shared" si="150"/>
        <v>-8</v>
      </c>
      <c r="G728" s="58"/>
      <c r="H728" s="58">
        <f t="shared" ref="H728:M728" si="725">SUMIFS($C728,$B728,H$8)+H727</f>
        <v>0</v>
      </c>
      <c r="I728" s="58">
        <f t="shared" si="725"/>
        <v>9</v>
      </c>
      <c r="J728" s="58">
        <f t="shared" si="725"/>
        <v>36</v>
      </c>
      <c r="K728" s="58">
        <f t="shared" si="725"/>
        <v>0</v>
      </c>
      <c r="L728" s="58">
        <f t="shared" si="725"/>
        <v>0</v>
      </c>
      <c r="M728" s="58">
        <f t="shared" si="725"/>
        <v>0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0" customHeight="1">
      <c r="A729" s="70"/>
      <c r="B729" s="71"/>
      <c r="C729" s="66"/>
      <c r="D729" s="66">
        <f t="shared" si="3"/>
        <v>0</v>
      </c>
      <c r="E729" s="67"/>
      <c r="F729" s="58">
        <f t="shared" si="150"/>
        <v>-8</v>
      </c>
      <c r="G729" s="58"/>
      <c r="H729" s="58">
        <f t="shared" ref="H729:M729" si="726">SUMIFS($C729,$B729,H$8)+H728</f>
        <v>0</v>
      </c>
      <c r="I729" s="58">
        <f t="shared" si="726"/>
        <v>9</v>
      </c>
      <c r="J729" s="58">
        <f t="shared" si="726"/>
        <v>36</v>
      </c>
      <c r="K729" s="58">
        <f t="shared" si="726"/>
        <v>0</v>
      </c>
      <c r="L729" s="58">
        <f t="shared" si="726"/>
        <v>0</v>
      </c>
      <c r="M729" s="58">
        <f t="shared" si="726"/>
        <v>0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0" customHeight="1">
      <c r="A730" s="70"/>
      <c r="B730" s="71"/>
      <c r="C730" s="66"/>
      <c r="D730" s="66">
        <f t="shared" si="3"/>
        <v>0</v>
      </c>
      <c r="E730" s="67"/>
      <c r="F730" s="58">
        <f t="shared" si="150"/>
        <v>-8</v>
      </c>
      <c r="G730" s="58"/>
      <c r="H730" s="58">
        <f t="shared" ref="H730:M730" si="727">SUMIFS($C730,$B730,H$8)+H729</f>
        <v>0</v>
      </c>
      <c r="I730" s="58">
        <f t="shared" si="727"/>
        <v>9</v>
      </c>
      <c r="J730" s="58">
        <f t="shared" si="727"/>
        <v>36</v>
      </c>
      <c r="K730" s="58">
        <f t="shared" si="727"/>
        <v>0</v>
      </c>
      <c r="L730" s="58">
        <f t="shared" si="727"/>
        <v>0</v>
      </c>
      <c r="M730" s="58">
        <f t="shared" si="727"/>
        <v>0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0" customHeight="1">
      <c r="A731" s="70"/>
      <c r="B731" s="71"/>
      <c r="C731" s="66"/>
      <c r="D731" s="66">
        <f t="shared" si="3"/>
        <v>0</v>
      </c>
      <c r="E731" s="67"/>
      <c r="F731" s="58">
        <f t="shared" si="150"/>
        <v>-8</v>
      </c>
      <c r="G731" s="58"/>
      <c r="H731" s="58">
        <f t="shared" ref="H731:M731" si="728">SUMIFS($C731,$B731,H$8)+H730</f>
        <v>0</v>
      </c>
      <c r="I731" s="58">
        <f t="shared" si="728"/>
        <v>9</v>
      </c>
      <c r="J731" s="58">
        <f t="shared" si="728"/>
        <v>36</v>
      </c>
      <c r="K731" s="58">
        <f t="shared" si="728"/>
        <v>0</v>
      </c>
      <c r="L731" s="58">
        <f t="shared" si="728"/>
        <v>0</v>
      </c>
      <c r="M731" s="58">
        <f t="shared" si="728"/>
        <v>0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0" customHeight="1">
      <c r="A732" s="70"/>
      <c r="B732" s="71"/>
      <c r="C732" s="66"/>
      <c r="D732" s="66">
        <f t="shared" si="3"/>
        <v>0</v>
      </c>
      <c r="E732" s="67"/>
      <c r="F732" s="58">
        <f t="shared" si="150"/>
        <v>-8</v>
      </c>
      <c r="G732" s="58"/>
      <c r="H732" s="58">
        <f t="shared" ref="H732:M732" si="729">SUMIFS($C732,$B732,H$8)+H731</f>
        <v>0</v>
      </c>
      <c r="I732" s="58">
        <f t="shared" si="729"/>
        <v>9</v>
      </c>
      <c r="J732" s="58">
        <f t="shared" si="729"/>
        <v>36</v>
      </c>
      <c r="K732" s="58">
        <f t="shared" si="729"/>
        <v>0</v>
      </c>
      <c r="L732" s="58">
        <f t="shared" si="729"/>
        <v>0</v>
      </c>
      <c r="M732" s="58">
        <f t="shared" si="729"/>
        <v>0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0" customHeight="1">
      <c r="A733" s="70"/>
      <c r="B733" s="71"/>
      <c r="C733" s="66"/>
      <c r="D733" s="66">
        <f t="shared" si="3"/>
        <v>0</v>
      </c>
      <c r="E733" s="67"/>
      <c r="F733" s="58">
        <f t="shared" si="150"/>
        <v>-8</v>
      </c>
      <c r="G733" s="58"/>
      <c r="H733" s="58">
        <f t="shared" ref="H733:M733" si="730">SUMIFS($C733,$B733,H$8)+H732</f>
        <v>0</v>
      </c>
      <c r="I733" s="58">
        <f t="shared" si="730"/>
        <v>9</v>
      </c>
      <c r="J733" s="58">
        <f t="shared" si="730"/>
        <v>36</v>
      </c>
      <c r="K733" s="58">
        <f t="shared" si="730"/>
        <v>0</v>
      </c>
      <c r="L733" s="58">
        <f t="shared" si="730"/>
        <v>0</v>
      </c>
      <c r="M733" s="58">
        <f t="shared" si="730"/>
        <v>0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0" customHeight="1">
      <c r="A734" s="70"/>
      <c r="B734" s="71"/>
      <c r="C734" s="66"/>
      <c r="D734" s="66">
        <f t="shared" si="3"/>
        <v>0</v>
      </c>
      <c r="E734" s="67"/>
      <c r="F734" s="58">
        <f t="shared" si="150"/>
        <v>-8</v>
      </c>
      <c r="G734" s="58"/>
      <c r="H734" s="58">
        <f t="shared" ref="H734:M734" si="731">SUMIFS($C734,$B734,H$8)+H733</f>
        <v>0</v>
      </c>
      <c r="I734" s="58">
        <f t="shared" si="731"/>
        <v>9</v>
      </c>
      <c r="J734" s="58">
        <f t="shared" si="731"/>
        <v>36</v>
      </c>
      <c r="K734" s="58">
        <f t="shared" si="731"/>
        <v>0</v>
      </c>
      <c r="L734" s="58">
        <f t="shared" si="731"/>
        <v>0</v>
      </c>
      <c r="M734" s="58">
        <f t="shared" si="731"/>
        <v>0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0" customHeight="1">
      <c r="A735" s="70"/>
      <c r="B735" s="71"/>
      <c r="C735" s="66"/>
      <c r="D735" s="66">
        <f t="shared" si="3"/>
        <v>0</v>
      </c>
      <c r="E735" s="67"/>
      <c r="F735" s="58">
        <f t="shared" si="150"/>
        <v>-8</v>
      </c>
      <c r="G735" s="58"/>
      <c r="H735" s="58">
        <f t="shared" ref="H735:M735" si="732">SUMIFS($C735,$B735,H$8)+H734</f>
        <v>0</v>
      </c>
      <c r="I735" s="58">
        <f t="shared" si="732"/>
        <v>9</v>
      </c>
      <c r="J735" s="58">
        <f t="shared" si="732"/>
        <v>36</v>
      </c>
      <c r="K735" s="58">
        <f t="shared" si="732"/>
        <v>0</v>
      </c>
      <c r="L735" s="58">
        <f t="shared" si="732"/>
        <v>0</v>
      </c>
      <c r="M735" s="58">
        <f t="shared" si="732"/>
        <v>0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0" customHeight="1">
      <c r="A736" s="70"/>
      <c r="B736" s="71"/>
      <c r="C736" s="66"/>
      <c r="D736" s="66">
        <f t="shared" si="3"/>
        <v>0</v>
      </c>
      <c r="E736" s="67"/>
      <c r="F736" s="58">
        <f t="shared" si="150"/>
        <v>-8</v>
      </c>
      <c r="G736" s="58"/>
      <c r="H736" s="58">
        <f t="shared" ref="H736:M736" si="733">SUMIFS($C736,$B736,H$8)+H735</f>
        <v>0</v>
      </c>
      <c r="I736" s="58">
        <f t="shared" si="733"/>
        <v>9</v>
      </c>
      <c r="J736" s="58">
        <f t="shared" si="733"/>
        <v>36</v>
      </c>
      <c r="K736" s="58">
        <f t="shared" si="733"/>
        <v>0</v>
      </c>
      <c r="L736" s="58">
        <f t="shared" si="733"/>
        <v>0</v>
      </c>
      <c r="M736" s="58">
        <f t="shared" si="733"/>
        <v>0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0" customHeight="1">
      <c r="A737" s="70"/>
      <c r="B737" s="71"/>
      <c r="C737" s="66"/>
      <c r="D737" s="66">
        <f t="shared" si="3"/>
        <v>0</v>
      </c>
      <c r="E737" s="67"/>
      <c r="F737" s="58">
        <f t="shared" si="150"/>
        <v>-8</v>
      </c>
      <c r="G737" s="58"/>
      <c r="H737" s="58">
        <f t="shared" ref="H737:M737" si="734">SUMIFS($C737,$B737,H$8)+H736</f>
        <v>0</v>
      </c>
      <c r="I737" s="58">
        <f t="shared" si="734"/>
        <v>9</v>
      </c>
      <c r="J737" s="58">
        <f t="shared" si="734"/>
        <v>36</v>
      </c>
      <c r="K737" s="58">
        <f t="shared" si="734"/>
        <v>0</v>
      </c>
      <c r="L737" s="58">
        <f t="shared" si="734"/>
        <v>0</v>
      </c>
      <c r="M737" s="58">
        <f t="shared" si="734"/>
        <v>0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0" customHeight="1">
      <c r="A738" s="70"/>
      <c r="B738" s="71"/>
      <c r="C738" s="66"/>
      <c r="D738" s="66">
        <f t="shared" si="3"/>
        <v>0</v>
      </c>
      <c r="E738" s="67"/>
      <c r="F738" s="58">
        <f t="shared" si="150"/>
        <v>-8</v>
      </c>
      <c r="G738" s="58"/>
      <c r="H738" s="58">
        <f t="shared" ref="H738:M738" si="735">SUMIFS($C738,$B738,H$8)+H737</f>
        <v>0</v>
      </c>
      <c r="I738" s="58">
        <f t="shared" si="735"/>
        <v>9</v>
      </c>
      <c r="J738" s="58">
        <f t="shared" si="735"/>
        <v>36</v>
      </c>
      <c r="K738" s="58">
        <f t="shared" si="735"/>
        <v>0</v>
      </c>
      <c r="L738" s="58">
        <f t="shared" si="735"/>
        <v>0</v>
      </c>
      <c r="M738" s="58">
        <f t="shared" si="735"/>
        <v>0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0" customHeight="1">
      <c r="A739" s="70"/>
      <c r="B739" s="71"/>
      <c r="C739" s="66"/>
      <c r="D739" s="66">
        <f t="shared" si="3"/>
        <v>0</v>
      </c>
      <c r="E739" s="67"/>
      <c r="F739" s="58">
        <f t="shared" si="150"/>
        <v>-8</v>
      </c>
      <c r="G739" s="58"/>
      <c r="H739" s="58">
        <f t="shared" ref="H739:M739" si="736">SUMIFS($C739,$B739,H$8)+H738</f>
        <v>0</v>
      </c>
      <c r="I739" s="58">
        <f t="shared" si="736"/>
        <v>9</v>
      </c>
      <c r="J739" s="58">
        <f t="shared" si="736"/>
        <v>36</v>
      </c>
      <c r="K739" s="58">
        <f t="shared" si="736"/>
        <v>0</v>
      </c>
      <c r="L739" s="58">
        <f t="shared" si="736"/>
        <v>0</v>
      </c>
      <c r="M739" s="58">
        <f t="shared" si="736"/>
        <v>0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0" customHeight="1">
      <c r="A740" s="70"/>
      <c r="B740" s="71"/>
      <c r="C740" s="66"/>
      <c r="D740" s="66">
        <f t="shared" si="3"/>
        <v>0</v>
      </c>
      <c r="E740" s="67"/>
      <c r="F740" s="58">
        <f t="shared" si="150"/>
        <v>-8</v>
      </c>
      <c r="G740" s="58"/>
      <c r="H740" s="58">
        <f t="shared" ref="H740:M740" si="737">SUMIFS($C740,$B740,H$8)+H739</f>
        <v>0</v>
      </c>
      <c r="I740" s="58">
        <f t="shared" si="737"/>
        <v>9</v>
      </c>
      <c r="J740" s="58">
        <f t="shared" si="737"/>
        <v>36</v>
      </c>
      <c r="K740" s="58">
        <f t="shared" si="737"/>
        <v>0</v>
      </c>
      <c r="L740" s="58">
        <f t="shared" si="737"/>
        <v>0</v>
      </c>
      <c r="M740" s="58">
        <f t="shared" si="737"/>
        <v>0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0" customHeight="1">
      <c r="A741" s="70"/>
      <c r="B741" s="71"/>
      <c r="C741" s="66"/>
      <c r="D741" s="66">
        <f t="shared" si="3"/>
        <v>0</v>
      </c>
      <c r="E741" s="67"/>
      <c r="F741" s="58">
        <f t="shared" si="150"/>
        <v>-8</v>
      </c>
      <c r="G741" s="58"/>
      <c r="H741" s="58">
        <f t="shared" ref="H741:M741" si="738">SUMIFS($C741,$B741,H$8)+H740</f>
        <v>0</v>
      </c>
      <c r="I741" s="58">
        <f t="shared" si="738"/>
        <v>9</v>
      </c>
      <c r="J741" s="58">
        <f t="shared" si="738"/>
        <v>36</v>
      </c>
      <c r="K741" s="58">
        <f t="shared" si="738"/>
        <v>0</v>
      </c>
      <c r="L741" s="58">
        <f t="shared" si="738"/>
        <v>0</v>
      </c>
      <c r="M741" s="58">
        <f t="shared" si="738"/>
        <v>0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0" customHeight="1">
      <c r="A742" s="70"/>
      <c r="B742" s="71"/>
      <c r="C742" s="66"/>
      <c r="D742" s="66">
        <f t="shared" si="3"/>
        <v>0</v>
      </c>
      <c r="E742" s="67"/>
      <c r="F742" s="58">
        <f t="shared" si="150"/>
        <v>-8</v>
      </c>
      <c r="G742" s="58"/>
      <c r="H742" s="58">
        <f t="shared" ref="H742:M742" si="739">SUMIFS($C742,$B742,H$8)+H741</f>
        <v>0</v>
      </c>
      <c r="I742" s="58">
        <f t="shared" si="739"/>
        <v>9</v>
      </c>
      <c r="J742" s="58">
        <f t="shared" si="739"/>
        <v>36</v>
      </c>
      <c r="K742" s="58">
        <f t="shared" si="739"/>
        <v>0</v>
      </c>
      <c r="L742" s="58">
        <f t="shared" si="739"/>
        <v>0</v>
      </c>
      <c r="M742" s="58">
        <f t="shared" si="739"/>
        <v>0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0" customHeight="1">
      <c r="A743" s="70"/>
      <c r="B743" s="71"/>
      <c r="C743" s="66"/>
      <c r="D743" s="66">
        <f t="shared" si="3"/>
        <v>0</v>
      </c>
      <c r="E743" s="67"/>
      <c r="F743" s="58">
        <f t="shared" si="150"/>
        <v>-8</v>
      </c>
      <c r="G743" s="58"/>
      <c r="H743" s="58">
        <f t="shared" ref="H743:M743" si="740">SUMIFS($C743,$B743,H$8)+H742</f>
        <v>0</v>
      </c>
      <c r="I743" s="58">
        <f t="shared" si="740"/>
        <v>9</v>
      </c>
      <c r="J743" s="58">
        <f t="shared" si="740"/>
        <v>36</v>
      </c>
      <c r="K743" s="58">
        <f t="shared" si="740"/>
        <v>0</v>
      </c>
      <c r="L743" s="58">
        <f t="shared" si="740"/>
        <v>0</v>
      </c>
      <c r="M743" s="58">
        <f t="shared" si="740"/>
        <v>0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0" customHeight="1">
      <c r="A744" s="70"/>
      <c r="B744" s="71"/>
      <c r="C744" s="66"/>
      <c r="D744" s="66">
        <f t="shared" si="3"/>
        <v>0</v>
      </c>
      <c r="E744" s="67"/>
      <c r="F744" s="58">
        <f t="shared" si="150"/>
        <v>-8</v>
      </c>
      <c r="G744" s="58"/>
      <c r="H744" s="58">
        <f t="shared" ref="H744:M744" si="741">SUMIFS($C744,$B744,H$8)+H743</f>
        <v>0</v>
      </c>
      <c r="I744" s="58">
        <f t="shared" si="741"/>
        <v>9</v>
      </c>
      <c r="J744" s="58">
        <f t="shared" si="741"/>
        <v>36</v>
      </c>
      <c r="K744" s="58">
        <f t="shared" si="741"/>
        <v>0</v>
      </c>
      <c r="L744" s="58">
        <f t="shared" si="741"/>
        <v>0</v>
      </c>
      <c r="M744" s="58">
        <f t="shared" si="741"/>
        <v>0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0" customHeight="1">
      <c r="A745" s="70"/>
      <c r="B745" s="71"/>
      <c r="C745" s="66"/>
      <c r="D745" s="66">
        <f t="shared" si="3"/>
        <v>0</v>
      </c>
      <c r="E745" s="67"/>
      <c r="F745" s="58">
        <f t="shared" si="150"/>
        <v>-8</v>
      </c>
      <c r="G745" s="58"/>
      <c r="H745" s="58">
        <f t="shared" ref="H745:M745" si="742">SUMIFS($C745,$B745,H$8)+H744</f>
        <v>0</v>
      </c>
      <c r="I745" s="58">
        <f t="shared" si="742"/>
        <v>9</v>
      </c>
      <c r="J745" s="58">
        <f t="shared" si="742"/>
        <v>36</v>
      </c>
      <c r="K745" s="58">
        <f t="shared" si="742"/>
        <v>0</v>
      </c>
      <c r="L745" s="58">
        <f t="shared" si="742"/>
        <v>0</v>
      </c>
      <c r="M745" s="58">
        <f t="shared" si="742"/>
        <v>0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0" customHeight="1">
      <c r="A746" s="70"/>
      <c r="B746" s="71"/>
      <c r="C746" s="66"/>
      <c r="D746" s="66">
        <f t="shared" si="3"/>
        <v>0</v>
      </c>
      <c r="E746" s="67"/>
      <c r="F746" s="58">
        <f t="shared" si="150"/>
        <v>-8</v>
      </c>
      <c r="G746" s="58"/>
      <c r="H746" s="58">
        <f t="shared" ref="H746:M746" si="743">SUMIFS($C746,$B746,H$8)+H745</f>
        <v>0</v>
      </c>
      <c r="I746" s="58">
        <f t="shared" si="743"/>
        <v>9</v>
      </c>
      <c r="J746" s="58">
        <f t="shared" si="743"/>
        <v>36</v>
      </c>
      <c r="K746" s="58">
        <f t="shared" si="743"/>
        <v>0</v>
      </c>
      <c r="L746" s="58">
        <f t="shared" si="743"/>
        <v>0</v>
      </c>
      <c r="M746" s="58">
        <f t="shared" si="743"/>
        <v>0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0" customHeight="1">
      <c r="A747" s="70"/>
      <c r="B747" s="71"/>
      <c r="C747" s="66"/>
      <c r="D747" s="66">
        <f t="shared" si="3"/>
        <v>0</v>
      </c>
      <c r="E747" s="67"/>
      <c r="F747" s="58">
        <f t="shared" si="150"/>
        <v>-8</v>
      </c>
      <c r="G747" s="58"/>
      <c r="H747" s="58">
        <f t="shared" ref="H747:M747" si="744">SUMIFS($C747,$B747,H$8)+H746</f>
        <v>0</v>
      </c>
      <c r="I747" s="58">
        <f t="shared" si="744"/>
        <v>9</v>
      </c>
      <c r="J747" s="58">
        <f t="shared" si="744"/>
        <v>36</v>
      </c>
      <c r="K747" s="58">
        <f t="shared" si="744"/>
        <v>0</v>
      </c>
      <c r="L747" s="58">
        <f t="shared" si="744"/>
        <v>0</v>
      </c>
      <c r="M747" s="58">
        <f t="shared" si="744"/>
        <v>0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0" customHeight="1">
      <c r="A748" s="70"/>
      <c r="B748" s="71"/>
      <c r="C748" s="66"/>
      <c r="D748" s="66">
        <f t="shared" si="3"/>
        <v>0</v>
      </c>
      <c r="E748" s="67"/>
      <c r="F748" s="58">
        <f t="shared" si="150"/>
        <v>-8</v>
      </c>
      <c r="G748" s="58"/>
      <c r="H748" s="58">
        <f t="shared" ref="H748:M748" si="745">SUMIFS($C748,$B748,H$8)+H747</f>
        <v>0</v>
      </c>
      <c r="I748" s="58">
        <f t="shared" si="745"/>
        <v>9</v>
      </c>
      <c r="J748" s="58">
        <f t="shared" si="745"/>
        <v>36</v>
      </c>
      <c r="K748" s="58">
        <f t="shared" si="745"/>
        <v>0</v>
      </c>
      <c r="L748" s="58">
        <f t="shared" si="745"/>
        <v>0</v>
      </c>
      <c r="M748" s="58">
        <f t="shared" si="745"/>
        <v>0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0" customHeight="1">
      <c r="A749" s="70"/>
      <c r="B749" s="71"/>
      <c r="C749" s="66"/>
      <c r="D749" s="66">
        <f t="shared" si="3"/>
        <v>0</v>
      </c>
      <c r="E749" s="67"/>
      <c r="F749" s="58">
        <f t="shared" si="150"/>
        <v>-8</v>
      </c>
      <c r="G749" s="58"/>
      <c r="H749" s="58">
        <f t="shared" ref="H749:M749" si="746">SUMIFS($C749,$B749,H$8)+H748</f>
        <v>0</v>
      </c>
      <c r="I749" s="58">
        <f t="shared" si="746"/>
        <v>9</v>
      </c>
      <c r="J749" s="58">
        <f t="shared" si="746"/>
        <v>36</v>
      </c>
      <c r="K749" s="58">
        <f t="shared" si="746"/>
        <v>0</v>
      </c>
      <c r="L749" s="58">
        <f t="shared" si="746"/>
        <v>0</v>
      </c>
      <c r="M749" s="58">
        <f t="shared" si="746"/>
        <v>0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0" customHeight="1">
      <c r="A750" s="70"/>
      <c r="B750" s="71"/>
      <c r="C750" s="66"/>
      <c r="D750" s="66">
        <f t="shared" si="3"/>
        <v>0</v>
      </c>
      <c r="E750" s="67"/>
      <c r="F750" s="58">
        <f t="shared" si="150"/>
        <v>-8</v>
      </c>
      <c r="G750" s="58"/>
      <c r="H750" s="58">
        <f t="shared" ref="H750:M750" si="747">SUMIFS($C750,$B750,H$8)+H749</f>
        <v>0</v>
      </c>
      <c r="I750" s="58">
        <f t="shared" si="747"/>
        <v>9</v>
      </c>
      <c r="J750" s="58">
        <f t="shared" si="747"/>
        <v>36</v>
      </c>
      <c r="K750" s="58">
        <f t="shared" si="747"/>
        <v>0</v>
      </c>
      <c r="L750" s="58">
        <f t="shared" si="747"/>
        <v>0</v>
      </c>
      <c r="M750" s="58">
        <f t="shared" si="747"/>
        <v>0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0" customHeight="1">
      <c r="A751" s="70"/>
      <c r="B751" s="71"/>
      <c r="C751" s="66"/>
      <c r="D751" s="66">
        <f t="shared" si="3"/>
        <v>0</v>
      </c>
      <c r="E751" s="67"/>
      <c r="F751" s="58">
        <f t="shared" si="150"/>
        <v>-8</v>
      </c>
      <c r="G751" s="58"/>
      <c r="H751" s="58">
        <f t="shared" ref="H751:M751" si="748">SUMIFS($C751,$B751,H$8)+H750</f>
        <v>0</v>
      </c>
      <c r="I751" s="58">
        <f t="shared" si="748"/>
        <v>9</v>
      </c>
      <c r="J751" s="58">
        <f t="shared" si="748"/>
        <v>36</v>
      </c>
      <c r="K751" s="58">
        <f t="shared" si="748"/>
        <v>0</v>
      </c>
      <c r="L751" s="58">
        <f t="shared" si="748"/>
        <v>0</v>
      </c>
      <c r="M751" s="58">
        <f t="shared" si="748"/>
        <v>0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0" customHeight="1">
      <c r="A752" s="70"/>
      <c r="B752" s="71"/>
      <c r="C752" s="66"/>
      <c r="D752" s="66">
        <f t="shared" si="3"/>
        <v>0</v>
      </c>
      <c r="E752" s="67"/>
      <c r="F752" s="58">
        <f t="shared" si="150"/>
        <v>-8</v>
      </c>
      <c r="G752" s="58"/>
      <c r="H752" s="58">
        <f t="shared" ref="H752:M752" si="749">SUMIFS($C752,$B752,H$8)+H751</f>
        <v>0</v>
      </c>
      <c r="I752" s="58">
        <f t="shared" si="749"/>
        <v>9</v>
      </c>
      <c r="J752" s="58">
        <f t="shared" si="749"/>
        <v>36</v>
      </c>
      <c r="K752" s="58">
        <f t="shared" si="749"/>
        <v>0</v>
      </c>
      <c r="L752" s="58">
        <f t="shared" si="749"/>
        <v>0</v>
      </c>
      <c r="M752" s="58">
        <f t="shared" si="749"/>
        <v>0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0" customHeight="1">
      <c r="A753" s="70"/>
      <c r="B753" s="71"/>
      <c r="C753" s="66"/>
      <c r="D753" s="66">
        <f t="shared" si="3"/>
        <v>0</v>
      </c>
      <c r="E753" s="67"/>
      <c r="F753" s="58">
        <f t="shared" si="150"/>
        <v>-8</v>
      </c>
      <c r="G753" s="58"/>
      <c r="H753" s="58">
        <f t="shared" ref="H753:M753" si="750">SUMIFS($C753,$B753,H$8)+H752</f>
        <v>0</v>
      </c>
      <c r="I753" s="58">
        <f t="shared" si="750"/>
        <v>9</v>
      </c>
      <c r="J753" s="58">
        <f t="shared" si="750"/>
        <v>36</v>
      </c>
      <c r="K753" s="58">
        <f t="shared" si="750"/>
        <v>0</v>
      </c>
      <c r="L753" s="58">
        <f t="shared" si="750"/>
        <v>0</v>
      </c>
      <c r="M753" s="58">
        <f t="shared" si="750"/>
        <v>0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0" customHeight="1">
      <c r="A754" s="70"/>
      <c r="B754" s="71"/>
      <c r="C754" s="66"/>
      <c r="D754" s="66">
        <f t="shared" si="3"/>
        <v>0</v>
      </c>
      <c r="E754" s="67"/>
      <c r="F754" s="58">
        <f t="shared" si="150"/>
        <v>-8</v>
      </c>
      <c r="G754" s="58"/>
      <c r="H754" s="58">
        <f t="shared" ref="H754:M754" si="751">SUMIFS($C754,$B754,H$8)+H753</f>
        <v>0</v>
      </c>
      <c r="I754" s="58">
        <f t="shared" si="751"/>
        <v>9</v>
      </c>
      <c r="J754" s="58">
        <f t="shared" si="751"/>
        <v>36</v>
      </c>
      <c r="K754" s="58">
        <f t="shared" si="751"/>
        <v>0</v>
      </c>
      <c r="L754" s="58">
        <f t="shared" si="751"/>
        <v>0</v>
      </c>
      <c r="M754" s="58">
        <f t="shared" si="751"/>
        <v>0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0" customHeight="1">
      <c r="A755" s="70"/>
      <c r="B755" s="71"/>
      <c r="C755" s="66"/>
      <c r="D755" s="66">
        <f t="shared" si="3"/>
        <v>0</v>
      </c>
      <c r="E755" s="67"/>
      <c r="F755" s="58">
        <f t="shared" si="150"/>
        <v>-8</v>
      </c>
      <c r="G755" s="58"/>
      <c r="H755" s="58">
        <f t="shared" ref="H755:M755" si="752">SUMIFS($C755,$B755,H$8)+H754</f>
        <v>0</v>
      </c>
      <c r="I755" s="58">
        <f t="shared" si="752"/>
        <v>9</v>
      </c>
      <c r="J755" s="58">
        <f t="shared" si="752"/>
        <v>36</v>
      </c>
      <c r="K755" s="58">
        <f t="shared" si="752"/>
        <v>0</v>
      </c>
      <c r="L755" s="58">
        <f t="shared" si="752"/>
        <v>0</v>
      </c>
      <c r="M755" s="58">
        <f t="shared" si="752"/>
        <v>0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0" customHeight="1">
      <c r="A756" s="70"/>
      <c r="B756" s="71"/>
      <c r="C756" s="66"/>
      <c r="D756" s="66">
        <f t="shared" si="3"/>
        <v>0</v>
      </c>
      <c r="E756" s="67"/>
      <c r="F756" s="58">
        <f t="shared" si="150"/>
        <v>-8</v>
      </c>
      <c r="G756" s="58"/>
      <c r="H756" s="58">
        <f t="shared" ref="H756:M756" si="753">SUMIFS($C756,$B756,H$8)+H755</f>
        <v>0</v>
      </c>
      <c r="I756" s="58">
        <f t="shared" si="753"/>
        <v>9</v>
      </c>
      <c r="J756" s="58">
        <f t="shared" si="753"/>
        <v>36</v>
      </c>
      <c r="K756" s="58">
        <f t="shared" si="753"/>
        <v>0</v>
      </c>
      <c r="L756" s="58">
        <f t="shared" si="753"/>
        <v>0</v>
      </c>
      <c r="M756" s="58">
        <f t="shared" si="753"/>
        <v>0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0" customHeight="1">
      <c r="A757" s="70"/>
      <c r="B757" s="71"/>
      <c r="C757" s="66"/>
      <c r="D757" s="66">
        <f t="shared" si="3"/>
        <v>0</v>
      </c>
      <c r="E757" s="67"/>
      <c r="F757" s="58">
        <f t="shared" si="150"/>
        <v>-8</v>
      </c>
      <c r="G757" s="58"/>
      <c r="H757" s="58">
        <f t="shared" ref="H757:M757" si="754">SUMIFS($C757,$B757,H$8)+H756</f>
        <v>0</v>
      </c>
      <c r="I757" s="58">
        <f t="shared" si="754"/>
        <v>9</v>
      </c>
      <c r="J757" s="58">
        <f t="shared" si="754"/>
        <v>36</v>
      </c>
      <c r="K757" s="58">
        <f t="shared" si="754"/>
        <v>0</v>
      </c>
      <c r="L757" s="58">
        <f t="shared" si="754"/>
        <v>0</v>
      </c>
      <c r="M757" s="58">
        <f t="shared" si="754"/>
        <v>0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0" customHeight="1">
      <c r="A758" s="70"/>
      <c r="B758" s="71"/>
      <c r="C758" s="66"/>
      <c r="D758" s="66">
        <f t="shared" si="3"/>
        <v>0</v>
      </c>
      <c r="E758" s="67"/>
      <c r="F758" s="58">
        <f t="shared" si="150"/>
        <v>-8</v>
      </c>
      <c r="G758" s="58"/>
      <c r="H758" s="58">
        <f t="shared" ref="H758:M758" si="755">SUMIFS($C758,$B758,H$8)+H757</f>
        <v>0</v>
      </c>
      <c r="I758" s="58">
        <f t="shared" si="755"/>
        <v>9</v>
      </c>
      <c r="J758" s="58">
        <f t="shared" si="755"/>
        <v>36</v>
      </c>
      <c r="K758" s="58">
        <f t="shared" si="755"/>
        <v>0</v>
      </c>
      <c r="L758" s="58">
        <f t="shared" si="755"/>
        <v>0</v>
      </c>
      <c r="M758" s="58">
        <f t="shared" si="755"/>
        <v>0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0" customHeight="1">
      <c r="A759" s="70"/>
      <c r="B759" s="71"/>
      <c r="C759" s="66"/>
      <c r="D759" s="66">
        <f t="shared" si="3"/>
        <v>0</v>
      </c>
      <c r="E759" s="67"/>
      <c r="F759" s="58">
        <f t="shared" si="150"/>
        <v>-8</v>
      </c>
      <c r="G759" s="58"/>
      <c r="H759" s="58">
        <f t="shared" ref="H759:M759" si="756">SUMIFS($C759,$B759,H$8)+H758</f>
        <v>0</v>
      </c>
      <c r="I759" s="58">
        <f t="shared" si="756"/>
        <v>9</v>
      </c>
      <c r="J759" s="58">
        <f t="shared" si="756"/>
        <v>36</v>
      </c>
      <c r="K759" s="58">
        <f t="shared" si="756"/>
        <v>0</v>
      </c>
      <c r="L759" s="58">
        <f t="shared" si="756"/>
        <v>0</v>
      </c>
      <c r="M759" s="58">
        <f t="shared" si="756"/>
        <v>0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0" customHeight="1">
      <c r="A760" s="70"/>
      <c r="B760" s="71"/>
      <c r="C760" s="66"/>
      <c r="D760" s="66">
        <f t="shared" si="3"/>
        <v>0</v>
      </c>
      <c r="E760" s="67"/>
      <c r="F760" s="58">
        <f t="shared" si="150"/>
        <v>-8</v>
      </c>
      <c r="G760" s="58"/>
      <c r="H760" s="58">
        <f t="shared" ref="H760:M760" si="757">SUMIFS($C760,$B760,H$8)+H759</f>
        <v>0</v>
      </c>
      <c r="I760" s="58">
        <f t="shared" si="757"/>
        <v>9</v>
      </c>
      <c r="J760" s="58">
        <f t="shared" si="757"/>
        <v>36</v>
      </c>
      <c r="K760" s="58">
        <f t="shared" si="757"/>
        <v>0</v>
      </c>
      <c r="L760" s="58">
        <f t="shared" si="757"/>
        <v>0</v>
      </c>
      <c r="M760" s="58">
        <f t="shared" si="757"/>
        <v>0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0" customHeight="1">
      <c r="A761" s="70"/>
      <c r="B761" s="71"/>
      <c r="C761" s="66"/>
      <c r="D761" s="66">
        <f t="shared" si="3"/>
        <v>0</v>
      </c>
      <c r="E761" s="67"/>
      <c r="F761" s="58">
        <f t="shared" si="150"/>
        <v>-8</v>
      </c>
      <c r="G761" s="58"/>
      <c r="H761" s="58">
        <f t="shared" ref="H761:M761" si="758">SUMIFS($C761,$B761,H$8)+H760</f>
        <v>0</v>
      </c>
      <c r="I761" s="58">
        <f t="shared" si="758"/>
        <v>9</v>
      </c>
      <c r="J761" s="58">
        <f t="shared" si="758"/>
        <v>36</v>
      </c>
      <c r="K761" s="58">
        <f t="shared" si="758"/>
        <v>0</v>
      </c>
      <c r="L761" s="58">
        <f t="shared" si="758"/>
        <v>0</v>
      </c>
      <c r="M761" s="58">
        <f t="shared" si="758"/>
        <v>0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0" customHeight="1">
      <c r="A762" s="70"/>
      <c r="B762" s="71"/>
      <c r="C762" s="66"/>
      <c r="D762" s="66">
        <f t="shared" si="3"/>
        <v>0</v>
      </c>
      <c r="E762" s="67"/>
      <c r="F762" s="58">
        <f t="shared" si="150"/>
        <v>-8</v>
      </c>
      <c r="G762" s="58"/>
      <c r="H762" s="58">
        <f t="shared" ref="H762:M762" si="759">SUMIFS($C762,$B762,H$8)+H761</f>
        <v>0</v>
      </c>
      <c r="I762" s="58">
        <f t="shared" si="759"/>
        <v>9</v>
      </c>
      <c r="J762" s="58">
        <f t="shared" si="759"/>
        <v>36</v>
      </c>
      <c r="K762" s="58">
        <f t="shared" si="759"/>
        <v>0</v>
      </c>
      <c r="L762" s="58">
        <f t="shared" si="759"/>
        <v>0</v>
      </c>
      <c r="M762" s="58">
        <f t="shared" si="759"/>
        <v>0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0" customHeight="1">
      <c r="A763" s="70"/>
      <c r="B763" s="71"/>
      <c r="C763" s="66"/>
      <c r="D763" s="66">
        <f t="shared" si="3"/>
        <v>0</v>
      </c>
      <c r="E763" s="67"/>
      <c r="F763" s="58">
        <f t="shared" si="150"/>
        <v>-8</v>
      </c>
      <c r="G763" s="58"/>
      <c r="H763" s="58">
        <f t="shared" ref="H763:M763" si="760">SUMIFS($C763,$B763,H$8)+H762</f>
        <v>0</v>
      </c>
      <c r="I763" s="58">
        <f t="shared" si="760"/>
        <v>9</v>
      </c>
      <c r="J763" s="58">
        <f t="shared" si="760"/>
        <v>36</v>
      </c>
      <c r="K763" s="58">
        <f t="shared" si="760"/>
        <v>0</v>
      </c>
      <c r="L763" s="58">
        <f t="shared" si="760"/>
        <v>0</v>
      </c>
      <c r="M763" s="58">
        <f t="shared" si="760"/>
        <v>0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0" customHeight="1">
      <c r="A764" s="70"/>
      <c r="B764" s="71"/>
      <c r="C764" s="66"/>
      <c r="D764" s="66">
        <f t="shared" si="3"/>
        <v>0</v>
      </c>
      <c r="E764" s="67"/>
      <c r="F764" s="58">
        <f t="shared" si="150"/>
        <v>-8</v>
      </c>
      <c r="G764" s="58"/>
      <c r="H764" s="58">
        <f t="shared" ref="H764:M764" si="761">SUMIFS($C764,$B764,H$8)+H763</f>
        <v>0</v>
      </c>
      <c r="I764" s="58">
        <f t="shared" si="761"/>
        <v>9</v>
      </c>
      <c r="J764" s="58">
        <f t="shared" si="761"/>
        <v>36</v>
      </c>
      <c r="K764" s="58">
        <f t="shared" si="761"/>
        <v>0</v>
      </c>
      <c r="L764" s="58">
        <f t="shared" si="761"/>
        <v>0</v>
      </c>
      <c r="M764" s="58">
        <f t="shared" si="761"/>
        <v>0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0" customHeight="1">
      <c r="A765" s="70"/>
      <c r="B765" s="71"/>
      <c r="C765" s="66"/>
      <c r="D765" s="66">
        <f t="shared" si="3"/>
        <v>0</v>
      </c>
      <c r="E765" s="67"/>
      <c r="F765" s="58">
        <f t="shared" si="150"/>
        <v>-8</v>
      </c>
      <c r="G765" s="58"/>
      <c r="H765" s="58">
        <f t="shared" ref="H765:M765" si="762">SUMIFS($C765,$B765,H$8)+H764</f>
        <v>0</v>
      </c>
      <c r="I765" s="58">
        <f t="shared" si="762"/>
        <v>9</v>
      </c>
      <c r="J765" s="58">
        <f t="shared" si="762"/>
        <v>36</v>
      </c>
      <c r="K765" s="58">
        <f t="shared" si="762"/>
        <v>0</v>
      </c>
      <c r="L765" s="58">
        <f t="shared" si="762"/>
        <v>0</v>
      </c>
      <c r="M765" s="58">
        <f t="shared" si="762"/>
        <v>0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0" customHeight="1">
      <c r="A766" s="70"/>
      <c r="B766" s="71"/>
      <c r="C766" s="66"/>
      <c r="D766" s="66">
        <f t="shared" si="3"/>
        <v>0</v>
      </c>
      <c r="E766" s="67"/>
      <c r="F766" s="58">
        <f t="shared" si="150"/>
        <v>-8</v>
      </c>
      <c r="G766" s="58"/>
      <c r="H766" s="58">
        <f t="shared" ref="H766:M766" si="763">SUMIFS($C766,$B766,H$8)+H765</f>
        <v>0</v>
      </c>
      <c r="I766" s="58">
        <f t="shared" si="763"/>
        <v>9</v>
      </c>
      <c r="J766" s="58">
        <f t="shared" si="763"/>
        <v>36</v>
      </c>
      <c r="K766" s="58">
        <f t="shared" si="763"/>
        <v>0</v>
      </c>
      <c r="L766" s="58">
        <f t="shared" si="763"/>
        <v>0</v>
      </c>
      <c r="M766" s="58">
        <f t="shared" si="763"/>
        <v>0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0" customHeight="1">
      <c r="A767" s="70"/>
      <c r="B767" s="71"/>
      <c r="C767" s="66"/>
      <c r="D767" s="66">
        <f t="shared" si="3"/>
        <v>0</v>
      </c>
      <c r="E767" s="67"/>
      <c r="F767" s="58">
        <f t="shared" si="150"/>
        <v>-8</v>
      </c>
      <c r="G767" s="58"/>
      <c r="H767" s="58">
        <f t="shared" ref="H767:M767" si="764">SUMIFS($C767,$B767,H$8)+H766</f>
        <v>0</v>
      </c>
      <c r="I767" s="58">
        <f t="shared" si="764"/>
        <v>9</v>
      </c>
      <c r="J767" s="58">
        <f t="shared" si="764"/>
        <v>36</v>
      </c>
      <c r="K767" s="58">
        <f t="shared" si="764"/>
        <v>0</v>
      </c>
      <c r="L767" s="58">
        <f t="shared" si="764"/>
        <v>0</v>
      </c>
      <c r="M767" s="58">
        <f t="shared" si="764"/>
        <v>0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0" customHeight="1">
      <c r="A768" s="70"/>
      <c r="B768" s="71"/>
      <c r="C768" s="66"/>
      <c r="D768" s="66">
        <f t="shared" si="3"/>
        <v>0</v>
      </c>
      <c r="E768" s="67"/>
      <c r="F768" s="58">
        <f t="shared" si="150"/>
        <v>-8</v>
      </c>
      <c r="G768" s="58"/>
      <c r="H768" s="58">
        <f t="shared" ref="H768:M768" si="765">SUMIFS($C768,$B768,H$8)+H767</f>
        <v>0</v>
      </c>
      <c r="I768" s="58">
        <f t="shared" si="765"/>
        <v>9</v>
      </c>
      <c r="J768" s="58">
        <f t="shared" si="765"/>
        <v>36</v>
      </c>
      <c r="K768" s="58">
        <f t="shared" si="765"/>
        <v>0</v>
      </c>
      <c r="L768" s="58">
        <f t="shared" si="765"/>
        <v>0</v>
      </c>
      <c r="M768" s="58">
        <f t="shared" si="765"/>
        <v>0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0" customHeight="1">
      <c r="A769" s="70"/>
      <c r="B769" s="71"/>
      <c r="C769" s="66"/>
      <c r="D769" s="66">
        <f t="shared" si="3"/>
        <v>0</v>
      </c>
      <c r="E769" s="67"/>
      <c r="F769" s="58">
        <f t="shared" si="150"/>
        <v>-8</v>
      </c>
      <c r="G769" s="58"/>
      <c r="H769" s="58">
        <f t="shared" ref="H769:M769" si="766">SUMIFS($C769,$B769,H$8)+H768</f>
        <v>0</v>
      </c>
      <c r="I769" s="58">
        <f t="shared" si="766"/>
        <v>9</v>
      </c>
      <c r="J769" s="58">
        <f t="shared" si="766"/>
        <v>36</v>
      </c>
      <c r="K769" s="58">
        <f t="shared" si="766"/>
        <v>0</v>
      </c>
      <c r="L769" s="58">
        <f t="shared" si="766"/>
        <v>0</v>
      </c>
      <c r="M769" s="58">
        <f t="shared" si="766"/>
        <v>0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0" customHeight="1">
      <c r="A770" s="70"/>
      <c r="B770" s="71"/>
      <c r="C770" s="66"/>
      <c r="D770" s="66">
        <f t="shared" si="3"/>
        <v>0</v>
      </c>
      <c r="E770" s="67"/>
      <c r="F770" s="58">
        <f t="shared" si="150"/>
        <v>-8</v>
      </c>
      <c r="G770" s="58"/>
      <c r="H770" s="58">
        <f t="shared" ref="H770:M770" si="767">SUMIFS($C770,$B770,H$8)+H769</f>
        <v>0</v>
      </c>
      <c r="I770" s="58">
        <f t="shared" si="767"/>
        <v>9</v>
      </c>
      <c r="J770" s="58">
        <f t="shared" si="767"/>
        <v>36</v>
      </c>
      <c r="K770" s="58">
        <f t="shared" si="767"/>
        <v>0</v>
      </c>
      <c r="L770" s="58">
        <f t="shared" si="767"/>
        <v>0</v>
      </c>
      <c r="M770" s="58">
        <f t="shared" si="767"/>
        <v>0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0" customHeight="1">
      <c r="A771" s="70"/>
      <c r="B771" s="71"/>
      <c r="C771" s="66"/>
      <c r="D771" s="66">
        <f t="shared" si="3"/>
        <v>0</v>
      </c>
      <c r="E771" s="67"/>
      <c r="F771" s="58">
        <f t="shared" si="150"/>
        <v>-8</v>
      </c>
      <c r="G771" s="58"/>
      <c r="H771" s="58">
        <f t="shared" ref="H771:M771" si="768">SUMIFS($C771,$B771,H$8)+H770</f>
        <v>0</v>
      </c>
      <c r="I771" s="58">
        <f t="shared" si="768"/>
        <v>9</v>
      </c>
      <c r="J771" s="58">
        <f t="shared" si="768"/>
        <v>36</v>
      </c>
      <c r="K771" s="58">
        <f t="shared" si="768"/>
        <v>0</v>
      </c>
      <c r="L771" s="58">
        <f t="shared" si="768"/>
        <v>0</v>
      </c>
      <c r="M771" s="58">
        <f t="shared" si="768"/>
        <v>0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0" customHeight="1">
      <c r="A772" s="70"/>
      <c r="B772" s="71"/>
      <c r="C772" s="66"/>
      <c r="D772" s="66">
        <f t="shared" si="3"/>
        <v>0</v>
      </c>
      <c r="E772" s="67"/>
      <c r="F772" s="58">
        <f t="shared" si="150"/>
        <v>-8</v>
      </c>
      <c r="G772" s="58"/>
      <c r="H772" s="58">
        <f t="shared" ref="H772:M772" si="769">SUMIFS($C772,$B772,H$8)+H771</f>
        <v>0</v>
      </c>
      <c r="I772" s="58">
        <f t="shared" si="769"/>
        <v>9</v>
      </c>
      <c r="J772" s="58">
        <f t="shared" si="769"/>
        <v>36</v>
      </c>
      <c r="K772" s="58">
        <f t="shared" si="769"/>
        <v>0</v>
      </c>
      <c r="L772" s="58">
        <f t="shared" si="769"/>
        <v>0</v>
      </c>
      <c r="M772" s="58">
        <f t="shared" si="769"/>
        <v>0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0" customHeight="1">
      <c r="A773" s="70"/>
      <c r="B773" s="71"/>
      <c r="C773" s="66"/>
      <c r="D773" s="66">
        <f t="shared" si="3"/>
        <v>0</v>
      </c>
      <c r="E773" s="67"/>
      <c r="F773" s="58">
        <f t="shared" si="150"/>
        <v>-8</v>
      </c>
      <c r="G773" s="58"/>
      <c r="H773" s="58">
        <f t="shared" ref="H773:M773" si="770">SUMIFS($C773,$B773,H$8)+H772</f>
        <v>0</v>
      </c>
      <c r="I773" s="58">
        <f t="shared" si="770"/>
        <v>9</v>
      </c>
      <c r="J773" s="58">
        <f t="shared" si="770"/>
        <v>36</v>
      </c>
      <c r="K773" s="58">
        <f t="shared" si="770"/>
        <v>0</v>
      </c>
      <c r="L773" s="58">
        <f t="shared" si="770"/>
        <v>0</v>
      </c>
      <c r="M773" s="58">
        <f t="shared" si="770"/>
        <v>0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0" customHeight="1">
      <c r="A774" s="70"/>
      <c r="B774" s="71"/>
      <c r="C774" s="66"/>
      <c r="D774" s="66">
        <f t="shared" si="3"/>
        <v>0</v>
      </c>
      <c r="E774" s="67"/>
      <c r="F774" s="58">
        <f t="shared" si="150"/>
        <v>-8</v>
      </c>
      <c r="G774" s="58"/>
      <c r="H774" s="58">
        <f t="shared" ref="H774:M774" si="771">SUMIFS($C774,$B774,H$8)+H773</f>
        <v>0</v>
      </c>
      <c r="I774" s="58">
        <f t="shared" si="771"/>
        <v>9</v>
      </c>
      <c r="J774" s="58">
        <f t="shared" si="771"/>
        <v>36</v>
      </c>
      <c r="K774" s="58">
        <f t="shared" si="771"/>
        <v>0</v>
      </c>
      <c r="L774" s="58">
        <f t="shared" si="771"/>
        <v>0</v>
      </c>
      <c r="M774" s="58">
        <f t="shared" si="771"/>
        <v>0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0" customHeight="1">
      <c r="A775" s="70"/>
      <c r="B775" s="71"/>
      <c r="C775" s="66"/>
      <c r="D775" s="66">
        <f t="shared" si="3"/>
        <v>0</v>
      </c>
      <c r="E775" s="67"/>
      <c r="F775" s="58">
        <f t="shared" si="150"/>
        <v>-8</v>
      </c>
      <c r="G775" s="58"/>
      <c r="H775" s="58">
        <f t="shared" ref="H775:M775" si="772">SUMIFS($C775,$B775,H$8)+H774</f>
        <v>0</v>
      </c>
      <c r="I775" s="58">
        <f t="shared" si="772"/>
        <v>9</v>
      </c>
      <c r="J775" s="58">
        <f t="shared" si="772"/>
        <v>36</v>
      </c>
      <c r="K775" s="58">
        <f t="shared" si="772"/>
        <v>0</v>
      </c>
      <c r="L775" s="58">
        <f t="shared" si="772"/>
        <v>0</v>
      </c>
      <c r="M775" s="58">
        <f t="shared" si="772"/>
        <v>0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0" customHeight="1">
      <c r="A776" s="70"/>
      <c r="B776" s="71"/>
      <c r="C776" s="66"/>
      <c r="D776" s="66">
        <f t="shared" si="3"/>
        <v>0</v>
      </c>
      <c r="E776" s="67"/>
      <c r="F776" s="58">
        <f t="shared" si="150"/>
        <v>-8</v>
      </c>
      <c r="G776" s="58"/>
      <c r="H776" s="58">
        <f t="shared" ref="H776:M776" si="773">SUMIFS($C776,$B776,H$8)+H775</f>
        <v>0</v>
      </c>
      <c r="I776" s="58">
        <f t="shared" si="773"/>
        <v>9</v>
      </c>
      <c r="J776" s="58">
        <f t="shared" si="773"/>
        <v>36</v>
      </c>
      <c r="K776" s="58">
        <f t="shared" si="773"/>
        <v>0</v>
      </c>
      <c r="L776" s="58">
        <f t="shared" si="773"/>
        <v>0</v>
      </c>
      <c r="M776" s="58">
        <f t="shared" si="773"/>
        <v>0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0" customHeight="1">
      <c r="A777" s="70"/>
      <c r="B777" s="71"/>
      <c r="C777" s="66"/>
      <c r="D777" s="66">
        <f t="shared" si="3"/>
        <v>0</v>
      </c>
      <c r="E777" s="67"/>
      <c r="F777" s="58">
        <f t="shared" si="150"/>
        <v>-8</v>
      </c>
      <c r="G777" s="58"/>
      <c r="H777" s="58">
        <f t="shared" ref="H777:M777" si="774">SUMIFS($C777,$B777,H$8)+H776</f>
        <v>0</v>
      </c>
      <c r="I777" s="58">
        <f t="shared" si="774"/>
        <v>9</v>
      </c>
      <c r="J777" s="58">
        <f t="shared" si="774"/>
        <v>36</v>
      </c>
      <c r="K777" s="58">
        <f t="shared" si="774"/>
        <v>0</v>
      </c>
      <c r="L777" s="58">
        <f t="shared" si="774"/>
        <v>0</v>
      </c>
      <c r="M777" s="58">
        <f t="shared" si="774"/>
        <v>0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0" customHeight="1">
      <c r="A778" s="70"/>
      <c r="B778" s="71"/>
      <c r="C778" s="66"/>
      <c r="D778" s="66">
        <f t="shared" si="3"/>
        <v>0</v>
      </c>
      <c r="E778" s="67"/>
      <c r="F778" s="58">
        <f t="shared" si="150"/>
        <v>-8</v>
      </c>
      <c r="G778" s="58"/>
      <c r="H778" s="58">
        <f t="shared" ref="H778:M778" si="775">SUMIFS($C778,$B778,H$8)+H777</f>
        <v>0</v>
      </c>
      <c r="I778" s="58">
        <f t="shared" si="775"/>
        <v>9</v>
      </c>
      <c r="J778" s="58">
        <f t="shared" si="775"/>
        <v>36</v>
      </c>
      <c r="K778" s="58">
        <f t="shared" si="775"/>
        <v>0</v>
      </c>
      <c r="L778" s="58">
        <f t="shared" si="775"/>
        <v>0</v>
      </c>
      <c r="M778" s="58">
        <f t="shared" si="775"/>
        <v>0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0" customHeight="1">
      <c r="A779" s="70"/>
      <c r="B779" s="71"/>
      <c r="C779" s="66"/>
      <c r="D779" s="66">
        <f t="shared" si="3"/>
        <v>0</v>
      </c>
      <c r="E779" s="67"/>
      <c r="F779" s="58">
        <f t="shared" si="150"/>
        <v>-8</v>
      </c>
      <c r="G779" s="58"/>
      <c r="H779" s="58">
        <f t="shared" ref="H779:M779" si="776">SUMIFS($C779,$B779,H$8)+H778</f>
        <v>0</v>
      </c>
      <c r="I779" s="58">
        <f t="shared" si="776"/>
        <v>9</v>
      </c>
      <c r="J779" s="58">
        <f t="shared" si="776"/>
        <v>36</v>
      </c>
      <c r="K779" s="58">
        <f t="shared" si="776"/>
        <v>0</v>
      </c>
      <c r="L779" s="58">
        <f t="shared" si="776"/>
        <v>0</v>
      </c>
      <c r="M779" s="58">
        <f t="shared" si="776"/>
        <v>0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0" customHeight="1">
      <c r="A780" s="70"/>
      <c r="B780" s="71"/>
      <c r="C780" s="66"/>
      <c r="D780" s="66">
        <f t="shared" si="3"/>
        <v>0</v>
      </c>
      <c r="E780" s="67"/>
      <c r="F780" s="58">
        <f t="shared" si="150"/>
        <v>-8</v>
      </c>
      <c r="G780" s="58"/>
      <c r="H780" s="58">
        <f t="shared" ref="H780:M780" si="777">SUMIFS($C780,$B780,H$8)+H779</f>
        <v>0</v>
      </c>
      <c r="I780" s="58">
        <f t="shared" si="777"/>
        <v>9</v>
      </c>
      <c r="J780" s="58">
        <f t="shared" si="777"/>
        <v>36</v>
      </c>
      <c r="K780" s="58">
        <f t="shared" si="777"/>
        <v>0</v>
      </c>
      <c r="L780" s="58">
        <f t="shared" si="777"/>
        <v>0</v>
      </c>
      <c r="M780" s="58">
        <f t="shared" si="777"/>
        <v>0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0" customHeight="1">
      <c r="A781" s="70"/>
      <c r="B781" s="71"/>
      <c r="C781" s="66"/>
      <c r="D781" s="66">
        <f t="shared" si="3"/>
        <v>0</v>
      </c>
      <c r="E781" s="67"/>
      <c r="F781" s="58">
        <f t="shared" si="150"/>
        <v>-8</v>
      </c>
      <c r="G781" s="58"/>
      <c r="H781" s="58">
        <f t="shared" ref="H781:M781" si="778">SUMIFS($C781,$B781,H$8)+H780</f>
        <v>0</v>
      </c>
      <c r="I781" s="58">
        <f t="shared" si="778"/>
        <v>9</v>
      </c>
      <c r="J781" s="58">
        <f t="shared" si="778"/>
        <v>36</v>
      </c>
      <c r="K781" s="58">
        <f t="shared" si="778"/>
        <v>0</v>
      </c>
      <c r="L781" s="58">
        <f t="shared" si="778"/>
        <v>0</v>
      </c>
      <c r="M781" s="58">
        <f t="shared" si="778"/>
        <v>0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0" customHeight="1">
      <c r="A782" s="70"/>
      <c r="B782" s="71"/>
      <c r="C782" s="66"/>
      <c r="D782" s="66">
        <f t="shared" si="3"/>
        <v>0</v>
      </c>
      <c r="E782" s="67"/>
      <c r="F782" s="58">
        <f t="shared" si="150"/>
        <v>-8</v>
      </c>
      <c r="G782" s="58"/>
      <c r="H782" s="58">
        <f t="shared" ref="H782:M782" si="779">SUMIFS($C782,$B782,H$8)+H781</f>
        <v>0</v>
      </c>
      <c r="I782" s="58">
        <f t="shared" si="779"/>
        <v>9</v>
      </c>
      <c r="J782" s="58">
        <f t="shared" si="779"/>
        <v>36</v>
      </c>
      <c r="K782" s="58">
        <f t="shared" si="779"/>
        <v>0</v>
      </c>
      <c r="L782" s="58">
        <f t="shared" si="779"/>
        <v>0</v>
      </c>
      <c r="M782" s="58">
        <f t="shared" si="779"/>
        <v>0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0" customHeight="1">
      <c r="A783" s="70"/>
      <c r="B783" s="71"/>
      <c r="C783" s="66"/>
      <c r="D783" s="66">
        <f t="shared" si="3"/>
        <v>0</v>
      </c>
      <c r="E783" s="67"/>
      <c r="F783" s="58">
        <f t="shared" si="150"/>
        <v>-8</v>
      </c>
      <c r="G783" s="58"/>
      <c r="H783" s="58">
        <f t="shared" ref="H783:M783" si="780">SUMIFS($C783,$B783,H$8)+H782</f>
        <v>0</v>
      </c>
      <c r="I783" s="58">
        <f t="shared" si="780"/>
        <v>9</v>
      </c>
      <c r="J783" s="58">
        <f t="shared" si="780"/>
        <v>36</v>
      </c>
      <c r="K783" s="58">
        <f t="shared" si="780"/>
        <v>0</v>
      </c>
      <c r="L783" s="58">
        <f t="shared" si="780"/>
        <v>0</v>
      </c>
      <c r="M783" s="58">
        <f t="shared" si="780"/>
        <v>0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0" customHeight="1">
      <c r="A784" s="70"/>
      <c r="B784" s="71"/>
      <c r="C784" s="66"/>
      <c r="D784" s="66">
        <f t="shared" si="3"/>
        <v>0</v>
      </c>
      <c r="E784" s="67"/>
      <c r="F784" s="58">
        <f t="shared" si="150"/>
        <v>-8</v>
      </c>
      <c r="G784" s="58"/>
      <c r="H784" s="58">
        <f t="shared" ref="H784:M784" si="781">SUMIFS($C784,$B784,H$8)+H783</f>
        <v>0</v>
      </c>
      <c r="I784" s="58">
        <f t="shared" si="781"/>
        <v>9</v>
      </c>
      <c r="J784" s="58">
        <f t="shared" si="781"/>
        <v>36</v>
      </c>
      <c r="K784" s="58">
        <f t="shared" si="781"/>
        <v>0</v>
      </c>
      <c r="L784" s="58">
        <f t="shared" si="781"/>
        <v>0</v>
      </c>
      <c r="M784" s="58">
        <f t="shared" si="781"/>
        <v>0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0" customHeight="1">
      <c r="A785" s="70"/>
      <c r="B785" s="71"/>
      <c r="C785" s="66"/>
      <c r="D785" s="66">
        <f t="shared" si="3"/>
        <v>0</v>
      </c>
      <c r="E785" s="67"/>
      <c r="F785" s="58">
        <f t="shared" si="150"/>
        <v>-8</v>
      </c>
      <c r="G785" s="58"/>
      <c r="H785" s="58">
        <f t="shared" ref="H785:M785" si="782">SUMIFS($C785,$B785,H$8)+H784</f>
        <v>0</v>
      </c>
      <c r="I785" s="58">
        <f t="shared" si="782"/>
        <v>9</v>
      </c>
      <c r="J785" s="58">
        <f t="shared" si="782"/>
        <v>36</v>
      </c>
      <c r="K785" s="58">
        <f t="shared" si="782"/>
        <v>0</v>
      </c>
      <c r="L785" s="58">
        <f t="shared" si="782"/>
        <v>0</v>
      </c>
      <c r="M785" s="58">
        <f t="shared" si="782"/>
        <v>0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0" customHeight="1">
      <c r="A786" s="70"/>
      <c r="B786" s="71"/>
      <c r="C786" s="66"/>
      <c r="D786" s="66">
        <f t="shared" si="3"/>
        <v>0</v>
      </c>
      <c r="E786" s="67"/>
      <c r="F786" s="58">
        <f t="shared" si="150"/>
        <v>-8</v>
      </c>
      <c r="G786" s="58"/>
      <c r="H786" s="58">
        <f t="shared" ref="H786:M786" si="783">SUMIFS($C786,$B786,H$8)+H785</f>
        <v>0</v>
      </c>
      <c r="I786" s="58">
        <f t="shared" si="783"/>
        <v>9</v>
      </c>
      <c r="J786" s="58">
        <f t="shared" si="783"/>
        <v>36</v>
      </c>
      <c r="K786" s="58">
        <f t="shared" si="783"/>
        <v>0</v>
      </c>
      <c r="L786" s="58">
        <f t="shared" si="783"/>
        <v>0</v>
      </c>
      <c r="M786" s="58">
        <f t="shared" si="783"/>
        <v>0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0" customHeight="1">
      <c r="A787" s="70"/>
      <c r="B787" s="71"/>
      <c r="C787" s="66"/>
      <c r="D787" s="66">
        <f t="shared" si="3"/>
        <v>0</v>
      </c>
      <c r="E787" s="67"/>
      <c r="F787" s="58">
        <f t="shared" si="150"/>
        <v>-8</v>
      </c>
      <c r="G787" s="58"/>
      <c r="H787" s="58">
        <f t="shared" ref="H787:M787" si="784">SUMIFS($C787,$B787,H$8)+H786</f>
        <v>0</v>
      </c>
      <c r="I787" s="58">
        <f t="shared" si="784"/>
        <v>9</v>
      </c>
      <c r="J787" s="58">
        <f t="shared" si="784"/>
        <v>36</v>
      </c>
      <c r="K787" s="58">
        <f t="shared" si="784"/>
        <v>0</v>
      </c>
      <c r="L787" s="58">
        <f t="shared" si="784"/>
        <v>0</v>
      </c>
      <c r="M787" s="58">
        <f t="shared" si="784"/>
        <v>0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0" customHeight="1">
      <c r="A788" s="70"/>
      <c r="B788" s="71"/>
      <c r="C788" s="66"/>
      <c r="D788" s="66">
        <f t="shared" si="3"/>
        <v>0</v>
      </c>
      <c r="E788" s="67"/>
      <c r="F788" s="58">
        <f t="shared" si="150"/>
        <v>-8</v>
      </c>
      <c r="G788" s="58"/>
      <c r="H788" s="58">
        <f t="shared" ref="H788:M788" si="785">SUMIFS($C788,$B788,H$8)+H787</f>
        <v>0</v>
      </c>
      <c r="I788" s="58">
        <f t="shared" si="785"/>
        <v>9</v>
      </c>
      <c r="J788" s="58">
        <f t="shared" si="785"/>
        <v>36</v>
      </c>
      <c r="K788" s="58">
        <f t="shared" si="785"/>
        <v>0</v>
      </c>
      <c r="L788" s="58">
        <f t="shared" si="785"/>
        <v>0</v>
      </c>
      <c r="M788" s="58">
        <f t="shared" si="785"/>
        <v>0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0" customHeight="1">
      <c r="A789" s="70"/>
      <c r="B789" s="71"/>
      <c r="C789" s="66"/>
      <c r="D789" s="66">
        <f t="shared" si="3"/>
        <v>0</v>
      </c>
      <c r="E789" s="67"/>
      <c r="F789" s="58">
        <f t="shared" si="150"/>
        <v>-8</v>
      </c>
      <c r="G789" s="58"/>
      <c r="H789" s="58">
        <f t="shared" ref="H789:M789" si="786">SUMIFS($C789,$B789,H$8)+H788</f>
        <v>0</v>
      </c>
      <c r="I789" s="58">
        <f t="shared" si="786"/>
        <v>9</v>
      </c>
      <c r="J789" s="58">
        <f t="shared" si="786"/>
        <v>36</v>
      </c>
      <c r="K789" s="58">
        <f t="shared" si="786"/>
        <v>0</v>
      </c>
      <c r="L789" s="58">
        <f t="shared" si="786"/>
        <v>0</v>
      </c>
      <c r="M789" s="58">
        <f t="shared" si="786"/>
        <v>0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0" customHeight="1">
      <c r="A790" s="70"/>
      <c r="B790" s="71"/>
      <c r="C790" s="66"/>
      <c r="D790" s="66">
        <f t="shared" si="3"/>
        <v>0</v>
      </c>
      <c r="E790" s="67"/>
      <c r="F790" s="58">
        <f t="shared" si="150"/>
        <v>-8</v>
      </c>
      <c r="G790" s="58"/>
      <c r="H790" s="58">
        <f t="shared" ref="H790:M790" si="787">SUMIFS($C790,$B790,H$8)+H789</f>
        <v>0</v>
      </c>
      <c r="I790" s="58">
        <f t="shared" si="787"/>
        <v>9</v>
      </c>
      <c r="J790" s="58">
        <f t="shared" si="787"/>
        <v>36</v>
      </c>
      <c r="K790" s="58">
        <f t="shared" si="787"/>
        <v>0</v>
      </c>
      <c r="L790" s="58">
        <f t="shared" si="787"/>
        <v>0</v>
      </c>
      <c r="M790" s="58">
        <f t="shared" si="787"/>
        <v>0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0" customHeight="1">
      <c r="A791" s="70"/>
      <c r="B791" s="71"/>
      <c r="C791" s="66"/>
      <c r="D791" s="66">
        <f t="shared" si="3"/>
        <v>0</v>
      </c>
      <c r="E791" s="67"/>
      <c r="F791" s="58">
        <f t="shared" si="150"/>
        <v>-8</v>
      </c>
      <c r="G791" s="58"/>
      <c r="H791" s="58">
        <f t="shared" ref="H791:M791" si="788">SUMIFS($C791,$B791,H$8)+H790</f>
        <v>0</v>
      </c>
      <c r="I791" s="58">
        <f t="shared" si="788"/>
        <v>9</v>
      </c>
      <c r="J791" s="58">
        <f t="shared" si="788"/>
        <v>36</v>
      </c>
      <c r="K791" s="58">
        <f t="shared" si="788"/>
        <v>0</v>
      </c>
      <c r="L791" s="58">
        <f t="shared" si="788"/>
        <v>0</v>
      </c>
      <c r="M791" s="58">
        <f t="shared" si="788"/>
        <v>0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0" customHeight="1">
      <c r="A792" s="70"/>
      <c r="B792" s="71"/>
      <c r="C792" s="66"/>
      <c r="D792" s="66">
        <f t="shared" si="3"/>
        <v>0</v>
      </c>
      <c r="E792" s="67"/>
      <c r="F792" s="58">
        <f t="shared" si="150"/>
        <v>-8</v>
      </c>
      <c r="G792" s="58"/>
      <c r="H792" s="58">
        <f t="shared" ref="H792:M792" si="789">SUMIFS($C792,$B792,H$8)+H791</f>
        <v>0</v>
      </c>
      <c r="I792" s="58">
        <f t="shared" si="789"/>
        <v>9</v>
      </c>
      <c r="J792" s="58">
        <f t="shared" si="789"/>
        <v>36</v>
      </c>
      <c r="K792" s="58">
        <f t="shared" si="789"/>
        <v>0</v>
      </c>
      <c r="L792" s="58">
        <f t="shared" si="789"/>
        <v>0</v>
      </c>
      <c r="M792" s="58">
        <f t="shared" si="789"/>
        <v>0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0" customHeight="1">
      <c r="A793" s="70"/>
      <c r="B793" s="71"/>
      <c r="C793" s="66"/>
      <c r="D793" s="66">
        <f t="shared" si="3"/>
        <v>0</v>
      </c>
      <c r="E793" s="67"/>
      <c r="F793" s="58">
        <f t="shared" si="150"/>
        <v>-8</v>
      </c>
      <c r="G793" s="58"/>
      <c r="H793" s="58">
        <f t="shared" ref="H793:M793" si="790">SUMIFS($C793,$B793,H$8)+H792</f>
        <v>0</v>
      </c>
      <c r="I793" s="58">
        <f t="shared" si="790"/>
        <v>9</v>
      </c>
      <c r="J793" s="58">
        <f t="shared" si="790"/>
        <v>36</v>
      </c>
      <c r="K793" s="58">
        <f t="shared" si="790"/>
        <v>0</v>
      </c>
      <c r="L793" s="58">
        <f t="shared" si="790"/>
        <v>0</v>
      </c>
      <c r="M793" s="58">
        <f t="shared" si="790"/>
        <v>0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0" customHeight="1">
      <c r="A794" s="70"/>
      <c r="B794" s="71"/>
      <c r="C794" s="66"/>
      <c r="D794" s="66">
        <f t="shared" si="3"/>
        <v>0</v>
      </c>
      <c r="E794" s="67"/>
      <c r="F794" s="58">
        <f t="shared" si="150"/>
        <v>-8</v>
      </c>
      <c r="G794" s="58"/>
      <c r="H794" s="58">
        <f t="shared" ref="H794:M794" si="791">SUMIFS($C794,$B794,H$8)+H793</f>
        <v>0</v>
      </c>
      <c r="I794" s="58">
        <f t="shared" si="791"/>
        <v>9</v>
      </c>
      <c r="J794" s="58">
        <f t="shared" si="791"/>
        <v>36</v>
      </c>
      <c r="K794" s="58">
        <f t="shared" si="791"/>
        <v>0</v>
      </c>
      <c r="L794" s="58">
        <f t="shared" si="791"/>
        <v>0</v>
      </c>
      <c r="M794" s="58">
        <f t="shared" si="791"/>
        <v>0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0" customHeight="1">
      <c r="A795" s="70"/>
      <c r="B795" s="71"/>
      <c r="C795" s="66"/>
      <c r="D795" s="66">
        <f t="shared" si="3"/>
        <v>0</v>
      </c>
      <c r="E795" s="67"/>
      <c r="F795" s="58">
        <f t="shared" si="150"/>
        <v>-8</v>
      </c>
      <c r="G795" s="58"/>
      <c r="H795" s="58">
        <f t="shared" ref="H795:M795" si="792">SUMIFS($C795,$B795,H$8)+H794</f>
        <v>0</v>
      </c>
      <c r="I795" s="58">
        <f t="shared" si="792"/>
        <v>9</v>
      </c>
      <c r="J795" s="58">
        <f t="shared" si="792"/>
        <v>36</v>
      </c>
      <c r="K795" s="58">
        <f t="shared" si="792"/>
        <v>0</v>
      </c>
      <c r="L795" s="58">
        <f t="shared" si="792"/>
        <v>0</v>
      </c>
      <c r="M795" s="58">
        <f t="shared" si="792"/>
        <v>0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0" customHeight="1">
      <c r="A796" s="70"/>
      <c r="B796" s="71"/>
      <c r="C796" s="66"/>
      <c r="D796" s="66">
        <f t="shared" si="3"/>
        <v>0</v>
      </c>
      <c r="E796" s="67"/>
      <c r="F796" s="58">
        <f t="shared" si="150"/>
        <v>-8</v>
      </c>
      <c r="G796" s="58"/>
      <c r="H796" s="58">
        <f t="shared" ref="H796:M796" si="793">SUMIFS($C796,$B796,H$8)+H795</f>
        <v>0</v>
      </c>
      <c r="I796" s="58">
        <f t="shared" si="793"/>
        <v>9</v>
      </c>
      <c r="J796" s="58">
        <f t="shared" si="793"/>
        <v>36</v>
      </c>
      <c r="K796" s="58">
        <f t="shared" si="793"/>
        <v>0</v>
      </c>
      <c r="L796" s="58">
        <f t="shared" si="793"/>
        <v>0</v>
      </c>
      <c r="M796" s="58">
        <f t="shared" si="793"/>
        <v>0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0" customHeight="1">
      <c r="A797" s="70"/>
      <c r="B797" s="71"/>
      <c r="C797" s="66"/>
      <c r="D797" s="66">
        <f t="shared" si="3"/>
        <v>0</v>
      </c>
      <c r="E797" s="67"/>
      <c r="F797" s="58">
        <f t="shared" si="150"/>
        <v>-8</v>
      </c>
      <c r="G797" s="58"/>
      <c r="H797" s="58">
        <f t="shared" ref="H797:M797" si="794">SUMIFS($C797,$B797,H$8)+H796</f>
        <v>0</v>
      </c>
      <c r="I797" s="58">
        <f t="shared" si="794"/>
        <v>9</v>
      </c>
      <c r="J797" s="58">
        <f t="shared" si="794"/>
        <v>36</v>
      </c>
      <c r="K797" s="58">
        <f t="shared" si="794"/>
        <v>0</v>
      </c>
      <c r="L797" s="58">
        <f t="shared" si="794"/>
        <v>0</v>
      </c>
      <c r="M797" s="58">
        <f t="shared" si="794"/>
        <v>0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0" customHeight="1">
      <c r="A798" s="70"/>
      <c r="B798" s="71"/>
      <c r="C798" s="66"/>
      <c r="D798" s="66">
        <f t="shared" si="3"/>
        <v>0</v>
      </c>
      <c r="E798" s="67"/>
      <c r="F798" s="58">
        <f t="shared" si="150"/>
        <v>-8</v>
      </c>
      <c r="G798" s="58"/>
      <c r="H798" s="58">
        <f t="shared" ref="H798:M798" si="795">SUMIFS($C798,$B798,H$8)+H797</f>
        <v>0</v>
      </c>
      <c r="I798" s="58">
        <f t="shared" si="795"/>
        <v>9</v>
      </c>
      <c r="J798" s="58">
        <f t="shared" si="795"/>
        <v>36</v>
      </c>
      <c r="K798" s="58">
        <f t="shared" si="795"/>
        <v>0</v>
      </c>
      <c r="L798" s="58">
        <f t="shared" si="795"/>
        <v>0</v>
      </c>
      <c r="M798" s="58">
        <f t="shared" si="795"/>
        <v>0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0" customHeight="1">
      <c r="A799" s="70"/>
      <c r="B799" s="71"/>
      <c r="C799" s="66"/>
      <c r="D799" s="66">
        <f t="shared" si="3"/>
        <v>0</v>
      </c>
      <c r="E799" s="67"/>
      <c r="F799" s="58">
        <f t="shared" si="150"/>
        <v>-8</v>
      </c>
      <c r="G799" s="58"/>
      <c r="H799" s="58">
        <f t="shared" ref="H799:M799" si="796">SUMIFS($C799,$B799,H$8)+H798</f>
        <v>0</v>
      </c>
      <c r="I799" s="58">
        <f t="shared" si="796"/>
        <v>9</v>
      </c>
      <c r="J799" s="58">
        <f t="shared" si="796"/>
        <v>36</v>
      </c>
      <c r="K799" s="58">
        <f t="shared" si="796"/>
        <v>0</v>
      </c>
      <c r="L799" s="58">
        <f t="shared" si="796"/>
        <v>0</v>
      </c>
      <c r="M799" s="58">
        <f t="shared" si="796"/>
        <v>0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0" customHeight="1">
      <c r="A800" s="70"/>
      <c r="B800" s="71"/>
      <c r="C800" s="66"/>
      <c r="D800" s="66">
        <f t="shared" si="3"/>
        <v>0</v>
      </c>
      <c r="E800" s="67"/>
      <c r="F800" s="58">
        <f t="shared" si="150"/>
        <v>-8</v>
      </c>
      <c r="G800" s="58"/>
      <c r="H800" s="58">
        <f t="shared" ref="H800:M800" si="797">SUMIFS($C800,$B800,H$8)+H799</f>
        <v>0</v>
      </c>
      <c r="I800" s="58">
        <f t="shared" si="797"/>
        <v>9</v>
      </c>
      <c r="J800" s="58">
        <f t="shared" si="797"/>
        <v>36</v>
      </c>
      <c r="K800" s="58">
        <f t="shared" si="797"/>
        <v>0</v>
      </c>
      <c r="L800" s="58">
        <f t="shared" si="797"/>
        <v>0</v>
      </c>
      <c r="M800" s="58">
        <f t="shared" si="797"/>
        <v>0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0" customHeight="1">
      <c r="A801" s="70"/>
      <c r="B801" s="71"/>
      <c r="C801" s="66"/>
      <c r="D801" s="66">
        <f t="shared" si="3"/>
        <v>0</v>
      </c>
      <c r="E801" s="67"/>
      <c r="F801" s="58">
        <f t="shared" si="150"/>
        <v>-8</v>
      </c>
      <c r="G801" s="58"/>
      <c r="H801" s="58">
        <f t="shared" ref="H801:M801" si="798">SUMIFS($C801,$B801,H$8)+H800</f>
        <v>0</v>
      </c>
      <c r="I801" s="58">
        <f t="shared" si="798"/>
        <v>9</v>
      </c>
      <c r="J801" s="58">
        <f t="shared" si="798"/>
        <v>36</v>
      </c>
      <c r="K801" s="58">
        <f t="shared" si="798"/>
        <v>0</v>
      </c>
      <c r="L801" s="58">
        <f t="shared" si="798"/>
        <v>0</v>
      </c>
      <c r="M801" s="58">
        <f t="shared" si="798"/>
        <v>0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0" customHeight="1">
      <c r="A802" s="70"/>
      <c r="B802" s="71"/>
      <c r="C802" s="66"/>
      <c r="D802" s="66">
        <f t="shared" si="3"/>
        <v>0</v>
      </c>
      <c r="E802" s="67"/>
      <c r="F802" s="58">
        <f t="shared" si="150"/>
        <v>-8</v>
      </c>
      <c r="G802" s="58"/>
      <c r="H802" s="58">
        <f t="shared" ref="H802:M802" si="799">SUMIFS($C802,$B802,H$8)+H801</f>
        <v>0</v>
      </c>
      <c r="I802" s="58">
        <f t="shared" si="799"/>
        <v>9</v>
      </c>
      <c r="J802" s="58">
        <f t="shared" si="799"/>
        <v>36</v>
      </c>
      <c r="K802" s="58">
        <f t="shared" si="799"/>
        <v>0</v>
      </c>
      <c r="L802" s="58">
        <f t="shared" si="799"/>
        <v>0</v>
      </c>
      <c r="M802" s="58">
        <f t="shared" si="799"/>
        <v>0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0" customHeight="1">
      <c r="A803" s="70"/>
      <c r="B803" s="71"/>
      <c r="C803" s="66"/>
      <c r="D803" s="66">
        <f t="shared" si="3"/>
        <v>0</v>
      </c>
      <c r="E803" s="67"/>
      <c r="F803" s="58">
        <f t="shared" si="150"/>
        <v>-8</v>
      </c>
      <c r="G803" s="58"/>
      <c r="H803" s="58">
        <f t="shared" ref="H803:M803" si="800">SUMIFS($C803,$B803,H$8)+H802</f>
        <v>0</v>
      </c>
      <c r="I803" s="58">
        <f t="shared" si="800"/>
        <v>9</v>
      </c>
      <c r="J803" s="58">
        <f t="shared" si="800"/>
        <v>36</v>
      </c>
      <c r="K803" s="58">
        <f t="shared" si="800"/>
        <v>0</v>
      </c>
      <c r="L803" s="58">
        <f t="shared" si="800"/>
        <v>0</v>
      </c>
      <c r="M803" s="58">
        <f t="shared" si="800"/>
        <v>0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0" customHeight="1">
      <c r="A804" s="70"/>
      <c r="B804" s="71"/>
      <c r="C804" s="66"/>
      <c r="D804" s="66">
        <f t="shared" si="3"/>
        <v>0</v>
      </c>
      <c r="E804" s="67"/>
      <c r="F804" s="58">
        <f t="shared" si="150"/>
        <v>-8</v>
      </c>
      <c r="G804" s="58"/>
      <c r="H804" s="58">
        <f t="shared" ref="H804:M804" si="801">SUMIFS($C804,$B804,H$8)+H803</f>
        <v>0</v>
      </c>
      <c r="I804" s="58">
        <f t="shared" si="801"/>
        <v>9</v>
      </c>
      <c r="J804" s="58">
        <f t="shared" si="801"/>
        <v>36</v>
      </c>
      <c r="K804" s="58">
        <f t="shared" si="801"/>
        <v>0</v>
      </c>
      <c r="L804" s="58">
        <f t="shared" si="801"/>
        <v>0</v>
      </c>
      <c r="M804" s="58">
        <f t="shared" si="801"/>
        <v>0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0" customHeight="1">
      <c r="A805" s="70"/>
      <c r="B805" s="71"/>
      <c r="C805" s="66"/>
      <c r="D805" s="66">
        <f t="shared" si="3"/>
        <v>0</v>
      </c>
      <c r="E805" s="67"/>
      <c r="F805" s="58">
        <f t="shared" si="150"/>
        <v>-8</v>
      </c>
      <c r="G805" s="58"/>
      <c r="H805" s="58">
        <f t="shared" ref="H805:M805" si="802">SUMIFS($C805,$B805,H$8)+H804</f>
        <v>0</v>
      </c>
      <c r="I805" s="58">
        <f t="shared" si="802"/>
        <v>9</v>
      </c>
      <c r="J805" s="58">
        <f t="shared" si="802"/>
        <v>36</v>
      </c>
      <c r="K805" s="58">
        <f t="shared" si="802"/>
        <v>0</v>
      </c>
      <c r="L805" s="58">
        <f t="shared" si="802"/>
        <v>0</v>
      </c>
      <c r="M805" s="58">
        <f t="shared" si="802"/>
        <v>0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0" customHeight="1">
      <c r="A806" s="70"/>
      <c r="B806" s="71"/>
      <c r="C806" s="66"/>
      <c r="D806" s="66">
        <f t="shared" si="3"/>
        <v>0</v>
      </c>
      <c r="E806" s="67"/>
      <c r="F806" s="58">
        <f t="shared" si="150"/>
        <v>-8</v>
      </c>
      <c r="G806" s="58"/>
      <c r="H806" s="58">
        <f t="shared" ref="H806:M806" si="803">SUMIFS($C806,$B806,H$8)+H805</f>
        <v>0</v>
      </c>
      <c r="I806" s="58">
        <f t="shared" si="803"/>
        <v>9</v>
      </c>
      <c r="J806" s="58">
        <f t="shared" si="803"/>
        <v>36</v>
      </c>
      <c r="K806" s="58">
        <f t="shared" si="803"/>
        <v>0</v>
      </c>
      <c r="L806" s="58">
        <f t="shared" si="803"/>
        <v>0</v>
      </c>
      <c r="M806" s="58">
        <f t="shared" si="803"/>
        <v>0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0" customHeight="1">
      <c r="A807" s="70"/>
      <c r="B807" s="71"/>
      <c r="C807" s="66"/>
      <c r="D807" s="66">
        <f t="shared" si="3"/>
        <v>0</v>
      </c>
      <c r="E807" s="67"/>
      <c r="F807" s="58">
        <f t="shared" si="150"/>
        <v>-8</v>
      </c>
      <c r="G807" s="58"/>
      <c r="H807" s="58">
        <f t="shared" ref="H807:M807" si="804">SUMIFS($C807,$B807,H$8)+H806</f>
        <v>0</v>
      </c>
      <c r="I807" s="58">
        <f t="shared" si="804"/>
        <v>9</v>
      </c>
      <c r="J807" s="58">
        <f t="shared" si="804"/>
        <v>36</v>
      </c>
      <c r="K807" s="58">
        <f t="shared" si="804"/>
        <v>0</v>
      </c>
      <c r="L807" s="58">
        <f t="shared" si="804"/>
        <v>0</v>
      </c>
      <c r="M807" s="58">
        <f t="shared" si="804"/>
        <v>0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0" customHeight="1">
      <c r="A808" s="70"/>
      <c r="B808" s="71"/>
      <c r="C808" s="66"/>
      <c r="D808" s="66">
        <f t="shared" si="3"/>
        <v>0</v>
      </c>
      <c r="E808" s="67"/>
      <c r="F808" s="58">
        <f t="shared" si="150"/>
        <v>-8</v>
      </c>
      <c r="G808" s="58"/>
      <c r="H808" s="58">
        <f t="shared" ref="H808:M808" si="805">SUMIFS($C808,$B808,H$8)+H807</f>
        <v>0</v>
      </c>
      <c r="I808" s="58">
        <f t="shared" si="805"/>
        <v>9</v>
      </c>
      <c r="J808" s="58">
        <f t="shared" si="805"/>
        <v>36</v>
      </c>
      <c r="K808" s="58">
        <f t="shared" si="805"/>
        <v>0</v>
      </c>
      <c r="L808" s="58">
        <f t="shared" si="805"/>
        <v>0</v>
      </c>
      <c r="M808" s="58">
        <f t="shared" si="805"/>
        <v>0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0" customHeight="1">
      <c r="A809" s="70"/>
      <c r="B809" s="71"/>
      <c r="C809" s="66"/>
      <c r="D809" s="66">
        <f t="shared" si="3"/>
        <v>0</v>
      </c>
      <c r="E809" s="67"/>
      <c r="F809" s="58">
        <f t="shared" si="150"/>
        <v>-8</v>
      </c>
      <c r="G809" s="58"/>
      <c r="H809" s="58">
        <f t="shared" ref="H809:M809" si="806">SUMIFS($C809,$B809,H$8)+H808</f>
        <v>0</v>
      </c>
      <c r="I809" s="58">
        <f t="shared" si="806"/>
        <v>9</v>
      </c>
      <c r="J809" s="58">
        <f t="shared" si="806"/>
        <v>36</v>
      </c>
      <c r="K809" s="58">
        <f t="shared" si="806"/>
        <v>0</v>
      </c>
      <c r="L809" s="58">
        <f t="shared" si="806"/>
        <v>0</v>
      </c>
      <c r="M809" s="58">
        <f t="shared" si="806"/>
        <v>0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0" customHeight="1">
      <c r="A810" s="70"/>
      <c r="B810" s="71"/>
      <c r="C810" s="66"/>
      <c r="D810" s="66">
        <f t="shared" si="3"/>
        <v>0</v>
      </c>
      <c r="E810" s="67"/>
      <c r="F810" s="58">
        <f t="shared" si="150"/>
        <v>-8</v>
      </c>
      <c r="G810" s="58"/>
      <c r="H810" s="58">
        <f t="shared" ref="H810:M810" si="807">SUMIFS($C810,$B810,H$8)+H809</f>
        <v>0</v>
      </c>
      <c r="I810" s="58">
        <f t="shared" si="807"/>
        <v>9</v>
      </c>
      <c r="J810" s="58">
        <f t="shared" si="807"/>
        <v>36</v>
      </c>
      <c r="K810" s="58">
        <f t="shared" si="807"/>
        <v>0</v>
      </c>
      <c r="L810" s="58">
        <f t="shared" si="807"/>
        <v>0</v>
      </c>
      <c r="M810" s="58">
        <f t="shared" si="807"/>
        <v>0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0" customHeight="1">
      <c r="A811" s="70"/>
      <c r="B811" s="71"/>
      <c r="C811" s="66"/>
      <c r="D811" s="66">
        <f t="shared" si="3"/>
        <v>0</v>
      </c>
      <c r="E811" s="67"/>
      <c r="F811" s="58">
        <f t="shared" si="150"/>
        <v>-8</v>
      </c>
      <c r="G811" s="58"/>
      <c r="H811" s="58">
        <f t="shared" ref="H811:M811" si="808">SUMIFS($C811,$B811,H$8)+H810</f>
        <v>0</v>
      </c>
      <c r="I811" s="58">
        <f t="shared" si="808"/>
        <v>9</v>
      </c>
      <c r="J811" s="58">
        <f t="shared" si="808"/>
        <v>36</v>
      </c>
      <c r="K811" s="58">
        <f t="shared" si="808"/>
        <v>0</v>
      </c>
      <c r="L811" s="58">
        <f t="shared" si="808"/>
        <v>0</v>
      </c>
      <c r="M811" s="58">
        <f t="shared" si="808"/>
        <v>0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0" customHeight="1">
      <c r="A812" s="70"/>
      <c r="B812" s="71"/>
      <c r="C812" s="66"/>
      <c r="D812" s="66">
        <f t="shared" si="3"/>
        <v>0</v>
      </c>
      <c r="E812" s="67"/>
      <c r="F812" s="58">
        <f t="shared" si="150"/>
        <v>-8</v>
      </c>
      <c r="G812" s="58"/>
      <c r="H812" s="58">
        <f t="shared" ref="H812:M812" si="809">SUMIFS($C812,$B812,H$8)+H811</f>
        <v>0</v>
      </c>
      <c r="I812" s="58">
        <f t="shared" si="809"/>
        <v>9</v>
      </c>
      <c r="J812" s="58">
        <f t="shared" si="809"/>
        <v>36</v>
      </c>
      <c r="K812" s="58">
        <f t="shared" si="809"/>
        <v>0</v>
      </c>
      <c r="L812" s="58">
        <f t="shared" si="809"/>
        <v>0</v>
      </c>
      <c r="M812" s="58">
        <f t="shared" si="809"/>
        <v>0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0" customHeight="1">
      <c r="A813" s="70"/>
      <c r="B813" s="71"/>
      <c r="C813" s="66"/>
      <c r="D813" s="66">
        <f t="shared" si="3"/>
        <v>0</v>
      </c>
      <c r="E813" s="67"/>
      <c r="F813" s="58">
        <f t="shared" si="150"/>
        <v>-8</v>
      </c>
      <c r="G813" s="58"/>
      <c r="H813" s="58">
        <f t="shared" ref="H813:M813" si="810">SUMIFS($C813,$B813,H$8)+H812</f>
        <v>0</v>
      </c>
      <c r="I813" s="58">
        <f t="shared" si="810"/>
        <v>9</v>
      </c>
      <c r="J813" s="58">
        <f t="shared" si="810"/>
        <v>36</v>
      </c>
      <c r="K813" s="58">
        <f t="shared" si="810"/>
        <v>0</v>
      </c>
      <c r="L813" s="58">
        <f t="shared" si="810"/>
        <v>0</v>
      </c>
      <c r="M813" s="58">
        <f t="shared" si="810"/>
        <v>0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0" customHeight="1">
      <c r="A814" s="70"/>
      <c r="B814" s="71"/>
      <c r="C814" s="66"/>
      <c r="D814" s="66">
        <f t="shared" si="3"/>
        <v>0</v>
      </c>
      <c r="E814" s="67"/>
      <c r="F814" s="58">
        <f t="shared" si="150"/>
        <v>-8</v>
      </c>
      <c r="G814" s="58"/>
      <c r="H814" s="58">
        <f t="shared" ref="H814:M814" si="811">SUMIFS($C814,$B814,H$8)+H813</f>
        <v>0</v>
      </c>
      <c r="I814" s="58">
        <f t="shared" si="811"/>
        <v>9</v>
      </c>
      <c r="J814" s="58">
        <f t="shared" si="811"/>
        <v>36</v>
      </c>
      <c r="K814" s="58">
        <f t="shared" si="811"/>
        <v>0</v>
      </c>
      <c r="L814" s="58">
        <f t="shared" si="811"/>
        <v>0</v>
      </c>
      <c r="M814" s="58">
        <f t="shared" si="811"/>
        <v>0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0" customHeight="1">
      <c r="A815" s="70"/>
      <c r="B815" s="71"/>
      <c r="C815" s="66"/>
      <c r="D815" s="66">
        <f t="shared" si="3"/>
        <v>0</v>
      </c>
      <c r="E815" s="67"/>
      <c r="F815" s="58">
        <f t="shared" si="150"/>
        <v>-8</v>
      </c>
      <c r="G815" s="58"/>
      <c r="H815" s="58">
        <f t="shared" ref="H815:M815" si="812">SUMIFS($C815,$B815,H$8)+H814</f>
        <v>0</v>
      </c>
      <c r="I815" s="58">
        <f t="shared" si="812"/>
        <v>9</v>
      </c>
      <c r="J815" s="58">
        <f t="shared" si="812"/>
        <v>36</v>
      </c>
      <c r="K815" s="58">
        <f t="shared" si="812"/>
        <v>0</v>
      </c>
      <c r="L815" s="58">
        <f t="shared" si="812"/>
        <v>0</v>
      </c>
      <c r="M815" s="58">
        <f t="shared" si="812"/>
        <v>0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0" customHeight="1">
      <c r="A816" s="70"/>
      <c r="B816" s="71"/>
      <c r="C816" s="66"/>
      <c r="D816" s="66">
        <f t="shared" si="3"/>
        <v>0</v>
      </c>
      <c r="E816" s="67"/>
      <c r="F816" s="58">
        <f t="shared" si="150"/>
        <v>-8</v>
      </c>
      <c r="G816" s="58"/>
      <c r="H816" s="58">
        <f t="shared" ref="H816:M816" si="813">SUMIFS($C816,$B816,H$8)+H815</f>
        <v>0</v>
      </c>
      <c r="I816" s="58">
        <f t="shared" si="813"/>
        <v>9</v>
      </c>
      <c r="J816" s="58">
        <f t="shared" si="813"/>
        <v>36</v>
      </c>
      <c r="K816" s="58">
        <f t="shared" si="813"/>
        <v>0</v>
      </c>
      <c r="L816" s="58">
        <f t="shared" si="813"/>
        <v>0</v>
      </c>
      <c r="M816" s="58">
        <f t="shared" si="813"/>
        <v>0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0" customHeight="1">
      <c r="A817" s="70"/>
      <c r="B817" s="71"/>
      <c r="C817" s="66"/>
      <c r="D817" s="66">
        <f t="shared" si="3"/>
        <v>0</v>
      </c>
      <c r="E817" s="67"/>
      <c r="F817" s="58">
        <f t="shared" si="150"/>
        <v>-8</v>
      </c>
      <c r="G817" s="58"/>
      <c r="H817" s="58">
        <f t="shared" ref="H817:M817" si="814">SUMIFS($C817,$B817,H$8)+H816</f>
        <v>0</v>
      </c>
      <c r="I817" s="58">
        <f t="shared" si="814"/>
        <v>9</v>
      </c>
      <c r="J817" s="58">
        <f t="shared" si="814"/>
        <v>36</v>
      </c>
      <c r="K817" s="58">
        <f t="shared" si="814"/>
        <v>0</v>
      </c>
      <c r="L817" s="58">
        <f t="shared" si="814"/>
        <v>0</v>
      </c>
      <c r="M817" s="58">
        <f t="shared" si="814"/>
        <v>0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0" customHeight="1">
      <c r="A818" s="70"/>
      <c r="B818" s="71"/>
      <c r="C818" s="66"/>
      <c r="D818" s="66">
        <f t="shared" si="3"/>
        <v>0</v>
      </c>
      <c r="E818" s="67"/>
      <c r="F818" s="58">
        <f t="shared" si="150"/>
        <v>-8</v>
      </c>
      <c r="G818" s="58"/>
      <c r="H818" s="58">
        <f t="shared" ref="H818:M818" si="815">SUMIFS($C818,$B818,H$8)+H817</f>
        <v>0</v>
      </c>
      <c r="I818" s="58">
        <f t="shared" si="815"/>
        <v>9</v>
      </c>
      <c r="J818" s="58">
        <f t="shared" si="815"/>
        <v>36</v>
      </c>
      <c r="K818" s="58">
        <f t="shared" si="815"/>
        <v>0</v>
      </c>
      <c r="L818" s="58">
        <f t="shared" si="815"/>
        <v>0</v>
      </c>
      <c r="M818" s="58">
        <f t="shared" si="815"/>
        <v>0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0" customHeight="1">
      <c r="A819" s="70"/>
      <c r="B819" s="71"/>
      <c r="C819" s="66"/>
      <c r="D819" s="66">
        <f t="shared" si="3"/>
        <v>0</v>
      </c>
      <c r="E819" s="67"/>
      <c r="F819" s="58">
        <f t="shared" si="150"/>
        <v>-8</v>
      </c>
      <c r="G819" s="58"/>
      <c r="H819" s="58">
        <f t="shared" ref="H819:M819" si="816">SUMIFS($C819,$B819,H$8)+H818</f>
        <v>0</v>
      </c>
      <c r="I819" s="58">
        <f t="shared" si="816"/>
        <v>9</v>
      </c>
      <c r="J819" s="58">
        <f t="shared" si="816"/>
        <v>36</v>
      </c>
      <c r="K819" s="58">
        <f t="shared" si="816"/>
        <v>0</v>
      </c>
      <c r="L819" s="58">
        <f t="shared" si="816"/>
        <v>0</v>
      </c>
      <c r="M819" s="58">
        <f t="shared" si="816"/>
        <v>0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0" customHeight="1">
      <c r="A820" s="70"/>
      <c r="B820" s="71"/>
      <c r="C820" s="66"/>
      <c r="D820" s="66">
        <f t="shared" si="3"/>
        <v>0</v>
      </c>
      <c r="E820" s="67"/>
      <c r="F820" s="58">
        <f t="shared" si="150"/>
        <v>-8</v>
      </c>
      <c r="G820" s="58"/>
      <c r="H820" s="58">
        <f t="shared" ref="H820:M820" si="817">SUMIFS($C820,$B820,H$8)+H819</f>
        <v>0</v>
      </c>
      <c r="I820" s="58">
        <f t="shared" si="817"/>
        <v>9</v>
      </c>
      <c r="J820" s="58">
        <f t="shared" si="817"/>
        <v>36</v>
      </c>
      <c r="K820" s="58">
        <f t="shared" si="817"/>
        <v>0</v>
      </c>
      <c r="L820" s="58">
        <f t="shared" si="817"/>
        <v>0</v>
      </c>
      <c r="M820" s="58">
        <f t="shared" si="817"/>
        <v>0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0" customHeight="1">
      <c r="A821" s="70"/>
      <c r="B821" s="71"/>
      <c r="C821" s="66"/>
      <c r="D821" s="66">
        <f t="shared" si="3"/>
        <v>0</v>
      </c>
      <c r="E821" s="67"/>
      <c r="F821" s="58">
        <f t="shared" si="150"/>
        <v>-8</v>
      </c>
      <c r="G821" s="58"/>
      <c r="H821" s="58">
        <f t="shared" ref="H821:M821" si="818">SUMIFS($C821,$B821,H$8)+H820</f>
        <v>0</v>
      </c>
      <c r="I821" s="58">
        <f t="shared" si="818"/>
        <v>9</v>
      </c>
      <c r="J821" s="58">
        <f t="shared" si="818"/>
        <v>36</v>
      </c>
      <c r="K821" s="58">
        <f t="shared" si="818"/>
        <v>0</v>
      </c>
      <c r="L821" s="58">
        <f t="shared" si="818"/>
        <v>0</v>
      </c>
      <c r="M821" s="58">
        <f t="shared" si="818"/>
        <v>0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0" customHeight="1">
      <c r="A822" s="70"/>
      <c r="B822" s="71"/>
      <c r="C822" s="66"/>
      <c r="D822" s="66">
        <f t="shared" si="3"/>
        <v>0</v>
      </c>
      <c r="E822" s="67"/>
      <c r="F822" s="58">
        <f t="shared" si="150"/>
        <v>-8</v>
      </c>
      <c r="G822" s="58"/>
      <c r="H822" s="58">
        <f t="shared" ref="H822:M822" si="819">SUMIFS($C822,$B822,H$8)+H821</f>
        <v>0</v>
      </c>
      <c r="I822" s="58">
        <f t="shared" si="819"/>
        <v>9</v>
      </c>
      <c r="J822" s="58">
        <f t="shared" si="819"/>
        <v>36</v>
      </c>
      <c r="K822" s="58">
        <f t="shared" si="819"/>
        <v>0</v>
      </c>
      <c r="L822" s="58">
        <f t="shared" si="819"/>
        <v>0</v>
      </c>
      <c r="M822" s="58">
        <f t="shared" si="819"/>
        <v>0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0" customHeight="1">
      <c r="A823" s="70"/>
      <c r="B823" s="71"/>
      <c r="C823" s="66"/>
      <c r="D823" s="66">
        <f t="shared" si="3"/>
        <v>0</v>
      </c>
      <c r="E823" s="67"/>
      <c r="F823" s="58">
        <f t="shared" si="150"/>
        <v>-8</v>
      </c>
      <c r="G823" s="58"/>
      <c r="H823" s="58">
        <f t="shared" ref="H823:M823" si="820">SUMIFS($C823,$B823,H$8)+H822</f>
        <v>0</v>
      </c>
      <c r="I823" s="58">
        <f t="shared" si="820"/>
        <v>9</v>
      </c>
      <c r="J823" s="58">
        <f t="shared" si="820"/>
        <v>36</v>
      </c>
      <c r="K823" s="58">
        <f t="shared" si="820"/>
        <v>0</v>
      </c>
      <c r="L823" s="58">
        <f t="shared" si="820"/>
        <v>0</v>
      </c>
      <c r="M823" s="58">
        <f t="shared" si="820"/>
        <v>0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0" customHeight="1">
      <c r="A824" s="70"/>
      <c r="B824" s="71"/>
      <c r="C824" s="66"/>
      <c r="D824" s="66">
        <f t="shared" si="3"/>
        <v>0</v>
      </c>
      <c r="E824" s="67"/>
      <c r="F824" s="58">
        <f t="shared" si="150"/>
        <v>-8</v>
      </c>
      <c r="G824" s="58"/>
      <c r="H824" s="58">
        <f t="shared" ref="H824:M824" si="821">SUMIFS($C824,$B824,H$8)+H823</f>
        <v>0</v>
      </c>
      <c r="I824" s="58">
        <f t="shared" si="821"/>
        <v>9</v>
      </c>
      <c r="J824" s="58">
        <f t="shared" si="821"/>
        <v>36</v>
      </c>
      <c r="K824" s="58">
        <f t="shared" si="821"/>
        <v>0</v>
      </c>
      <c r="L824" s="58">
        <f t="shared" si="821"/>
        <v>0</v>
      </c>
      <c r="M824" s="58">
        <f t="shared" si="821"/>
        <v>0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0" customHeight="1">
      <c r="A825" s="70"/>
      <c r="B825" s="71"/>
      <c r="C825" s="66"/>
      <c r="D825" s="66">
        <f t="shared" si="3"/>
        <v>0</v>
      </c>
      <c r="E825" s="67"/>
      <c r="F825" s="58">
        <f t="shared" si="150"/>
        <v>-8</v>
      </c>
      <c r="G825" s="58"/>
      <c r="H825" s="58">
        <f t="shared" ref="H825:M825" si="822">SUMIFS($C825,$B825,H$8)+H824</f>
        <v>0</v>
      </c>
      <c r="I825" s="58">
        <f t="shared" si="822"/>
        <v>9</v>
      </c>
      <c r="J825" s="58">
        <f t="shared" si="822"/>
        <v>36</v>
      </c>
      <c r="K825" s="58">
        <f t="shared" si="822"/>
        <v>0</v>
      </c>
      <c r="L825" s="58">
        <f t="shared" si="822"/>
        <v>0</v>
      </c>
      <c r="M825" s="58">
        <f t="shared" si="822"/>
        <v>0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0" customHeight="1">
      <c r="A826" s="70"/>
      <c r="B826" s="71"/>
      <c r="C826" s="66"/>
      <c r="D826" s="66">
        <f t="shared" si="3"/>
        <v>0</v>
      </c>
      <c r="E826" s="67"/>
      <c r="F826" s="58">
        <f t="shared" si="150"/>
        <v>-8</v>
      </c>
      <c r="G826" s="58"/>
      <c r="H826" s="58">
        <f t="shared" ref="H826:M826" si="823">SUMIFS($C826,$B826,H$8)+H825</f>
        <v>0</v>
      </c>
      <c r="I826" s="58">
        <f t="shared" si="823"/>
        <v>9</v>
      </c>
      <c r="J826" s="58">
        <f t="shared" si="823"/>
        <v>36</v>
      </c>
      <c r="K826" s="58">
        <f t="shared" si="823"/>
        <v>0</v>
      </c>
      <c r="L826" s="58">
        <f t="shared" si="823"/>
        <v>0</v>
      </c>
      <c r="M826" s="58">
        <f t="shared" si="823"/>
        <v>0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0" customHeight="1">
      <c r="A827" s="70"/>
      <c r="B827" s="71"/>
      <c r="C827" s="66"/>
      <c r="D827" s="66">
        <f t="shared" si="3"/>
        <v>0</v>
      </c>
      <c r="E827" s="67"/>
      <c r="F827" s="58">
        <f t="shared" si="150"/>
        <v>-8</v>
      </c>
      <c r="G827" s="58"/>
      <c r="H827" s="58">
        <f t="shared" ref="H827:M827" si="824">SUMIFS($C827,$B827,H$8)+H826</f>
        <v>0</v>
      </c>
      <c r="I827" s="58">
        <f t="shared" si="824"/>
        <v>9</v>
      </c>
      <c r="J827" s="58">
        <f t="shared" si="824"/>
        <v>36</v>
      </c>
      <c r="K827" s="58">
        <f t="shared" si="824"/>
        <v>0</v>
      </c>
      <c r="L827" s="58">
        <f t="shared" si="824"/>
        <v>0</v>
      </c>
      <c r="M827" s="58">
        <f t="shared" si="824"/>
        <v>0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0" customHeight="1">
      <c r="A828" s="70"/>
      <c r="B828" s="71"/>
      <c r="C828" s="66"/>
      <c r="D828" s="66">
        <f t="shared" si="3"/>
        <v>0</v>
      </c>
      <c r="E828" s="67"/>
      <c r="F828" s="58">
        <f t="shared" si="150"/>
        <v>-8</v>
      </c>
      <c r="G828" s="58"/>
      <c r="H828" s="58">
        <f t="shared" ref="H828:M828" si="825">SUMIFS($C828,$B828,H$8)+H827</f>
        <v>0</v>
      </c>
      <c r="I828" s="58">
        <f t="shared" si="825"/>
        <v>9</v>
      </c>
      <c r="J828" s="58">
        <f t="shared" si="825"/>
        <v>36</v>
      </c>
      <c r="K828" s="58">
        <f t="shared" si="825"/>
        <v>0</v>
      </c>
      <c r="L828" s="58">
        <f t="shared" si="825"/>
        <v>0</v>
      </c>
      <c r="M828" s="58">
        <f t="shared" si="825"/>
        <v>0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0" customHeight="1">
      <c r="A829" s="70"/>
      <c r="B829" s="71"/>
      <c r="C829" s="66"/>
      <c r="D829" s="66">
        <f t="shared" si="3"/>
        <v>0</v>
      </c>
      <c r="E829" s="67"/>
      <c r="F829" s="58">
        <f t="shared" si="150"/>
        <v>-8</v>
      </c>
      <c r="G829" s="58"/>
      <c r="H829" s="58">
        <f t="shared" ref="H829:M829" si="826">SUMIFS($C829,$B829,H$8)+H828</f>
        <v>0</v>
      </c>
      <c r="I829" s="58">
        <f t="shared" si="826"/>
        <v>9</v>
      </c>
      <c r="J829" s="58">
        <f t="shared" si="826"/>
        <v>36</v>
      </c>
      <c r="K829" s="58">
        <f t="shared" si="826"/>
        <v>0</v>
      </c>
      <c r="L829" s="58">
        <f t="shared" si="826"/>
        <v>0</v>
      </c>
      <c r="M829" s="58">
        <f t="shared" si="826"/>
        <v>0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0" customHeight="1">
      <c r="A830" s="70"/>
      <c r="B830" s="71"/>
      <c r="C830" s="66"/>
      <c r="D830" s="66">
        <f t="shared" si="3"/>
        <v>0</v>
      </c>
      <c r="E830" s="67"/>
      <c r="F830" s="58">
        <f t="shared" si="150"/>
        <v>-8</v>
      </c>
      <c r="G830" s="58"/>
      <c r="H830" s="58">
        <f t="shared" ref="H830:M830" si="827">SUMIFS($C830,$B830,H$8)+H829</f>
        <v>0</v>
      </c>
      <c r="I830" s="58">
        <f t="shared" si="827"/>
        <v>9</v>
      </c>
      <c r="J830" s="58">
        <f t="shared" si="827"/>
        <v>36</v>
      </c>
      <c r="K830" s="58">
        <f t="shared" si="827"/>
        <v>0</v>
      </c>
      <c r="L830" s="58">
        <f t="shared" si="827"/>
        <v>0</v>
      </c>
      <c r="M830" s="58">
        <f t="shared" si="827"/>
        <v>0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0" customHeight="1">
      <c r="A831" s="70"/>
      <c r="B831" s="71"/>
      <c r="C831" s="66"/>
      <c r="D831" s="66">
        <f t="shared" si="3"/>
        <v>0</v>
      </c>
      <c r="E831" s="67"/>
      <c r="F831" s="58">
        <f t="shared" si="150"/>
        <v>-8</v>
      </c>
      <c r="G831" s="58"/>
      <c r="H831" s="58">
        <f t="shared" ref="H831:M831" si="828">SUMIFS($C831,$B831,H$8)+H830</f>
        <v>0</v>
      </c>
      <c r="I831" s="58">
        <f t="shared" si="828"/>
        <v>9</v>
      </c>
      <c r="J831" s="58">
        <f t="shared" si="828"/>
        <v>36</v>
      </c>
      <c r="K831" s="58">
        <f t="shared" si="828"/>
        <v>0</v>
      </c>
      <c r="L831" s="58">
        <f t="shared" si="828"/>
        <v>0</v>
      </c>
      <c r="M831" s="58">
        <f t="shared" si="828"/>
        <v>0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0" customHeight="1">
      <c r="A832" s="70"/>
      <c r="B832" s="71"/>
      <c r="C832" s="66"/>
      <c r="D832" s="66">
        <f t="shared" si="3"/>
        <v>0</v>
      </c>
      <c r="E832" s="67"/>
      <c r="F832" s="58">
        <f t="shared" si="150"/>
        <v>-8</v>
      </c>
      <c r="G832" s="58"/>
      <c r="H832" s="58">
        <f t="shared" ref="H832:M832" si="829">SUMIFS($C832,$B832,H$8)+H831</f>
        <v>0</v>
      </c>
      <c r="I832" s="58">
        <f t="shared" si="829"/>
        <v>9</v>
      </c>
      <c r="J832" s="58">
        <f t="shared" si="829"/>
        <v>36</v>
      </c>
      <c r="K832" s="58">
        <f t="shared" si="829"/>
        <v>0</v>
      </c>
      <c r="L832" s="58">
        <f t="shared" si="829"/>
        <v>0</v>
      </c>
      <c r="M832" s="58">
        <f t="shared" si="829"/>
        <v>0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0" customHeight="1">
      <c r="A833" s="70"/>
      <c r="B833" s="71"/>
      <c r="C833" s="66"/>
      <c r="D833" s="66">
        <f t="shared" si="3"/>
        <v>0</v>
      </c>
      <c r="E833" s="67"/>
      <c r="F833" s="58">
        <f t="shared" si="150"/>
        <v>-8</v>
      </c>
      <c r="G833" s="58"/>
      <c r="H833" s="58">
        <f t="shared" ref="H833:M833" si="830">SUMIFS($C833,$B833,H$8)+H832</f>
        <v>0</v>
      </c>
      <c r="I833" s="58">
        <f t="shared" si="830"/>
        <v>9</v>
      </c>
      <c r="J833" s="58">
        <f t="shared" si="830"/>
        <v>36</v>
      </c>
      <c r="K833" s="58">
        <f t="shared" si="830"/>
        <v>0</v>
      </c>
      <c r="L833" s="58">
        <f t="shared" si="830"/>
        <v>0</v>
      </c>
      <c r="M833" s="58">
        <f t="shared" si="830"/>
        <v>0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0" customHeight="1">
      <c r="A834" s="70"/>
      <c r="B834" s="71"/>
      <c r="C834" s="66"/>
      <c r="D834" s="66">
        <f t="shared" si="3"/>
        <v>0</v>
      </c>
      <c r="E834" s="67"/>
      <c r="F834" s="58">
        <f t="shared" si="150"/>
        <v>-8</v>
      </c>
      <c r="G834" s="58"/>
      <c r="H834" s="58">
        <f t="shared" ref="H834:M834" si="831">SUMIFS($C834,$B834,H$8)+H833</f>
        <v>0</v>
      </c>
      <c r="I834" s="58">
        <f t="shared" si="831"/>
        <v>9</v>
      </c>
      <c r="J834" s="58">
        <f t="shared" si="831"/>
        <v>36</v>
      </c>
      <c r="K834" s="58">
        <f t="shared" si="831"/>
        <v>0</v>
      </c>
      <c r="L834" s="58">
        <f t="shared" si="831"/>
        <v>0</v>
      </c>
      <c r="M834" s="58">
        <f t="shared" si="831"/>
        <v>0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0" customHeight="1">
      <c r="A835" s="70"/>
      <c r="B835" s="71"/>
      <c r="C835" s="66"/>
      <c r="D835" s="66">
        <f t="shared" si="3"/>
        <v>0</v>
      </c>
      <c r="E835" s="67"/>
      <c r="F835" s="58">
        <f t="shared" si="150"/>
        <v>-8</v>
      </c>
      <c r="G835" s="58"/>
      <c r="H835" s="58">
        <f t="shared" ref="H835:M835" si="832">SUMIFS($C835,$B835,H$8)+H834</f>
        <v>0</v>
      </c>
      <c r="I835" s="58">
        <f t="shared" si="832"/>
        <v>9</v>
      </c>
      <c r="J835" s="58">
        <f t="shared" si="832"/>
        <v>36</v>
      </c>
      <c r="K835" s="58">
        <f t="shared" si="832"/>
        <v>0</v>
      </c>
      <c r="L835" s="58">
        <f t="shared" si="832"/>
        <v>0</v>
      </c>
      <c r="M835" s="58">
        <f t="shared" si="832"/>
        <v>0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0" customHeight="1">
      <c r="A836" s="70"/>
      <c r="B836" s="71"/>
      <c r="C836" s="66"/>
      <c r="D836" s="66">
        <f t="shared" si="3"/>
        <v>0</v>
      </c>
      <c r="E836" s="67"/>
      <c r="F836" s="58">
        <f t="shared" si="150"/>
        <v>-8</v>
      </c>
      <c r="G836" s="58"/>
      <c r="H836" s="58">
        <f t="shared" ref="H836:M836" si="833">SUMIFS($C836,$B836,H$8)+H835</f>
        <v>0</v>
      </c>
      <c r="I836" s="58">
        <f t="shared" si="833"/>
        <v>9</v>
      </c>
      <c r="J836" s="58">
        <f t="shared" si="833"/>
        <v>36</v>
      </c>
      <c r="K836" s="58">
        <f t="shared" si="833"/>
        <v>0</v>
      </c>
      <c r="L836" s="58">
        <f t="shared" si="833"/>
        <v>0</v>
      </c>
      <c r="M836" s="58">
        <f t="shared" si="833"/>
        <v>0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0" customHeight="1">
      <c r="A837" s="70"/>
      <c r="B837" s="71"/>
      <c r="C837" s="66"/>
      <c r="D837" s="66">
        <f t="shared" si="3"/>
        <v>0</v>
      </c>
      <c r="E837" s="67"/>
      <c r="F837" s="58">
        <f t="shared" si="150"/>
        <v>-8</v>
      </c>
      <c r="G837" s="58"/>
      <c r="H837" s="58">
        <f t="shared" ref="H837:M837" si="834">SUMIFS($C837,$B837,H$8)+H836</f>
        <v>0</v>
      </c>
      <c r="I837" s="58">
        <f t="shared" si="834"/>
        <v>9</v>
      </c>
      <c r="J837" s="58">
        <f t="shared" si="834"/>
        <v>36</v>
      </c>
      <c r="K837" s="58">
        <f t="shared" si="834"/>
        <v>0</v>
      </c>
      <c r="L837" s="58">
        <f t="shared" si="834"/>
        <v>0</v>
      </c>
      <c r="M837" s="58">
        <f t="shared" si="834"/>
        <v>0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0" customHeight="1">
      <c r="A838" s="70"/>
      <c r="B838" s="71"/>
      <c r="C838" s="66"/>
      <c r="D838" s="66">
        <f t="shared" si="3"/>
        <v>0</v>
      </c>
      <c r="E838" s="67"/>
      <c r="F838" s="58">
        <f t="shared" si="150"/>
        <v>-8</v>
      </c>
      <c r="G838" s="58"/>
      <c r="H838" s="58">
        <f t="shared" ref="H838:M838" si="835">SUMIFS($C838,$B838,H$8)+H837</f>
        <v>0</v>
      </c>
      <c r="I838" s="58">
        <f t="shared" si="835"/>
        <v>9</v>
      </c>
      <c r="J838" s="58">
        <f t="shared" si="835"/>
        <v>36</v>
      </c>
      <c r="K838" s="58">
        <f t="shared" si="835"/>
        <v>0</v>
      </c>
      <c r="L838" s="58">
        <f t="shared" si="835"/>
        <v>0</v>
      </c>
      <c r="M838" s="58">
        <f t="shared" si="835"/>
        <v>0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0" customHeight="1">
      <c r="A839" s="70"/>
      <c r="B839" s="71"/>
      <c r="C839" s="66"/>
      <c r="D839" s="66">
        <f t="shared" si="3"/>
        <v>0</v>
      </c>
      <c r="E839" s="67"/>
      <c r="F839" s="58">
        <f t="shared" si="150"/>
        <v>-8</v>
      </c>
      <c r="G839" s="58"/>
      <c r="H839" s="58">
        <f t="shared" ref="H839:M839" si="836">SUMIFS($C839,$B839,H$8)+H838</f>
        <v>0</v>
      </c>
      <c r="I839" s="58">
        <f t="shared" si="836"/>
        <v>9</v>
      </c>
      <c r="J839" s="58">
        <f t="shared" si="836"/>
        <v>36</v>
      </c>
      <c r="K839" s="58">
        <f t="shared" si="836"/>
        <v>0</v>
      </c>
      <c r="L839" s="58">
        <f t="shared" si="836"/>
        <v>0</v>
      </c>
      <c r="M839" s="58">
        <f t="shared" si="836"/>
        <v>0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0" customHeight="1">
      <c r="A840" s="70"/>
      <c r="B840" s="71"/>
      <c r="C840" s="66"/>
      <c r="D840" s="66">
        <f t="shared" si="3"/>
        <v>0</v>
      </c>
      <c r="E840" s="67"/>
      <c r="F840" s="58">
        <f t="shared" si="150"/>
        <v>-8</v>
      </c>
      <c r="G840" s="58"/>
      <c r="H840" s="58">
        <f t="shared" ref="H840:M840" si="837">SUMIFS($C840,$B840,H$8)+H839</f>
        <v>0</v>
      </c>
      <c r="I840" s="58">
        <f t="shared" si="837"/>
        <v>9</v>
      </c>
      <c r="J840" s="58">
        <f t="shared" si="837"/>
        <v>36</v>
      </c>
      <c r="K840" s="58">
        <f t="shared" si="837"/>
        <v>0</v>
      </c>
      <c r="L840" s="58">
        <f t="shared" si="837"/>
        <v>0</v>
      </c>
      <c r="M840" s="58">
        <f t="shared" si="837"/>
        <v>0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0" customHeight="1">
      <c r="A841" s="70"/>
      <c r="B841" s="71"/>
      <c r="C841" s="66"/>
      <c r="D841" s="66">
        <f t="shared" si="3"/>
        <v>0</v>
      </c>
      <c r="E841" s="67"/>
      <c r="F841" s="58">
        <f t="shared" si="150"/>
        <v>-8</v>
      </c>
      <c r="G841" s="58"/>
      <c r="H841" s="58">
        <f t="shared" ref="H841:M841" si="838">SUMIFS($C841,$B841,H$8)+H840</f>
        <v>0</v>
      </c>
      <c r="I841" s="58">
        <f t="shared" si="838"/>
        <v>9</v>
      </c>
      <c r="J841" s="58">
        <f t="shared" si="838"/>
        <v>36</v>
      </c>
      <c r="K841" s="58">
        <f t="shared" si="838"/>
        <v>0</v>
      </c>
      <c r="L841" s="58">
        <f t="shared" si="838"/>
        <v>0</v>
      </c>
      <c r="M841" s="58">
        <f t="shared" si="838"/>
        <v>0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0" customHeight="1">
      <c r="A842" s="70"/>
      <c r="B842" s="71"/>
      <c r="C842" s="66"/>
      <c r="D842" s="66">
        <f t="shared" si="3"/>
        <v>0</v>
      </c>
      <c r="E842" s="67"/>
      <c r="F842" s="58">
        <f t="shared" si="150"/>
        <v>-8</v>
      </c>
      <c r="G842" s="58"/>
      <c r="H842" s="58">
        <f t="shared" ref="H842:M842" si="839">SUMIFS($C842,$B842,H$8)+H841</f>
        <v>0</v>
      </c>
      <c r="I842" s="58">
        <f t="shared" si="839"/>
        <v>9</v>
      </c>
      <c r="J842" s="58">
        <f t="shared" si="839"/>
        <v>36</v>
      </c>
      <c r="K842" s="58">
        <f t="shared" si="839"/>
        <v>0</v>
      </c>
      <c r="L842" s="58">
        <f t="shared" si="839"/>
        <v>0</v>
      </c>
      <c r="M842" s="58">
        <f t="shared" si="839"/>
        <v>0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0" customHeight="1">
      <c r="A843" s="70"/>
      <c r="B843" s="71"/>
      <c r="C843" s="66"/>
      <c r="D843" s="66">
        <f t="shared" si="3"/>
        <v>0</v>
      </c>
      <c r="E843" s="67"/>
      <c r="F843" s="58">
        <f t="shared" si="150"/>
        <v>-8</v>
      </c>
      <c r="G843" s="58"/>
      <c r="H843" s="58">
        <f t="shared" ref="H843:M843" si="840">SUMIFS($C843,$B843,H$8)+H842</f>
        <v>0</v>
      </c>
      <c r="I843" s="58">
        <f t="shared" si="840"/>
        <v>9</v>
      </c>
      <c r="J843" s="58">
        <f t="shared" si="840"/>
        <v>36</v>
      </c>
      <c r="K843" s="58">
        <f t="shared" si="840"/>
        <v>0</v>
      </c>
      <c r="L843" s="58">
        <f t="shared" si="840"/>
        <v>0</v>
      </c>
      <c r="M843" s="58">
        <f t="shared" si="840"/>
        <v>0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0" customHeight="1">
      <c r="A844" s="70"/>
      <c r="B844" s="71"/>
      <c r="C844" s="66"/>
      <c r="D844" s="66">
        <f t="shared" si="3"/>
        <v>0</v>
      </c>
      <c r="E844" s="67"/>
      <c r="F844" s="58">
        <f t="shared" si="150"/>
        <v>-8</v>
      </c>
      <c r="G844" s="58"/>
      <c r="H844" s="58">
        <f t="shared" ref="H844:M844" si="841">SUMIFS($C844,$B844,H$8)+H843</f>
        <v>0</v>
      </c>
      <c r="I844" s="58">
        <f t="shared" si="841"/>
        <v>9</v>
      </c>
      <c r="J844" s="58">
        <f t="shared" si="841"/>
        <v>36</v>
      </c>
      <c r="K844" s="58">
        <f t="shared" si="841"/>
        <v>0</v>
      </c>
      <c r="L844" s="58">
        <f t="shared" si="841"/>
        <v>0</v>
      </c>
      <c r="M844" s="58">
        <f t="shared" si="841"/>
        <v>0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0" customHeight="1">
      <c r="A845" s="70"/>
      <c r="B845" s="71"/>
      <c r="C845" s="66"/>
      <c r="D845" s="66">
        <f t="shared" si="3"/>
        <v>0</v>
      </c>
      <c r="E845" s="67"/>
      <c r="F845" s="58">
        <f t="shared" si="150"/>
        <v>-8</v>
      </c>
      <c r="G845" s="58"/>
      <c r="H845" s="58">
        <f t="shared" ref="H845:M845" si="842">SUMIFS($C845,$B845,H$8)+H844</f>
        <v>0</v>
      </c>
      <c r="I845" s="58">
        <f t="shared" si="842"/>
        <v>9</v>
      </c>
      <c r="J845" s="58">
        <f t="shared" si="842"/>
        <v>36</v>
      </c>
      <c r="K845" s="58">
        <f t="shared" si="842"/>
        <v>0</v>
      </c>
      <c r="L845" s="58">
        <f t="shared" si="842"/>
        <v>0</v>
      </c>
      <c r="M845" s="58">
        <f t="shared" si="842"/>
        <v>0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0" customHeight="1">
      <c r="A846" s="70"/>
      <c r="B846" s="71"/>
      <c r="C846" s="66"/>
      <c r="D846" s="66">
        <f t="shared" si="3"/>
        <v>0</v>
      </c>
      <c r="E846" s="67"/>
      <c r="F846" s="58">
        <f t="shared" si="150"/>
        <v>-8</v>
      </c>
      <c r="G846" s="58"/>
      <c r="H846" s="58">
        <f t="shared" ref="H846:M846" si="843">SUMIFS($C846,$B846,H$8)+H845</f>
        <v>0</v>
      </c>
      <c r="I846" s="58">
        <f t="shared" si="843"/>
        <v>9</v>
      </c>
      <c r="J846" s="58">
        <f t="shared" si="843"/>
        <v>36</v>
      </c>
      <c r="K846" s="58">
        <f t="shared" si="843"/>
        <v>0</v>
      </c>
      <c r="L846" s="58">
        <f t="shared" si="843"/>
        <v>0</v>
      </c>
      <c r="M846" s="58">
        <f t="shared" si="843"/>
        <v>0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0" customHeight="1">
      <c r="A847" s="70"/>
      <c r="B847" s="71"/>
      <c r="C847" s="66"/>
      <c r="D847" s="66">
        <f t="shared" si="3"/>
        <v>0</v>
      </c>
      <c r="E847" s="67"/>
      <c r="F847" s="58">
        <f t="shared" si="150"/>
        <v>-8</v>
      </c>
      <c r="G847" s="58"/>
      <c r="H847" s="58">
        <f t="shared" ref="H847:M847" si="844">SUMIFS($C847,$B847,H$8)+H846</f>
        <v>0</v>
      </c>
      <c r="I847" s="58">
        <f t="shared" si="844"/>
        <v>9</v>
      </c>
      <c r="J847" s="58">
        <f t="shared" si="844"/>
        <v>36</v>
      </c>
      <c r="K847" s="58">
        <f t="shared" si="844"/>
        <v>0</v>
      </c>
      <c r="L847" s="58">
        <f t="shared" si="844"/>
        <v>0</v>
      </c>
      <c r="M847" s="58">
        <f t="shared" si="844"/>
        <v>0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0" customHeight="1">
      <c r="A848" s="70"/>
      <c r="B848" s="71"/>
      <c r="C848" s="66"/>
      <c r="D848" s="66">
        <f t="shared" si="3"/>
        <v>0</v>
      </c>
      <c r="E848" s="67"/>
      <c r="F848" s="58">
        <f t="shared" si="150"/>
        <v>-8</v>
      </c>
      <c r="G848" s="58"/>
      <c r="H848" s="58">
        <f t="shared" ref="H848:M848" si="845">SUMIFS($C848,$B848,H$8)+H847</f>
        <v>0</v>
      </c>
      <c r="I848" s="58">
        <f t="shared" si="845"/>
        <v>9</v>
      </c>
      <c r="J848" s="58">
        <f t="shared" si="845"/>
        <v>36</v>
      </c>
      <c r="K848" s="58">
        <f t="shared" si="845"/>
        <v>0</v>
      </c>
      <c r="L848" s="58">
        <f t="shared" si="845"/>
        <v>0</v>
      </c>
      <c r="M848" s="58">
        <f t="shared" si="845"/>
        <v>0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0" customHeight="1">
      <c r="A849" s="70"/>
      <c r="B849" s="71"/>
      <c r="C849" s="66"/>
      <c r="D849" s="66">
        <f t="shared" si="3"/>
        <v>0</v>
      </c>
      <c r="E849" s="67"/>
      <c r="F849" s="58">
        <f t="shared" si="150"/>
        <v>-8</v>
      </c>
      <c r="G849" s="58"/>
      <c r="H849" s="58">
        <f t="shared" ref="H849:M849" si="846">SUMIFS($C849,$B849,H$8)+H848</f>
        <v>0</v>
      </c>
      <c r="I849" s="58">
        <f t="shared" si="846"/>
        <v>9</v>
      </c>
      <c r="J849" s="58">
        <f t="shared" si="846"/>
        <v>36</v>
      </c>
      <c r="K849" s="58">
        <f t="shared" si="846"/>
        <v>0</v>
      </c>
      <c r="L849" s="58">
        <f t="shared" si="846"/>
        <v>0</v>
      </c>
      <c r="M849" s="58">
        <f t="shared" si="846"/>
        <v>0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0" customHeight="1">
      <c r="A850" s="70"/>
      <c r="B850" s="71"/>
      <c r="C850" s="66"/>
      <c r="D850" s="66">
        <f t="shared" si="3"/>
        <v>0</v>
      </c>
      <c r="E850" s="67"/>
      <c r="F850" s="58">
        <f t="shared" si="150"/>
        <v>-8</v>
      </c>
      <c r="G850" s="58"/>
      <c r="H850" s="58">
        <f t="shared" ref="H850:M850" si="847">SUMIFS($C850,$B850,H$8)+H849</f>
        <v>0</v>
      </c>
      <c r="I850" s="58">
        <f t="shared" si="847"/>
        <v>9</v>
      </c>
      <c r="J850" s="58">
        <f t="shared" si="847"/>
        <v>36</v>
      </c>
      <c r="K850" s="58">
        <f t="shared" si="847"/>
        <v>0</v>
      </c>
      <c r="L850" s="58">
        <f t="shared" si="847"/>
        <v>0</v>
      </c>
      <c r="M850" s="58">
        <f t="shared" si="847"/>
        <v>0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0" customHeight="1">
      <c r="A851" s="70"/>
      <c r="B851" s="71"/>
      <c r="C851" s="66"/>
      <c r="D851" s="66">
        <f t="shared" si="3"/>
        <v>0</v>
      </c>
      <c r="E851" s="67"/>
      <c r="F851" s="58">
        <f t="shared" si="150"/>
        <v>-8</v>
      </c>
      <c r="G851" s="58"/>
      <c r="H851" s="58">
        <f t="shared" ref="H851:M851" si="848">SUMIFS($C851,$B851,H$8)+H850</f>
        <v>0</v>
      </c>
      <c r="I851" s="58">
        <f t="shared" si="848"/>
        <v>9</v>
      </c>
      <c r="J851" s="58">
        <f t="shared" si="848"/>
        <v>36</v>
      </c>
      <c r="K851" s="58">
        <f t="shared" si="848"/>
        <v>0</v>
      </c>
      <c r="L851" s="58">
        <f t="shared" si="848"/>
        <v>0</v>
      </c>
      <c r="M851" s="58">
        <f t="shared" si="848"/>
        <v>0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0" customHeight="1">
      <c r="A852" s="70"/>
      <c r="B852" s="71"/>
      <c r="C852" s="66"/>
      <c r="D852" s="66">
        <f t="shared" si="3"/>
        <v>0</v>
      </c>
      <c r="E852" s="67"/>
      <c r="F852" s="58">
        <f t="shared" si="150"/>
        <v>-8</v>
      </c>
      <c r="G852" s="58"/>
      <c r="H852" s="58">
        <f t="shared" ref="H852:M852" si="849">SUMIFS($C852,$B852,H$8)+H851</f>
        <v>0</v>
      </c>
      <c r="I852" s="58">
        <f t="shared" si="849"/>
        <v>9</v>
      </c>
      <c r="J852" s="58">
        <f t="shared" si="849"/>
        <v>36</v>
      </c>
      <c r="K852" s="58">
        <f t="shared" si="849"/>
        <v>0</v>
      </c>
      <c r="L852" s="58">
        <f t="shared" si="849"/>
        <v>0</v>
      </c>
      <c r="M852" s="58">
        <f t="shared" si="849"/>
        <v>0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0" customHeight="1">
      <c r="A853" s="70"/>
      <c r="B853" s="71"/>
      <c r="C853" s="66"/>
      <c r="D853" s="66">
        <f t="shared" si="3"/>
        <v>0</v>
      </c>
      <c r="E853" s="67"/>
      <c r="F853" s="58">
        <f t="shared" si="150"/>
        <v>-8</v>
      </c>
      <c r="G853" s="58"/>
      <c r="H853" s="58">
        <f t="shared" ref="H853:M853" si="850">SUMIFS($C853,$B853,H$8)+H852</f>
        <v>0</v>
      </c>
      <c r="I853" s="58">
        <f t="shared" si="850"/>
        <v>9</v>
      </c>
      <c r="J853" s="58">
        <f t="shared" si="850"/>
        <v>36</v>
      </c>
      <c r="K853" s="58">
        <f t="shared" si="850"/>
        <v>0</v>
      </c>
      <c r="L853" s="58">
        <f t="shared" si="850"/>
        <v>0</v>
      </c>
      <c r="M853" s="58">
        <f t="shared" si="850"/>
        <v>0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0" customHeight="1">
      <c r="A854" s="70"/>
      <c r="B854" s="71"/>
      <c r="C854" s="66"/>
      <c r="D854" s="66">
        <f t="shared" si="3"/>
        <v>0</v>
      </c>
      <c r="E854" s="67"/>
      <c r="F854" s="58">
        <f t="shared" si="150"/>
        <v>-8</v>
      </c>
      <c r="G854" s="58"/>
      <c r="H854" s="58">
        <f t="shared" ref="H854:M854" si="851">SUMIFS($C854,$B854,H$8)+H853</f>
        <v>0</v>
      </c>
      <c r="I854" s="58">
        <f t="shared" si="851"/>
        <v>9</v>
      </c>
      <c r="J854" s="58">
        <f t="shared" si="851"/>
        <v>36</v>
      </c>
      <c r="K854" s="58">
        <f t="shared" si="851"/>
        <v>0</v>
      </c>
      <c r="L854" s="58">
        <f t="shared" si="851"/>
        <v>0</v>
      </c>
      <c r="M854" s="58">
        <f t="shared" si="851"/>
        <v>0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0" customHeight="1">
      <c r="A855" s="70"/>
      <c r="B855" s="71"/>
      <c r="C855" s="66"/>
      <c r="D855" s="66">
        <f t="shared" si="3"/>
        <v>0</v>
      </c>
      <c r="E855" s="67"/>
      <c r="F855" s="58">
        <f t="shared" si="150"/>
        <v>-8</v>
      </c>
      <c r="G855" s="58"/>
      <c r="H855" s="58">
        <f t="shared" ref="H855:M855" si="852">SUMIFS($C855,$B855,H$8)+H854</f>
        <v>0</v>
      </c>
      <c r="I855" s="58">
        <f t="shared" si="852"/>
        <v>9</v>
      </c>
      <c r="J855" s="58">
        <f t="shared" si="852"/>
        <v>36</v>
      </c>
      <c r="K855" s="58">
        <f t="shared" si="852"/>
        <v>0</v>
      </c>
      <c r="L855" s="58">
        <f t="shared" si="852"/>
        <v>0</v>
      </c>
      <c r="M855" s="58">
        <f t="shared" si="852"/>
        <v>0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0" customHeight="1">
      <c r="A856" s="70"/>
      <c r="B856" s="71"/>
      <c r="C856" s="66"/>
      <c r="D856" s="66">
        <f t="shared" si="3"/>
        <v>0</v>
      </c>
      <c r="E856" s="67"/>
      <c r="F856" s="58">
        <f t="shared" si="150"/>
        <v>-8</v>
      </c>
      <c r="G856" s="58"/>
      <c r="H856" s="58">
        <f t="shared" ref="H856:M856" si="853">SUMIFS($C856,$B856,H$8)+H855</f>
        <v>0</v>
      </c>
      <c r="I856" s="58">
        <f t="shared" si="853"/>
        <v>9</v>
      </c>
      <c r="J856" s="58">
        <f t="shared" si="853"/>
        <v>36</v>
      </c>
      <c r="K856" s="58">
        <f t="shared" si="853"/>
        <v>0</v>
      </c>
      <c r="L856" s="58">
        <f t="shared" si="853"/>
        <v>0</v>
      </c>
      <c r="M856" s="58">
        <f t="shared" si="853"/>
        <v>0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0" customHeight="1">
      <c r="A857" s="70"/>
      <c r="B857" s="71"/>
      <c r="C857" s="66"/>
      <c r="D857" s="66">
        <f t="shared" si="3"/>
        <v>0</v>
      </c>
      <c r="E857" s="67"/>
      <c r="F857" s="58">
        <f t="shared" si="150"/>
        <v>-8</v>
      </c>
      <c r="G857" s="58"/>
      <c r="H857" s="58">
        <f t="shared" ref="H857:M857" si="854">SUMIFS($C857,$B857,H$8)+H856</f>
        <v>0</v>
      </c>
      <c r="I857" s="58">
        <f t="shared" si="854"/>
        <v>9</v>
      </c>
      <c r="J857" s="58">
        <f t="shared" si="854"/>
        <v>36</v>
      </c>
      <c r="K857" s="58">
        <f t="shared" si="854"/>
        <v>0</v>
      </c>
      <c r="L857" s="58">
        <f t="shared" si="854"/>
        <v>0</v>
      </c>
      <c r="M857" s="58">
        <f t="shared" si="854"/>
        <v>0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0" customHeight="1">
      <c r="A858" s="70"/>
      <c r="B858" s="71"/>
      <c r="C858" s="66"/>
      <c r="D858" s="66">
        <f t="shared" si="3"/>
        <v>0</v>
      </c>
      <c r="E858" s="67"/>
      <c r="F858" s="58">
        <f t="shared" si="150"/>
        <v>-8</v>
      </c>
      <c r="G858" s="58"/>
      <c r="H858" s="58">
        <f t="shared" ref="H858:M858" si="855">SUMIFS($C858,$B858,H$8)+H857</f>
        <v>0</v>
      </c>
      <c r="I858" s="58">
        <f t="shared" si="855"/>
        <v>9</v>
      </c>
      <c r="J858" s="58">
        <f t="shared" si="855"/>
        <v>36</v>
      </c>
      <c r="K858" s="58">
        <f t="shared" si="855"/>
        <v>0</v>
      </c>
      <c r="L858" s="58">
        <f t="shared" si="855"/>
        <v>0</v>
      </c>
      <c r="M858" s="58">
        <f t="shared" si="855"/>
        <v>0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0" customHeight="1">
      <c r="A859" s="70"/>
      <c r="B859" s="71"/>
      <c r="C859" s="66"/>
      <c r="D859" s="66">
        <f t="shared" si="3"/>
        <v>0</v>
      </c>
      <c r="E859" s="67"/>
      <c r="F859" s="58">
        <f t="shared" si="150"/>
        <v>-8</v>
      </c>
      <c r="G859" s="58"/>
      <c r="H859" s="58">
        <f t="shared" ref="H859:M859" si="856">SUMIFS($C859,$B859,H$8)+H858</f>
        <v>0</v>
      </c>
      <c r="I859" s="58">
        <f t="shared" si="856"/>
        <v>9</v>
      </c>
      <c r="J859" s="58">
        <f t="shared" si="856"/>
        <v>36</v>
      </c>
      <c r="K859" s="58">
        <f t="shared" si="856"/>
        <v>0</v>
      </c>
      <c r="L859" s="58">
        <f t="shared" si="856"/>
        <v>0</v>
      </c>
      <c r="M859" s="58">
        <f t="shared" si="856"/>
        <v>0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0" customHeight="1">
      <c r="A860" s="70"/>
      <c r="B860" s="71"/>
      <c r="C860" s="66"/>
      <c r="D860" s="66">
        <f t="shared" si="3"/>
        <v>0</v>
      </c>
      <c r="E860" s="67"/>
      <c r="F860" s="58">
        <f t="shared" si="150"/>
        <v>-8</v>
      </c>
      <c r="G860" s="58"/>
      <c r="H860" s="58">
        <f t="shared" ref="H860:M860" si="857">SUMIFS($C860,$B860,H$8)+H859</f>
        <v>0</v>
      </c>
      <c r="I860" s="58">
        <f t="shared" si="857"/>
        <v>9</v>
      </c>
      <c r="J860" s="58">
        <f t="shared" si="857"/>
        <v>36</v>
      </c>
      <c r="K860" s="58">
        <f t="shared" si="857"/>
        <v>0</v>
      </c>
      <c r="L860" s="58">
        <f t="shared" si="857"/>
        <v>0</v>
      </c>
      <c r="M860" s="58">
        <f t="shared" si="857"/>
        <v>0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0" customHeight="1">
      <c r="A861" s="70"/>
      <c r="B861" s="71"/>
      <c r="C861" s="66"/>
      <c r="D861" s="66">
        <f t="shared" si="3"/>
        <v>0</v>
      </c>
      <c r="E861" s="67"/>
      <c r="F861" s="58">
        <f t="shared" si="150"/>
        <v>-8</v>
      </c>
      <c r="G861" s="58"/>
      <c r="H861" s="58">
        <f t="shared" ref="H861:M861" si="858">SUMIFS($C861,$B861,H$8)+H860</f>
        <v>0</v>
      </c>
      <c r="I861" s="58">
        <f t="shared" si="858"/>
        <v>9</v>
      </c>
      <c r="J861" s="58">
        <f t="shared" si="858"/>
        <v>36</v>
      </c>
      <c r="K861" s="58">
        <f t="shared" si="858"/>
        <v>0</v>
      </c>
      <c r="L861" s="58">
        <f t="shared" si="858"/>
        <v>0</v>
      </c>
      <c r="M861" s="58">
        <f t="shared" si="858"/>
        <v>0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0" customHeight="1">
      <c r="A862" s="70"/>
      <c r="B862" s="71"/>
      <c r="C862" s="66"/>
      <c r="D862" s="66">
        <f t="shared" si="3"/>
        <v>0</v>
      </c>
      <c r="E862" s="67"/>
      <c r="F862" s="58">
        <f t="shared" si="150"/>
        <v>-8</v>
      </c>
      <c r="G862" s="58"/>
      <c r="H862" s="58">
        <f t="shared" ref="H862:M862" si="859">SUMIFS($C862,$B862,H$8)+H861</f>
        <v>0</v>
      </c>
      <c r="I862" s="58">
        <f t="shared" si="859"/>
        <v>9</v>
      </c>
      <c r="J862" s="58">
        <f t="shared" si="859"/>
        <v>36</v>
      </c>
      <c r="K862" s="58">
        <f t="shared" si="859"/>
        <v>0</v>
      </c>
      <c r="L862" s="58">
        <f t="shared" si="859"/>
        <v>0</v>
      </c>
      <c r="M862" s="58">
        <f t="shared" si="859"/>
        <v>0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0" customHeight="1">
      <c r="A863" s="70"/>
      <c r="B863" s="71"/>
      <c r="C863" s="66"/>
      <c r="D863" s="66">
        <f t="shared" si="3"/>
        <v>0</v>
      </c>
      <c r="E863" s="67"/>
      <c r="F863" s="58">
        <f t="shared" si="150"/>
        <v>-8</v>
      </c>
      <c r="G863" s="58"/>
      <c r="H863" s="58">
        <f t="shared" ref="H863:M863" si="860">SUMIFS($C863,$B863,H$8)+H862</f>
        <v>0</v>
      </c>
      <c r="I863" s="58">
        <f t="shared" si="860"/>
        <v>9</v>
      </c>
      <c r="J863" s="58">
        <f t="shared" si="860"/>
        <v>36</v>
      </c>
      <c r="K863" s="58">
        <f t="shared" si="860"/>
        <v>0</v>
      </c>
      <c r="L863" s="58">
        <f t="shared" si="860"/>
        <v>0</v>
      </c>
      <c r="M863" s="58">
        <f t="shared" si="860"/>
        <v>0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0" customHeight="1">
      <c r="A864" s="70"/>
      <c r="B864" s="71"/>
      <c r="C864" s="66"/>
      <c r="D864" s="66">
        <f t="shared" si="3"/>
        <v>0</v>
      </c>
      <c r="E864" s="67"/>
      <c r="F864" s="58">
        <f t="shared" si="150"/>
        <v>-8</v>
      </c>
      <c r="G864" s="58"/>
      <c r="H864" s="58">
        <f t="shared" ref="H864:M864" si="861">SUMIFS($C864,$B864,H$8)+H863</f>
        <v>0</v>
      </c>
      <c r="I864" s="58">
        <f t="shared" si="861"/>
        <v>9</v>
      </c>
      <c r="J864" s="58">
        <f t="shared" si="861"/>
        <v>36</v>
      </c>
      <c r="K864" s="58">
        <f t="shared" si="861"/>
        <v>0</v>
      </c>
      <c r="L864" s="58">
        <f t="shared" si="861"/>
        <v>0</v>
      </c>
      <c r="M864" s="58">
        <f t="shared" si="861"/>
        <v>0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0" customHeight="1">
      <c r="A865" s="70"/>
      <c r="B865" s="71"/>
      <c r="C865" s="66"/>
      <c r="D865" s="66">
        <f t="shared" si="3"/>
        <v>0</v>
      </c>
      <c r="E865" s="67"/>
      <c r="F865" s="58">
        <f t="shared" si="150"/>
        <v>-8</v>
      </c>
      <c r="G865" s="58"/>
      <c r="H865" s="58">
        <f t="shared" ref="H865:M865" si="862">SUMIFS($C865,$B865,H$8)+H864</f>
        <v>0</v>
      </c>
      <c r="I865" s="58">
        <f t="shared" si="862"/>
        <v>9</v>
      </c>
      <c r="J865" s="58">
        <f t="shared" si="862"/>
        <v>36</v>
      </c>
      <c r="K865" s="58">
        <f t="shared" si="862"/>
        <v>0</v>
      </c>
      <c r="L865" s="58">
        <f t="shared" si="862"/>
        <v>0</v>
      </c>
      <c r="M865" s="58">
        <f t="shared" si="862"/>
        <v>0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0" customHeight="1">
      <c r="A866" s="70"/>
      <c r="B866" s="71"/>
      <c r="C866" s="66"/>
      <c r="D866" s="66">
        <f t="shared" si="3"/>
        <v>0</v>
      </c>
      <c r="E866" s="67"/>
      <c r="F866" s="58">
        <f t="shared" si="150"/>
        <v>-8</v>
      </c>
      <c r="G866" s="58"/>
      <c r="H866" s="58">
        <f t="shared" ref="H866:M866" si="863">SUMIFS($C866,$B866,H$8)+H865</f>
        <v>0</v>
      </c>
      <c r="I866" s="58">
        <f t="shared" si="863"/>
        <v>9</v>
      </c>
      <c r="J866" s="58">
        <f t="shared" si="863"/>
        <v>36</v>
      </c>
      <c r="K866" s="58">
        <f t="shared" si="863"/>
        <v>0</v>
      </c>
      <c r="L866" s="58">
        <f t="shared" si="863"/>
        <v>0</v>
      </c>
      <c r="M866" s="58">
        <f t="shared" si="863"/>
        <v>0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0" customHeight="1">
      <c r="A867" s="70"/>
      <c r="B867" s="71"/>
      <c r="C867" s="66"/>
      <c r="D867" s="66">
        <f t="shared" si="3"/>
        <v>0</v>
      </c>
      <c r="E867" s="67"/>
      <c r="F867" s="58">
        <f t="shared" si="150"/>
        <v>-8</v>
      </c>
      <c r="G867" s="58"/>
      <c r="H867" s="58">
        <f t="shared" ref="H867:M867" si="864">SUMIFS($C867,$B867,H$8)+H866</f>
        <v>0</v>
      </c>
      <c r="I867" s="58">
        <f t="shared" si="864"/>
        <v>9</v>
      </c>
      <c r="J867" s="58">
        <f t="shared" si="864"/>
        <v>36</v>
      </c>
      <c r="K867" s="58">
        <f t="shared" si="864"/>
        <v>0</v>
      </c>
      <c r="L867" s="58">
        <f t="shared" si="864"/>
        <v>0</v>
      </c>
      <c r="M867" s="58">
        <f t="shared" si="864"/>
        <v>0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0" customHeight="1">
      <c r="A868" s="70"/>
      <c r="B868" s="71"/>
      <c r="C868" s="66"/>
      <c r="D868" s="66">
        <f t="shared" si="3"/>
        <v>0</v>
      </c>
      <c r="E868" s="67"/>
      <c r="F868" s="58">
        <f t="shared" si="150"/>
        <v>-8</v>
      </c>
      <c r="G868" s="58"/>
      <c r="H868" s="58">
        <f t="shared" ref="H868:M868" si="865">SUMIFS($C868,$B868,H$8)+H867</f>
        <v>0</v>
      </c>
      <c r="I868" s="58">
        <f t="shared" si="865"/>
        <v>9</v>
      </c>
      <c r="J868" s="58">
        <f t="shared" si="865"/>
        <v>36</v>
      </c>
      <c r="K868" s="58">
        <f t="shared" si="865"/>
        <v>0</v>
      </c>
      <c r="L868" s="58">
        <f t="shared" si="865"/>
        <v>0</v>
      </c>
      <c r="M868" s="58">
        <f t="shared" si="865"/>
        <v>0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0" customHeight="1">
      <c r="A869" s="70"/>
      <c r="B869" s="71"/>
      <c r="C869" s="66"/>
      <c r="D869" s="66">
        <f t="shared" si="3"/>
        <v>0</v>
      </c>
      <c r="E869" s="67"/>
      <c r="F869" s="58">
        <f t="shared" si="150"/>
        <v>-8</v>
      </c>
      <c r="G869" s="58"/>
      <c r="H869" s="58">
        <f t="shared" ref="H869:M869" si="866">SUMIFS($C869,$B869,H$8)+H868</f>
        <v>0</v>
      </c>
      <c r="I869" s="58">
        <f t="shared" si="866"/>
        <v>9</v>
      </c>
      <c r="J869" s="58">
        <f t="shared" si="866"/>
        <v>36</v>
      </c>
      <c r="K869" s="58">
        <f t="shared" si="866"/>
        <v>0</v>
      </c>
      <c r="L869" s="58">
        <f t="shared" si="866"/>
        <v>0</v>
      </c>
      <c r="M869" s="58">
        <f t="shared" si="866"/>
        <v>0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0" customHeight="1">
      <c r="A870" s="70"/>
      <c r="B870" s="71"/>
      <c r="C870" s="66"/>
      <c r="D870" s="66">
        <f t="shared" si="3"/>
        <v>0</v>
      </c>
      <c r="E870" s="67"/>
      <c r="F870" s="58">
        <f t="shared" si="150"/>
        <v>-8</v>
      </c>
      <c r="G870" s="58"/>
      <c r="H870" s="58">
        <f t="shared" ref="H870:M870" si="867">SUMIFS($C870,$B870,H$8)+H869</f>
        <v>0</v>
      </c>
      <c r="I870" s="58">
        <f t="shared" si="867"/>
        <v>9</v>
      </c>
      <c r="J870" s="58">
        <f t="shared" si="867"/>
        <v>36</v>
      </c>
      <c r="K870" s="58">
        <f t="shared" si="867"/>
        <v>0</v>
      </c>
      <c r="L870" s="58">
        <f t="shared" si="867"/>
        <v>0</v>
      </c>
      <c r="M870" s="58">
        <f t="shared" si="867"/>
        <v>0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0" customHeight="1">
      <c r="A871" s="70"/>
      <c r="B871" s="71"/>
      <c r="C871" s="66"/>
      <c r="D871" s="66">
        <f t="shared" si="3"/>
        <v>0</v>
      </c>
      <c r="E871" s="67"/>
      <c r="F871" s="58">
        <f t="shared" si="150"/>
        <v>-8</v>
      </c>
      <c r="G871" s="58"/>
      <c r="H871" s="58">
        <f t="shared" ref="H871:M871" si="868">SUMIFS($C871,$B871,H$8)+H870</f>
        <v>0</v>
      </c>
      <c r="I871" s="58">
        <f t="shared" si="868"/>
        <v>9</v>
      </c>
      <c r="J871" s="58">
        <f t="shared" si="868"/>
        <v>36</v>
      </c>
      <c r="K871" s="58">
        <f t="shared" si="868"/>
        <v>0</v>
      </c>
      <c r="L871" s="58">
        <f t="shared" si="868"/>
        <v>0</v>
      </c>
      <c r="M871" s="58">
        <f t="shared" si="868"/>
        <v>0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0" customHeight="1">
      <c r="A872" s="70"/>
      <c r="B872" s="71"/>
      <c r="C872" s="66"/>
      <c r="D872" s="66">
        <f t="shared" si="3"/>
        <v>0</v>
      </c>
      <c r="E872" s="67"/>
      <c r="F872" s="58">
        <f t="shared" si="150"/>
        <v>-8</v>
      </c>
      <c r="G872" s="58"/>
      <c r="H872" s="58">
        <f t="shared" ref="H872:M872" si="869">SUMIFS($C872,$B872,H$8)+H871</f>
        <v>0</v>
      </c>
      <c r="I872" s="58">
        <f t="shared" si="869"/>
        <v>9</v>
      </c>
      <c r="J872" s="58">
        <f t="shared" si="869"/>
        <v>36</v>
      </c>
      <c r="K872" s="58">
        <f t="shared" si="869"/>
        <v>0</v>
      </c>
      <c r="L872" s="58">
        <f t="shared" si="869"/>
        <v>0</v>
      </c>
      <c r="M872" s="58">
        <f t="shared" si="869"/>
        <v>0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0" customHeight="1">
      <c r="A873" s="70"/>
      <c r="B873" s="71"/>
      <c r="C873" s="66"/>
      <c r="D873" s="66">
        <f t="shared" si="3"/>
        <v>0</v>
      </c>
      <c r="E873" s="67"/>
      <c r="F873" s="58">
        <f t="shared" si="150"/>
        <v>-8</v>
      </c>
      <c r="G873" s="58"/>
      <c r="H873" s="58">
        <f t="shared" ref="H873:M873" si="870">SUMIFS($C873,$B873,H$8)+H872</f>
        <v>0</v>
      </c>
      <c r="I873" s="58">
        <f t="shared" si="870"/>
        <v>9</v>
      </c>
      <c r="J873" s="58">
        <f t="shared" si="870"/>
        <v>36</v>
      </c>
      <c r="K873" s="58">
        <f t="shared" si="870"/>
        <v>0</v>
      </c>
      <c r="L873" s="58">
        <f t="shared" si="870"/>
        <v>0</v>
      </c>
      <c r="M873" s="58">
        <f t="shared" si="870"/>
        <v>0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0" customHeight="1">
      <c r="A874" s="70"/>
      <c r="B874" s="71"/>
      <c r="C874" s="66"/>
      <c r="D874" s="66">
        <f t="shared" si="3"/>
        <v>0</v>
      </c>
      <c r="E874" s="67"/>
      <c r="F874" s="58">
        <f t="shared" si="150"/>
        <v>-8</v>
      </c>
      <c r="G874" s="58"/>
      <c r="H874" s="58">
        <f t="shared" ref="H874:M874" si="871">SUMIFS($C874,$B874,H$8)+H873</f>
        <v>0</v>
      </c>
      <c r="I874" s="58">
        <f t="shared" si="871"/>
        <v>9</v>
      </c>
      <c r="J874" s="58">
        <f t="shared" si="871"/>
        <v>36</v>
      </c>
      <c r="K874" s="58">
        <f t="shared" si="871"/>
        <v>0</v>
      </c>
      <c r="L874" s="58">
        <f t="shared" si="871"/>
        <v>0</v>
      </c>
      <c r="M874" s="58">
        <f t="shared" si="871"/>
        <v>0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0" customHeight="1">
      <c r="A875" s="70"/>
      <c r="B875" s="71"/>
      <c r="C875" s="66"/>
      <c r="D875" s="66">
        <f t="shared" si="3"/>
        <v>0</v>
      </c>
      <c r="E875" s="67"/>
      <c r="F875" s="58">
        <f t="shared" si="150"/>
        <v>-8</v>
      </c>
      <c r="G875" s="58"/>
      <c r="H875" s="58">
        <f t="shared" ref="H875:M875" si="872">SUMIFS($C875,$B875,H$8)+H874</f>
        <v>0</v>
      </c>
      <c r="I875" s="58">
        <f t="shared" si="872"/>
        <v>9</v>
      </c>
      <c r="J875" s="58">
        <f t="shared" si="872"/>
        <v>36</v>
      </c>
      <c r="K875" s="58">
        <f t="shared" si="872"/>
        <v>0</v>
      </c>
      <c r="L875" s="58">
        <f t="shared" si="872"/>
        <v>0</v>
      </c>
      <c r="M875" s="58">
        <f t="shared" si="872"/>
        <v>0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0" customHeight="1">
      <c r="A876" s="70"/>
      <c r="B876" s="71"/>
      <c r="C876" s="66"/>
      <c r="D876" s="66">
        <f t="shared" si="3"/>
        <v>0</v>
      </c>
      <c r="E876" s="67"/>
      <c r="F876" s="58">
        <f t="shared" si="150"/>
        <v>-8</v>
      </c>
      <c r="G876" s="58"/>
      <c r="H876" s="58">
        <f t="shared" ref="H876:M876" si="873">SUMIFS($C876,$B876,H$8)+H875</f>
        <v>0</v>
      </c>
      <c r="I876" s="58">
        <f t="shared" si="873"/>
        <v>9</v>
      </c>
      <c r="J876" s="58">
        <f t="shared" si="873"/>
        <v>36</v>
      </c>
      <c r="K876" s="58">
        <f t="shared" si="873"/>
        <v>0</v>
      </c>
      <c r="L876" s="58">
        <f t="shared" si="873"/>
        <v>0</v>
      </c>
      <c r="M876" s="58">
        <f t="shared" si="873"/>
        <v>0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0" customHeight="1">
      <c r="A877" s="70"/>
      <c r="B877" s="71"/>
      <c r="C877" s="66"/>
      <c r="D877" s="66">
        <f t="shared" si="3"/>
        <v>0</v>
      </c>
      <c r="E877" s="67"/>
      <c r="F877" s="58">
        <f t="shared" si="150"/>
        <v>-8</v>
      </c>
      <c r="G877" s="58"/>
      <c r="H877" s="58">
        <f t="shared" ref="H877:M877" si="874">SUMIFS($C877,$B877,H$8)+H876</f>
        <v>0</v>
      </c>
      <c r="I877" s="58">
        <f t="shared" si="874"/>
        <v>9</v>
      </c>
      <c r="J877" s="58">
        <f t="shared" si="874"/>
        <v>36</v>
      </c>
      <c r="K877" s="58">
        <f t="shared" si="874"/>
        <v>0</v>
      </c>
      <c r="L877" s="58">
        <f t="shared" si="874"/>
        <v>0</v>
      </c>
      <c r="M877" s="58">
        <f t="shared" si="874"/>
        <v>0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0" customHeight="1">
      <c r="A878" s="70"/>
      <c r="B878" s="71"/>
      <c r="C878" s="66"/>
      <c r="D878" s="66">
        <f t="shared" si="3"/>
        <v>0</v>
      </c>
      <c r="E878" s="67"/>
      <c r="F878" s="58">
        <f t="shared" si="150"/>
        <v>-8</v>
      </c>
      <c r="G878" s="58"/>
      <c r="H878" s="58">
        <f t="shared" ref="H878:M878" si="875">SUMIFS($C878,$B878,H$8)+H877</f>
        <v>0</v>
      </c>
      <c r="I878" s="58">
        <f t="shared" si="875"/>
        <v>9</v>
      </c>
      <c r="J878" s="58">
        <f t="shared" si="875"/>
        <v>36</v>
      </c>
      <c r="K878" s="58">
        <f t="shared" si="875"/>
        <v>0</v>
      </c>
      <c r="L878" s="58">
        <f t="shared" si="875"/>
        <v>0</v>
      </c>
      <c r="M878" s="58">
        <f t="shared" si="875"/>
        <v>0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0" customHeight="1">
      <c r="A879" s="70"/>
      <c r="B879" s="71"/>
      <c r="C879" s="66"/>
      <c r="D879" s="66">
        <f t="shared" si="3"/>
        <v>0</v>
      </c>
      <c r="E879" s="67"/>
      <c r="F879" s="58">
        <f t="shared" si="150"/>
        <v>-8</v>
      </c>
      <c r="G879" s="58"/>
      <c r="H879" s="58">
        <f t="shared" ref="H879:M879" si="876">SUMIFS($C879,$B879,H$8)+H878</f>
        <v>0</v>
      </c>
      <c r="I879" s="58">
        <f t="shared" si="876"/>
        <v>9</v>
      </c>
      <c r="J879" s="58">
        <f t="shared" si="876"/>
        <v>36</v>
      </c>
      <c r="K879" s="58">
        <f t="shared" si="876"/>
        <v>0</v>
      </c>
      <c r="L879" s="58">
        <f t="shared" si="876"/>
        <v>0</v>
      </c>
      <c r="M879" s="58">
        <f t="shared" si="876"/>
        <v>0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0" customHeight="1">
      <c r="A880" s="70"/>
      <c r="B880" s="71"/>
      <c r="C880" s="66"/>
      <c r="D880" s="66">
        <f t="shared" si="3"/>
        <v>0</v>
      </c>
      <c r="E880" s="67"/>
      <c r="F880" s="58">
        <f t="shared" si="150"/>
        <v>-8</v>
      </c>
      <c r="G880" s="58"/>
      <c r="H880" s="58">
        <f t="shared" ref="H880:M880" si="877">SUMIFS($C880,$B880,H$8)+H879</f>
        <v>0</v>
      </c>
      <c r="I880" s="58">
        <f t="shared" si="877"/>
        <v>9</v>
      </c>
      <c r="J880" s="58">
        <f t="shared" si="877"/>
        <v>36</v>
      </c>
      <c r="K880" s="58">
        <f t="shared" si="877"/>
        <v>0</v>
      </c>
      <c r="L880" s="58">
        <f t="shared" si="877"/>
        <v>0</v>
      </c>
      <c r="M880" s="58">
        <f t="shared" si="877"/>
        <v>0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0" customHeight="1">
      <c r="A881" s="70"/>
      <c r="B881" s="71"/>
      <c r="C881" s="66"/>
      <c r="D881" s="66">
        <f t="shared" si="3"/>
        <v>0</v>
      </c>
      <c r="E881" s="67"/>
      <c r="F881" s="58">
        <f t="shared" si="150"/>
        <v>-8</v>
      </c>
      <c r="G881" s="58"/>
      <c r="H881" s="58">
        <f t="shared" ref="H881:M881" si="878">SUMIFS($C881,$B881,H$8)+H880</f>
        <v>0</v>
      </c>
      <c r="I881" s="58">
        <f t="shared" si="878"/>
        <v>9</v>
      </c>
      <c r="J881" s="58">
        <f t="shared" si="878"/>
        <v>36</v>
      </c>
      <c r="K881" s="58">
        <f t="shared" si="878"/>
        <v>0</v>
      </c>
      <c r="L881" s="58">
        <f t="shared" si="878"/>
        <v>0</v>
      </c>
      <c r="M881" s="58">
        <f t="shared" si="878"/>
        <v>0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0" customHeight="1">
      <c r="A882" s="70"/>
      <c r="B882" s="71"/>
      <c r="C882" s="66"/>
      <c r="D882" s="66">
        <f t="shared" si="3"/>
        <v>0</v>
      </c>
      <c r="E882" s="67"/>
      <c r="F882" s="58">
        <f t="shared" si="150"/>
        <v>-8</v>
      </c>
      <c r="G882" s="58"/>
      <c r="H882" s="58">
        <f t="shared" ref="H882:M882" si="879">SUMIFS($C882,$B882,H$8)+H881</f>
        <v>0</v>
      </c>
      <c r="I882" s="58">
        <f t="shared" si="879"/>
        <v>9</v>
      </c>
      <c r="J882" s="58">
        <f t="shared" si="879"/>
        <v>36</v>
      </c>
      <c r="K882" s="58">
        <f t="shared" si="879"/>
        <v>0</v>
      </c>
      <c r="L882" s="58">
        <f t="shared" si="879"/>
        <v>0</v>
      </c>
      <c r="M882" s="58">
        <f t="shared" si="879"/>
        <v>0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0" customHeight="1">
      <c r="A883" s="70"/>
      <c r="B883" s="71"/>
      <c r="C883" s="66"/>
      <c r="D883" s="66">
        <f t="shared" si="3"/>
        <v>0</v>
      </c>
      <c r="E883" s="67"/>
      <c r="F883" s="58">
        <f t="shared" si="150"/>
        <v>-8</v>
      </c>
      <c r="G883" s="58"/>
      <c r="H883" s="58">
        <f t="shared" ref="H883:M883" si="880">SUMIFS($C883,$B883,H$8)+H882</f>
        <v>0</v>
      </c>
      <c r="I883" s="58">
        <f t="shared" si="880"/>
        <v>9</v>
      </c>
      <c r="J883" s="58">
        <f t="shared" si="880"/>
        <v>36</v>
      </c>
      <c r="K883" s="58">
        <f t="shared" si="880"/>
        <v>0</v>
      </c>
      <c r="L883" s="58">
        <f t="shared" si="880"/>
        <v>0</v>
      </c>
      <c r="M883" s="58">
        <f t="shared" si="880"/>
        <v>0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0" customHeight="1">
      <c r="A884" s="70"/>
      <c r="B884" s="71"/>
      <c r="C884" s="66"/>
      <c r="D884" s="66">
        <f t="shared" si="3"/>
        <v>0</v>
      </c>
      <c r="E884" s="67"/>
      <c r="F884" s="58">
        <f t="shared" si="150"/>
        <v>-8</v>
      </c>
      <c r="G884" s="58"/>
      <c r="H884" s="58">
        <f t="shared" ref="H884:M884" si="881">SUMIFS($C884,$B884,H$8)+H883</f>
        <v>0</v>
      </c>
      <c r="I884" s="58">
        <f t="shared" si="881"/>
        <v>9</v>
      </c>
      <c r="J884" s="58">
        <f t="shared" si="881"/>
        <v>36</v>
      </c>
      <c r="K884" s="58">
        <f t="shared" si="881"/>
        <v>0</v>
      </c>
      <c r="L884" s="58">
        <f t="shared" si="881"/>
        <v>0</v>
      </c>
      <c r="M884" s="58">
        <f t="shared" si="881"/>
        <v>0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0" customHeight="1">
      <c r="A885" s="70"/>
      <c r="B885" s="71"/>
      <c r="C885" s="66"/>
      <c r="D885" s="66">
        <f t="shared" si="3"/>
        <v>0</v>
      </c>
      <c r="E885" s="67"/>
      <c r="F885" s="58">
        <f t="shared" si="150"/>
        <v>-8</v>
      </c>
      <c r="G885" s="58"/>
      <c r="H885" s="58">
        <f t="shared" ref="H885:M885" si="882">SUMIFS($C885,$B885,H$8)+H884</f>
        <v>0</v>
      </c>
      <c r="I885" s="58">
        <f t="shared" si="882"/>
        <v>9</v>
      </c>
      <c r="J885" s="58">
        <f t="shared" si="882"/>
        <v>36</v>
      </c>
      <c r="K885" s="58">
        <f t="shared" si="882"/>
        <v>0</v>
      </c>
      <c r="L885" s="58">
        <f t="shared" si="882"/>
        <v>0</v>
      </c>
      <c r="M885" s="58">
        <f t="shared" si="882"/>
        <v>0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0" customHeight="1">
      <c r="A886" s="70"/>
      <c r="B886" s="71"/>
      <c r="C886" s="66"/>
      <c r="D886" s="66">
        <f t="shared" si="3"/>
        <v>0</v>
      </c>
      <c r="E886" s="67"/>
      <c r="F886" s="58">
        <f t="shared" si="150"/>
        <v>-8</v>
      </c>
      <c r="G886" s="58"/>
      <c r="H886" s="58">
        <f t="shared" ref="H886:M886" si="883">SUMIFS($C886,$B886,H$8)+H885</f>
        <v>0</v>
      </c>
      <c r="I886" s="58">
        <f t="shared" si="883"/>
        <v>9</v>
      </c>
      <c r="J886" s="58">
        <f t="shared" si="883"/>
        <v>36</v>
      </c>
      <c r="K886" s="58">
        <f t="shared" si="883"/>
        <v>0</v>
      </c>
      <c r="L886" s="58">
        <f t="shared" si="883"/>
        <v>0</v>
      </c>
      <c r="M886" s="58">
        <f t="shared" si="883"/>
        <v>0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0" customHeight="1">
      <c r="A887" s="70"/>
      <c r="B887" s="71"/>
      <c r="C887" s="66"/>
      <c r="D887" s="66">
        <f t="shared" si="3"/>
        <v>0</v>
      </c>
      <c r="E887" s="67"/>
      <c r="F887" s="58">
        <f t="shared" si="150"/>
        <v>-8</v>
      </c>
      <c r="G887" s="58"/>
      <c r="H887" s="58">
        <f t="shared" ref="H887:M887" si="884">SUMIFS($C887,$B887,H$8)+H886</f>
        <v>0</v>
      </c>
      <c r="I887" s="58">
        <f t="shared" si="884"/>
        <v>9</v>
      </c>
      <c r="J887" s="58">
        <f t="shared" si="884"/>
        <v>36</v>
      </c>
      <c r="K887" s="58">
        <f t="shared" si="884"/>
        <v>0</v>
      </c>
      <c r="L887" s="58">
        <f t="shared" si="884"/>
        <v>0</v>
      </c>
      <c r="M887" s="58">
        <f t="shared" si="884"/>
        <v>0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0" customHeight="1">
      <c r="A888" s="70"/>
      <c r="B888" s="71"/>
      <c r="C888" s="66"/>
      <c r="D888" s="66">
        <f t="shared" si="3"/>
        <v>0</v>
      </c>
      <c r="E888" s="67"/>
      <c r="F888" s="58">
        <f t="shared" si="150"/>
        <v>-8</v>
      </c>
      <c r="G888" s="58"/>
      <c r="H888" s="58">
        <f t="shared" ref="H888:M888" si="885">SUMIFS($C888,$B888,H$8)+H887</f>
        <v>0</v>
      </c>
      <c r="I888" s="58">
        <f t="shared" si="885"/>
        <v>9</v>
      </c>
      <c r="J888" s="58">
        <f t="shared" si="885"/>
        <v>36</v>
      </c>
      <c r="K888" s="58">
        <f t="shared" si="885"/>
        <v>0</v>
      </c>
      <c r="L888" s="58">
        <f t="shared" si="885"/>
        <v>0</v>
      </c>
      <c r="M888" s="58">
        <f t="shared" si="885"/>
        <v>0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0" customHeight="1">
      <c r="A889" s="70"/>
      <c r="B889" s="71"/>
      <c r="C889" s="66"/>
      <c r="D889" s="66">
        <f t="shared" si="3"/>
        <v>0</v>
      </c>
      <c r="E889" s="67"/>
      <c r="F889" s="58">
        <f t="shared" si="150"/>
        <v>-8</v>
      </c>
      <c r="G889" s="58"/>
      <c r="H889" s="58">
        <f t="shared" ref="H889:M889" si="886">SUMIFS($C889,$B889,H$8)+H888</f>
        <v>0</v>
      </c>
      <c r="I889" s="58">
        <f t="shared" si="886"/>
        <v>9</v>
      </c>
      <c r="J889" s="58">
        <f t="shared" si="886"/>
        <v>36</v>
      </c>
      <c r="K889" s="58">
        <f t="shared" si="886"/>
        <v>0</v>
      </c>
      <c r="L889" s="58">
        <f t="shared" si="886"/>
        <v>0</v>
      </c>
      <c r="M889" s="58">
        <f t="shared" si="886"/>
        <v>0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0" customHeight="1">
      <c r="A890" s="70"/>
      <c r="B890" s="71"/>
      <c r="C890" s="66"/>
      <c r="D890" s="66">
        <f t="shared" si="3"/>
        <v>0</v>
      </c>
      <c r="E890" s="67"/>
      <c r="F890" s="58">
        <f t="shared" si="150"/>
        <v>-8</v>
      </c>
      <c r="G890" s="58"/>
      <c r="H890" s="58">
        <f t="shared" ref="H890:M890" si="887">SUMIFS($C890,$B890,H$8)+H889</f>
        <v>0</v>
      </c>
      <c r="I890" s="58">
        <f t="shared" si="887"/>
        <v>9</v>
      </c>
      <c r="J890" s="58">
        <f t="shared" si="887"/>
        <v>36</v>
      </c>
      <c r="K890" s="58">
        <f t="shared" si="887"/>
        <v>0</v>
      </c>
      <c r="L890" s="58">
        <f t="shared" si="887"/>
        <v>0</v>
      </c>
      <c r="M890" s="58">
        <f t="shared" si="887"/>
        <v>0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0" customHeight="1">
      <c r="A891" s="70"/>
      <c r="B891" s="71"/>
      <c r="C891" s="66"/>
      <c r="D891" s="66">
        <f t="shared" si="3"/>
        <v>0</v>
      </c>
      <c r="E891" s="67"/>
      <c r="F891" s="58">
        <f t="shared" si="150"/>
        <v>-8</v>
      </c>
      <c r="G891" s="58"/>
      <c r="H891" s="58">
        <f t="shared" ref="H891:M891" si="888">SUMIFS($C891,$B891,H$8)+H890</f>
        <v>0</v>
      </c>
      <c r="I891" s="58">
        <f t="shared" si="888"/>
        <v>9</v>
      </c>
      <c r="J891" s="58">
        <f t="shared" si="888"/>
        <v>36</v>
      </c>
      <c r="K891" s="58">
        <f t="shared" si="888"/>
        <v>0</v>
      </c>
      <c r="L891" s="58">
        <f t="shared" si="888"/>
        <v>0</v>
      </c>
      <c r="M891" s="58">
        <f t="shared" si="888"/>
        <v>0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0" customHeight="1">
      <c r="A892" s="70"/>
      <c r="B892" s="71"/>
      <c r="C892" s="66"/>
      <c r="D892" s="66">
        <f t="shared" si="3"/>
        <v>0</v>
      </c>
      <c r="E892" s="67"/>
      <c r="F892" s="58">
        <f t="shared" si="150"/>
        <v>-8</v>
      </c>
      <c r="G892" s="58"/>
      <c r="H892" s="58">
        <f t="shared" ref="H892:M892" si="889">SUMIFS($C892,$B892,H$8)+H891</f>
        <v>0</v>
      </c>
      <c r="I892" s="58">
        <f t="shared" si="889"/>
        <v>9</v>
      </c>
      <c r="J892" s="58">
        <f t="shared" si="889"/>
        <v>36</v>
      </c>
      <c r="K892" s="58">
        <f t="shared" si="889"/>
        <v>0</v>
      </c>
      <c r="L892" s="58">
        <f t="shared" si="889"/>
        <v>0</v>
      </c>
      <c r="M892" s="58">
        <f t="shared" si="889"/>
        <v>0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0" customHeight="1">
      <c r="A893" s="70"/>
      <c r="B893" s="71"/>
      <c r="C893" s="66"/>
      <c r="D893" s="66">
        <f t="shared" si="3"/>
        <v>0</v>
      </c>
      <c r="E893" s="67"/>
      <c r="F893" s="58">
        <f t="shared" si="150"/>
        <v>-8</v>
      </c>
      <c r="G893" s="58"/>
      <c r="H893" s="58">
        <f t="shared" ref="H893:M893" si="890">SUMIFS($C893,$B893,H$8)+H892</f>
        <v>0</v>
      </c>
      <c r="I893" s="58">
        <f t="shared" si="890"/>
        <v>9</v>
      </c>
      <c r="J893" s="58">
        <f t="shared" si="890"/>
        <v>36</v>
      </c>
      <c r="K893" s="58">
        <f t="shared" si="890"/>
        <v>0</v>
      </c>
      <c r="L893" s="58">
        <f t="shared" si="890"/>
        <v>0</v>
      </c>
      <c r="M893" s="58">
        <f t="shared" si="890"/>
        <v>0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0" customHeight="1">
      <c r="A894" s="70"/>
      <c r="B894" s="71"/>
      <c r="C894" s="66"/>
      <c r="D894" s="66">
        <f t="shared" si="3"/>
        <v>0</v>
      </c>
      <c r="E894" s="67"/>
      <c r="F894" s="58">
        <f t="shared" si="150"/>
        <v>-8</v>
      </c>
      <c r="G894" s="58"/>
      <c r="H894" s="58">
        <f t="shared" ref="H894:M894" si="891">SUMIFS($C894,$B894,H$8)+H893</f>
        <v>0</v>
      </c>
      <c r="I894" s="58">
        <f t="shared" si="891"/>
        <v>9</v>
      </c>
      <c r="J894" s="58">
        <f t="shared" si="891"/>
        <v>36</v>
      </c>
      <c r="K894" s="58">
        <f t="shared" si="891"/>
        <v>0</v>
      </c>
      <c r="L894" s="58">
        <f t="shared" si="891"/>
        <v>0</v>
      </c>
      <c r="M894" s="58">
        <f t="shared" si="891"/>
        <v>0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0" customHeight="1">
      <c r="A895" s="70"/>
      <c r="B895" s="71"/>
      <c r="C895" s="66"/>
      <c r="D895" s="66">
        <f t="shared" si="3"/>
        <v>0</v>
      </c>
      <c r="E895" s="67"/>
      <c r="F895" s="58">
        <f t="shared" si="150"/>
        <v>-8</v>
      </c>
      <c r="G895" s="58"/>
      <c r="H895" s="58">
        <f t="shared" ref="H895:M895" si="892">SUMIFS($C895,$B895,H$8)+H894</f>
        <v>0</v>
      </c>
      <c r="I895" s="58">
        <f t="shared" si="892"/>
        <v>9</v>
      </c>
      <c r="J895" s="58">
        <f t="shared" si="892"/>
        <v>36</v>
      </c>
      <c r="K895" s="58">
        <f t="shared" si="892"/>
        <v>0</v>
      </c>
      <c r="L895" s="58">
        <f t="shared" si="892"/>
        <v>0</v>
      </c>
      <c r="M895" s="58">
        <f t="shared" si="892"/>
        <v>0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0" customHeight="1">
      <c r="A896" s="70"/>
      <c r="B896" s="71"/>
      <c r="C896" s="66"/>
      <c r="D896" s="66">
        <f t="shared" si="3"/>
        <v>0</v>
      </c>
      <c r="E896" s="67"/>
      <c r="F896" s="58">
        <f t="shared" si="150"/>
        <v>-8</v>
      </c>
      <c r="G896" s="58"/>
      <c r="H896" s="58">
        <f t="shared" ref="H896:M896" si="893">SUMIFS($C896,$B896,H$8)+H895</f>
        <v>0</v>
      </c>
      <c r="I896" s="58">
        <f t="shared" si="893"/>
        <v>9</v>
      </c>
      <c r="J896" s="58">
        <f t="shared" si="893"/>
        <v>36</v>
      </c>
      <c r="K896" s="58">
        <f t="shared" si="893"/>
        <v>0</v>
      </c>
      <c r="L896" s="58">
        <f t="shared" si="893"/>
        <v>0</v>
      </c>
      <c r="M896" s="58">
        <f t="shared" si="893"/>
        <v>0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0" customHeight="1">
      <c r="A897" s="70"/>
      <c r="B897" s="71"/>
      <c r="C897" s="66"/>
      <c r="D897" s="66">
        <f t="shared" si="3"/>
        <v>0</v>
      </c>
      <c r="E897" s="67"/>
      <c r="F897" s="58">
        <f t="shared" si="150"/>
        <v>-8</v>
      </c>
      <c r="G897" s="58"/>
      <c r="H897" s="58">
        <f t="shared" ref="H897:M897" si="894">SUMIFS($C897,$B897,H$8)+H896</f>
        <v>0</v>
      </c>
      <c r="I897" s="58">
        <f t="shared" si="894"/>
        <v>9</v>
      </c>
      <c r="J897" s="58">
        <f t="shared" si="894"/>
        <v>36</v>
      </c>
      <c r="K897" s="58">
        <f t="shared" si="894"/>
        <v>0</v>
      </c>
      <c r="L897" s="58">
        <f t="shared" si="894"/>
        <v>0</v>
      </c>
      <c r="M897" s="58">
        <f t="shared" si="894"/>
        <v>0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0" customHeight="1">
      <c r="A898" s="70"/>
      <c r="B898" s="71"/>
      <c r="C898" s="66"/>
      <c r="D898" s="66">
        <f t="shared" si="3"/>
        <v>0</v>
      </c>
      <c r="E898" s="67"/>
      <c r="F898" s="58">
        <f t="shared" si="150"/>
        <v>-8</v>
      </c>
      <c r="G898" s="58"/>
      <c r="H898" s="58">
        <f t="shared" ref="H898:M898" si="895">SUMIFS($C898,$B898,H$8)+H897</f>
        <v>0</v>
      </c>
      <c r="I898" s="58">
        <f t="shared" si="895"/>
        <v>9</v>
      </c>
      <c r="J898" s="58">
        <f t="shared" si="895"/>
        <v>36</v>
      </c>
      <c r="K898" s="58">
        <f t="shared" si="895"/>
        <v>0</v>
      </c>
      <c r="L898" s="58">
        <f t="shared" si="895"/>
        <v>0</v>
      </c>
      <c r="M898" s="58">
        <f t="shared" si="895"/>
        <v>0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0" customHeight="1">
      <c r="A899" s="70"/>
      <c r="B899" s="71"/>
      <c r="C899" s="66"/>
      <c r="D899" s="66">
        <f t="shared" si="3"/>
        <v>0</v>
      </c>
      <c r="E899" s="67"/>
      <c r="F899" s="58">
        <f t="shared" si="150"/>
        <v>-8</v>
      </c>
      <c r="G899" s="58"/>
      <c r="H899" s="58">
        <f t="shared" ref="H899:M899" si="896">SUMIFS($C899,$B899,H$8)+H898</f>
        <v>0</v>
      </c>
      <c r="I899" s="58">
        <f t="shared" si="896"/>
        <v>9</v>
      </c>
      <c r="J899" s="58">
        <f t="shared" si="896"/>
        <v>36</v>
      </c>
      <c r="K899" s="58">
        <f t="shared" si="896"/>
        <v>0</v>
      </c>
      <c r="L899" s="58">
        <f t="shared" si="896"/>
        <v>0</v>
      </c>
      <c r="M899" s="58">
        <f t="shared" si="896"/>
        <v>0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0" customHeight="1">
      <c r="A900" s="70"/>
      <c r="B900" s="71"/>
      <c r="C900" s="66"/>
      <c r="D900" s="66">
        <f t="shared" si="3"/>
        <v>0</v>
      </c>
      <c r="E900" s="67"/>
      <c r="F900" s="58">
        <f t="shared" si="150"/>
        <v>-8</v>
      </c>
      <c r="G900" s="58"/>
      <c r="H900" s="58">
        <f t="shared" ref="H900:M900" si="897">SUMIFS($C900,$B900,H$8)+H899</f>
        <v>0</v>
      </c>
      <c r="I900" s="58">
        <f t="shared" si="897"/>
        <v>9</v>
      </c>
      <c r="J900" s="58">
        <f t="shared" si="897"/>
        <v>36</v>
      </c>
      <c r="K900" s="58">
        <f t="shared" si="897"/>
        <v>0</v>
      </c>
      <c r="L900" s="58">
        <f t="shared" si="897"/>
        <v>0</v>
      </c>
      <c r="M900" s="58">
        <f t="shared" si="897"/>
        <v>0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0" customHeight="1">
      <c r="A901" s="70"/>
      <c r="B901" s="71"/>
      <c r="C901" s="66"/>
      <c r="D901" s="66">
        <f t="shared" si="3"/>
        <v>0</v>
      </c>
      <c r="E901" s="67"/>
      <c r="F901" s="58">
        <f t="shared" si="150"/>
        <v>-8</v>
      </c>
      <c r="G901" s="58"/>
      <c r="H901" s="58">
        <f t="shared" ref="H901:M901" si="898">SUMIFS($C901,$B901,H$8)+H900</f>
        <v>0</v>
      </c>
      <c r="I901" s="58">
        <f t="shared" si="898"/>
        <v>9</v>
      </c>
      <c r="J901" s="58">
        <f t="shared" si="898"/>
        <v>36</v>
      </c>
      <c r="K901" s="58">
        <f t="shared" si="898"/>
        <v>0</v>
      </c>
      <c r="L901" s="58">
        <f t="shared" si="898"/>
        <v>0</v>
      </c>
      <c r="M901" s="58">
        <f t="shared" si="898"/>
        <v>0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0" customHeight="1">
      <c r="A902" s="70"/>
      <c r="B902" s="71"/>
      <c r="C902" s="66"/>
      <c r="D902" s="66">
        <f t="shared" si="3"/>
        <v>0</v>
      </c>
      <c r="E902" s="67"/>
      <c r="F902" s="58">
        <f t="shared" si="150"/>
        <v>-8</v>
      </c>
      <c r="G902" s="58"/>
      <c r="H902" s="58">
        <f t="shared" ref="H902:M902" si="899">SUMIFS($C902,$B902,H$8)+H901</f>
        <v>0</v>
      </c>
      <c r="I902" s="58">
        <f t="shared" si="899"/>
        <v>9</v>
      </c>
      <c r="J902" s="58">
        <f t="shared" si="899"/>
        <v>36</v>
      </c>
      <c r="K902" s="58">
        <f t="shared" si="899"/>
        <v>0</v>
      </c>
      <c r="L902" s="58">
        <f t="shared" si="899"/>
        <v>0</v>
      </c>
      <c r="M902" s="58">
        <f t="shared" si="899"/>
        <v>0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0" customHeight="1">
      <c r="A903" s="70"/>
      <c r="B903" s="71"/>
      <c r="C903" s="66"/>
      <c r="D903" s="66">
        <f t="shared" si="3"/>
        <v>0</v>
      </c>
      <c r="E903" s="67"/>
      <c r="F903" s="58">
        <f t="shared" si="150"/>
        <v>-8</v>
      </c>
      <c r="G903" s="58"/>
      <c r="H903" s="58">
        <f t="shared" ref="H903:M903" si="900">SUMIFS($C903,$B903,H$8)+H902</f>
        <v>0</v>
      </c>
      <c r="I903" s="58">
        <f t="shared" si="900"/>
        <v>9</v>
      </c>
      <c r="J903" s="58">
        <f t="shared" si="900"/>
        <v>36</v>
      </c>
      <c r="K903" s="58">
        <f t="shared" si="900"/>
        <v>0</v>
      </c>
      <c r="L903" s="58">
        <f t="shared" si="900"/>
        <v>0</v>
      </c>
      <c r="M903" s="58">
        <f t="shared" si="900"/>
        <v>0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0" customHeight="1">
      <c r="A904" s="70"/>
      <c r="B904" s="71"/>
      <c r="C904" s="66"/>
      <c r="D904" s="66">
        <f t="shared" si="3"/>
        <v>0</v>
      </c>
      <c r="E904" s="67"/>
      <c r="F904" s="58">
        <f t="shared" si="150"/>
        <v>-8</v>
      </c>
      <c r="G904" s="58"/>
      <c r="H904" s="58">
        <f t="shared" ref="H904:M904" si="901">SUMIFS($C904,$B904,H$8)+H903</f>
        <v>0</v>
      </c>
      <c r="I904" s="58">
        <f t="shared" si="901"/>
        <v>9</v>
      </c>
      <c r="J904" s="58">
        <f t="shared" si="901"/>
        <v>36</v>
      </c>
      <c r="K904" s="58">
        <f t="shared" si="901"/>
        <v>0</v>
      </c>
      <c r="L904" s="58">
        <f t="shared" si="901"/>
        <v>0</v>
      </c>
      <c r="M904" s="58">
        <f t="shared" si="901"/>
        <v>0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0" customHeight="1">
      <c r="A905" s="70"/>
      <c r="B905" s="71"/>
      <c r="C905" s="66"/>
      <c r="D905" s="66">
        <f t="shared" si="3"/>
        <v>0</v>
      </c>
      <c r="E905" s="67"/>
      <c r="F905" s="58">
        <f t="shared" si="150"/>
        <v>-8</v>
      </c>
      <c r="G905" s="58"/>
      <c r="H905" s="58">
        <f t="shared" ref="H905:M905" si="902">SUMIFS($C905,$B905,H$8)+H904</f>
        <v>0</v>
      </c>
      <c r="I905" s="58">
        <f t="shared" si="902"/>
        <v>9</v>
      </c>
      <c r="J905" s="58">
        <f t="shared" si="902"/>
        <v>36</v>
      </c>
      <c r="K905" s="58">
        <f t="shared" si="902"/>
        <v>0</v>
      </c>
      <c r="L905" s="58">
        <f t="shared" si="902"/>
        <v>0</v>
      </c>
      <c r="M905" s="58">
        <f t="shared" si="902"/>
        <v>0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0" customHeight="1">
      <c r="A906" s="70"/>
      <c r="B906" s="71"/>
      <c r="C906" s="66"/>
      <c r="D906" s="66">
        <f t="shared" si="3"/>
        <v>0</v>
      </c>
      <c r="E906" s="67"/>
      <c r="F906" s="58">
        <f t="shared" si="150"/>
        <v>-8</v>
      </c>
      <c r="G906" s="58"/>
      <c r="H906" s="58">
        <f t="shared" ref="H906:M906" si="903">SUMIFS($C906,$B906,H$8)+H905</f>
        <v>0</v>
      </c>
      <c r="I906" s="58">
        <f t="shared" si="903"/>
        <v>9</v>
      </c>
      <c r="J906" s="58">
        <f t="shared" si="903"/>
        <v>36</v>
      </c>
      <c r="K906" s="58">
        <f t="shared" si="903"/>
        <v>0</v>
      </c>
      <c r="L906" s="58">
        <f t="shared" si="903"/>
        <v>0</v>
      </c>
      <c r="M906" s="58">
        <f t="shared" si="903"/>
        <v>0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0" customHeight="1">
      <c r="A907" s="70"/>
      <c r="B907" s="71"/>
      <c r="C907" s="66"/>
      <c r="D907" s="66">
        <f t="shared" si="3"/>
        <v>0</v>
      </c>
      <c r="E907" s="67"/>
      <c r="F907" s="58">
        <f t="shared" si="150"/>
        <v>-8</v>
      </c>
      <c r="G907" s="58"/>
      <c r="H907" s="58">
        <f t="shared" ref="H907:M907" si="904">SUMIFS($C907,$B907,H$8)+H906</f>
        <v>0</v>
      </c>
      <c r="I907" s="58">
        <f t="shared" si="904"/>
        <v>9</v>
      </c>
      <c r="J907" s="58">
        <f t="shared" si="904"/>
        <v>36</v>
      </c>
      <c r="K907" s="58">
        <f t="shared" si="904"/>
        <v>0</v>
      </c>
      <c r="L907" s="58">
        <f t="shared" si="904"/>
        <v>0</v>
      </c>
      <c r="M907" s="58">
        <f t="shared" si="904"/>
        <v>0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0" customHeight="1">
      <c r="A908" s="70"/>
      <c r="B908" s="71"/>
      <c r="C908" s="66"/>
      <c r="D908" s="66">
        <f t="shared" si="3"/>
        <v>0</v>
      </c>
      <c r="E908" s="67"/>
      <c r="F908" s="58">
        <f t="shared" si="150"/>
        <v>-8</v>
      </c>
      <c r="G908" s="58"/>
      <c r="H908" s="58">
        <f t="shared" ref="H908:M908" si="905">SUMIFS($C908,$B908,H$8)+H907</f>
        <v>0</v>
      </c>
      <c r="I908" s="58">
        <f t="shared" si="905"/>
        <v>9</v>
      </c>
      <c r="J908" s="58">
        <f t="shared" si="905"/>
        <v>36</v>
      </c>
      <c r="K908" s="58">
        <f t="shared" si="905"/>
        <v>0</v>
      </c>
      <c r="L908" s="58">
        <f t="shared" si="905"/>
        <v>0</v>
      </c>
      <c r="M908" s="58">
        <f t="shared" si="905"/>
        <v>0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0" customHeight="1">
      <c r="A909" s="70"/>
      <c r="B909" s="71"/>
      <c r="C909" s="66"/>
      <c r="D909" s="66">
        <f t="shared" si="3"/>
        <v>0</v>
      </c>
      <c r="E909" s="67"/>
      <c r="F909" s="58">
        <f t="shared" si="150"/>
        <v>-8</v>
      </c>
      <c r="G909" s="58"/>
      <c r="H909" s="58">
        <f t="shared" ref="H909:M909" si="906">SUMIFS($C909,$B909,H$8)+H908</f>
        <v>0</v>
      </c>
      <c r="I909" s="58">
        <f t="shared" si="906"/>
        <v>9</v>
      </c>
      <c r="J909" s="58">
        <f t="shared" si="906"/>
        <v>36</v>
      </c>
      <c r="K909" s="58">
        <f t="shared" si="906"/>
        <v>0</v>
      </c>
      <c r="L909" s="58">
        <f t="shared" si="906"/>
        <v>0</v>
      </c>
      <c r="M909" s="58">
        <f t="shared" si="906"/>
        <v>0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0" customHeight="1">
      <c r="A910" s="70"/>
      <c r="B910" s="71"/>
      <c r="C910" s="66"/>
      <c r="D910" s="66">
        <f t="shared" si="3"/>
        <v>0</v>
      </c>
      <c r="E910" s="67"/>
      <c r="F910" s="58">
        <f t="shared" si="150"/>
        <v>-8</v>
      </c>
      <c r="G910" s="58"/>
      <c r="H910" s="58">
        <f t="shared" ref="H910:M910" si="907">SUMIFS($C910,$B910,H$8)+H909</f>
        <v>0</v>
      </c>
      <c r="I910" s="58">
        <f t="shared" si="907"/>
        <v>9</v>
      </c>
      <c r="J910" s="58">
        <f t="shared" si="907"/>
        <v>36</v>
      </c>
      <c r="K910" s="58">
        <f t="shared" si="907"/>
        <v>0</v>
      </c>
      <c r="L910" s="58">
        <f t="shared" si="907"/>
        <v>0</v>
      </c>
      <c r="M910" s="58">
        <f t="shared" si="907"/>
        <v>0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0" customHeight="1">
      <c r="A911" s="70"/>
      <c r="B911" s="71"/>
      <c r="C911" s="66"/>
      <c r="D911" s="66">
        <f t="shared" si="3"/>
        <v>0</v>
      </c>
      <c r="E911" s="67"/>
      <c r="F911" s="58">
        <f t="shared" si="150"/>
        <v>-8</v>
      </c>
      <c r="G911" s="58"/>
      <c r="H911" s="58">
        <f t="shared" ref="H911:M911" si="908">SUMIFS($C911,$B911,H$8)+H910</f>
        <v>0</v>
      </c>
      <c r="I911" s="58">
        <f t="shared" si="908"/>
        <v>9</v>
      </c>
      <c r="J911" s="58">
        <f t="shared" si="908"/>
        <v>36</v>
      </c>
      <c r="K911" s="58">
        <f t="shared" si="908"/>
        <v>0</v>
      </c>
      <c r="L911" s="58">
        <f t="shared" si="908"/>
        <v>0</v>
      </c>
      <c r="M911" s="58">
        <f t="shared" si="908"/>
        <v>0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0" customHeight="1">
      <c r="A912" s="70"/>
      <c r="B912" s="71"/>
      <c r="C912" s="66"/>
      <c r="D912" s="66">
        <f t="shared" si="3"/>
        <v>0</v>
      </c>
      <c r="E912" s="67"/>
      <c r="F912" s="58">
        <f t="shared" si="150"/>
        <v>-8</v>
      </c>
      <c r="G912" s="58"/>
      <c r="H912" s="58">
        <f t="shared" ref="H912:M912" si="909">SUMIFS($C912,$B912,H$8)+H911</f>
        <v>0</v>
      </c>
      <c r="I912" s="58">
        <f t="shared" si="909"/>
        <v>9</v>
      </c>
      <c r="J912" s="58">
        <f t="shared" si="909"/>
        <v>36</v>
      </c>
      <c r="K912" s="58">
        <f t="shared" si="909"/>
        <v>0</v>
      </c>
      <c r="L912" s="58">
        <f t="shared" si="909"/>
        <v>0</v>
      </c>
      <c r="M912" s="58">
        <f t="shared" si="909"/>
        <v>0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0" customHeight="1">
      <c r="A913" s="70"/>
      <c r="B913" s="71"/>
      <c r="C913" s="66"/>
      <c r="D913" s="66">
        <f t="shared" si="3"/>
        <v>0</v>
      </c>
      <c r="E913" s="67"/>
      <c r="F913" s="58">
        <f t="shared" si="150"/>
        <v>-8</v>
      </c>
      <c r="G913" s="58"/>
      <c r="H913" s="58">
        <f t="shared" ref="H913:M913" si="910">SUMIFS($C913,$B913,H$8)+H912</f>
        <v>0</v>
      </c>
      <c r="I913" s="58">
        <f t="shared" si="910"/>
        <v>9</v>
      </c>
      <c r="J913" s="58">
        <f t="shared" si="910"/>
        <v>36</v>
      </c>
      <c r="K913" s="58">
        <f t="shared" si="910"/>
        <v>0</v>
      </c>
      <c r="L913" s="58">
        <f t="shared" si="910"/>
        <v>0</v>
      </c>
      <c r="M913" s="58">
        <f t="shared" si="910"/>
        <v>0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0" customHeight="1">
      <c r="A914" s="70"/>
      <c r="B914" s="71"/>
      <c r="C914" s="66"/>
      <c r="D914" s="66">
        <f t="shared" si="3"/>
        <v>0</v>
      </c>
      <c r="E914" s="67"/>
      <c r="F914" s="58">
        <f t="shared" si="150"/>
        <v>-8</v>
      </c>
      <c r="G914" s="58"/>
      <c r="H914" s="58">
        <f t="shared" ref="H914:M914" si="911">SUMIFS($C914,$B914,H$8)+H913</f>
        <v>0</v>
      </c>
      <c r="I914" s="58">
        <f t="shared" si="911"/>
        <v>9</v>
      </c>
      <c r="J914" s="58">
        <f t="shared" si="911"/>
        <v>36</v>
      </c>
      <c r="K914" s="58">
        <f t="shared" si="911"/>
        <v>0</v>
      </c>
      <c r="L914" s="58">
        <f t="shared" si="911"/>
        <v>0</v>
      </c>
      <c r="M914" s="58">
        <f t="shared" si="911"/>
        <v>0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0" customHeight="1">
      <c r="A915" s="70"/>
      <c r="B915" s="71"/>
      <c r="C915" s="66"/>
      <c r="D915" s="66">
        <f t="shared" si="3"/>
        <v>0</v>
      </c>
      <c r="E915" s="67"/>
      <c r="F915" s="58">
        <f t="shared" si="150"/>
        <v>-8</v>
      </c>
      <c r="G915" s="58"/>
      <c r="H915" s="58">
        <f t="shared" ref="H915:M915" si="912">SUMIFS($C915,$B915,H$8)+H914</f>
        <v>0</v>
      </c>
      <c r="I915" s="58">
        <f t="shared" si="912"/>
        <v>9</v>
      </c>
      <c r="J915" s="58">
        <f t="shared" si="912"/>
        <v>36</v>
      </c>
      <c r="K915" s="58">
        <f t="shared" si="912"/>
        <v>0</v>
      </c>
      <c r="L915" s="58">
        <f t="shared" si="912"/>
        <v>0</v>
      </c>
      <c r="M915" s="58">
        <f t="shared" si="912"/>
        <v>0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0" customHeight="1">
      <c r="A916" s="70"/>
      <c r="B916" s="71"/>
      <c r="C916" s="66"/>
      <c r="D916" s="66">
        <f t="shared" si="3"/>
        <v>0</v>
      </c>
      <c r="E916" s="67"/>
      <c r="F916" s="58">
        <f t="shared" si="150"/>
        <v>-8</v>
      </c>
      <c r="G916" s="58"/>
      <c r="H916" s="58">
        <f t="shared" ref="H916:M916" si="913">SUMIFS($C916,$B916,H$8)+H915</f>
        <v>0</v>
      </c>
      <c r="I916" s="58">
        <f t="shared" si="913"/>
        <v>9</v>
      </c>
      <c r="J916" s="58">
        <f t="shared" si="913"/>
        <v>36</v>
      </c>
      <c r="K916" s="58">
        <f t="shared" si="913"/>
        <v>0</v>
      </c>
      <c r="L916" s="58">
        <f t="shared" si="913"/>
        <v>0</v>
      </c>
      <c r="M916" s="58">
        <f t="shared" si="913"/>
        <v>0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0" customHeight="1">
      <c r="A917" s="70"/>
      <c r="B917" s="71"/>
      <c r="C917" s="66"/>
      <c r="D917" s="66">
        <f t="shared" si="3"/>
        <v>0</v>
      </c>
      <c r="E917" s="67"/>
      <c r="F917" s="58">
        <f t="shared" si="150"/>
        <v>-8</v>
      </c>
      <c r="G917" s="58"/>
      <c r="H917" s="58">
        <f t="shared" ref="H917:M917" si="914">SUMIFS($C917,$B917,H$8)+H916</f>
        <v>0</v>
      </c>
      <c r="I917" s="58">
        <f t="shared" si="914"/>
        <v>9</v>
      </c>
      <c r="J917" s="58">
        <f t="shared" si="914"/>
        <v>36</v>
      </c>
      <c r="K917" s="58">
        <f t="shared" si="914"/>
        <v>0</v>
      </c>
      <c r="L917" s="58">
        <f t="shared" si="914"/>
        <v>0</v>
      </c>
      <c r="M917" s="58">
        <f t="shared" si="914"/>
        <v>0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0" customHeight="1">
      <c r="A918" s="70"/>
      <c r="B918" s="71"/>
      <c r="C918" s="66"/>
      <c r="D918" s="66">
        <f t="shared" si="3"/>
        <v>0</v>
      </c>
      <c r="E918" s="67"/>
      <c r="F918" s="58">
        <f t="shared" si="150"/>
        <v>-8</v>
      </c>
      <c r="G918" s="58"/>
      <c r="H918" s="58">
        <f t="shared" ref="H918:M918" si="915">SUMIFS($C918,$B918,H$8)+H917</f>
        <v>0</v>
      </c>
      <c r="I918" s="58">
        <f t="shared" si="915"/>
        <v>9</v>
      </c>
      <c r="J918" s="58">
        <f t="shared" si="915"/>
        <v>36</v>
      </c>
      <c r="K918" s="58">
        <f t="shared" si="915"/>
        <v>0</v>
      </c>
      <c r="L918" s="58">
        <f t="shared" si="915"/>
        <v>0</v>
      </c>
      <c r="M918" s="58">
        <f t="shared" si="915"/>
        <v>0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0" customHeight="1">
      <c r="A919" s="70"/>
      <c r="B919" s="71"/>
      <c r="C919" s="66"/>
      <c r="D919" s="66">
        <f t="shared" si="3"/>
        <v>0</v>
      </c>
      <c r="E919" s="67"/>
      <c r="F919" s="58">
        <f t="shared" si="150"/>
        <v>-8</v>
      </c>
      <c r="G919" s="58"/>
      <c r="H919" s="58">
        <f t="shared" ref="H919:M919" si="916">SUMIFS($C919,$B919,H$8)+H918</f>
        <v>0</v>
      </c>
      <c r="I919" s="58">
        <f t="shared" si="916"/>
        <v>9</v>
      </c>
      <c r="J919" s="58">
        <f t="shared" si="916"/>
        <v>36</v>
      </c>
      <c r="K919" s="58">
        <f t="shared" si="916"/>
        <v>0</v>
      </c>
      <c r="L919" s="58">
        <f t="shared" si="916"/>
        <v>0</v>
      </c>
      <c r="M919" s="58">
        <f t="shared" si="916"/>
        <v>0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0" customHeight="1">
      <c r="A920" s="70"/>
      <c r="B920" s="71"/>
      <c r="C920" s="66"/>
      <c r="D920" s="66">
        <f t="shared" si="3"/>
        <v>0</v>
      </c>
      <c r="E920" s="67"/>
      <c r="F920" s="58">
        <f t="shared" si="150"/>
        <v>-8</v>
      </c>
      <c r="G920" s="58"/>
      <c r="H920" s="58">
        <f t="shared" ref="H920:M920" si="917">SUMIFS($C920,$B920,H$8)+H919</f>
        <v>0</v>
      </c>
      <c r="I920" s="58">
        <f t="shared" si="917"/>
        <v>9</v>
      </c>
      <c r="J920" s="58">
        <f t="shared" si="917"/>
        <v>36</v>
      </c>
      <c r="K920" s="58">
        <f t="shared" si="917"/>
        <v>0</v>
      </c>
      <c r="L920" s="58">
        <f t="shared" si="917"/>
        <v>0</v>
      </c>
      <c r="M920" s="58">
        <f t="shared" si="917"/>
        <v>0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0" customHeight="1">
      <c r="A921" s="70"/>
      <c r="B921" s="71"/>
      <c r="C921" s="66"/>
      <c r="D921" s="66">
        <f t="shared" si="3"/>
        <v>0</v>
      </c>
      <c r="E921" s="67"/>
      <c r="F921" s="58">
        <f t="shared" si="150"/>
        <v>-8</v>
      </c>
      <c r="G921" s="58"/>
      <c r="H921" s="58">
        <f t="shared" ref="H921:M921" si="918">SUMIFS($C921,$B921,H$8)+H920</f>
        <v>0</v>
      </c>
      <c r="I921" s="58">
        <f t="shared" si="918"/>
        <v>9</v>
      </c>
      <c r="J921" s="58">
        <f t="shared" si="918"/>
        <v>36</v>
      </c>
      <c r="K921" s="58">
        <f t="shared" si="918"/>
        <v>0</v>
      </c>
      <c r="L921" s="58">
        <f t="shared" si="918"/>
        <v>0</v>
      </c>
      <c r="M921" s="58">
        <f t="shared" si="918"/>
        <v>0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0" customHeight="1">
      <c r="A922" s="70"/>
      <c r="B922" s="71"/>
      <c r="C922" s="66"/>
      <c r="D922" s="66">
        <f t="shared" si="3"/>
        <v>0</v>
      </c>
      <c r="E922" s="67"/>
      <c r="F922" s="58">
        <f t="shared" si="150"/>
        <v>-8</v>
      </c>
      <c r="G922" s="58"/>
      <c r="H922" s="58">
        <f t="shared" ref="H922:M922" si="919">SUMIFS($C922,$B922,H$8)+H921</f>
        <v>0</v>
      </c>
      <c r="I922" s="58">
        <f t="shared" si="919"/>
        <v>9</v>
      </c>
      <c r="J922" s="58">
        <f t="shared" si="919"/>
        <v>36</v>
      </c>
      <c r="K922" s="58">
        <f t="shared" si="919"/>
        <v>0</v>
      </c>
      <c r="L922" s="58">
        <f t="shared" si="919"/>
        <v>0</v>
      </c>
      <c r="M922" s="58">
        <f t="shared" si="919"/>
        <v>0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0" customHeight="1">
      <c r="A923" s="70"/>
      <c r="B923" s="71"/>
      <c r="C923" s="66"/>
      <c r="D923" s="66">
        <f t="shared" si="3"/>
        <v>0</v>
      </c>
      <c r="E923" s="67"/>
      <c r="F923" s="58">
        <f t="shared" si="150"/>
        <v>-8</v>
      </c>
      <c r="G923" s="58"/>
      <c r="H923" s="58">
        <f t="shared" ref="H923:M923" si="920">SUMIFS($C923,$B923,H$8)+H922</f>
        <v>0</v>
      </c>
      <c r="I923" s="58">
        <f t="shared" si="920"/>
        <v>9</v>
      </c>
      <c r="J923" s="58">
        <f t="shared" si="920"/>
        <v>36</v>
      </c>
      <c r="K923" s="58">
        <f t="shared" si="920"/>
        <v>0</v>
      </c>
      <c r="L923" s="58">
        <f t="shared" si="920"/>
        <v>0</v>
      </c>
      <c r="M923" s="58">
        <f t="shared" si="920"/>
        <v>0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0" customHeight="1">
      <c r="A924" s="70"/>
      <c r="B924" s="71"/>
      <c r="C924" s="66"/>
      <c r="D924" s="66">
        <f t="shared" si="3"/>
        <v>0</v>
      </c>
      <c r="E924" s="67"/>
      <c r="F924" s="58">
        <f t="shared" si="150"/>
        <v>-8</v>
      </c>
      <c r="G924" s="58"/>
      <c r="H924" s="58">
        <f t="shared" ref="H924:M924" si="921">SUMIFS($C924,$B924,H$8)+H923</f>
        <v>0</v>
      </c>
      <c r="I924" s="58">
        <f t="shared" si="921"/>
        <v>9</v>
      </c>
      <c r="J924" s="58">
        <f t="shared" si="921"/>
        <v>36</v>
      </c>
      <c r="K924" s="58">
        <f t="shared" si="921"/>
        <v>0</v>
      </c>
      <c r="L924" s="58">
        <f t="shared" si="921"/>
        <v>0</v>
      </c>
      <c r="M924" s="58">
        <f t="shared" si="921"/>
        <v>0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0" customHeight="1">
      <c r="A925" s="70"/>
      <c r="B925" s="71"/>
      <c r="C925" s="66"/>
      <c r="D925" s="66">
        <f t="shared" si="3"/>
        <v>0</v>
      </c>
      <c r="E925" s="67"/>
      <c r="F925" s="58">
        <f t="shared" si="150"/>
        <v>-8</v>
      </c>
      <c r="G925" s="58"/>
      <c r="H925" s="58">
        <f t="shared" ref="H925:M925" si="922">SUMIFS($C925,$B925,H$8)+H924</f>
        <v>0</v>
      </c>
      <c r="I925" s="58">
        <f t="shared" si="922"/>
        <v>9</v>
      </c>
      <c r="J925" s="58">
        <f t="shared" si="922"/>
        <v>36</v>
      </c>
      <c r="K925" s="58">
        <f t="shared" si="922"/>
        <v>0</v>
      </c>
      <c r="L925" s="58">
        <f t="shared" si="922"/>
        <v>0</v>
      </c>
      <c r="M925" s="58">
        <f t="shared" si="922"/>
        <v>0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0" customHeight="1">
      <c r="A926" s="70"/>
      <c r="B926" s="71"/>
      <c r="C926" s="66"/>
      <c r="D926" s="66">
        <f t="shared" si="3"/>
        <v>0</v>
      </c>
      <c r="E926" s="67"/>
      <c r="F926" s="58">
        <f t="shared" si="150"/>
        <v>-8</v>
      </c>
      <c r="G926" s="58"/>
      <c r="H926" s="58">
        <f t="shared" ref="H926:M926" si="923">SUMIFS($C926,$B926,H$8)+H925</f>
        <v>0</v>
      </c>
      <c r="I926" s="58">
        <f t="shared" si="923"/>
        <v>9</v>
      </c>
      <c r="J926" s="58">
        <f t="shared" si="923"/>
        <v>36</v>
      </c>
      <c r="K926" s="58">
        <f t="shared" si="923"/>
        <v>0</v>
      </c>
      <c r="L926" s="58">
        <f t="shared" si="923"/>
        <v>0</v>
      </c>
      <c r="M926" s="58">
        <f t="shared" si="923"/>
        <v>0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0" customHeight="1">
      <c r="A927" s="70"/>
      <c r="B927" s="71"/>
      <c r="C927" s="66"/>
      <c r="D927" s="66">
        <f t="shared" si="3"/>
        <v>0</v>
      </c>
      <c r="E927" s="67"/>
      <c r="F927" s="58">
        <f t="shared" si="150"/>
        <v>-8</v>
      </c>
      <c r="G927" s="58"/>
      <c r="H927" s="58">
        <f t="shared" ref="H927:M927" si="924">SUMIFS($C927,$B927,H$8)+H926</f>
        <v>0</v>
      </c>
      <c r="I927" s="58">
        <f t="shared" si="924"/>
        <v>9</v>
      </c>
      <c r="J927" s="58">
        <f t="shared" si="924"/>
        <v>36</v>
      </c>
      <c r="K927" s="58">
        <f t="shared" si="924"/>
        <v>0</v>
      </c>
      <c r="L927" s="58">
        <f t="shared" si="924"/>
        <v>0</v>
      </c>
      <c r="M927" s="58">
        <f t="shared" si="924"/>
        <v>0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0" customHeight="1">
      <c r="A928" s="70"/>
      <c r="B928" s="71"/>
      <c r="C928" s="66"/>
      <c r="D928" s="66">
        <f t="shared" si="3"/>
        <v>0</v>
      </c>
      <c r="E928" s="67"/>
      <c r="F928" s="58">
        <f t="shared" si="150"/>
        <v>-8</v>
      </c>
      <c r="G928" s="58"/>
      <c r="H928" s="58">
        <f t="shared" ref="H928:M928" si="925">SUMIFS($C928,$B928,H$8)+H927</f>
        <v>0</v>
      </c>
      <c r="I928" s="58">
        <f t="shared" si="925"/>
        <v>9</v>
      </c>
      <c r="J928" s="58">
        <f t="shared" si="925"/>
        <v>36</v>
      </c>
      <c r="K928" s="58">
        <f t="shared" si="925"/>
        <v>0</v>
      </c>
      <c r="L928" s="58">
        <f t="shared" si="925"/>
        <v>0</v>
      </c>
      <c r="M928" s="58">
        <f t="shared" si="925"/>
        <v>0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0" customHeight="1">
      <c r="A929" s="70"/>
      <c r="B929" s="71"/>
      <c r="C929" s="66"/>
      <c r="D929" s="66">
        <f t="shared" si="3"/>
        <v>0</v>
      </c>
      <c r="E929" s="67"/>
      <c r="F929" s="58">
        <f t="shared" si="150"/>
        <v>-8</v>
      </c>
      <c r="G929" s="58"/>
      <c r="H929" s="58">
        <f t="shared" ref="H929:M929" si="926">SUMIFS($C929,$B929,H$8)+H928</f>
        <v>0</v>
      </c>
      <c r="I929" s="58">
        <f t="shared" si="926"/>
        <v>9</v>
      </c>
      <c r="J929" s="58">
        <f t="shared" si="926"/>
        <v>36</v>
      </c>
      <c r="K929" s="58">
        <f t="shared" si="926"/>
        <v>0</v>
      </c>
      <c r="L929" s="58">
        <f t="shared" si="926"/>
        <v>0</v>
      </c>
      <c r="M929" s="58">
        <f t="shared" si="926"/>
        <v>0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0" customHeight="1">
      <c r="A930" s="70"/>
      <c r="B930" s="71"/>
      <c r="C930" s="66"/>
      <c r="D930" s="66">
        <f t="shared" si="3"/>
        <v>0</v>
      </c>
      <c r="E930" s="67"/>
      <c r="F930" s="58">
        <f t="shared" si="150"/>
        <v>-8</v>
      </c>
      <c r="G930" s="58"/>
      <c r="H930" s="58">
        <f t="shared" ref="H930:M930" si="927">SUMIFS($C930,$B930,H$8)+H929</f>
        <v>0</v>
      </c>
      <c r="I930" s="58">
        <f t="shared" si="927"/>
        <v>9</v>
      </c>
      <c r="J930" s="58">
        <f t="shared" si="927"/>
        <v>36</v>
      </c>
      <c r="K930" s="58">
        <f t="shared" si="927"/>
        <v>0</v>
      </c>
      <c r="L930" s="58">
        <f t="shared" si="927"/>
        <v>0</v>
      </c>
      <c r="M930" s="58">
        <f t="shared" si="927"/>
        <v>0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0" customHeight="1">
      <c r="A931" s="70"/>
      <c r="B931" s="71"/>
      <c r="C931" s="66"/>
      <c r="D931" s="66">
        <f t="shared" si="3"/>
        <v>0</v>
      </c>
      <c r="E931" s="67"/>
      <c r="F931" s="58">
        <f t="shared" si="150"/>
        <v>-8</v>
      </c>
      <c r="G931" s="58"/>
      <c r="H931" s="58">
        <f t="shared" ref="H931:M931" si="928">SUMIFS($C931,$B931,H$8)+H930</f>
        <v>0</v>
      </c>
      <c r="I931" s="58">
        <f t="shared" si="928"/>
        <v>9</v>
      </c>
      <c r="J931" s="58">
        <f t="shared" si="928"/>
        <v>36</v>
      </c>
      <c r="K931" s="58">
        <f t="shared" si="928"/>
        <v>0</v>
      </c>
      <c r="L931" s="58">
        <f t="shared" si="928"/>
        <v>0</v>
      </c>
      <c r="M931" s="58">
        <f t="shared" si="928"/>
        <v>0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0" customHeight="1">
      <c r="A932" s="70"/>
      <c r="B932" s="71"/>
      <c r="C932" s="66"/>
      <c r="D932" s="66">
        <f t="shared" si="3"/>
        <v>0</v>
      </c>
      <c r="E932" s="67"/>
      <c r="F932" s="58">
        <f t="shared" si="150"/>
        <v>-8</v>
      </c>
      <c r="G932" s="58"/>
      <c r="H932" s="58">
        <f t="shared" ref="H932:M932" si="929">SUMIFS($C932,$B932,H$8)+H931</f>
        <v>0</v>
      </c>
      <c r="I932" s="58">
        <f t="shared" si="929"/>
        <v>9</v>
      </c>
      <c r="J932" s="58">
        <f t="shared" si="929"/>
        <v>36</v>
      </c>
      <c r="K932" s="58">
        <f t="shared" si="929"/>
        <v>0</v>
      </c>
      <c r="L932" s="58">
        <f t="shared" si="929"/>
        <v>0</v>
      </c>
      <c r="M932" s="58">
        <f t="shared" si="929"/>
        <v>0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0" customHeight="1">
      <c r="A933" s="70"/>
      <c r="B933" s="71"/>
      <c r="C933" s="66"/>
      <c r="D933" s="66">
        <f t="shared" si="3"/>
        <v>0</v>
      </c>
      <c r="E933" s="67"/>
      <c r="F933" s="58">
        <f t="shared" si="150"/>
        <v>-8</v>
      </c>
      <c r="G933" s="58"/>
      <c r="H933" s="58">
        <f t="shared" ref="H933:M933" si="930">SUMIFS($C933,$B933,H$8)+H932</f>
        <v>0</v>
      </c>
      <c r="I933" s="58">
        <f t="shared" si="930"/>
        <v>9</v>
      </c>
      <c r="J933" s="58">
        <f t="shared" si="930"/>
        <v>36</v>
      </c>
      <c r="K933" s="58">
        <f t="shared" si="930"/>
        <v>0</v>
      </c>
      <c r="L933" s="58">
        <f t="shared" si="930"/>
        <v>0</v>
      </c>
      <c r="M933" s="58">
        <f t="shared" si="930"/>
        <v>0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0" customHeight="1">
      <c r="A934" s="70"/>
      <c r="B934" s="71"/>
      <c r="C934" s="66"/>
      <c r="D934" s="66">
        <f t="shared" si="3"/>
        <v>0</v>
      </c>
      <c r="E934" s="67"/>
      <c r="F934" s="58">
        <f t="shared" si="150"/>
        <v>-8</v>
      </c>
      <c r="G934" s="58"/>
      <c r="H934" s="58">
        <f t="shared" ref="H934:M934" si="931">SUMIFS($C934,$B934,H$8)+H933</f>
        <v>0</v>
      </c>
      <c r="I934" s="58">
        <f t="shared" si="931"/>
        <v>9</v>
      </c>
      <c r="J934" s="58">
        <f t="shared" si="931"/>
        <v>36</v>
      </c>
      <c r="K934" s="58">
        <f t="shared" si="931"/>
        <v>0</v>
      </c>
      <c r="L934" s="58">
        <f t="shared" si="931"/>
        <v>0</v>
      </c>
      <c r="M934" s="58">
        <f t="shared" si="931"/>
        <v>0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0" customHeight="1">
      <c r="A935" s="70"/>
      <c r="B935" s="71"/>
      <c r="C935" s="66"/>
      <c r="D935" s="66">
        <f t="shared" si="3"/>
        <v>0</v>
      </c>
      <c r="E935" s="67"/>
      <c r="F935" s="58">
        <f t="shared" si="150"/>
        <v>-8</v>
      </c>
      <c r="G935" s="58"/>
      <c r="H935" s="58">
        <f t="shared" ref="H935:M935" si="932">SUMIFS($C935,$B935,H$8)+H934</f>
        <v>0</v>
      </c>
      <c r="I935" s="58">
        <f t="shared" si="932"/>
        <v>9</v>
      </c>
      <c r="J935" s="58">
        <f t="shared" si="932"/>
        <v>36</v>
      </c>
      <c r="K935" s="58">
        <f t="shared" si="932"/>
        <v>0</v>
      </c>
      <c r="L935" s="58">
        <f t="shared" si="932"/>
        <v>0</v>
      </c>
      <c r="M935" s="58">
        <f t="shared" si="932"/>
        <v>0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0" customHeight="1">
      <c r="A936" s="70"/>
      <c r="B936" s="71"/>
      <c r="C936" s="66"/>
      <c r="D936" s="66">
        <f t="shared" si="3"/>
        <v>0</v>
      </c>
      <c r="E936" s="67"/>
      <c r="F936" s="58">
        <f t="shared" si="150"/>
        <v>-8</v>
      </c>
      <c r="G936" s="58"/>
      <c r="H936" s="58">
        <f t="shared" ref="H936:M936" si="933">SUMIFS($C936,$B936,H$8)+H935</f>
        <v>0</v>
      </c>
      <c r="I936" s="58">
        <f t="shared" si="933"/>
        <v>9</v>
      </c>
      <c r="J936" s="58">
        <f t="shared" si="933"/>
        <v>36</v>
      </c>
      <c r="K936" s="58">
        <f t="shared" si="933"/>
        <v>0</v>
      </c>
      <c r="L936" s="58">
        <f t="shared" si="933"/>
        <v>0</v>
      </c>
      <c r="M936" s="58">
        <f t="shared" si="933"/>
        <v>0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0" customHeight="1">
      <c r="A937" s="70"/>
      <c r="B937" s="71"/>
      <c r="C937" s="66"/>
      <c r="D937" s="66">
        <f t="shared" si="3"/>
        <v>0</v>
      </c>
      <c r="E937" s="67"/>
      <c r="F937" s="58">
        <f t="shared" si="150"/>
        <v>-8</v>
      </c>
      <c r="G937" s="58"/>
      <c r="H937" s="58">
        <f t="shared" ref="H937:M937" si="934">SUMIFS($C937,$B937,H$8)+H936</f>
        <v>0</v>
      </c>
      <c r="I937" s="58">
        <f t="shared" si="934"/>
        <v>9</v>
      </c>
      <c r="J937" s="58">
        <f t="shared" si="934"/>
        <v>36</v>
      </c>
      <c r="K937" s="58">
        <f t="shared" si="934"/>
        <v>0</v>
      </c>
      <c r="L937" s="58">
        <f t="shared" si="934"/>
        <v>0</v>
      </c>
      <c r="M937" s="58">
        <f t="shared" si="934"/>
        <v>0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0" customHeight="1">
      <c r="A938" s="70"/>
      <c r="B938" s="71"/>
      <c r="C938" s="66"/>
      <c r="D938" s="66">
        <f t="shared" si="3"/>
        <v>0</v>
      </c>
      <c r="E938" s="67"/>
      <c r="F938" s="58">
        <f t="shared" si="150"/>
        <v>-8</v>
      </c>
      <c r="G938" s="58"/>
      <c r="H938" s="58">
        <f t="shared" ref="H938:M938" si="935">SUMIFS($C938,$B938,H$8)+H937</f>
        <v>0</v>
      </c>
      <c r="I938" s="58">
        <f t="shared" si="935"/>
        <v>9</v>
      </c>
      <c r="J938" s="58">
        <f t="shared" si="935"/>
        <v>36</v>
      </c>
      <c r="K938" s="58">
        <f t="shared" si="935"/>
        <v>0</v>
      </c>
      <c r="L938" s="58">
        <f t="shared" si="935"/>
        <v>0</v>
      </c>
      <c r="M938" s="58">
        <f t="shared" si="935"/>
        <v>0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0" customHeight="1">
      <c r="A939" s="70"/>
      <c r="B939" s="71"/>
      <c r="C939" s="66"/>
      <c r="D939" s="66">
        <f t="shared" si="3"/>
        <v>0</v>
      </c>
      <c r="E939" s="67"/>
      <c r="F939" s="58">
        <f t="shared" si="150"/>
        <v>-8</v>
      </c>
      <c r="G939" s="58"/>
      <c r="H939" s="58">
        <f t="shared" ref="H939:M939" si="936">SUMIFS($C939,$B939,H$8)+H938</f>
        <v>0</v>
      </c>
      <c r="I939" s="58">
        <f t="shared" si="936"/>
        <v>9</v>
      </c>
      <c r="J939" s="58">
        <f t="shared" si="936"/>
        <v>36</v>
      </c>
      <c r="K939" s="58">
        <f t="shared" si="936"/>
        <v>0</v>
      </c>
      <c r="L939" s="58">
        <f t="shared" si="936"/>
        <v>0</v>
      </c>
      <c r="M939" s="58">
        <f t="shared" si="936"/>
        <v>0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0" customHeight="1">
      <c r="A940" s="70"/>
      <c r="B940" s="71"/>
      <c r="C940" s="66"/>
      <c r="D940" s="66">
        <f t="shared" si="3"/>
        <v>0</v>
      </c>
      <c r="E940" s="67"/>
      <c r="F940" s="58">
        <f t="shared" si="150"/>
        <v>-8</v>
      </c>
      <c r="G940" s="58"/>
      <c r="H940" s="58">
        <f t="shared" ref="H940:M940" si="937">SUMIFS($C940,$B940,H$8)+H939</f>
        <v>0</v>
      </c>
      <c r="I940" s="58">
        <f t="shared" si="937"/>
        <v>9</v>
      </c>
      <c r="J940" s="58">
        <f t="shared" si="937"/>
        <v>36</v>
      </c>
      <c r="K940" s="58">
        <f t="shared" si="937"/>
        <v>0</v>
      </c>
      <c r="L940" s="58">
        <f t="shared" si="937"/>
        <v>0</v>
      </c>
      <c r="M940" s="58">
        <f t="shared" si="937"/>
        <v>0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0" customHeight="1">
      <c r="A941" s="70"/>
      <c r="B941" s="71"/>
      <c r="C941" s="66"/>
      <c r="D941" s="66">
        <f t="shared" si="3"/>
        <v>0</v>
      </c>
      <c r="E941" s="67"/>
      <c r="F941" s="58">
        <f t="shared" si="150"/>
        <v>-8</v>
      </c>
      <c r="G941" s="58"/>
      <c r="H941" s="58">
        <f t="shared" ref="H941:M941" si="938">SUMIFS($C941,$B941,H$8)+H940</f>
        <v>0</v>
      </c>
      <c r="I941" s="58">
        <f t="shared" si="938"/>
        <v>9</v>
      </c>
      <c r="J941" s="58">
        <f t="shared" si="938"/>
        <v>36</v>
      </c>
      <c r="K941" s="58">
        <f t="shared" si="938"/>
        <v>0</v>
      </c>
      <c r="L941" s="58">
        <f t="shared" si="938"/>
        <v>0</v>
      </c>
      <c r="M941" s="58">
        <f t="shared" si="938"/>
        <v>0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0" customHeight="1">
      <c r="A942" s="70"/>
      <c r="B942" s="71"/>
      <c r="C942" s="66"/>
      <c r="D942" s="66">
        <f t="shared" si="3"/>
        <v>0</v>
      </c>
      <c r="E942" s="67"/>
      <c r="F942" s="58">
        <f t="shared" si="150"/>
        <v>-8</v>
      </c>
      <c r="G942" s="58"/>
      <c r="H942" s="58">
        <f t="shared" ref="H942:M942" si="939">SUMIFS($C942,$B942,H$8)+H941</f>
        <v>0</v>
      </c>
      <c r="I942" s="58">
        <f t="shared" si="939"/>
        <v>9</v>
      </c>
      <c r="J942" s="58">
        <f t="shared" si="939"/>
        <v>36</v>
      </c>
      <c r="K942" s="58">
        <f t="shared" si="939"/>
        <v>0</v>
      </c>
      <c r="L942" s="58">
        <f t="shared" si="939"/>
        <v>0</v>
      </c>
      <c r="M942" s="58">
        <f t="shared" si="939"/>
        <v>0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0" customHeight="1">
      <c r="A943" s="70"/>
      <c r="B943" s="71"/>
      <c r="C943" s="66"/>
      <c r="D943" s="66">
        <f t="shared" si="3"/>
        <v>0</v>
      </c>
      <c r="E943" s="67"/>
      <c r="F943" s="58">
        <f t="shared" si="150"/>
        <v>-8</v>
      </c>
      <c r="G943" s="58"/>
      <c r="H943" s="58">
        <f t="shared" ref="H943:M943" si="940">SUMIFS($C943,$B943,H$8)+H942</f>
        <v>0</v>
      </c>
      <c r="I943" s="58">
        <f t="shared" si="940"/>
        <v>9</v>
      </c>
      <c r="J943" s="58">
        <f t="shared" si="940"/>
        <v>36</v>
      </c>
      <c r="K943" s="58">
        <f t="shared" si="940"/>
        <v>0</v>
      </c>
      <c r="L943" s="58">
        <f t="shared" si="940"/>
        <v>0</v>
      </c>
      <c r="M943" s="58">
        <f t="shared" si="940"/>
        <v>0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0" customHeight="1">
      <c r="A944" s="70"/>
      <c r="B944" s="71"/>
      <c r="C944" s="66"/>
      <c r="D944" s="66">
        <f t="shared" si="3"/>
        <v>0</v>
      </c>
      <c r="E944" s="67"/>
      <c r="F944" s="58">
        <f t="shared" si="150"/>
        <v>-8</v>
      </c>
      <c r="G944" s="58"/>
      <c r="H944" s="58">
        <f t="shared" ref="H944:M944" si="941">SUMIFS($C944,$B944,H$8)+H943</f>
        <v>0</v>
      </c>
      <c r="I944" s="58">
        <f t="shared" si="941"/>
        <v>9</v>
      </c>
      <c r="J944" s="58">
        <f t="shared" si="941"/>
        <v>36</v>
      </c>
      <c r="K944" s="58">
        <f t="shared" si="941"/>
        <v>0</v>
      </c>
      <c r="L944" s="58">
        <f t="shared" si="941"/>
        <v>0</v>
      </c>
      <c r="M944" s="58">
        <f t="shared" si="941"/>
        <v>0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0" customHeight="1">
      <c r="A945" s="70"/>
      <c r="B945" s="71"/>
      <c r="C945" s="66"/>
      <c r="D945" s="66">
        <f t="shared" si="3"/>
        <v>0</v>
      </c>
      <c r="E945" s="67"/>
      <c r="F945" s="58">
        <f t="shared" si="150"/>
        <v>-8</v>
      </c>
      <c r="G945" s="58"/>
      <c r="H945" s="58">
        <f t="shared" ref="H945:M945" si="942">SUMIFS($C945,$B945,H$8)+H944</f>
        <v>0</v>
      </c>
      <c r="I945" s="58">
        <f t="shared" si="942"/>
        <v>9</v>
      </c>
      <c r="J945" s="58">
        <f t="shared" si="942"/>
        <v>36</v>
      </c>
      <c r="K945" s="58">
        <f t="shared" si="942"/>
        <v>0</v>
      </c>
      <c r="L945" s="58">
        <f t="shared" si="942"/>
        <v>0</v>
      </c>
      <c r="M945" s="58">
        <f t="shared" si="942"/>
        <v>0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0" customHeight="1">
      <c r="A946" s="70"/>
      <c r="B946" s="71"/>
      <c r="C946" s="66"/>
      <c r="D946" s="66">
        <f t="shared" si="3"/>
        <v>0</v>
      </c>
      <c r="E946" s="67"/>
      <c r="F946" s="58">
        <f t="shared" si="150"/>
        <v>-8</v>
      </c>
      <c r="G946" s="58"/>
      <c r="H946" s="58">
        <f t="shared" ref="H946:M946" si="943">SUMIFS($C946,$B946,H$8)+H945</f>
        <v>0</v>
      </c>
      <c r="I946" s="58">
        <f t="shared" si="943"/>
        <v>9</v>
      </c>
      <c r="J946" s="58">
        <f t="shared" si="943"/>
        <v>36</v>
      </c>
      <c r="K946" s="58">
        <f t="shared" si="943"/>
        <v>0</v>
      </c>
      <c r="L946" s="58">
        <f t="shared" si="943"/>
        <v>0</v>
      </c>
      <c r="M946" s="58">
        <f t="shared" si="943"/>
        <v>0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0" customHeight="1">
      <c r="A947" s="70"/>
      <c r="B947" s="71"/>
      <c r="C947" s="66"/>
      <c r="D947" s="66">
        <f t="shared" si="3"/>
        <v>0</v>
      </c>
      <c r="E947" s="67"/>
      <c r="F947" s="58">
        <f t="shared" si="150"/>
        <v>-8</v>
      </c>
      <c r="G947" s="58"/>
      <c r="H947" s="58">
        <f t="shared" ref="H947:M947" si="944">SUMIFS($C947,$B947,H$8)+H946</f>
        <v>0</v>
      </c>
      <c r="I947" s="58">
        <f t="shared" si="944"/>
        <v>9</v>
      </c>
      <c r="J947" s="58">
        <f t="shared" si="944"/>
        <v>36</v>
      </c>
      <c r="K947" s="58">
        <f t="shared" si="944"/>
        <v>0</v>
      </c>
      <c r="L947" s="58">
        <f t="shared" si="944"/>
        <v>0</v>
      </c>
      <c r="M947" s="58">
        <f t="shared" si="944"/>
        <v>0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0" customHeight="1">
      <c r="A948" s="70"/>
      <c r="B948" s="71"/>
      <c r="C948" s="66"/>
      <c r="D948" s="66">
        <f t="shared" si="3"/>
        <v>0</v>
      </c>
      <c r="E948" s="67"/>
      <c r="F948" s="58">
        <f t="shared" si="150"/>
        <v>-8</v>
      </c>
      <c r="G948" s="58"/>
      <c r="H948" s="58">
        <f t="shared" ref="H948:M948" si="945">SUMIFS($C948,$B948,H$8)+H947</f>
        <v>0</v>
      </c>
      <c r="I948" s="58">
        <f t="shared" si="945"/>
        <v>9</v>
      </c>
      <c r="J948" s="58">
        <f t="shared" si="945"/>
        <v>36</v>
      </c>
      <c r="K948" s="58">
        <f t="shared" si="945"/>
        <v>0</v>
      </c>
      <c r="L948" s="58">
        <f t="shared" si="945"/>
        <v>0</v>
      </c>
      <c r="M948" s="58">
        <f t="shared" si="945"/>
        <v>0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0" customHeight="1">
      <c r="A949" s="70"/>
      <c r="B949" s="71"/>
      <c r="C949" s="66"/>
      <c r="D949" s="66">
        <f t="shared" si="3"/>
        <v>0</v>
      </c>
      <c r="E949" s="67"/>
      <c r="F949" s="58">
        <f t="shared" si="150"/>
        <v>-8</v>
      </c>
      <c r="G949" s="58"/>
      <c r="H949" s="58">
        <f t="shared" ref="H949:M949" si="946">SUMIFS($C949,$B949,H$8)+H948</f>
        <v>0</v>
      </c>
      <c r="I949" s="58">
        <f t="shared" si="946"/>
        <v>9</v>
      </c>
      <c r="J949" s="58">
        <f t="shared" si="946"/>
        <v>36</v>
      </c>
      <c r="K949" s="58">
        <f t="shared" si="946"/>
        <v>0</v>
      </c>
      <c r="L949" s="58">
        <f t="shared" si="946"/>
        <v>0</v>
      </c>
      <c r="M949" s="58">
        <f t="shared" si="946"/>
        <v>0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0" customHeight="1">
      <c r="A950" s="70"/>
      <c r="B950" s="71"/>
      <c r="C950" s="66"/>
      <c r="D950" s="66">
        <f t="shared" si="3"/>
        <v>0</v>
      </c>
      <c r="E950" s="67"/>
      <c r="F950" s="58">
        <f t="shared" si="150"/>
        <v>-8</v>
      </c>
      <c r="G950" s="58"/>
      <c r="H950" s="58">
        <f t="shared" ref="H950:M950" si="947">SUMIFS($C950,$B950,H$8)+H949</f>
        <v>0</v>
      </c>
      <c r="I950" s="58">
        <f t="shared" si="947"/>
        <v>9</v>
      </c>
      <c r="J950" s="58">
        <f t="shared" si="947"/>
        <v>36</v>
      </c>
      <c r="K950" s="58">
        <f t="shared" si="947"/>
        <v>0</v>
      </c>
      <c r="L950" s="58">
        <f t="shared" si="947"/>
        <v>0</v>
      </c>
      <c r="M950" s="58">
        <f t="shared" si="947"/>
        <v>0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0" customHeight="1">
      <c r="A951" s="70"/>
      <c r="B951" s="71"/>
      <c r="C951" s="66"/>
      <c r="D951" s="66">
        <f t="shared" si="3"/>
        <v>0</v>
      </c>
      <c r="E951" s="67"/>
      <c r="F951" s="58">
        <f t="shared" si="150"/>
        <v>-8</v>
      </c>
      <c r="G951" s="58"/>
      <c r="H951" s="58">
        <f t="shared" ref="H951:M951" si="948">SUMIFS($C951,$B951,H$8)+H950</f>
        <v>0</v>
      </c>
      <c r="I951" s="58">
        <f t="shared" si="948"/>
        <v>9</v>
      </c>
      <c r="J951" s="58">
        <f t="shared" si="948"/>
        <v>36</v>
      </c>
      <c r="K951" s="58">
        <f t="shared" si="948"/>
        <v>0</v>
      </c>
      <c r="L951" s="58">
        <f t="shared" si="948"/>
        <v>0</v>
      </c>
      <c r="M951" s="58">
        <f t="shared" si="948"/>
        <v>0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0" customHeight="1">
      <c r="A952" s="70"/>
      <c r="B952" s="71"/>
      <c r="C952" s="66"/>
      <c r="D952" s="66">
        <f t="shared" si="3"/>
        <v>0</v>
      </c>
      <c r="E952" s="67"/>
      <c r="F952" s="58">
        <f t="shared" si="150"/>
        <v>-8</v>
      </c>
      <c r="G952" s="58"/>
      <c r="H952" s="58">
        <f t="shared" ref="H952:M952" si="949">SUMIFS($C952,$B952,H$8)+H951</f>
        <v>0</v>
      </c>
      <c r="I952" s="58">
        <f t="shared" si="949"/>
        <v>9</v>
      </c>
      <c r="J952" s="58">
        <f t="shared" si="949"/>
        <v>36</v>
      </c>
      <c r="K952" s="58">
        <f t="shared" si="949"/>
        <v>0</v>
      </c>
      <c r="L952" s="58">
        <f t="shared" si="949"/>
        <v>0</v>
      </c>
      <c r="M952" s="58">
        <f t="shared" si="949"/>
        <v>0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0" customHeight="1">
      <c r="A953" s="70"/>
      <c r="B953" s="71"/>
      <c r="C953" s="66"/>
      <c r="D953" s="66">
        <f t="shared" si="3"/>
        <v>0</v>
      </c>
      <c r="E953" s="67"/>
      <c r="F953" s="58">
        <f t="shared" si="150"/>
        <v>-8</v>
      </c>
      <c r="G953" s="58"/>
      <c r="H953" s="58">
        <f t="shared" ref="H953:M953" si="950">SUMIFS($C953,$B953,H$8)+H952</f>
        <v>0</v>
      </c>
      <c r="I953" s="58">
        <f t="shared" si="950"/>
        <v>9</v>
      </c>
      <c r="J953" s="58">
        <f t="shared" si="950"/>
        <v>36</v>
      </c>
      <c r="K953" s="58">
        <f t="shared" si="950"/>
        <v>0</v>
      </c>
      <c r="L953" s="58">
        <f t="shared" si="950"/>
        <v>0</v>
      </c>
      <c r="M953" s="58">
        <f t="shared" si="950"/>
        <v>0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0" customHeight="1">
      <c r="A954" s="70"/>
      <c r="B954" s="71"/>
      <c r="C954" s="66"/>
      <c r="D954" s="66">
        <f t="shared" si="3"/>
        <v>0</v>
      </c>
      <c r="E954" s="67"/>
      <c r="F954" s="58">
        <f t="shared" si="150"/>
        <v>-8</v>
      </c>
      <c r="G954" s="58"/>
      <c r="H954" s="58">
        <f t="shared" ref="H954:M954" si="951">SUMIFS($C954,$B954,H$8)+H953</f>
        <v>0</v>
      </c>
      <c r="I954" s="58">
        <f t="shared" si="951"/>
        <v>9</v>
      </c>
      <c r="J954" s="58">
        <f t="shared" si="951"/>
        <v>36</v>
      </c>
      <c r="K954" s="58">
        <f t="shared" si="951"/>
        <v>0</v>
      </c>
      <c r="L954" s="58">
        <f t="shared" si="951"/>
        <v>0</v>
      </c>
      <c r="M954" s="58">
        <f t="shared" si="951"/>
        <v>0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0" customHeight="1">
      <c r="A955" s="70"/>
      <c r="B955" s="71"/>
      <c r="C955" s="66"/>
      <c r="D955" s="66">
        <f t="shared" si="3"/>
        <v>0</v>
      </c>
      <c r="E955" s="67"/>
      <c r="F955" s="58">
        <f t="shared" si="150"/>
        <v>-8</v>
      </c>
      <c r="G955" s="58"/>
      <c r="H955" s="58">
        <f t="shared" ref="H955:M955" si="952">SUMIFS($C955,$B955,H$8)+H954</f>
        <v>0</v>
      </c>
      <c r="I955" s="58">
        <f t="shared" si="952"/>
        <v>9</v>
      </c>
      <c r="J955" s="58">
        <f t="shared" si="952"/>
        <v>36</v>
      </c>
      <c r="K955" s="58">
        <f t="shared" si="952"/>
        <v>0</v>
      </c>
      <c r="L955" s="58">
        <f t="shared" si="952"/>
        <v>0</v>
      </c>
      <c r="M955" s="58">
        <f t="shared" si="952"/>
        <v>0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0" customHeight="1">
      <c r="A956" s="70"/>
      <c r="B956" s="71"/>
      <c r="C956" s="66"/>
      <c r="D956" s="66">
        <f t="shared" si="3"/>
        <v>0</v>
      </c>
      <c r="E956" s="67"/>
      <c r="F956" s="58">
        <f t="shared" si="150"/>
        <v>-8</v>
      </c>
      <c r="G956" s="58"/>
      <c r="H956" s="58">
        <f t="shared" ref="H956:M956" si="953">SUMIFS($C956,$B956,H$8)+H955</f>
        <v>0</v>
      </c>
      <c r="I956" s="58">
        <f t="shared" si="953"/>
        <v>9</v>
      </c>
      <c r="J956" s="58">
        <f t="shared" si="953"/>
        <v>36</v>
      </c>
      <c r="K956" s="58">
        <f t="shared" si="953"/>
        <v>0</v>
      </c>
      <c r="L956" s="58">
        <f t="shared" si="953"/>
        <v>0</v>
      </c>
      <c r="M956" s="58">
        <f t="shared" si="953"/>
        <v>0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0" customHeight="1">
      <c r="A957" s="70"/>
      <c r="B957" s="71"/>
      <c r="C957" s="66"/>
      <c r="D957" s="66">
        <f t="shared" si="3"/>
        <v>0</v>
      </c>
      <c r="E957" s="67"/>
      <c r="F957" s="58">
        <f t="shared" si="150"/>
        <v>-8</v>
      </c>
      <c r="G957" s="58"/>
      <c r="H957" s="58">
        <f t="shared" ref="H957:M957" si="954">SUMIFS($C957,$B957,H$8)+H956</f>
        <v>0</v>
      </c>
      <c r="I957" s="58">
        <f t="shared" si="954"/>
        <v>9</v>
      </c>
      <c r="J957" s="58">
        <f t="shared" si="954"/>
        <v>36</v>
      </c>
      <c r="K957" s="58">
        <f t="shared" si="954"/>
        <v>0</v>
      </c>
      <c r="L957" s="58">
        <f t="shared" si="954"/>
        <v>0</v>
      </c>
      <c r="M957" s="58">
        <f t="shared" si="954"/>
        <v>0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0" customHeight="1">
      <c r="A958" s="70"/>
      <c r="B958" s="71"/>
      <c r="C958" s="66"/>
      <c r="D958" s="66">
        <f t="shared" si="3"/>
        <v>0</v>
      </c>
      <c r="E958" s="67"/>
      <c r="F958" s="58">
        <f t="shared" si="150"/>
        <v>-8</v>
      </c>
      <c r="G958" s="58"/>
      <c r="H958" s="58">
        <f t="shared" ref="H958:M958" si="955">SUMIFS($C958,$B958,H$8)+H957</f>
        <v>0</v>
      </c>
      <c r="I958" s="58">
        <f t="shared" si="955"/>
        <v>9</v>
      </c>
      <c r="J958" s="58">
        <f t="shared" si="955"/>
        <v>36</v>
      </c>
      <c r="K958" s="58">
        <f t="shared" si="955"/>
        <v>0</v>
      </c>
      <c r="L958" s="58">
        <f t="shared" si="955"/>
        <v>0</v>
      </c>
      <c r="M958" s="58">
        <f t="shared" si="955"/>
        <v>0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0" customHeight="1">
      <c r="A959" s="70"/>
      <c r="B959" s="71"/>
      <c r="C959" s="66"/>
      <c r="D959" s="66">
        <f t="shared" si="3"/>
        <v>0</v>
      </c>
      <c r="E959" s="67"/>
      <c r="F959" s="58">
        <f t="shared" si="150"/>
        <v>-8</v>
      </c>
      <c r="G959" s="58"/>
      <c r="H959" s="58">
        <f t="shared" ref="H959:M959" si="956">SUMIFS($C959,$B959,H$8)+H958</f>
        <v>0</v>
      </c>
      <c r="I959" s="58">
        <f t="shared" si="956"/>
        <v>9</v>
      </c>
      <c r="J959" s="58">
        <f t="shared" si="956"/>
        <v>36</v>
      </c>
      <c r="K959" s="58">
        <f t="shared" si="956"/>
        <v>0</v>
      </c>
      <c r="L959" s="58">
        <f t="shared" si="956"/>
        <v>0</v>
      </c>
      <c r="M959" s="58">
        <f t="shared" si="956"/>
        <v>0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0" customHeight="1">
      <c r="A960" s="70"/>
      <c r="B960" s="71"/>
      <c r="C960" s="66"/>
      <c r="D960" s="66">
        <f t="shared" si="3"/>
        <v>0</v>
      </c>
      <c r="E960" s="67"/>
      <c r="F960" s="58">
        <f t="shared" si="150"/>
        <v>-8</v>
      </c>
      <c r="G960" s="58"/>
      <c r="H960" s="58">
        <f t="shared" ref="H960:M960" si="957">SUMIFS($C960,$B960,H$8)+H959</f>
        <v>0</v>
      </c>
      <c r="I960" s="58">
        <f t="shared" si="957"/>
        <v>9</v>
      </c>
      <c r="J960" s="58">
        <f t="shared" si="957"/>
        <v>36</v>
      </c>
      <c r="K960" s="58">
        <f t="shared" si="957"/>
        <v>0</v>
      </c>
      <c r="L960" s="58">
        <f t="shared" si="957"/>
        <v>0</v>
      </c>
      <c r="M960" s="58">
        <f t="shared" si="957"/>
        <v>0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0" customHeight="1">
      <c r="A961" s="70"/>
      <c r="B961" s="71"/>
      <c r="C961" s="66"/>
      <c r="D961" s="66">
        <f t="shared" si="3"/>
        <v>0</v>
      </c>
      <c r="E961" s="67"/>
      <c r="F961" s="58">
        <f t="shared" si="150"/>
        <v>-8</v>
      </c>
      <c r="G961" s="58"/>
      <c r="H961" s="58">
        <f t="shared" ref="H961:M961" si="958">SUMIFS($C961,$B961,H$8)+H960</f>
        <v>0</v>
      </c>
      <c r="I961" s="58">
        <f t="shared" si="958"/>
        <v>9</v>
      </c>
      <c r="J961" s="58">
        <f t="shared" si="958"/>
        <v>36</v>
      </c>
      <c r="K961" s="58">
        <f t="shared" si="958"/>
        <v>0</v>
      </c>
      <c r="L961" s="58">
        <f t="shared" si="958"/>
        <v>0</v>
      </c>
      <c r="M961" s="58">
        <f t="shared" si="958"/>
        <v>0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0" customHeight="1">
      <c r="A962" s="70"/>
      <c r="B962" s="71"/>
      <c r="C962" s="66"/>
      <c r="D962" s="66">
        <f t="shared" si="3"/>
        <v>0</v>
      </c>
      <c r="E962" s="67"/>
      <c r="F962" s="58">
        <f t="shared" si="150"/>
        <v>-8</v>
      </c>
      <c r="G962" s="58"/>
      <c r="H962" s="58">
        <f t="shared" ref="H962:M962" si="959">SUMIFS($C962,$B962,H$8)+H961</f>
        <v>0</v>
      </c>
      <c r="I962" s="58">
        <f t="shared" si="959"/>
        <v>9</v>
      </c>
      <c r="J962" s="58">
        <f t="shared" si="959"/>
        <v>36</v>
      </c>
      <c r="K962" s="58">
        <f t="shared" si="959"/>
        <v>0</v>
      </c>
      <c r="L962" s="58">
        <f t="shared" si="959"/>
        <v>0</v>
      </c>
      <c r="M962" s="58">
        <f t="shared" si="959"/>
        <v>0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0" customHeight="1">
      <c r="A963" s="70"/>
      <c r="B963" s="71"/>
      <c r="C963" s="66"/>
      <c r="D963" s="66">
        <f t="shared" si="3"/>
        <v>0</v>
      </c>
      <c r="E963" s="67"/>
      <c r="F963" s="58">
        <f t="shared" si="150"/>
        <v>-8</v>
      </c>
      <c r="G963" s="58"/>
      <c r="H963" s="58">
        <f t="shared" ref="H963:M963" si="960">SUMIFS($C963,$B963,H$8)+H962</f>
        <v>0</v>
      </c>
      <c r="I963" s="58">
        <f t="shared" si="960"/>
        <v>9</v>
      </c>
      <c r="J963" s="58">
        <f t="shared" si="960"/>
        <v>36</v>
      </c>
      <c r="K963" s="58">
        <f t="shared" si="960"/>
        <v>0</v>
      </c>
      <c r="L963" s="58">
        <f t="shared" si="960"/>
        <v>0</v>
      </c>
      <c r="M963" s="58">
        <f t="shared" si="960"/>
        <v>0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0" customHeight="1">
      <c r="A964" s="70"/>
      <c r="B964" s="71"/>
      <c r="C964" s="66"/>
      <c r="D964" s="66">
        <f t="shared" si="3"/>
        <v>0</v>
      </c>
      <c r="E964" s="67"/>
      <c r="F964" s="58">
        <f t="shared" si="150"/>
        <v>-8</v>
      </c>
      <c r="G964" s="58"/>
      <c r="H964" s="58">
        <f t="shared" ref="H964:M964" si="961">SUMIFS($C964,$B964,H$8)+H963</f>
        <v>0</v>
      </c>
      <c r="I964" s="58">
        <f t="shared" si="961"/>
        <v>9</v>
      </c>
      <c r="J964" s="58">
        <f t="shared" si="961"/>
        <v>36</v>
      </c>
      <c r="K964" s="58">
        <f t="shared" si="961"/>
        <v>0</v>
      </c>
      <c r="L964" s="58">
        <f t="shared" si="961"/>
        <v>0</v>
      </c>
      <c r="M964" s="58">
        <f t="shared" si="961"/>
        <v>0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0" customHeight="1">
      <c r="A965" s="70"/>
      <c r="B965" s="71"/>
      <c r="C965" s="66"/>
      <c r="D965" s="66">
        <f t="shared" si="3"/>
        <v>0</v>
      </c>
      <c r="E965" s="67"/>
      <c r="F965" s="58">
        <f t="shared" si="150"/>
        <v>-8</v>
      </c>
      <c r="G965" s="58"/>
      <c r="H965" s="58">
        <f t="shared" ref="H965:M965" si="962">SUMIFS($C965,$B965,H$8)+H964</f>
        <v>0</v>
      </c>
      <c r="I965" s="58">
        <f t="shared" si="962"/>
        <v>9</v>
      </c>
      <c r="J965" s="58">
        <f t="shared" si="962"/>
        <v>36</v>
      </c>
      <c r="K965" s="58">
        <f t="shared" si="962"/>
        <v>0</v>
      </c>
      <c r="L965" s="58">
        <f t="shared" si="962"/>
        <v>0</v>
      </c>
      <c r="M965" s="58">
        <f t="shared" si="962"/>
        <v>0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0" customHeight="1">
      <c r="A966" s="70"/>
      <c r="B966" s="71"/>
      <c r="C966" s="66"/>
      <c r="D966" s="66">
        <f t="shared" si="3"/>
        <v>0</v>
      </c>
      <c r="E966" s="67"/>
      <c r="F966" s="58">
        <f t="shared" si="150"/>
        <v>-8</v>
      </c>
      <c r="G966" s="58"/>
      <c r="H966" s="58">
        <f t="shared" ref="H966:M966" si="963">SUMIFS($C966,$B966,H$8)+H965</f>
        <v>0</v>
      </c>
      <c r="I966" s="58">
        <f t="shared" si="963"/>
        <v>9</v>
      </c>
      <c r="J966" s="58">
        <f t="shared" si="963"/>
        <v>36</v>
      </c>
      <c r="K966" s="58">
        <f t="shared" si="963"/>
        <v>0</v>
      </c>
      <c r="L966" s="58">
        <f t="shared" si="963"/>
        <v>0</v>
      </c>
      <c r="M966" s="58">
        <f t="shared" si="963"/>
        <v>0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0" customHeight="1">
      <c r="A967" s="70"/>
      <c r="B967" s="71"/>
      <c r="C967" s="66"/>
      <c r="D967" s="66">
        <f t="shared" si="3"/>
        <v>0</v>
      </c>
      <c r="E967" s="67"/>
      <c r="F967" s="58">
        <f t="shared" si="150"/>
        <v>-8</v>
      </c>
      <c r="G967" s="58"/>
      <c r="H967" s="58">
        <f t="shared" ref="H967:M967" si="964">SUMIFS($C967,$B967,H$8)+H966</f>
        <v>0</v>
      </c>
      <c r="I967" s="58">
        <f t="shared" si="964"/>
        <v>9</v>
      </c>
      <c r="J967" s="58">
        <f t="shared" si="964"/>
        <v>36</v>
      </c>
      <c r="K967" s="58">
        <f t="shared" si="964"/>
        <v>0</v>
      </c>
      <c r="L967" s="58">
        <f t="shared" si="964"/>
        <v>0</v>
      </c>
      <c r="M967" s="58">
        <f t="shared" si="964"/>
        <v>0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0" customHeight="1">
      <c r="A968" s="70"/>
      <c r="B968" s="71"/>
      <c r="C968" s="66"/>
      <c r="D968" s="66">
        <f t="shared" si="3"/>
        <v>0</v>
      </c>
      <c r="E968" s="67"/>
      <c r="F968" s="58">
        <f t="shared" si="150"/>
        <v>-8</v>
      </c>
      <c r="G968" s="58"/>
      <c r="H968" s="58">
        <f t="shared" ref="H968:M968" si="965">SUMIFS($C968,$B968,H$8)+H967</f>
        <v>0</v>
      </c>
      <c r="I968" s="58">
        <f t="shared" si="965"/>
        <v>9</v>
      </c>
      <c r="J968" s="58">
        <f t="shared" si="965"/>
        <v>36</v>
      </c>
      <c r="K968" s="58">
        <f t="shared" si="965"/>
        <v>0</v>
      </c>
      <c r="L968" s="58">
        <f t="shared" si="965"/>
        <v>0</v>
      </c>
      <c r="M968" s="58">
        <f t="shared" si="965"/>
        <v>0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0" customHeight="1">
      <c r="A969" s="70"/>
      <c r="B969" s="71"/>
      <c r="C969" s="66"/>
      <c r="D969" s="66">
        <f t="shared" si="3"/>
        <v>0</v>
      </c>
      <c r="E969" s="67"/>
      <c r="F969" s="58">
        <f t="shared" si="150"/>
        <v>-8</v>
      </c>
      <c r="G969" s="58"/>
      <c r="H969" s="58">
        <f t="shared" ref="H969:M969" si="966">SUMIFS($C969,$B969,H$8)+H968</f>
        <v>0</v>
      </c>
      <c r="I969" s="58">
        <f t="shared" si="966"/>
        <v>9</v>
      </c>
      <c r="J969" s="58">
        <f t="shared" si="966"/>
        <v>36</v>
      </c>
      <c r="K969" s="58">
        <f t="shared" si="966"/>
        <v>0</v>
      </c>
      <c r="L969" s="58">
        <f t="shared" si="966"/>
        <v>0</v>
      </c>
      <c r="M969" s="58">
        <f t="shared" si="966"/>
        <v>0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0" customHeight="1">
      <c r="A970" s="70"/>
      <c r="B970" s="71"/>
      <c r="C970" s="66"/>
      <c r="D970" s="66">
        <f t="shared" si="3"/>
        <v>0</v>
      </c>
      <c r="E970" s="67"/>
      <c r="F970" s="58">
        <f t="shared" si="150"/>
        <v>-8</v>
      </c>
      <c r="G970" s="58"/>
      <c r="H970" s="58">
        <f t="shared" ref="H970:M970" si="967">SUMIFS($C970,$B970,H$8)+H969</f>
        <v>0</v>
      </c>
      <c r="I970" s="58">
        <f t="shared" si="967"/>
        <v>9</v>
      </c>
      <c r="J970" s="58">
        <f t="shared" si="967"/>
        <v>36</v>
      </c>
      <c r="K970" s="58">
        <f t="shared" si="967"/>
        <v>0</v>
      </c>
      <c r="L970" s="58">
        <f t="shared" si="967"/>
        <v>0</v>
      </c>
      <c r="M970" s="58">
        <f t="shared" si="967"/>
        <v>0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0" customHeight="1">
      <c r="A971" s="70"/>
      <c r="B971" s="71"/>
      <c r="C971" s="66"/>
      <c r="D971" s="66">
        <f t="shared" si="3"/>
        <v>0</v>
      </c>
      <c r="E971" s="67"/>
      <c r="F971" s="58">
        <f t="shared" si="150"/>
        <v>-8</v>
      </c>
      <c r="G971" s="58"/>
      <c r="H971" s="58">
        <f t="shared" ref="H971:M971" si="968">SUMIFS($C971,$B971,H$8)+H970</f>
        <v>0</v>
      </c>
      <c r="I971" s="58">
        <f t="shared" si="968"/>
        <v>9</v>
      </c>
      <c r="J971" s="58">
        <f t="shared" si="968"/>
        <v>36</v>
      </c>
      <c r="K971" s="58">
        <f t="shared" si="968"/>
        <v>0</v>
      </c>
      <c r="L971" s="58">
        <f t="shared" si="968"/>
        <v>0</v>
      </c>
      <c r="M971" s="58">
        <f t="shared" si="968"/>
        <v>0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0" customHeight="1">
      <c r="A972" s="70"/>
      <c r="B972" s="71"/>
      <c r="C972" s="66"/>
      <c r="D972" s="66">
        <f t="shared" si="3"/>
        <v>0</v>
      </c>
      <c r="E972" s="67"/>
      <c r="F972" s="58">
        <f t="shared" si="150"/>
        <v>-8</v>
      </c>
      <c r="G972" s="58"/>
      <c r="H972" s="58">
        <f t="shared" ref="H972:M972" si="969">SUMIFS($C972,$B972,H$8)+H971</f>
        <v>0</v>
      </c>
      <c r="I972" s="58">
        <f t="shared" si="969"/>
        <v>9</v>
      </c>
      <c r="J972" s="58">
        <f t="shared" si="969"/>
        <v>36</v>
      </c>
      <c r="K972" s="58">
        <f t="shared" si="969"/>
        <v>0</v>
      </c>
      <c r="L972" s="58">
        <f t="shared" si="969"/>
        <v>0</v>
      </c>
      <c r="M972" s="58">
        <f t="shared" si="969"/>
        <v>0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0" customHeight="1">
      <c r="A973" s="70"/>
      <c r="B973" s="71"/>
      <c r="C973" s="66"/>
      <c r="D973" s="66">
        <f t="shared" si="3"/>
        <v>0</v>
      </c>
      <c r="E973" s="67"/>
      <c r="F973" s="58">
        <f t="shared" si="150"/>
        <v>-8</v>
      </c>
      <c r="G973" s="58"/>
      <c r="H973" s="58">
        <f t="shared" ref="H973:M973" si="970">SUMIFS($C973,$B973,H$8)+H972</f>
        <v>0</v>
      </c>
      <c r="I973" s="58">
        <f t="shared" si="970"/>
        <v>9</v>
      </c>
      <c r="J973" s="58">
        <f t="shared" si="970"/>
        <v>36</v>
      </c>
      <c r="K973" s="58">
        <f t="shared" si="970"/>
        <v>0</v>
      </c>
      <c r="L973" s="58">
        <f t="shared" si="970"/>
        <v>0</v>
      </c>
      <c r="M973" s="58">
        <f t="shared" si="970"/>
        <v>0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0" customHeight="1">
      <c r="A974" s="70"/>
      <c r="B974" s="71"/>
      <c r="C974" s="66"/>
      <c r="D974" s="66">
        <f t="shared" si="3"/>
        <v>0</v>
      </c>
      <c r="E974" s="67"/>
      <c r="F974" s="58">
        <f t="shared" si="150"/>
        <v>-8</v>
      </c>
      <c r="G974" s="58"/>
      <c r="H974" s="58">
        <f t="shared" ref="H974:M974" si="971">SUMIFS($C974,$B974,H$8)+H973</f>
        <v>0</v>
      </c>
      <c r="I974" s="58">
        <f t="shared" si="971"/>
        <v>9</v>
      </c>
      <c r="J974" s="58">
        <f t="shared" si="971"/>
        <v>36</v>
      </c>
      <c r="K974" s="58">
        <f t="shared" si="971"/>
        <v>0</v>
      </c>
      <c r="L974" s="58">
        <f t="shared" si="971"/>
        <v>0</v>
      </c>
      <c r="M974" s="58">
        <f t="shared" si="971"/>
        <v>0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0" customHeight="1">
      <c r="A975" s="70"/>
      <c r="B975" s="71"/>
      <c r="C975" s="66"/>
      <c r="D975" s="66">
        <f t="shared" si="3"/>
        <v>0</v>
      </c>
      <c r="E975" s="67"/>
      <c r="F975" s="58">
        <f t="shared" si="150"/>
        <v>-8</v>
      </c>
      <c r="G975" s="58"/>
      <c r="H975" s="58">
        <f t="shared" ref="H975:M975" si="972">SUMIFS($C975,$B975,H$8)+H974</f>
        <v>0</v>
      </c>
      <c r="I975" s="58">
        <f t="shared" si="972"/>
        <v>9</v>
      </c>
      <c r="J975" s="58">
        <f t="shared" si="972"/>
        <v>36</v>
      </c>
      <c r="K975" s="58">
        <f t="shared" si="972"/>
        <v>0</v>
      </c>
      <c r="L975" s="58">
        <f t="shared" si="972"/>
        <v>0</v>
      </c>
      <c r="M975" s="58">
        <f t="shared" si="972"/>
        <v>0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0" customHeight="1">
      <c r="A976" s="70"/>
      <c r="B976" s="71"/>
      <c r="C976" s="66"/>
      <c r="D976" s="66">
        <f t="shared" si="3"/>
        <v>0</v>
      </c>
      <c r="E976" s="67"/>
      <c r="F976" s="58">
        <f t="shared" si="150"/>
        <v>-8</v>
      </c>
      <c r="G976" s="58"/>
      <c r="H976" s="58">
        <f t="shared" ref="H976:M976" si="973">SUMIFS($C976,$B976,H$8)+H975</f>
        <v>0</v>
      </c>
      <c r="I976" s="58">
        <f t="shared" si="973"/>
        <v>9</v>
      </c>
      <c r="J976" s="58">
        <f t="shared" si="973"/>
        <v>36</v>
      </c>
      <c r="K976" s="58">
        <f t="shared" si="973"/>
        <v>0</v>
      </c>
      <c r="L976" s="58">
        <f t="shared" si="973"/>
        <v>0</v>
      </c>
      <c r="M976" s="58">
        <f t="shared" si="973"/>
        <v>0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0" customHeight="1">
      <c r="A977" s="70"/>
      <c r="B977" s="71"/>
      <c r="C977" s="66"/>
      <c r="D977" s="66">
        <f t="shared" si="3"/>
        <v>0</v>
      </c>
      <c r="E977" s="67"/>
      <c r="F977" s="58">
        <f t="shared" si="150"/>
        <v>-8</v>
      </c>
      <c r="G977" s="58"/>
      <c r="H977" s="58">
        <f t="shared" ref="H977:M977" si="974">SUMIFS($C977,$B977,H$8)+H976</f>
        <v>0</v>
      </c>
      <c r="I977" s="58">
        <f t="shared" si="974"/>
        <v>9</v>
      </c>
      <c r="J977" s="58">
        <f t="shared" si="974"/>
        <v>36</v>
      </c>
      <c r="K977" s="58">
        <f t="shared" si="974"/>
        <v>0</v>
      </c>
      <c r="L977" s="58">
        <f t="shared" si="974"/>
        <v>0</v>
      </c>
      <c r="M977" s="58">
        <f t="shared" si="974"/>
        <v>0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0" customHeight="1">
      <c r="A978" s="70"/>
      <c r="B978" s="71"/>
      <c r="C978" s="66"/>
      <c r="D978" s="66">
        <f t="shared" si="3"/>
        <v>0</v>
      </c>
      <c r="E978" s="67"/>
      <c r="F978" s="58">
        <f t="shared" si="150"/>
        <v>-8</v>
      </c>
      <c r="G978" s="58"/>
      <c r="H978" s="58">
        <f t="shared" ref="H978:M978" si="975">SUMIFS($C978,$B978,H$8)+H977</f>
        <v>0</v>
      </c>
      <c r="I978" s="58">
        <f t="shared" si="975"/>
        <v>9</v>
      </c>
      <c r="J978" s="58">
        <f t="shared" si="975"/>
        <v>36</v>
      </c>
      <c r="K978" s="58">
        <f t="shared" si="975"/>
        <v>0</v>
      </c>
      <c r="L978" s="58">
        <f t="shared" si="975"/>
        <v>0</v>
      </c>
      <c r="M978" s="58">
        <f t="shared" si="975"/>
        <v>0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0" customHeight="1">
      <c r="A979" s="70"/>
      <c r="B979" s="71"/>
      <c r="C979" s="66"/>
      <c r="D979" s="66">
        <f t="shared" si="3"/>
        <v>0</v>
      </c>
      <c r="E979" s="67"/>
      <c r="F979" s="58">
        <f t="shared" si="150"/>
        <v>-8</v>
      </c>
      <c r="G979" s="58"/>
      <c r="H979" s="58">
        <f t="shared" ref="H979:M979" si="976">SUMIFS($C979,$B979,H$8)+H978</f>
        <v>0</v>
      </c>
      <c r="I979" s="58">
        <f t="shared" si="976"/>
        <v>9</v>
      </c>
      <c r="J979" s="58">
        <f t="shared" si="976"/>
        <v>36</v>
      </c>
      <c r="K979" s="58">
        <f t="shared" si="976"/>
        <v>0</v>
      </c>
      <c r="L979" s="58">
        <f t="shared" si="976"/>
        <v>0</v>
      </c>
      <c r="M979" s="58">
        <f t="shared" si="976"/>
        <v>0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0" customHeight="1">
      <c r="A980" s="70"/>
      <c r="B980" s="71"/>
      <c r="C980" s="66"/>
      <c r="D980" s="66">
        <f t="shared" si="3"/>
        <v>0</v>
      </c>
      <c r="E980" s="67"/>
      <c r="F980" s="58">
        <f t="shared" si="150"/>
        <v>-8</v>
      </c>
      <c r="G980" s="58"/>
      <c r="H980" s="58">
        <f t="shared" ref="H980:M980" si="977">SUMIFS($C980,$B980,H$8)+H979</f>
        <v>0</v>
      </c>
      <c r="I980" s="58">
        <f t="shared" si="977"/>
        <v>9</v>
      </c>
      <c r="J980" s="58">
        <f t="shared" si="977"/>
        <v>36</v>
      </c>
      <c r="K980" s="58">
        <f t="shared" si="977"/>
        <v>0</v>
      </c>
      <c r="L980" s="58">
        <f t="shared" si="977"/>
        <v>0</v>
      </c>
      <c r="M980" s="58">
        <f t="shared" si="977"/>
        <v>0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0" customHeight="1">
      <c r="A981" s="70"/>
      <c r="B981" s="71"/>
      <c r="C981" s="66"/>
      <c r="D981" s="66">
        <f t="shared" si="3"/>
        <v>0</v>
      </c>
      <c r="E981" s="67"/>
      <c r="F981" s="58">
        <f t="shared" si="150"/>
        <v>-8</v>
      </c>
      <c r="G981" s="58"/>
      <c r="H981" s="58">
        <f t="shared" ref="H981:M981" si="978">SUMIFS($C981,$B981,H$8)+H980</f>
        <v>0</v>
      </c>
      <c r="I981" s="58">
        <f t="shared" si="978"/>
        <v>9</v>
      </c>
      <c r="J981" s="58">
        <f t="shared" si="978"/>
        <v>36</v>
      </c>
      <c r="K981" s="58">
        <f t="shared" si="978"/>
        <v>0</v>
      </c>
      <c r="L981" s="58">
        <f t="shared" si="978"/>
        <v>0</v>
      </c>
      <c r="M981" s="58">
        <f t="shared" si="978"/>
        <v>0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0" customHeight="1">
      <c r="A982" s="70"/>
      <c r="B982" s="71"/>
      <c r="C982" s="66"/>
      <c r="D982" s="66">
        <f t="shared" si="3"/>
        <v>0</v>
      </c>
      <c r="E982" s="67"/>
      <c r="F982" s="58">
        <f t="shared" si="150"/>
        <v>-8</v>
      </c>
      <c r="G982" s="58"/>
      <c r="H982" s="58">
        <f t="shared" ref="H982:M982" si="979">SUMIFS($C982,$B982,H$8)+H981</f>
        <v>0</v>
      </c>
      <c r="I982" s="58">
        <f t="shared" si="979"/>
        <v>9</v>
      </c>
      <c r="J982" s="58">
        <f t="shared" si="979"/>
        <v>36</v>
      </c>
      <c r="K982" s="58">
        <f t="shared" si="979"/>
        <v>0</v>
      </c>
      <c r="L982" s="58">
        <f t="shared" si="979"/>
        <v>0</v>
      </c>
      <c r="M982" s="58">
        <f t="shared" si="979"/>
        <v>0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0" customHeight="1">
      <c r="A983" s="70"/>
      <c r="B983" s="71"/>
      <c r="C983" s="66"/>
      <c r="D983" s="66">
        <f t="shared" si="3"/>
        <v>0</v>
      </c>
      <c r="E983" s="67"/>
      <c r="F983" s="58">
        <f t="shared" si="150"/>
        <v>-8</v>
      </c>
      <c r="G983" s="58"/>
      <c r="H983" s="58">
        <f t="shared" ref="H983:M983" si="980">SUMIFS($C983,$B983,H$8)+H982</f>
        <v>0</v>
      </c>
      <c r="I983" s="58">
        <f t="shared" si="980"/>
        <v>9</v>
      </c>
      <c r="J983" s="58">
        <f t="shared" si="980"/>
        <v>36</v>
      </c>
      <c r="K983" s="58">
        <f t="shared" si="980"/>
        <v>0</v>
      </c>
      <c r="L983" s="58">
        <f t="shared" si="980"/>
        <v>0</v>
      </c>
      <c r="M983" s="58">
        <f t="shared" si="980"/>
        <v>0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0" customHeight="1">
      <c r="A984" s="70"/>
      <c r="B984" s="71"/>
      <c r="C984" s="66"/>
      <c r="D984" s="66">
        <f t="shared" si="3"/>
        <v>0</v>
      </c>
      <c r="E984" s="67"/>
      <c r="F984" s="58">
        <f t="shared" si="150"/>
        <v>-8</v>
      </c>
      <c r="G984" s="58"/>
      <c r="H984" s="58">
        <f t="shared" ref="H984:M984" si="981">SUMIFS($C984,$B984,H$8)+H983</f>
        <v>0</v>
      </c>
      <c r="I984" s="58">
        <f t="shared" si="981"/>
        <v>9</v>
      </c>
      <c r="J984" s="58">
        <f t="shared" si="981"/>
        <v>36</v>
      </c>
      <c r="K984" s="58">
        <f t="shared" si="981"/>
        <v>0</v>
      </c>
      <c r="L984" s="58">
        <f t="shared" si="981"/>
        <v>0</v>
      </c>
      <c r="M984" s="58">
        <f t="shared" si="981"/>
        <v>0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0" customHeight="1">
      <c r="A985" s="70"/>
      <c r="B985" s="71"/>
      <c r="C985" s="66"/>
      <c r="D985" s="66">
        <f t="shared" si="3"/>
        <v>0</v>
      </c>
      <c r="E985" s="67"/>
      <c r="F985" s="58">
        <f t="shared" si="150"/>
        <v>-8</v>
      </c>
      <c r="G985" s="58"/>
      <c r="H985" s="58">
        <f t="shared" ref="H985:M985" si="982">SUMIFS($C985,$B985,H$8)+H984</f>
        <v>0</v>
      </c>
      <c r="I985" s="58">
        <f t="shared" si="982"/>
        <v>9</v>
      </c>
      <c r="J985" s="58">
        <f t="shared" si="982"/>
        <v>36</v>
      </c>
      <c r="K985" s="58">
        <f t="shared" si="982"/>
        <v>0</v>
      </c>
      <c r="L985" s="58">
        <f t="shared" si="982"/>
        <v>0</v>
      </c>
      <c r="M985" s="58">
        <f t="shared" si="982"/>
        <v>0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0" customHeight="1">
      <c r="A986" s="70"/>
      <c r="B986" s="71"/>
      <c r="C986" s="66"/>
      <c r="D986" s="66">
        <f t="shared" si="3"/>
        <v>0</v>
      </c>
      <c r="E986" s="67"/>
      <c r="F986" s="58">
        <f t="shared" si="150"/>
        <v>-8</v>
      </c>
      <c r="G986" s="58"/>
      <c r="H986" s="58">
        <f t="shared" ref="H986:M986" si="983">SUMIFS($C986,$B986,H$8)+H985</f>
        <v>0</v>
      </c>
      <c r="I986" s="58">
        <f t="shared" si="983"/>
        <v>9</v>
      </c>
      <c r="J986" s="58">
        <f t="shared" si="983"/>
        <v>36</v>
      </c>
      <c r="K986" s="58">
        <f t="shared" si="983"/>
        <v>0</v>
      </c>
      <c r="L986" s="58">
        <f t="shared" si="983"/>
        <v>0</v>
      </c>
      <c r="M986" s="58">
        <f t="shared" si="983"/>
        <v>0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0" customHeight="1">
      <c r="A987" s="70"/>
      <c r="B987" s="71"/>
      <c r="C987" s="66"/>
      <c r="D987" s="66">
        <f t="shared" si="3"/>
        <v>0</v>
      </c>
      <c r="E987" s="67"/>
      <c r="F987" s="58">
        <f t="shared" si="150"/>
        <v>-8</v>
      </c>
      <c r="G987" s="58"/>
      <c r="H987" s="58">
        <f t="shared" ref="H987:M987" si="984">SUMIFS($C987,$B987,H$8)+H986</f>
        <v>0</v>
      </c>
      <c r="I987" s="58">
        <f t="shared" si="984"/>
        <v>9</v>
      </c>
      <c r="J987" s="58">
        <f t="shared" si="984"/>
        <v>36</v>
      </c>
      <c r="K987" s="58">
        <f t="shared" si="984"/>
        <v>0</v>
      </c>
      <c r="L987" s="58">
        <f t="shared" si="984"/>
        <v>0</v>
      </c>
      <c r="M987" s="58">
        <f t="shared" si="984"/>
        <v>0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0" customHeight="1">
      <c r="A988" s="70"/>
      <c r="B988" s="71"/>
      <c r="C988" s="66"/>
      <c r="D988" s="66">
        <f t="shared" si="3"/>
        <v>0</v>
      </c>
      <c r="E988" s="67"/>
      <c r="F988" s="58">
        <f t="shared" si="150"/>
        <v>-8</v>
      </c>
      <c r="G988" s="58"/>
      <c r="H988" s="58">
        <f t="shared" ref="H988:M988" si="985">SUMIFS($C988,$B988,H$8)+H987</f>
        <v>0</v>
      </c>
      <c r="I988" s="58">
        <f t="shared" si="985"/>
        <v>9</v>
      </c>
      <c r="J988" s="58">
        <f t="shared" si="985"/>
        <v>36</v>
      </c>
      <c r="K988" s="58">
        <f t="shared" si="985"/>
        <v>0</v>
      </c>
      <c r="L988" s="58">
        <f t="shared" si="985"/>
        <v>0</v>
      </c>
      <c r="M988" s="58">
        <f t="shared" si="985"/>
        <v>0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0" customHeight="1">
      <c r="A989" s="70"/>
      <c r="B989" s="71"/>
      <c r="C989" s="66"/>
      <c r="D989" s="66">
        <f t="shared" si="3"/>
        <v>0</v>
      </c>
      <c r="E989" s="67"/>
      <c r="F989" s="58">
        <f t="shared" si="150"/>
        <v>-8</v>
      </c>
      <c r="G989" s="58"/>
      <c r="H989" s="58">
        <f t="shared" ref="H989:M989" si="986">SUMIFS($C989,$B989,H$8)+H988</f>
        <v>0</v>
      </c>
      <c r="I989" s="58">
        <f t="shared" si="986"/>
        <v>9</v>
      </c>
      <c r="J989" s="58">
        <f t="shared" si="986"/>
        <v>36</v>
      </c>
      <c r="K989" s="58">
        <f t="shared" si="986"/>
        <v>0</v>
      </c>
      <c r="L989" s="58">
        <f t="shared" si="986"/>
        <v>0</v>
      </c>
      <c r="M989" s="58">
        <f t="shared" si="986"/>
        <v>0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0" customHeight="1">
      <c r="A990" s="70"/>
      <c r="B990" s="71"/>
      <c r="C990" s="66"/>
      <c r="D990" s="66">
        <f t="shared" si="3"/>
        <v>0</v>
      </c>
      <c r="E990" s="67"/>
      <c r="F990" s="58">
        <f t="shared" si="150"/>
        <v>-8</v>
      </c>
      <c r="G990" s="58"/>
      <c r="H990" s="58">
        <f t="shared" ref="H990:M990" si="987">SUMIFS($C990,$B990,H$8)+H989</f>
        <v>0</v>
      </c>
      <c r="I990" s="58">
        <f t="shared" si="987"/>
        <v>9</v>
      </c>
      <c r="J990" s="58">
        <f t="shared" si="987"/>
        <v>36</v>
      </c>
      <c r="K990" s="58">
        <f t="shared" si="987"/>
        <v>0</v>
      </c>
      <c r="L990" s="58">
        <f t="shared" si="987"/>
        <v>0</v>
      </c>
      <c r="M990" s="58">
        <f t="shared" si="987"/>
        <v>0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0" customHeight="1">
      <c r="A991" s="70"/>
      <c r="B991" s="71"/>
      <c r="C991" s="66"/>
      <c r="D991" s="66">
        <f t="shared" si="3"/>
        <v>0</v>
      </c>
      <c r="E991" s="67"/>
      <c r="F991" s="58">
        <f t="shared" si="150"/>
        <v>-8</v>
      </c>
      <c r="G991" s="58"/>
      <c r="H991" s="58">
        <f t="shared" ref="H991:M991" si="988">SUMIFS($C991,$B991,H$8)+H990</f>
        <v>0</v>
      </c>
      <c r="I991" s="58">
        <f t="shared" si="988"/>
        <v>9</v>
      </c>
      <c r="J991" s="58">
        <f t="shared" si="988"/>
        <v>36</v>
      </c>
      <c r="K991" s="58">
        <f t="shared" si="988"/>
        <v>0</v>
      </c>
      <c r="L991" s="58">
        <f t="shared" si="988"/>
        <v>0</v>
      </c>
      <c r="M991" s="58">
        <f t="shared" si="988"/>
        <v>0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0" customHeight="1">
      <c r="A992" s="70"/>
      <c r="B992" s="71"/>
      <c r="C992" s="66"/>
      <c r="D992" s="66">
        <f t="shared" si="3"/>
        <v>0</v>
      </c>
      <c r="E992" s="67"/>
      <c r="F992" s="58">
        <f t="shared" si="150"/>
        <v>-8</v>
      </c>
      <c r="G992" s="58"/>
      <c r="H992" s="58">
        <f t="shared" ref="H992:M992" si="989">SUMIFS($C992,$B992,H$8)+H991</f>
        <v>0</v>
      </c>
      <c r="I992" s="58">
        <f t="shared" si="989"/>
        <v>9</v>
      </c>
      <c r="J992" s="58">
        <f t="shared" si="989"/>
        <v>36</v>
      </c>
      <c r="K992" s="58">
        <f t="shared" si="989"/>
        <v>0</v>
      </c>
      <c r="L992" s="58">
        <f t="shared" si="989"/>
        <v>0</v>
      </c>
      <c r="M992" s="58">
        <f t="shared" si="989"/>
        <v>0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0" customHeight="1">
      <c r="A993" s="70"/>
      <c r="B993" s="71"/>
      <c r="C993" s="66"/>
      <c r="D993" s="66">
        <f t="shared" si="3"/>
        <v>0</v>
      </c>
      <c r="E993" s="67"/>
      <c r="F993" s="58">
        <f t="shared" si="150"/>
        <v>-8</v>
      </c>
      <c r="G993" s="58"/>
      <c r="H993" s="58">
        <f t="shared" ref="H993:M993" si="990">SUMIFS($C993,$B993,H$8)+H992</f>
        <v>0</v>
      </c>
      <c r="I993" s="58">
        <f t="shared" si="990"/>
        <v>9</v>
      </c>
      <c r="J993" s="58">
        <f t="shared" si="990"/>
        <v>36</v>
      </c>
      <c r="K993" s="58">
        <f t="shared" si="990"/>
        <v>0</v>
      </c>
      <c r="L993" s="58">
        <f t="shared" si="990"/>
        <v>0</v>
      </c>
      <c r="M993" s="58">
        <f t="shared" si="990"/>
        <v>0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0" customHeight="1">
      <c r="A994" s="70"/>
      <c r="B994" s="71"/>
      <c r="C994" s="66"/>
      <c r="D994" s="66">
        <f t="shared" si="3"/>
        <v>0</v>
      </c>
      <c r="E994" s="67"/>
      <c r="F994" s="58">
        <f t="shared" si="150"/>
        <v>-8</v>
      </c>
      <c r="G994" s="58"/>
      <c r="H994" s="58">
        <f t="shared" ref="H994:M994" si="991">SUMIFS($C994,$B994,H$8)+H993</f>
        <v>0</v>
      </c>
      <c r="I994" s="58">
        <f t="shared" si="991"/>
        <v>9</v>
      </c>
      <c r="J994" s="58">
        <f t="shared" si="991"/>
        <v>36</v>
      </c>
      <c r="K994" s="58">
        <f t="shared" si="991"/>
        <v>0</v>
      </c>
      <c r="L994" s="58">
        <f t="shared" si="991"/>
        <v>0</v>
      </c>
      <c r="M994" s="58">
        <f t="shared" si="991"/>
        <v>0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0" customHeight="1">
      <c r="A995" s="70"/>
      <c r="B995" s="71"/>
      <c r="C995" s="66"/>
      <c r="D995" s="66">
        <f t="shared" si="3"/>
        <v>0</v>
      </c>
      <c r="E995" s="67"/>
      <c r="F995" s="58">
        <f t="shared" si="150"/>
        <v>-8</v>
      </c>
      <c r="G995" s="58"/>
      <c r="H995" s="58">
        <f t="shared" ref="H995:M995" si="992">SUMIFS($C995,$B995,H$8)+H994</f>
        <v>0</v>
      </c>
      <c r="I995" s="58">
        <f t="shared" si="992"/>
        <v>9</v>
      </c>
      <c r="J995" s="58">
        <f t="shared" si="992"/>
        <v>36</v>
      </c>
      <c r="K995" s="58">
        <f t="shared" si="992"/>
        <v>0</v>
      </c>
      <c r="L995" s="58">
        <f t="shared" si="992"/>
        <v>0</v>
      </c>
      <c r="M995" s="58">
        <f t="shared" si="992"/>
        <v>0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0" customHeight="1">
      <c r="A996" s="70"/>
      <c r="B996" s="71"/>
      <c r="C996" s="66"/>
      <c r="D996" s="66">
        <f t="shared" si="3"/>
        <v>0</v>
      </c>
      <c r="E996" s="67"/>
      <c r="F996" s="58">
        <f t="shared" si="150"/>
        <v>-8</v>
      </c>
      <c r="G996" s="58"/>
      <c r="H996" s="58">
        <f t="shared" ref="H996:M996" si="993">SUMIFS($C996,$B996,H$8)+H995</f>
        <v>0</v>
      </c>
      <c r="I996" s="58">
        <f t="shared" si="993"/>
        <v>9</v>
      </c>
      <c r="J996" s="58">
        <f t="shared" si="993"/>
        <v>36</v>
      </c>
      <c r="K996" s="58">
        <f t="shared" si="993"/>
        <v>0</v>
      </c>
      <c r="L996" s="58">
        <f t="shared" si="993"/>
        <v>0</v>
      </c>
      <c r="M996" s="58">
        <f t="shared" si="993"/>
        <v>0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0" customHeight="1">
      <c r="A997" s="70"/>
      <c r="B997" s="71"/>
      <c r="C997" s="66"/>
      <c r="D997" s="66">
        <f t="shared" si="3"/>
        <v>0</v>
      </c>
      <c r="E997" s="67"/>
      <c r="F997" s="58">
        <f t="shared" si="150"/>
        <v>-8</v>
      </c>
      <c r="G997" s="58"/>
      <c r="H997" s="58">
        <f t="shared" ref="H997:M997" si="994">SUMIFS($C997,$B997,H$8)+H996</f>
        <v>0</v>
      </c>
      <c r="I997" s="58">
        <f t="shared" si="994"/>
        <v>9</v>
      </c>
      <c r="J997" s="58">
        <f t="shared" si="994"/>
        <v>36</v>
      </c>
      <c r="K997" s="58">
        <f t="shared" si="994"/>
        <v>0</v>
      </c>
      <c r="L997" s="58">
        <f t="shared" si="994"/>
        <v>0</v>
      </c>
      <c r="M997" s="58">
        <f t="shared" si="994"/>
        <v>0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0" customHeight="1">
      <c r="A998" s="70"/>
      <c r="B998" s="71"/>
      <c r="C998" s="66"/>
      <c r="D998" s="66">
        <f t="shared" si="3"/>
        <v>0</v>
      </c>
      <c r="E998" s="67"/>
      <c r="F998" s="58">
        <f t="shared" si="150"/>
        <v>-8</v>
      </c>
      <c r="G998" s="58"/>
      <c r="H998" s="58">
        <f t="shared" ref="H998:M998" si="995">SUMIFS($C998,$B998,H$8)+H997</f>
        <v>0</v>
      </c>
      <c r="I998" s="58">
        <f t="shared" si="995"/>
        <v>9</v>
      </c>
      <c r="J998" s="58">
        <f t="shared" si="995"/>
        <v>36</v>
      </c>
      <c r="K998" s="58">
        <f t="shared" si="995"/>
        <v>0</v>
      </c>
      <c r="L998" s="58">
        <f t="shared" si="995"/>
        <v>0</v>
      </c>
      <c r="M998" s="58">
        <f t="shared" si="995"/>
        <v>0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0" customHeight="1">
      <c r="A999" s="70"/>
      <c r="B999" s="71"/>
      <c r="C999" s="66"/>
      <c r="D999" s="66">
        <f t="shared" si="3"/>
        <v>0</v>
      </c>
      <c r="E999" s="67"/>
      <c r="F999" s="58">
        <f t="shared" si="150"/>
        <v>-8</v>
      </c>
      <c r="G999" s="58"/>
      <c r="H999" s="58">
        <f t="shared" ref="H999:M999" si="996">SUMIFS($C999,$B999,H$8)+H998</f>
        <v>0</v>
      </c>
      <c r="I999" s="58">
        <f t="shared" si="996"/>
        <v>9</v>
      </c>
      <c r="J999" s="58">
        <f t="shared" si="996"/>
        <v>36</v>
      </c>
      <c r="K999" s="58">
        <f t="shared" si="996"/>
        <v>0</v>
      </c>
      <c r="L999" s="58">
        <f t="shared" si="996"/>
        <v>0</v>
      </c>
      <c r="M999" s="58">
        <f t="shared" si="996"/>
        <v>0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0" customHeight="1">
      <c r="A1000" s="70"/>
      <c r="B1000" s="71"/>
      <c r="C1000" s="66"/>
      <c r="D1000" s="66">
        <f t="shared" si="3"/>
        <v>0</v>
      </c>
      <c r="E1000" s="67"/>
      <c r="F1000" s="58">
        <f t="shared" si="150"/>
        <v>-8</v>
      </c>
      <c r="G1000" s="58"/>
      <c r="H1000" s="58">
        <f t="shared" ref="H1000:M1000" si="997">SUMIFS($C1000,$B1000,H$8)+H999</f>
        <v>0</v>
      </c>
      <c r="I1000" s="58">
        <f t="shared" si="997"/>
        <v>9</v>
      </c>
      <c r="J1000" s="58">
        <f t="shared" si="997"/>
        <v>36</v>
      </c>
      <c r="K1000" s="58">
        <f t="shared" si="997"/>
        <v>0</v>
      </c>
      <c r="L1000" s="58">
        <f t="shared" si="997"/>
        <v>0</v>
      </c>
      <c r="M1000" s="58">
        <f t="shared" si="997"/>
        <v>0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ht="15.0" customHeight="1">
      <c r="A1001" s="70"/>
      <c r="B1001" s="71"/>
      <c r="C1001" s="66"/>
      <c r="D1001" s="66">
        <f t="shared" si="3"/>
        <v>0</v>
      </c>
      <c r="E1001" s="67"/>
      <c r="F1001" s="58">
        <f t="shared" si="150"/>
        <v>-8</v>
      </c>
      <c r="G1001" s="58"/>
      <c r="H1001" s="58">
        <f t="shared" ref="H1001:M1001" si="998">SUMIFS($C1001,$B1001,H$8)+H1000</f>
        <v>0</v>
      </c>
      <c r="I1001" s="58">
        <f t="shared" si="998"/>
        <v>9</v>
      </c>
      <c r="J1001" s="58">
        <f t="shared" si="998"/>
        <v>36</v>
      </c>
      <c r="K1001" s="58">
        <f t="shared" si="998"/>
        <v>0</v>
      </c>
      <c r="L1001" s="58">
        <f t="shared" si="998"/>
        <v>0</v>
      </c>
      <c r="M1001" s="58">
        <f t="shared" si="998"/>
        <v>0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ht="15.0" customHeight="1">
      <c r="A1002" s="70"/>
      <c r="B1002" s="71"/>
      <c r="C1002" s="66"/>
      <c r="D1002" s="66">
        <f t="shared" si="3"/>
        <v>0</v>
      </c>
      <c r="E1002" s="67"/>
      <c r="F1002" s="58">
        <f t="shared" si="150"/>
        <v>-8</v>
      </c>
      <c r="G1002" s="58"/>
      <c r="H1002" s="58">
        <f t="shared" ref="H1002:M1002" si="999">SUMIFS($C1002,$B1002,H$8)+H1001</f>
        <v>0</v>
      </c>
      <c r="I1002" s="58">
        <f t="shared" si="999"/>
        <v>9</v>
      </c>
      <c r="J1002" s="58">
        <f t="shared" si="999"/>
        <v>36</v>
      </c>
      <c r="K1002" s="58">
        <f t="shared" si="999"/>
        <v>0</v>
      </c>
      <c r="L1002" s="58">
        <f t="shared" si="999"/>
        <v>0</v>
      </c>
      <c r="M1002" s="58">
        <f t="shared" si="999"/>
        <v>0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ht="15.0" customHeight="1">
      <c r="A1003" s="70"/>
      <c r="B1003" s="71"/>
      <c r="C1003" s="66"/>
      <c r="D1003" s="66">
        <f t="shared" si="3"/>
        <v>0</v>
      </c>
      <c r="E1003" s="67"/>
      <c r="F1003" s="58">
        <f t="shared" si="150"/>
        <v>-8</v>
      </c>
      <c r="G1003" s="58"/>
      <c r="H1003" s="58">
        <f t="shared" ref="H1003:M1003" si="1000">SUMIFS($C1003,$B1003,H$8)+H1002</f>
        <v>0</v>
      </c>
      <c r="I1003" s="58">
        <f t="shared" si="1000"/>
        <v>9</v>
      </c>
      <c r="J1003" s="58">
        <f t="shared" si="1000"/>
        <v>36</v>
      </c>
      <c r="K1003" s="58">
        <f t="shared" si="1000"/>
        <v>0</v>
      </c>
      <c r="L1003" s="58">
        <f t="shared" si="1000"/>
        <v>0</v>
      </c>
      <c r="M1003" s="58">
        <f t="shared" si="1000"/>
        <v>0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ht="15.0" customHeight="1">
      <c r="A1004" s="70"/>
      <c r="B1004" s="71"/>
      <c r="C1004" s="66"/>
      <c r="D1004" s="66">
        <f t="shared" si="3"/>
        <v>0</v>
      </c>
      <c r="E1004" s="67"/>
      <c r="F1004" s="58">
        <f t="shared" si="150"/>
        <v>-8</v>
      </c>
      <c r="G1004" s="58"/>
      <c r="H1004" s="58">
        <f t="shared" ref="H1004:M1004" si="1001">SUMIFS($C1004,$B1004,H$8)+H1003</f>
        <v>0</v>
      </c>
      <c r="I1004" s="58">
        <f t="shared" si="1001"/>
        <v>9</v>
      </c>
      <c r="J1004" s="58">
        <f t="shared" si="1001"/>
        <v>36</v>
      </c>
      <c r="K1004" s="58">
        <f t="shared" si="1001"/>
        <v>0</v>
      </c>
      <c r="L1004" s="58">
        <f t="shared" si="1001"/>
        <v>0</v>
      </c>
      <c r="M1004" s="58">
        <f t="shared" si="1001"/>
        <v>0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ht="15.0" customHeight="1">
      <c r="A1005" s="70"/>
      <c r="B1005" s="71"/>
      <c r="C1005" s="66"/>
      <c r="D1005" s="66">
        <f t="shared" si="3"/>
        <v>0</v>
      </c>
      <c r="E1005" s="67"/>
      <c r="F1005" s="58">
        <f t="shared" si="150"/>
        <v>-8</v>
      </c>
      <c r="G1005" s="58"/>
      <c r="H1005" s="58">
        <f t="shared" ref="H1005:M1005" si="1002">SUMIFS($C1005,$B1005,H$8)+H1004</f>
        <v>0</v>
      </c>
      <c r="I1005" s="58">
        <f t="shared" si="1002"/>
        <v>9</v>
      </c>
      <c r="J1005" s="58">
        <f t="shared" si="1002"/>
        <v>36</v>
      </c>
      <c r="K1005" s="58">
        <f t="shared" si="1002"/>
        <v>0</v>
      </c>
      <c r="L1005" s="58">
        <f t="shared" si="1002"/>
        <v>0</v>
      </c>
      <c r="M1005" s="58">
        <f t="shared" si="1002"/>
        <v>0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ht="15.0" customHeight="1">
      <c r="A1006" s="70"/>
      <c r="B1006" s="71"/>
      <c r="C1006" s="66"/>
      <c r="D1006" s="66">
        <f t="shared" si="3"/>
        <v>0</v>
      </c>
      <c r="E1006" s="67"/>
      <c r="F1006" s="58">
        <f t="shared" si="150"/>
        <v>-8</v>
      </c>
      <c r="G1006" s="58"/>
      <c r="H1006" s="58">
        <f t="shared" ref="H1006:M1006" si="1003">SUMIFS($C1006,$B1006,H$8)+H1005</f>
        <v>0</v>
      </c>
      <c r="I1006" s="58">
        <f t="shared" si="1003"/>
        <v>9</v>
      </c>
      <c r="J1006" s="58">
        <f t="shared" si="1003"/>
        <v>36</v>
      </c>
      <c r="K1006" s="58">
        <f t="shared" si="1003"/>
        <v>0</v>
      </c>
      <c r="L1006" s="58">
        <f t="shared" si="1003"/>
        <v>0</v>
      </c>
      <c r="M1006" s="58">
        <f t="shared" si="1003"/>
        <v>0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ht="15.0" customHeight="1">
      <c r="A1007" s="70"/>
      <c r="B1007" s="71"/>
      <c r="C1007" s="66"/>
      <c r="D1007" s="66">
        <f t="shared" si="3"/>
        <v>0</v>
      </c>
      <c r="E1007" s="67"/>
      <c r="F1007" s="58">
        <f t="shared" si="150"/>
        <v>-8</v>
      </c>
      <c r="G1007" s="58"/>
      <c r="H1007" s="58">
        <f t="shared" ref="H1007:M1007" si="1004">SUMIFS($C1007,$B1007,H$8)+H1006</f>
        <v>0</v>
      </c>
      <c r="I1007" s="58">
        <f t="shared" si="1004"/>
        <v>9</v>
      </c>
      <c r="J1007" s="58">
        <f t="shared" si="1004"/>
        <v>36</v>
      </c>
      <c r="K1007" s="58">
        <f t="shared" si="1004"/>
        <v>0</v>
      </c>
      <c r="L1007" s="58">
        <f t="shared" si="1004"/>
        <v>0</v>
      </c>
      <c r="M1007" s="58">
        <f t="shared" si="1004"/>
        <v>0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ht="15.0" customHeight="1">
      <c r="A1008" s="70"/>
      <c r="B1008" s="71"/>
      <c r="C1008" s="66"/>
      <c r="D1008" s="66">
        <f t="shared" si="3"/>
        <v>0</v>
      </c>
      <c r="E1008" s="67"/>
      <c r="F1008" s="58">
        <f t="shared" si="150"/>
        <v>-8</v>
      </c>
      <c r="G1008" s="58"/>
      <c r="H1008" s="58">
        <f t="shared" ref="H1008:M1008" si="1005">SUMIFS($C1008,$B1008,H$8)+H1007</f>
        <v>0</v>
      </c>
      <c r="I1008" s="58">
        <f t="shared" si="1005"/>
        <v>9</v>
      </c>
      <c r="J1008" s="58">
        <f t="shared" si="1005"/>
        <v>36</v>
      </c>
      <c r="K1008" s="58">
        <f t="shared" si="1005"/>
        <v>0</v>
      </c>
      <c r="L1008" s="58">
        <f t="shared" si="1005"/>
        <v>0</v>
      </c>
      <c r="M1008" s="58">
        <f t="shared" si="1005"/>
        <v>0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ht="15.0" customHeight="1">
      <c r="A1009" s="70"/>
      <c r="B1009" s="71"/>
      <c r="C1009" s="66"/>
      <c r="D1009" s="66">
        <f t="shared" si="3"/>
        <v>0</v>
      </c>
      <c r="E1009" s="67"/>
      <c r="F1009" s="58">
        <f t="shared" si="150"/>
        <v>-8</v>
      </c>
      <c r="G1009" s="58"/>
      <c r="H1009" s="58">
        <f t="shared" ref="H1009:M1009" si="1006">SUMIFS($C1009,$B1009,H$8)+H1008</f>
        <v>0</v>
      </c>
      <c r="I1009" s="58">
        <f t="shared" si="1006"/>
        <v>9</v>
      </c>
      <c r="J1009" s="58">
        <f t="shared" si="1006"/>
        <v>36</v>
      </c>
      <c r="K1009" s="58">
        <f t="shared" si="1006"/>
        <v>0</v>
      </c>
      <c r="L1009" s="58">
        <f t="shared" si="1006"/>
        <v>0</v>
      </c>
      <c r="M1009" s="58">
        <f t="shared" si="1006"/>
        <v>0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ht="15.0" customHeight="1">
      <c r="A1010" s="70"/>
      <c r="B1010" s="71"/>
      <c r="C1010" s="66"/>
      <c r="D1010" s="66">
        <f t="shared" si="3"/>
        <v>0</v>
      </c>
      <c r="E1010" s="67"/>
      <c r="F1010" s="58">
        <f t="shared" si="150"/>
        <v>-8</v>
      </c>
      <c r="G1010" s="58"/>
      <c r="H1010" s="58">
        <f t="shared" ref="H1010:M1010" si="1007">SUMIFS($C1010,$B1010,H$8)+H1009</f>
        <v>0</v>
      </c>
      <c r="I1010" s="58">
        <f t="shared" si="1007"/>
        <v>9</v>
      </c>
      <c r="J1010" s="58">
        <f t="shared" si="1007"/>
        <v>36</v>
      </c>
      <c r="K1010" s="58">
        <f t="shared" si="1007"/>
        <v>0</v>
      </c>
      <c r="L1010" s="58">
        <f t="shared" si="1007"/>
        <v>0</v>
      </c>
      <c r="M1010" s="58">
        <f t="shared" si="1007"/>
        <v>0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</sheetData>
  <mergeCells count="3">
    <mergeCell ref="A1:M1"/>
    <mergeCell ref="F9:M9"/>
    <mergeCell ref="F11:M11"/>
  </mergeCells>
  <dataValidations>
    <dataValidation type="list" allowBlank="1" sqref="B14:B1010">
      <formula1>#REF!</formula1>
    </dataValidation>
    <dataValidation type="custom" allowBlank="1" showDropDown="1" sqref="C14:D1010 F14:F1010 J14:J1010">
      <formula1>AND(ISNUMBER(C14),(NOT(OR(NOT(ISERROR(DATEVALUE(C14))), AND(ISNUMBER(C14), LEFT(CELL("format", C14))="D")))))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4" width="9.75"/>
    <col customWidth="1" min="5" max="5" width="38.5"/>
    <col customWidth="1" min="6" max="12" width="8.75"/>
  </cols>
  <sheetData>
    <row r="1" ht="15.0" customHeight="1">
      <c r="A1" s="2" t="s">
        <v>233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0" customHeight="1">
      <c r="A2" s="4" t="s">
        <v>4</v>
      </c>
      <c r="B2" s="5" t="s">
        <v>5</v>
      </c>
      <c r="C2" s="6" t="s">
        <v>6</v>
      </c>
      <c r="D2" s="6" t="s">
        <v>7</v>
      </c>
      <c r="E2" s="7" t="s">
        <v>8</v>
      </c>
      <c r="F2" s="8"/>
      <c r="G2" s="18" t="s">
        <v>234</v>
      </c>
      <c r="H2" s="9"/>
      <c r="I2" s="8"/>
      <c r="J2" s="9"/>
      <c r="K2" s="9"/>
      <c r="L2" s="9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0" customHeight="1">
      <c r="A3" s="11" t="s">
        <v>9</v>
      </c>
      <c r="B3" s="12">
        <f>F11</f>
        <v>0</v>
      </c>
      <c r="C3" s="13"/>
      <c r="D3" s="14"/>
      <c r="E3" s="15"/>
      <c r="F3" s="16"/>
      <c r="G3" s="18" t="s">
        <v>235</v>
      </c>
      <c r="H3" s="17"/>
      <c r="I3" s="16"/>
      <c r="J3" s="17"/>
      <c r="K3" s="17"/>
      <c r="L3" s="1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0" customHeight="1">
      <c r="A4" s="11" t="s">
        <v>13</v>
      </c>
      <c r="B4" s="12">
        <f>G11</f>
        <v>0</v>
      </c>
      <c r="C4" s="13"/>
      <c r="D4" s="14"/>
      <c r="E4" s="15"/>
      <c r="F4" s="16"/>
      <c r="G4" s="18" t="s">
        <v>236</v>
      </c>
      <c r="H4" s="17"/>
      <c r="I4" s="16"/>
      <c r="J4" s="17"/>
      <c r="K4" s="17"/>
      <c r="L4" s="1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0" customHeight="1">
      <c r="A5" s="11" t="s">
        <v>16</v>
      </c>
      <c r="B5" s="12">
        <f>H11</f>
        <v>0</v>
      </c>
      <c r="C5" s="13"/>
      <c r="D5" s="14"/>
      <c r="E5" s="15"/>
      <c r="F5" s="16"/>
      <c r="G5" s="17"/>
      <c r="H5" s="17"/>
      <c r="I5" s="16"/>
      <c r="J5" s="17"/>
      <c r="K5" s="17"/>
      <c r="L5" s="1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0" customHeight="1">
      <c r="A6" s="11" t="s">
        <v>17</v>
      </c>
      <c r="B6" s="12">
        <f>I11</f>
        <v>35</v>
      </c>
      <c r="C6" s="13"/>
      <c r="D6" s="14"/>
      <c r="E6" s="15"/>
      <c r="F6" s="16"/>
      <c r="G6" s="20"/>
      <c r="H6" s="21" t="s">
        <v>19</v>
      </c>
      <c r="I6" s="22">
        <f>I11/44</f>
        <v>0.7954545455</v>
      </c>
      <c r="J6" s="17"/>
      <c r="K6" s="17"/>
      <c r="L6" s="1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0" customHeight="1">
      <c r="A7" s="11" t="s">
        <v>20</v>
      </c>
      <c r="B7" s="12">
        <f>J11</f>
        <v>0</v>
      </c>
      <c r="C7" s="13"/>
      <c r="D7" s="14"/>
      <c r="E7" s="15"/>
      <c r="F7" s="23" t="s">
        <v>9</v>
      </c>
      <c r="G7" s="24" t="s">
        <v>13</v>
      </c>
      <c r="H7" s="24" t="s">
        <v>16</v>
      </c>
      <c r="I7" s="23" t="s">
        <v>17</v>
      </c>
      <c r="J7" s="24" t="s">
        <v>20</v>
      </c>
      <c r="K7" s="24" t="s">
        <v>21</v>
      </c>
      <c r="L7" s="24" t="s">
        <v>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0" customHeight="1">
      <c r="A8" s="19" t="s">
        <v>21</v>
      </c>
      <c r="B8" s="12">
        <f>K11</f>
        <v>0</v>
      </c>
      <c r="C8" s="13"/>
      <c r="D8" s="14"/>
      <c r="E8" s="15"/>
      <c r="F8" s="25" t="s">
        <v>23</v>
      </c>
      <c r="G8" s="26"/>
      <c r="H8" s="26"/>
      <c r="I8" s="26"/>
      <c r="J8" s="26"/>
      <c r="K8" s="26"/>
      <c r="L8" s="2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0" customHeight="1">
      <c r="A9" s="28" t="s">
        <v>22</v>
      </c>
      <c r="B9" s="29">
        <f>L11</f>
        <v>0</v>
      </c>
      <c r="C9" s="30"/>
      <c r="D9" s="31"/>
      <c r="E9" s="32"/>
      <c r="F9" s="33"/>
      <c r="G9" s="34"/>
      <c r="H9" s="34"/>
      <c r="I9" s="33"/>
      <c r="J9" s="34"/>
      <c r="K9" s="34"/>
      <c r="L9" s="34"/>
      <c r="M9" s="35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0" customHeight="1">
      <c r="A10" s="36"/>
      <c r="B10" s="37"/>
      <c r="C10" s="8"/>
      <c r="D10" s="8"/>
      <c r="E10" s="38"/>
      <c r="F10" s="39" t="s">
        <v>25</v>
      </c>
      <c r="G10" s="26"/>
      <c r="H10" s="26"/>
      <c r="I10" s="26"/>
      <c r="J10" s="26"/>
      <c r="K10" s="26"/>
      <c r="L10" s="2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0" customHeight="1">
      <c r="A11" s="36"/>
      <c r="B11" s="37"/>
      <c r="C11" s="8"/>
      <c r="D11" s="8"/>
      <c r="E11" s="40"/>
      <c r="F11" s="41">
        <f t="shared" ref="F11:L11" si="1">SUMIFS($C$13:$C1013,$B$13:$B1013,F$7)+F$9</f>
        <v>0</v>
      </c>
      <c r="G11" s="41">
        <f t="shared" si="1"/>
        <v>0</v>
      </c>
      <c r="H11" s="41">
        <f t="shared" si="1"/>
        <v>0</v>
      </c>
      <c r="I11" s="41">
        <f t="shared" si="1"/>
        <v>35</v>
      </c>
      <c r="J11" s="41">
        <f t="shared" si="1"/>
        <v>0</v>
      </c>
      <c r="K11" s="41">
        <f t="shared" si="1"/>
        <v>0</v>
      </c>
      <c r="L11" s="41">
        <f t="shared" si="1"/>
        <v>0</v>
      </c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ht="24.75" customHeight="1">
      <c r="A12" s="45" t="s">
        <v>27</v>
      </c>
      <c r="B12" s="46" t="s">
        <v>4</v>
      </c>
      <c r="C12" s="47" t="s">
        <v>28</v>
      </c>
      <c r="D12" s="47" t="s">
        <v>6</v>
      </c>
      <c r="E12" s="48" t="s">
        <v>8</v>
      </c>
      <c r="F12" s="49" t="s">
        <v>9</v>
      </c>
      <c r="G12" s="49" t="s">
        <v>13</v>
      </c>
      <c r="H12" s="49" t="s">
        <v>16</v>
      </c>
      <c r="I12" s="49" t="s">
        <v>17</v>
      </c>
      <c r="J12" s="49" t="s">
        <v>20</v>
      </c>
      <c r="K12" s="49" t="s">
        <v>21</v>
      </c>
      <c r="L12" s="49" t="s">
        <v>22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</row>
    <row r="13" ht="15.0" customHeight="1">
      <c r="A13" s="52">
        <v>46195.0</v>
      </c>
      <c r="B13" s="53" t="s">
        <v>9</v>
      </c>
      <c r="C13" s="54">
        <v>6.0</v>
      </c>
      <c r="D13" s="54">
        <f t="shared" ref="D13:D1013" si="3">575*C13</f>
        <v>3450</v>
      </c>
      <c r="E13" s="57"/>
      <c r="F13" s="58">
        <f t="shared" ref="F13:L13" si="2">SUMIFS($C13,$B13,F$7)+F9</f>
        <v>6</v>
      </c>
      <c r="G13" s="58">
        <f t="shared" si="2"/>
        <v>0</v>
      </c>
      <c r="H13" s="58">
        <f t="shared" si="2"/>
        <v>0</v>
      </c>
      <c r="I13" s="58">
        <f t="shared" si="2"/>
        <v>0</v>
      </c>
      <c r="J13" s="58">
        <f t="shared" si="2"/>
        <v>0</v>
      </c>
      <c r="K13" s="58">
        <f t="shared" si="2"/>
        <v>0</v>
      </c>
      <c r="L13" s="58">
        <f t="shared" si="2"/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0" customHeight="1">
      <c r="A14" s="52"/>
      <c r="B14" s="53"/>
      <c r="C14" s="54"/>
      <c r="D14" s="55">
        <f t="shared" si="3"/>
        <v>0</v>
      </c>
      <c r="E14" s="60"/>
      <c r="F14" s="58">
        <f t="shared" ref="F14:L14" si="4">SUMIFS($C14,$B14,F$7)+F13</f>
        <v>6</v>
      </c>
      <c r="G14" s="58">
        <f t="shared" si="4"/>
        <v>0</v>
      </c>
      <c r="H14" s="58">
        <f t="shared" si="4"/>
        <v>0</v>
      </c>
      <c r="I14" s="58">
        <f t="shared" si="4"/>
        <v>0</v>
      </c>
      <c r="J14" s="58">
        <f t="shared" si="4"/>
        <v>0</v>
      </c>
      <c r="K14" s="58">
        <f t="shared" si="4"/>
        <v>0</v>
      </c>
      <c r="L14" s="58">
        <f t="shared" si="4"/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0" customHeight="1">
      <c r="A15" s="52">
        <v>46196.0</v>
      </c>
      <c r="B15" s="53" t="s">
        <v>9</v>
      </c>
      <c r="C15" s="54">
        <v>8.0</v>
      </c>
      <c r="D15" s="55">
        <f t="shared" si="3"/>
        <v>4600</v>
      </c>
      <c r="E15" s="57"/>
      <c r="F15" s="58">
        <f t="shared" ref="F15:L15" si="5">SUMIFS($C15,$B15,F$7)+F14</f>
        <v>14</v>
      </c>
      <c r="G15" s="58">
        <f t="shared" si="5"/>
        <v>0</v>
      </c>
      <c r="H15" s="58">
        <f t="shared" si="5"/>
        <v>0</v>
      </c>
      <c r="I15" s="58">
        <f t="shared" si="5"/>
        <v>0</v>
      </c>
      <c r="J15" s="58">
        <f t="shared" si="5"/>
        <v>0</v>
      </c>
      <c r="K15" s="58">
        <f t="shared" si="5"/>
        <v>0</v>
      </c>
      <c r="L15" s="58">
        <f t="shared" si="5"/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0" customHeight="1">
      <c r="A16" s="52"/>
      <c r="B16" s="53"/>
      <c r="C16" s="54"/>
      <c r="D16" s="55">
        <f t="shared" si="3"/>
        <v>0</v>
      </c>
      <c r="E16" s="60"/>
      <c r="F16" s="58">
        <f t="shared" ref="F16:L16" si="6">SUMIFS($C16,$B16,F$7)+F15</f>
        <v>14</v>
      </c>
      <c r="G16" s="58">
        <f t="shared" si="6"/>
        <v>0</v>
      </c>
      <c r="H16" s="58">
        <f t="shared" si="6"/>
        <v>0</v>
      </c>
      <c r="I16" s="58">
        <f t="shared" si="6"/>
        <v>0</v>
      </c>
      <c r="J16" s="58">
        <f t="shared" si="6"/>
        <v>0</v>
      </c>
      <c r="K16" s="58">
        <f t="shared" si="6"/>
        <v>0</v>
      </c>
      <c r="L16" s="58">
        <f t="shared" si="6"/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0" customHeight="1">
      <c r="A17" s="52">
        <v>46197.0</v>
      </c>
      <c r="B17" s="53" t="s">
        <v>9</v>
      </c>
      <c r="C17" s="54">
        <v>9.0</v>
      </c>
      <c r="D17" s="55">
        <f t="shared" si="3"/>
        <v>5175</v>
      </c>
      <c r="E17" s="57"/>
      <c r="F17" s="58">
        <f t="shared" ref="F17:L17" si="7">SUMIFS($C17,$B17,F$7)+F16</f>
        <v>23</v>
      </c>
      <c r="G17" s="58">
        <f t="shared" si="7"/>
        <v>0</v>
      </c>
      <c r="H17" s="58">
        <f t="shared" si="7"/>
        <v>0</v>
      </c>
      <c r="I17" s="58">
        <f t="shared" si="7"/>
        <v>0</v>
      </c>
      <c r="J17" s="58">
        <f t="shared" si="7"/>
        <v>0</v>
      </c>
      <c r="K17" s="58">
        <f t="shared" si="7"/>
        <v>0</v>
      </c>
      <c r="L17" s="58">
        <f t="shared" si="7"/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0" customHeight="1">
      <c r="A18" s="52"/>
      <c r="B18" s="53"/>
      <c r="C18" s="54"/>
      <c r="D18" s="55">
        <f t="shared" si="3"/>
        <v>0</v>
      </c>
      <c r="E18" s="57"/>
      <c r="F18" s="58">
        <f t="shared" ref="F18:L18" si="8">SUMIFS($C18,$B18,F$7)+F17</f>
        <v>23</v>
      </c>
      <c r="G18" s="58">
        <f t="shared" si="8"/>
        <v>0</v>
      </c>
      <c r="H18" s="58">
        <f t="shared" si="8"/>
        <v>0</v>
      </c>
      <c r="I18" s="58">
        <f t="shared" si="8"/>
        <v>0</v>
      </c>
      <c r="J18" s="58">
        <f t="shared" si="8"/>
        <v>0</v>
      </c>
      <c r="K18" s="58">
        <f t="shared" si="8"/>
        <v>0</v>
      </c>
      <c r="L18" s="58">
        <f t="shared" si="8"/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0" customHeight="1">
      <c r="A19" s="52">
        <v>46198.0</v>
      </c>
      <c r="B19" s="53" t="s">
        <v>9</v>
      </c>
      <c r="C19" s="54">
        <v>8.0</v>
      </c>
      <c r="D19" s="55">
        <f t="shared" si="3"/>
        <v>4600</v>
      </c>
      <c r="E19" s="60"/>
      <c r="F19" s="58">
        <f t="shared" ref="F19:L19" si="9">SUMIFS($C19,$B19,F$7)+F18</f>
        <v>31</v>
      </c>
      <c r="G19" s="58">
        <f t="shared" si="9"/>
        <v>0</v>
      </c>
      <c r="H19" s="58">
        <f t="shared" si="9"/>
        <v>0</v>
      </c>
      <c r="I19" s="58">
        <f t="shared" si="9"/>
        <v>0</v>
      </c>
      <c r="J19" s="58">
        <f t="shared" si="9"/>
        <v>0</v>
      </c>
      <c r="K19" s="58">
        <f t="shared" si="9"/>
        <v>0</v>
      </c>
      <c r="L19" s="58">
        <f t="shared" si="9"/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0" customHeight="1">
      <c r="A20" s="52"/>
      <c r="B20" s="53"/>
      <c r="C20" s="54"/>
      <c r="D20" s="55">
        <f t="shared" si="3"/>
        <v>0</v>
      </c>
      <c r="E20" s="57"/>
      <c r="F20" s="58">
        <f t="shared" ref="F20:L20" si="10">SUMIFS($C20,$B20,F$7)+F19</f>
        <v>31</v>
      </c>
      <c r="G20" s="58">
        <f t="shared" si="10"/>
        <v>0</v>
      </c>
      <c r="H20" s="58">
        <f t="shared" si="10"/>
        <v>0</v>
      </c>
      <c r="I20" s="58">
        <f t="shared" si="10"/>
        <v>0</v>
      </c>
      <c r="J20" s="58">
        <f t="shared" si="10"/>
        <v>0</v>
      </c>
      <c r="K20" s="58">
        <f t="shared" si="10"/>
        <v>0</v>
      </c>
      <c r="L20" s="58">
        <f t="shared" si="10"/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0" customHeight="1">
      <c r="A21" s="52">
        <v>46199.0</v>
      </c>
      <c r="B21" s="53" t="s">
        <v>9</v>
      </c>
      <c r="C21" s="54">
        <v>13.0</v>
      </c>
      <c r="D21" s="55">
        <f t="shared" si="3"/>
        <v>7475</v>
      </c>
      <c r="E21" s="60"/>
      <c r="F21" s="58">
        <f t="shared" ref="F21:L21" si="11">SUMIFS($C21,$B21,F$7)+F20</f>
        <v>44</v>
      </c>
      <c r="G21" s="58">
        <f t="shared" si="11"/>
        <v>0</v>
      </c>
      <c r="H21" s="58">
        <f t="shared" si="11"/>
        <v>0</v>
      </c>
      <c r="I21" s="58">
        <f t="shared" si="11"/>
        <v>0</v>
      </c>
      <c r="J21" s="58">
        <f t="shared" si="11"/>
        <v>0</v>
      </c>
      <c r="K21" s="58">
        <f t="shared" si="11"/>
        <v>0</v>
      </c>
      <c r="L21" s="58">
        <f t="shared" si="11"/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0" customHeight="1">
      <c r="A22" s="61"/>
      <c r="B22" s="53" t="s">
        <v>13</v>
      </c>
      <c r="C22" s="54">
        <v>6.0</v>
      </c>
      <c r="D22" s="55">
        <f t="shared" si="3"/>
        <v>3450</v>
      </c>
      <c r="E22" s="60" t="s">
        <v>237</v>
      </c>
      <c r="F22" s="58">
        <f t="shared" ref="F22:L22" si="12">SUMIFS($C22,$B22,F$7)+F21</f>
        <v>44</v>
      </c>
      <c r="G22" s="58">
        <f t="shared" si="12"/>
        <v>6</v>
      </c>
      <c r="H22" s="58">
        <f t="shared" si="12"/>
        <v>0</v>
      </c>
      <c r="I22" s="58">
        <f t="shared" si="12"/>
        <v>0</v>
      </c>
      <c r="J22" s="58">
        <f t="shared" si="12"/>
        <v>0</v>
      </c>
      <c r="K22" s="58">
        <f t="shared" si="12"/>
        <v>0</v>
      </c>
      <c r="L22" s="58">
        <f t="shared" si="12"/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0" customHeight="1">
      <c r="A23" s="52"/>
      <c r="B23" s="53" t="s">
        <v>9</v>
      </c>
      <c r="C23" s="54">
        <v>-6.0</v>
      </c>
      <c r="D23" s="55">
        <f t="shared" si="3"/>
        <v>-3450</v>
      </c>
      <c r="E23" s="60" t="s">
        <v>52</v>
      </c>
      <c r="F23" s="58">
        <f t="shared" ref="F23:L23" si="13">SUMIFS($C23,$B23,F$7)+F21</f>
        <v>38</v>
      </c>
      <c r="G23" s="58">
        <f t="shared" si="13"/>
        <v>0</v>
      </c>
      <c r="H23" s="58">
        <f t="shared" si="13"/>
        <v>0</v>
      </c>
      <c r="I23" s="58">
        <f t="shared" si="13"/>
        <v>0</v>
      </c>
      <c r="J23" s="58">
        <f t="shared" si="13"/>
        <v>0</v>
      </c>
      <c r="K23" s="58">
        <f t="shared" si="13"/>
        <v>0</v>
      </c>
      <c r="L23" s="58">
        <f t="shared" si="13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0" customHeight="1">
      <c r="A24" s="52"/>
      <c r="B24" s="53" t="s">
        <v>16</v>
      </c>
      <c r="C24" s="54">
        <v>6.0</v>
      </c>
      <c r="D24" s="55">
        <f t="shared" si="3"/>
        <v>3450</v>
      </c>
      <c r="E24" s="60" t="s">
        <v>238</v>
      </c>
      <c r="F24" s="58">
        <f t="shared" ref="F24:L24" si="14">SUMIFS($C24,$B24,F$7)+F22</f>
        <v>44</v>
      </c>
      <c r="G24" s="58">
        <f t="shared" si="14"/>
        <v>6</v>
      </c>
      <c r="H24" s="58">
        <f t="shared" si="14"/>
        <v>6</v>
      </c>
      <c r="I24" s="58">
        <f t="shared" si="14"/>
        <v>0</v>
      </c>
      <c r="J24" s="58">
        <f t="shared" si="14"/>
        <v>0</v>
      </c>
      <c r="K24" s="58">
        <f t="shared" si="14"/>
        <v>0</v>
      </c>
      <c r="L24" s="58">
        <f t="shared" si="14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0" customHeight="1">
      <c r="A25" s="52"/>
      <c r="B25" s="53" t="s">
        <v>9</v>
      </c>
      <c r="C25" s="54">
        <v>-6.0</v>
      </c>
      <c r="D25" s="55">
        <f t="shared" si="3"/>
        <v>-3450</v>
      </c>
      <c r="E25" s="60" t="s">
        <v>130</v>
      </c>
      <c r="F25" s="58">
        <f t="shared" ref="F25:L25" si="15">SUMIFS($C25,$B25,F$7)+F24</f>
        <v>38</v>
      </c>
      <c r="G25" s="58">
        <f t="shared" si="15"/>
        <v>6</v>
      </c>
      <c r="H25" s="58">
        <f t="shared" si="15"/>
        <v>6</v>
      </c>
      <c r="I25" s="58">
        <f t="shared" si="15"/>
        <v>0</v>
      </c>
      <c r="J25" s="58">
        <f t="shared" si="15"/>
        <v>0</v>
      </c>
      <c r="K25" s="58">
        <f t="shared" si="15"/>
        <v>0</v>
      </c>
      <c r="L25" s="58">
        <f t="shared" si="15"/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0" customHeight="1">
      <c r="A26" s="52"/>
      <c r="B26" s="53"/>
      <c r="C26" s="54"/>
      <c r="D26" s="55">
        <f t="shared" si="3"/>
        <v>0</v>
      </c>
      <c r="E26" s="57"/>
      <c r="F26" s="58">
        <f t="shared" ref="F26:L26" si="16">SUMIFS($C26,$B26,F$7)+F25</f>
        <v>38</v>
      </c>
      <c r="G26" s="58">
        <f t="shared" si="16"/>
        <v>6</v>
      </c>
      <c r="H26" s="58">
        <f t="shared" si="16"/>
        <v>6</v>
      </c>
      <c r="I26" s="58">
        <f t="shared" si="16"/>
        <v>0</v>
      </c>
      <c r="J26" s="58">
        <f t="shared" si="16"/>
        <v>0</v>
      </c>
      <c r="K26" s="58">
        <f t="shared" si="16"/>
        <v>0</v>
      </c>
      <c r="L26" s="58">
        <f t="shared" si="16"/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0" customHeight="1">
      <c r="A27" s="52">
        <v>46200.0</v>
      </c>
      <c r="B27" s="53" t="s">
        <v>9</v>
      </c>
      <c r="C27" s="54">
        <v>15.0</v>
      </c>
      <c r="D27" s="55">
        <f t="shared" si="3"/>
        <v>8625</v>
      </c>
      <c r="E27" s="56" t="s">
        <v>239</v>
      </c>
      <c r="F27" s="58">
        <f t="shared" ref="F27:L27" si="17">SUMIFS($C27,$B27,F$7)+F26</f>
        <v>53</v>
      </c>
      <c r="G27" s="58">
        <f t="shared" si="17"/>
        <v>6</v>
      </c>
      <c r="H27" s="58">
        <f t="shared" si="17"/>
        <v>6</v>
      </c>
      <c r="I27" s="58">
        <f t="shared" si="17"/>
        <v>0</v>
      </c>
      <c r="J27" s="58">
        <f t="shared" si="17"/>
        <v>0</v>
      </c>
      <c r="K27" s="58">
        <f t="shared" si="17"/>
        <v>0</v>
      </c>
      <c r="L27" s="58">
        <f t="shared" si="17"/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0" customHeight="1">
      <c r="A28" s="61"/>
      <c r="B28" s="53" t="s">
        <v>13</v>
      </c>
      <c r="C28" s="54">
        <v>8.0</v>
      </c>
      <c r="D28" s="55">
        <f t="shared" si="3"/>
        <v>4600</v>
      </c>
      <c r="E28" s="60" t="s">
        <v>240</v>
      </c>
      <c r="F28" s="58">
        <f t="shared" ref="F28:L28" si="18">SUMIFS($C28,$B28,F$7)+F27</f>
        <v>53</v>
      </c>
      <c r="G28" s="58">
        <f t="shared" si="18"/>
        <v>14</v>
      </c>
      <c r="H28" s="58">
        <f t="shared" si="18"/>
        <v>6</v>
      </c>
      <c r="I28" s="58">
        <f t="shared" si="18"/>
        <v>0</v>
      </c>
      <c r="J28" s="58">
        <f t="shared" si="18"/>
        <v>0</v>
      </c>
      <c r="K28" s="58">
        <f t="shared" si="18"/>
        <v>0</v>
      </c>
      <c r="L28" s="58">
        <f t="shared" si="18"/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0" customHeight="1">
      <c r="A29" s="52"/>
      <c r="B29" s="53" t="s">
        <v>9</v>
      </c>
      <c r="C29" s="54">
        <v>-8.0</v>
      </c>
      <c r="D29" s="55">
        <f t="shared" si="3"/>
        <v>-4600</v>
      </c>
      <c r="E29" s="60" t="s">
        <v>241</v>
      </c>
      <c r="F29" s="58">
        <f t="shared" ref="F29:L29" si="19">SUMIFS($C29,$B29,F$7)+F28</f>
        <v>45</v>
      </c>
      <c r="G29" s="58">
        <f t="shared" si="19"/>
        <v>14</v>
      </c>
      <c r="H29" s="58">
        <f t="shared" si="19"/>
        <v>6</v>
      </c>
      <c r="I29" s="58">
        <f t="shared" si="19"/>
        <v>0</v>
      </c>
      <c r="J29" s="58">
        <f t="shared" si="19"/>
        <v>0</v>
      </c>
      <c r="K29" s="58">
        <f t="shared" si="19"/>
        <v>0</v>
      </c>
      <c r="L29" s="58">
        <f t="shared" si="19"/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0" customHeight="1">
      <c r="A30" s="52"/>
      <c r="B30" s="53" t="s">
        <v>16</v>
      </c>
      <c r="C30" s="54">
        <v>5.0</v>
      </c>
      <c r="D30" s="55">
        <f t="shared" si="3"/>
        <v>2875</v>
      </c>
      <c r="E30" s="60" t="s">
        <v>242</v>
      </c>
      <c r="F30" s="58">
        <f t="shared" ref="F30:L30" si="20">SUMIFS($C30,$B30,F$7)+F29</f>
        <v>45</v>
      </c>
      <c r="G30" s="58">
        <f t="shared" si="20"/>
        <v>14</v>
      </c>
      <c r="H30" s="58">
        <f t="shared" si="20"/>
        <v>11</v>
      </c>
      <c r="I30" s="58">
        <f t="shared" si="20"/>
        <v>0</v>
      </c>
      <c r="J30" s="58">
        <f t="shared" si="20"/>
        <v>0</v>
      </c>
      <c r="K30" s="58">
        <f t="shared" si="20"/>
        <v>0</v>
      </c>
      <c r="L30" s="58">
        <f t="shared" si="20"/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0" customHeight="1">
      <c r="A31" s="61"/>
      <c r="B31" s="53" t="s">
        <v>9</v>
      </c>
      <c r="C31" s="54">
        <v>-5.0</v>
      </c>
      <c r="D31" s="55">
        <f t="shared" si="3"/>
        <v>-2875</v>
      </c>
      <c r="E31" s="60" t="s">
        <v>243</v>
      </c>
      <c r="F31" s="58">
        <f t="shared" ref="F31:L31" si="21">SUMIFS($C31,$B31,F$7)+F30</f>
        <v>40</v>
      </c>
      <c r="G31" s="58">
        <f t="shared" si="21"/>
        <v>14</v>
      </c>
      <c r="H31" s="58">
        <f t="shared" si="21"/>
        <v>11</v>
      </c>
      <c r="I31" s="58">
        <f t="shared" si="21"/>
        <v>0</v>
      </c>
      <c r="J31" s="58">
        <f t="shared" si="21"/>
        <v>0</v>
      </c>
      <c r="K31" s="58">
        <f t="shared" si="21"/>
        <v>0</v>
      </c>
      <c r="L31" s="58">
        <f t="shared" si="21"/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0" customHeight="1">
      <c r="A32" s="52"/>
      <c r="B32" s="53" t="s">
        <v>9</v>
      </c>
      <c r="C32" s="54">
        <v>-1.0</v>
      </c>
      <c r="D32" s="55">
        <f t="shared" si="3"/>
        <v>-575</v>
      </c>
      <c r="E32" s="63" t="s">
        <v>244</v>
      </c>
      <c r="F32" s="58">
        <f t="shared" ref="F32:L32" si="22">SUMIFS($C32,$B32,F$7)+F31</f>
        <v>39</v>
      </c>
      <c r="G32" s="58">
        <f t="shared" si="22"/>
        <v>14</v>
      </c>
      <c r="H32" s="58">
        <f t="shared" si="22"/>
        <v>11</v>
      </c>
      <c r="I32" s="58">
        <f t="shared" si="22"/>
        <v>0</v>
      </c>
      <c r="J32" s="58">
        <f t="shared" si="22"/>
        <v>0</v>
      </c>
      <c r="K32" s="58">
        <f t="shared" si="22"/>
        <v>0</v>
      </c>
      <c r="L32" s="58">
        <f t="shared" si="22"/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0" customHeight="1">
      <c r="A33" s="68"/>
      <c r="B33" s="64" t="s">
        <v>13</v>
      </c>
      <c r="C33" s="65">
        <v>-14.0</v>
      </c>
      <c r="D33" s="66">
        <f t="shared" si="3"/>
        <v>-8050</v>
      </c>
      <c r="E33" s="56" t="s">
        <v>245</v>
      </c>
      <c r="F33" s="58">
        <f t="shared" ref="F33:L33" si="23">SUMIFS($C33,$B33,F$7)+F32</f>
        <v>39</v>
      </c>
      <c r="G33" s="58">
        <f t="shared" si="23"/>
        <v>0</v>
      </c>
      <c r="H33" s="58">
        <f t="shared" si="23"/>
        <v>11</v>
      </c>
      <c r="I33" s="58">
        <f t="shared" si="23"/>
        <v>0</v>
      </c>
      <c r="J33" s="58">
        <f t="shared" si="23"/>
        <v>0</v>
      </c>
      <c r="K33" s="58">
        <f t="shared" si="23"/>
        <v>0</v>
      </c>
      <c r="L33" s="58">
        <f t="shared" si="23"/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0" customHeight="1">
      <c r="A34" s="70"/>
      <c r="B34" s="64" t="s">
        <v>17</v>
      </c>
      <c r="C34" s="65">
        <v>14.0</v>
      </c>
      <c r="D34" s="66">
        <f t="shared" si="3"/>
        <v>8050</v>
      </c>
      <c r="E34" s="67"/>
      <c r="F34" s="58">
        <f t="shared" ref="F34:L34" si="24">SUMIFS($C34,$B34,F$7)+F33</f>
        <v>39</v>
      </c>
      <c r="G34" s="58">
        <f t="shared" si="24"/>
        <v>0</v>
      </c>
      <c r="H34" s="58">
        <f t="shared" si="24"/>
        <v>11</v>
      </c>
      <c r="I34" s="58">
        <f t="shared" si="24"/>
        <v>14</v>
      </c>
      <c r="J34" s="58">
        <f t="shared" si="24"/>
        <v>0</v>
      </c>
      <c r="K34" s="58">
        <f t="shared" si="24"/>
        <v>0</v>
      </c>
      <c r="L34" s="58">
        <f t="shared" si="24"/>
        <v>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0" customHeight="1">
      <c r="A35" s="68"/>
      <c r="B35" s="64" t="s">
        <v>16</v>
      </c>
      <c r="C35" s="65">
        <v>-11.0</v>
      </c>
      <c r="D35" s="66">
        <f t="shared" si="3"/>
        <v>-6325</v>
      </c>
      <c r="E35" s="56" t="s">
        <v>245</v>
      </c>
      <c r="F35" s="58">
        <f t="shared" ref="F35:L35" si="25">SUMIFS($C35,$B35,F$7)+F34</f>
        <v>39</v>
      </c>
      <c r="G35" s="58">
        <f t="shared" si="25"/>
        <v>0</v>
      </c>
      <c r="H35" s="58">
        <f t="shared" si="25"/>
        <v>0</v>
      </c>
      <c r="I35" s="58">
        <f t="shared" si="25"/>
        <v>14</v>
      </c>
      <c r="J35" s="58">
        <f t="shared" si="25"/>
        <v>0</v>
      </c>
      <c r="K35" s="58">
        <f t="shared" si="25"/>
        <v>0</v>
      </c>
      <c r="L35" s="58">
        <f t="shared" si="25"/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0" customHeight="1">
      <c r="A36" s="68"/>
      <c r="B36" s="64" t="s">
        <v>17</v>
      </c>
      <c r="C36" s="65">
        <v>11.0</v>
      </c>
      <c r="D36" s="66">
        <f t="shared" si="3"/>
        <v>6325</v>
      </c>
      <c r="E36" s="67"/>
      <c r="F36" s="58">
        <f t="shared" ref="F36:L36" si="26">SUMIFS($C36,$B36,F$7)+F35</f>
        <v>39</v>
      </c>
      <c r="G36" s="58">
        <f t="shared" si="26"/>
        <v>0</v>
      </c>
      <c r="H36" s="58">
        <f t="shared" si="26"/>
        <v>0</v>
      </c>
      <c r="I36" s="58">
        <f t="shared" si="26"/>
        <v>25</v>
      </c>
      <c r="J36" s="58">
        <f t="shared" si="26"/>
        <v>0</v>
      </c>
      <c r="K36" s="58">
        <f t="shared" si="26"/>
        <v>0</v>
      </c>
      <c r="L36" s="58">
        <f t="shared" si="26"/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0" customHeight="1">
      <c r="A37" s="68"/>
      <c r="B37" s="64"/>
      <c r="C37" s="65"/>
      <c r="D37" s="66">
        <f t="shared" si="3"/>
        <v>0</v>
      </c>
      <c r="E37" s="56"/>
      <c r="F37" s="58">
        <f t="shared" ref="F37:L37" si="27">SUMIFS($C37,$B37,F$7)+F36</f>
        <v>39</v>
      </c>
      <c r="G37" s="58">
        <f t="shared" si="27"/>
        <v>0</v>
      </c>
      <c r="H37" s="58">
        <f t="shared" si="27"/>
        <v>0</v>
      </c>
      <c r="I37" s="58">
        <f t="shared" si="27"/>
        <v>25</v>
      </c>
      <c r="J37" s="58">
        <f t="shared" si="27"/>
        <v>0</v>
      </c>
      <c r="K37" s="58">
        <f t="shared" si="27"/>
        <v>0</v>
      </c>
      <c r="L37" s="58">
        <f t="shared" si="27"/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0" customHeight="1">
      <c r="A38" s="68">
        <v>46202.0</v>
      </c>
      <c r="B38" s="64" t="s">
        <v>9</v>
      </c>
      <c r="C38" s="65">
        <v>11.0</v>
      </c>
      <c r="D38" s="66">
        <f t="shared" si="3"/>
        <v>6325</v>
      </c>
      <c r="E38" s="56" t="s">
        <v>246</v>
      </c>
      <c r="F38" s="58">
        <f t="shared" ref="F38:L38" si="28">SUMIFS($C38,$B38,F$7)+F37</f>
        <v>50</v>
      </c>
      <c r="G38" s="58">
        <f t="shared" si="28"/>
        <v>0</v>
      </c>
      <c r="H38" s="58">
        <f t="shared" si="28"/>
        <v>0</v>
      </c>
      <c r="I38" s="58">
        <f t="shared" si="28"/>
        <v>25</v>
      </c>
      <c r="J38" s="58">
        <f t="shared" si="28"/>
        <v>0</v>
      </c>
      <c r="K38" s="58">
        <f t="shared" si="28"/>
        <v>0</v>
      </c>
      <c r="L38" s="58">
        <f t="shared" si="28"/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0" customHeight="1">
      <c r="A39" s="68"/>
      <c r="B39" s="64" t="s">
        <v>13</v>
      </c>
      <c r="C39" s="65">
        <v>7.0</v>
      </c>
      <c r="D39" s="66">
        <f t="shared" si="3"/>
        <v>4025</v>
      </c>
      <c r="E39" s="56" t="s">
        <v>247</v>
      </c>
      <c r="F39" s="58">
        <f t="shared" ref="F39:L39" si="29">SUMIFS($C39,$B39,F$7)+F38</f>
        <v>50</v>
      </c>
      <c r="G39" s="58">
        <f t="shared" si="29"/>
        <v>7</v>
      </c>
      <c r="H39" s="58">
        <f t="shared" si="29"/>
        <v>0</v>
      </c>
      <c r="I39" s="58">
        <f t="shared" si="29"/>
        <v>25</v>
      </c>
      <c r="J39" s="58">
        <f t="shared" si="29"/>
        <v>0</v>
      </c>
      <c r="K39" s="58">
        <f t="shared" si="29"/>
        <v>0</v>
      </c>
      <c r="L39" s="58">
        <f t="shared" si="29"/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0" customHeight="1">
      <c r="A40" s="68"/>
      <c r="B40" s="64" t="s">
        <v>9</v>
      </c>
      <c r="C40" s="65">
        <v>-7.0</v>
      </c>
      <c r="D40" s="66">
        <f t="shared" si="3"/>
        <v>-4025</v>
      </c>
      <c r="E40" s="56" t="s">
        <v>248</v>
      </c>
      <c r="F40" s="58">
        <f t="shared" ref="F40:L40" si="30">SUMIFS($C40,$B40,F$7)+F39</f>
        <v>43</v>
      </c>
      <c r="G40" s="58">
        <f t="shared" si="30"/>
        <v>7</v>
      </c>
      <c r="H40" s="58">
        <f t="shared" si="30"/>
        <v>0</v>
      </c>
      <c r="I40" s="58">
        <f t="shared" si="30"/>
        <v>25</v>
      </c>
      <c r="J40" s="58">
        <f t="shared" si="30"/>
        <v>0</v>
      </c>
      <c r="K40" s="58">
        <f t="shared" si="30"/>
        <v>0</v>
      </c>
      <c r="L40" s="58">
        <f t="shared" si="30"/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0" customHeight="1">
      <c r="A41" s="70"/>
      <c r="B41" s="64" t="s">
        <v>16</v>
      </c>
      <c r="C41" s="65">
        <v>4.0</v>
      </c>
      <c r="D41" s="66">
        <f t="shared" si="3"/>
        <v>2300</v>
      </c>
      <c r="E41" s="56" t="s">
        <v>249</v>
      </c>
      <c r="F41" s="58">
        <f t="shared" ref="F41:L41" si="31">SUMIFS($C41,$B41,F$7)+F40</f>
        <v>43</v>
      </c>
      <c r="G41" s="58">
        <f t="shared" si="31"/>
        <v>7</v>
      </c>
      <c r="H41" s="58">
        <f t="shared" si="31"/>
        <v>4</v>
      </c>
      <c r="I41" s="58">
        <f t="shared" si="31"/>
        <v>25</v>
      </c>
      <c r="J41" s="58">
        <f t="shared" si="31"/>
        <v>0</v>
      </c>
      <c r="K41" s="58">
        <f t="shared" si="31"/>
        <v>0</v>
      </c>
      <c r="L41" s="58">
        <f t="shared" si="31"/>
        <v>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0" customHeight="1">
      <c r="A42" s="68"/>
      <c r="B42" s="64" t="s">
        <v>9</v>
      </c>
      <c r="C42" s="65">
        <v>-4.0</v>
      </c>
      <c r="D42" s="66">
        <f t="shared" si="3"/>
        <v>-2300</v>
      </c>
      <c r="E42" s="56" t="s">
        <v>250</v>
      </c>
      <c r="F42" s="58">
        <f t="shared" ref="F42:L42" si="32">SUMIFS($C42,$B42,F$7)+F41</f>
        <v>39</v>
      </c>
      <c r="G42" s="58">
        <f t="shared" si="32"/>
        <v>7</v>
      </c>
      <c r="H42" s="58">
        <f t="shared" si="32"/>
        <v>4</v>
      </c>
      <c r="I42" s="58">
        <f t="shared" si="32"/>
        <v>25</v>
      </c>
      <c r="J42" s="58">
        <f t="shared" si="32"/>
        <v>0</v>
      </c>
      <c r="K42" s="58">
        <f t="shared" si="32"/>
        <v>0</v>
      </c>
      <c r="L42" s="58">
        <f t="shared" si="32"/>
        <v>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0" customHeight="1">
      <c r="A43" s="68"/>
      <c r="B43" s="64"/>
      <c r="C43" s="65"/>
      <c r="D43" s="66">
        <f t="shared" si="3"/>
        <v>0</v>
      </c>
      <c r="E43" s="67"/>
      <c r="F43" s="58">
        <f t="shared" ref="F43:L43" si="33">SUMIFS($C43,$B43,F$7)+F42</f>
        <v>39</v>
      </c>
      <c r="G43" s="58">
        <f t="shared" si="33"/>
        <v>7</v>
      </c>
      <c r="H43" s="58">
        <f t="shared" si="33"/>
        <v>4</v>
      </c>
      <c r="I43" s="58">
        <f t="shared" si="33"/>
        <v>25</v>
      </c>
      <c r="J43" s="58">
        <f t="shared" si="33"/>
        <v>0</v>
      </c>
      <c r="K43" s="58">
        <f t="shared" si="33"/>
        <v>0</v>
      </c>
      <c r="L43" s="58">
        <f t="shared" si="33"/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0" customHeight="1">
      <c r="A44" s="68">
        <v>46203.0</v>
      </c>
      <c r="B44" s="64" t="s">
        <v>9</v>
      </c>
      <c r="C44" s="65">
        <v>13.0</v>
      </c>
      <c r="D44" s="66">
        <f t="shared" si="3"/>
        <v>7475</v>
      </c>
      <c r="E44" s="56" t="s">
        <v>251</v>
      </c>
      <c r="F44" s="58">
        <f t="shared" ref="F44:L44" si="34">SUMIFS($C44,$B44,F$7)+F43</f>
        <v>52</v>
      </c>
      <c r="G44" s="58">
        <f t="shared" si="34"/>
        <v>7</v>
      </c>
      <c r="H44" s="58">
        <f t="shared" si="34"/>
        <v>4</v>
      </c>
      <c r="I44" s="58">
        <f t="shared" si="34"/>
        <v>25</v>
      </c>
      <c r="J44" s="58">
        <f t="shared" si="34"/>
        <v>0</v>
      </c>
      <c r="K44" s="58">
        <f t="shared" si="34"/>
        <v>0</v>
      </c>
      <c r="L44" s="58">
        <f t="shared" si="34"/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0" customHeight="1">
      <c r="A45" s="68"/>
      <c r="B45" s="64" t="s">
        <v>13</v>
      </c>
      <c r="C45" s="65">
        <v>8.0</v>
      </c>
      <c r="D45" s="66">
        <f t="shared" si="3"/>
        <v>4600</v>
      </c>
      <c r="E45" s="56" t="s">
        <v>252</v>
      </c>
      <c r="F45" s="58">
        <f t="shared" ref="F45:L45" si="35">SUMIFS($C45,$B45,F$7)+F44</f>
        <v>52</v>
      </c>
      <c r="G45" s="58">
        <f t="shared" si="35"/>
        <v>15</v>
      </c>
      <c r="H45" s="58">
        <f t="shared" si="35"/>
        <v>4</v>
      </c>
      <c r="I45" s="58">
        <f t="shared" si="35"/>
        <v>25</v>
      </c>
      <c r="J45" s="58">
        <f t="shared" si="35"/>
        <v>0</v>
      </c>
      <c r="K45" s="58">
        <f t="shared" si="35"/>
        <v>0</v>
      </c>
      <c r="L45" s="58">
        <f t="shared" si="35"/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0" customHeight="1">
      <c r="A46" s="68"/>
      <c r="B46" s="64" t="s">
        <v>9</v>
      </c>
      <c r="C46" s="65">
        <v>-8.0</v>
      </c>
      <c r="D46" s="66">
        <f t="shared" si="3"/>
        <v>-4600</v>
      </c>
      <c r="E46" s="56" t="s">
        <v>241</v>
      </c>
      <c r="F46" s="58">
        <f t="shared" ref="F46:L46" si="36">SUMIFS($C46,$B46,F$7)+F45</f>
        <v>44</v>
      </c>
      <c r="G46" s="58">
        <f t="shared" si="36"/>
        <v>15</v>
      </c>
      <c r="H46" s="58">
        <f t="shared" si="36"/>
        <v>4</v>
      </c>
      <c r="I46" s="58">
        <f t="shared" si="36"/>
        <v>25</v>
      </c>
      <c r="J46" s="58">
        <f t="shared" si="36"/>
        <v>0</v>
      </c>
      <c r="K46" s="58">
        <f t="shared" si="36"/>
        <v>0</v>
      </c>
      <c r="L46" s="58">
        <f t="shared" si="36"/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0" customHeight="1">
      <c r="A47" s="70"/>
      <c r="B47" s="64" t="s">
        <v>16</v>
      </c>
      <c r="C47" s="65">
        <v>5.0</v>
      </c>
      <c r="D47" s="66">
        <f t="shared" si="3"/>
        <v>2875</v>
      </c>
      <c r="E47" s="56" t="s">
        <v>253</v>
      </c>
      <c r="F47" s="58">
        <f t="shared" ref="F47:L47" si="37">SUMIFS($C47,$B47,F$7)+F46</f>
        <v>44</v>
      </c>
      <c r="G47" s="58">
        <f t="shared" si="37"/>
        <v>15</v>
      </c>
      <c r="H47" s="58">
        <f t="shared" si="37"/>
        <v>9</v>
      </c>
      <c r="I47" s="58">
        <f t="shared" si="37"/>
        <v>25</v>
      </c>
      <c r="J47" s="58">
        <f t="shared" si="37"/>
        <v>0</v>
      </c>
      <c r="K47" s="58">
        <f t="shared" si="37"/>
        <v>0</v>
      </c>
      <c r="L47" s="58">
        <f t="shared" si="37"/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0" customHeight="1">
      <c r="A48" s="68"/>
      <c r="B48" s="64" t="s">
        <v>9</v>
      </c>
      <c r="C48" s="65">
        <v>-5.0</v>
      </c>
      <c r="D48" s="66">
        <f t="shared" si="3"/>
        <v>-2875</v>
      </c>
      <c r="E48" s="56" t="s">
        <v>243</v>
      </c>
      <c r="F48" s="58">
        <f t="shared" ref="F48:L48" si="38">SUMIFS($C48,$B48,F$7)+F47</f>
        <v>39</v>
      </c>
      <c r="G48" s="58">
        <f t="shared" si="38"/>
        <v>15</v>
      </c>
      <c r="H48" s="58">
        <f t="shared" si="38"/>
        <v>9</v>
      </c>
      <c r="I48" s="58">
        <f t="shared" si="38"/>
        <v>25</v>
      </c>
      <c r="J48" s="58">
        <f t="shared" si="38"/>
        <v>0</v>
      </c>
      <c r="K48" s="58">
        <f t="shared" si="38"/>
        <v>0</v>
      </c>
      <c r="L48" s="58">
        <f t="shared" si="38"/>
        <v>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0" customHeight="1">
      <c r="A49" s="70"/>
      <c r="B49" s="71"/>
      <c r="C49" s="66"/>
      <c r="D49" s="66">
        <f t="shared" si="3"/>
        <v>0</v>
      </c>
      <c r="E49" s="67"/>
      <c r="F49" s="58">
        <f t="shared" ref="F49:L49" si="39">SUMIFS($C49,$B49,F$7)+F48</f>
        <v>39</v>
      </c>
      <c r="G49" s="58">
        <f t="shared" si="39"/>
        <v>15</v>
      </c>
      <c r="H49" s="58">
        <f t="shared" si="39"/>
        <v>9</v>
      </c>
      <c r="I49" s="58">
        <f t="shared" si="39"/>
        <v>25</v>
      </c>
      <c r="J49" s="58">
        <f t="shared" si="39"/>
        <v>0</v>
      </c>
      <c r="K49" s="58">
        <f t="shared" si="39"/>
        <v>0</v>
      </c>
      <c r="L49" s="58">
        <f t="shared" si="39"/>
        <v>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0" customHeight="1">
      <c r="A50" s="68">
        <v>46204.0</v>
      </c>
      <c r="B50" s="64" t="s">
        <v>9</v>
      </c>
      <c r="C50" s="65">
        <v>14.0</v>
      </c>
      <c r="D50" s="66">
        <f t="shared" si="3"/>
        <v>8050</v>
      </c>
      <c r="E50" s="56" t="s">
        <v>254</v>
      </c>
      <c r="F50" s="58">
        <f t="shared" ref="F50:L50" si="40">SUMIFS($C50,$B50,F$7)+F49</f>
        <v>53</v>
      </c>
      <c r="G50" s="58">
        <f t="shared" si="40"/>
        <v>15</v>
      </c>
      <c r="H50" s="58">
        <f t="shared" si="40"/>
        <v>9</v>
      </c>
      <c r="I50" s="58">
        <f t="shared" si="40"/>
        <v>25</v>
      </c>
      <c r="J50" s="58">
        <f t="shared" si="40"/>
        <v>0</v>
      </c>
      <c r="K50" s="58">
        <f t="shared" si="40"/>
        <v>0</v>
      </c>
      <c r="L50" s="58">
        <f t="shared" si="40"/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0" customHeight="1">
      <c r="A51" s="70"/>
      <c r="B51" s="64" t="s">
        <v>13</v>
      </c>
      <c r="C51" s="65">
        <v>9.0</v>
      </c>
      <c r="D51" s="66">
        <f t="shared" si="3"/>
        <v>5175</v>
      </c>
      <c r="E51" s="56" t="s">
        <v>255</v>
      </c>
      <c r="F51" s="58">
        <f t="shared" ref="F51:L51" si="41">SUMIFS($C51,$B51,F$7)+F50</f>
        <v>53</v>
      </c>
      <c r="G51" s="58">
        <f t="shared" si="41"/>
        <v>24</v>
      </c>
      <c r="H51" s="58">
        <f t="shared" si="41"/>
        <v>9</v>
      </c>
      <c r="I51" s="58">
        <f t="shared" si="41"/>
        <v>25</v>
      </c>
      <c r="J51" s="58">
        <f t="shared" si="41"/>
        <v>0</v>
      </c>
      <c r="K51" s="58">
        <f t="shared" si="41"/>
        <v>0</v>
      </c>
      <c r="L51" s="58">
        <f t="shared" si="41"/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0" customHeight="1">
      <c r="A52" s="68"/>
      <c r="B52" s="64" t="s">
        <v>9</v>
      </c>
      <c r="C52" s="65">
        <v>-9.0</v>
      </c>
      <c r="D52" s="66">
        <f t="shared" si="3"/>
        <v>-5175</v>
      </c>
      <c r="E52" s="56" t="s">
        <v>256</v>
      </c>
      <c r="F52" s="58">
        <f t="shared" ref="F52:L52" si="42">SUMIFS($C52,$B52,F$7)+F51</f>
        <v>44</v>
      </c>
      <c r="G52" s="58">
        <f t="shared" si="42"/>
        <v>24</v>
      </c>
      <c r="H52" s="58">
        <f t="shared" si="42"/>
        <v>9</v>
      </c>
      <c r="I52" s="58">
        <f t="shared" si="42"/>
        <v>25</v>
      </c>
      <c r="J52" s="58">
        <f t="shared" si="42"/>
        <v>0</v>
      </c>
      <c r="K52" s="58">
        <f t="shared" si="42"/>
        <v>0</v>
      </c>
      <c r="L52" s="58">
        <f t="shared" si="42"/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0" customHeight="1">
      <c r="A53" s="70"/>
      <c r="B53" s="64" t="s">
        <v>16</v>
      </c>
      <c r="C53" s="65">
        <v>3.0</v>
      </c>
      <c r="D53" s="66">
        <f t="shared" si="3"/>
        <v>1725</v>
      </c>
      <c r="E53" s="56" t="s">
        <v>257</v>
      </c>
      <c r="F53" s="58">
        <f t="shared" ref="F53:L53" si="43">SUMIFS($C53,$B53,F$7)+F52</f>
        <v>44</v>
      </c>
      <c r="G53" s="58">
        <f t="shared" si="43"/>
        <v>24</v>
      </c>
      <c r="H53" s="58">
        <f t="shared" si="43"/>
        <v>12</v>
      </c>
      <c r="I53" s="58">
        <f t="shared" si="43"/>
        <v>25</v>
      </c>
      <c r="J53" s="58">
        <f t="shared" si="43"/>
        <v>0</v>
      </c>
      <c r="K53" s="58">
        <f t="shared" si="43"/>
        <v>0</v>
      </c>
      <c r="L53" s="58">
        <f t="shared" si="43"/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0" customHeight="1">
      <c r="A54" s="68"/>
      <c r="B54" s="64" t="s">
        <v>9</v>
      </c>
      <c r="C54" s="65">
        <v>-3.0</v>
      </c>
      <c r="D54" s="66">
        <f t="shared" si="3"/>
        <v>-1725</v>
      </c>
      <c r="E54" s="56" t="s">
        <v>258</v>
      </c>
      <c r="F54" s="58">
        <f t="shared" ref="F54:L54" si="44">SUMIFS($C54,$B54,F$7)+F53</f>
        <v>41</v>
      </c>
      <c r="G54" s="58">
        <f t="shared" si="44"/>
        <v>24</v>
      </c>
      <c r="H54" s="58">
        <f t="shared" si="44"/>
        <v>12</v>
      </c>
      <c r="I54" s="58">
        <f t="shared" si="44"/>
        <v>25</v>
      </c>
      <c r="J54" s="58">
        <f t="shared" si="44"/>
        <v>0</v>
      </c>
      <c r="K54" s="58">
        <f t="shared" si="44"/>
        <v>0</v>
      </c>
      <c r="L54" s="58">
        <f t="shared" si="44"/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0" customHeight="1">
      <c r="A55" s="70"/>
      <c r="B55" s="64" t="s">
        <v>17</v>
      </c>
      <c r="C55" s="65">
        <v>-1.0</v>
      </c>
      <c r="D55" s="66">
        <f t="shared" si="3"/>
        <v>-575</v>
      </c>
      <c r="E55" s="63" t="s">
        <v>259</v>
      </c>
      <c r="F55" s="58">
        <f t="shared" ref="F55:L55" si="45">SUMIFS($C55,$B55,F$7)+F54</f>
        <v>41</v>
      </c>
      <c r="G55" s="58">
        <f t="shared" si="45"/>
        <v>24</v>
      </c>
      <c r="H55" s="58">
        <f t="shared" si="45"/>
        <v>12</v>
      </c>
      <c r="I55" s="58">
        <f t="shared" si="45"/>
        <v>24</v>
      </c>
      <c r="J55" s="58">
        <f t="shared" si="45"/>
        <v>0</v>
      </c>
      <c r="K55" s="58">
        <f t="shared" si="45"/>
        <v>0</v>
      </c>
      <c r="L55" s="58">
        <f t="shared" si="45"/>
        <v>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0" customHeight="1">
      <c r="A56" s="70"/>
      <c r="B56" s="64" t="s">
        <v>13</v>
      </c>
      <c r="C56" s="65">
        <v>-24.0</v>
      </c>
      <c r="D56" s="66">
        <f t="shared" si="3"/>
        <v>-13800</v>
      </c>
      <c r="E56" s="56" t="s">
        <v>245</v>
      </c>
      <c r="F56" s="58">
        <f t="shared" ref="F56:L56" si="46">SUMIFS($C56,$B56,F$7)+F53</f>
        <v>44</v>
      </c>
      <c r="G56" s="58">
        <f t="shared" si="46"/>
        <v>0</v>
      </c>
      <c r="H56" s="58">
        <f t="shared" si="46"/>
        <v>12</v>
      </c>
      <c r="I56" s="58">
        <f t="shared" si="46"/>
        <v>25</v>
      </c>
      <c r="J56" s="58">
        <f t="shared" si="46"/>
        <v>0</v>
      </c>
      <c r="K56" s="58">
        <f t="shared" si="46"/>
        <v>0</v>
      </c>
      <c r="L56" s="58">
        <f t="shared" si="46"/>
        <v>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0" customHeight="1">
      <c r="A57" s="70"/>
      <c r="B57" s="64" t="s">
        <v>17</v>
      </c>
      <c r="C57" s="65">
        <v>24.0</v>
      </c>
      <c r="D57" s="66">
        <f t="shared" si="3"/>
        <v>13800</v>
      </c>
      <c r="E57" s="67"/>
      <c r="F57" s="58">
        <f t="shared" ref="F57:L57" si="47">SUMIFS($C57,$B57,F$7)+F54</f>
        <v>41</v>
      </c>
      <c r="G57" s="58">
        <f t="shared" si="47"/>
        <v>24</v>
      </c>
      <c r="H57" s="58">
        <f t="shared" si="47"/>
        <v>12</v>
      </c>
      <c r="I57" s="58">
        <f t="shared" si="47"/>
        <v>49</v>
      </c>
      <c r="J57" s="58">
        <f t="shared" si="47"/>
        <v>0</v>
      </c>
      <c r="K57" s="58">
        <f t="shared" si="47"/>
        <v>0</v>
      </c>
      <c r="L57" s="58">
        <f t="shared" si="47"/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0" customHeight="1">
      <c r="A58" s="70"/>
      <c r="B58" s="64" t="s">
        <v>16</v>
      </c>
      <c r="C58" s="65">
        <v>-12.0</v>
      </c>
      <c r="D58" s="66">
        <f t="shared" si="3"/>
        <v>-6900</v>
      </c>
      <c r="E58" s="56" t="s">
        <v>245</v>
      </c>
      <c r="F58" s="58">
        <f t="shared" ref="F58:L58" si="48">SUMIFS($C58,$B58,F$7)+F54</f>
        <v>41</v>
      </c>
      <c r="G58" s="58">
        <f t="shared" si="48"/>
        <v>24</v>
      </c>
      <c r="H58" s="58">
        <f t="shared" si="48"/>
        <v>0</v>
      </c>
      <c r="I58" s="58">
        <f t="shared" si="48"/>
        <v>25</v>
      </c>
      <c r="J58" s="58">
        <f t="shared" si="48"/>
        <v>0</v>
      </c>
      <c r="K58" s="58">
        <f t="shared" si="48"/>
        <v>0</v>
      </c>
      <c r="L58" s="58">
        <f t="shared" si="48"/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0" customHeight="1">
      <c r="A59" s="70"/>
      <c r="B59" s="64" t="s">
        <v>17</v>
      </c>
      <c r="C59" s="65">
        <v>12.0</v>
      </c>
      <c r="D59" s="66">
        <f t="shared" si="3"/>
        <v>6900</v>
      </c>
      <c r="E59" s="67"/>
      <c r="F59" s="58">
        <f t="shared" ref="F59:L59" si="49">SUMIFS($C59,$B59,F$7)+F54</f>
        <v>41</v>
      </c>
      <c r="G59" s="58">
        <f t="shared" si="49"/>
        <v>24</v>
      </c>
      <c r="H59" s="58">
        <f t="shared" si="49"/>
        <v>12</v>
      </c>
      <c r="I59" s="58">
        <f t="shared" si="49"/>
        <v>37</v>
      </c>
      <c r="J59" s="58">
        <f t="shared" si="49"/>
        <v>0</v>
      </c>
      <c r="K59" s="58">
        <f t="shared" si="49"/>
        <v>0</v>
      </c>
      <c r="L59" s="58">
        <f t="shared" si="49"/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0" customHeight="1">
      <c r="A60" s="70"/>
      <c r="B60" s="64" t="s">
        <v>9</v>
      </c>
      <c r="C60" s="65">
        <v>-20.0</v>
      </c>
      <c r="D60" s="66">
        <f t="shared" si="3"/>
        <v>-11500</v>
      </c>
      <c r="E60" s="56" t="s">
        <v>245</v>
      </c>
      <c r="F60" s="58">
        <f t="shared" ref="F60:L60" si="50">SUMIFS($C60,$B60,F$7)+F53</f>
        <v>24</v>
      </c>
      <c r="G60" s="58">
        <f t="shared" si="50"/>
        <v>24</v>
      </c>
      <c r="H60" s="58">
        <f t="shared" si="50"/>
        <v>12</v>
      </c>
      <c r="I60" s="58">
        <f t="shared" si="50"/>
        <v>25</v>
      </c>
      <c r="J60" s="58">
        <f t="shared" si="50"/>
        <v>0</v>
      </c>
      <c r="K60" s="58">
        <f t="shared" si="50"/>
        <v>0</v>
      </c>
      <c r="L60" s="58">
        <f t="shared" si="50"/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0" customHeight="1">
      <c r="A61" s="70"/>
      <c r="B61" s="64" t="s">
        <v>17</v>
      </c>
      <c r="C61" s="65">
        <v>20.0</v>
      </c>
      <c r="D61" s="66">
        <f t="shared" si="3"/>
        <v>11500</v>
      </c>
      <c r="E61" s="67"/>
      <c r="F61" s="58">
        <f t="shared" ref="F61:L61" si="51">SUMIFS($C61,$B61,F$7)+F54</f>
        <v>41</v>
      </c>
      <c r="G61" s="58">
        <f t="shared" si="51"/>
        <v>24</v>
      </c>
      <c r="H61" s="58">
        <f t="shared" si="51"/>
        <v>12</v>
      </c>
      <c r="I61" s="58">
        <f t="shared" si="51"/>
        <v>45</v>
      </c>
      <c r="J61" s="58">
        <f t="shared" si="51"/>
        <v>0</v>
      </c>
      <c r="K61" s="58">
        <f t="shared" si="51"/>
        <v>0</v>
      </c>
      <c r="L61" s="58">
        <f t="shared" si="51"/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0" customHeight="1">
      <c r="A62" s="70"/>
      <c r="B62" s="71"/>
      <c r="C62" s="66"/>
      <c r="D62" s="66">
        <f t="shared" si="3"/>
        <v>0</v>
      </c>
      <c r="E62" s="67"/>
      <c r="F62" s="58">
        <f t="shared" ref="F62:L62" si="52">SUMIFS($C62,$B62,F$7)+F55</f>
        <v>41</v>
      </c>
      <c r="G62" s="58">
        <f t="shared" si="52"/>
        <v>24</v>
      </c>
      <c r="H62" s="58">
        <f t="shared" si="52"/>
        <v>12</v>
      </c>
      <c r="I62" s="58">
        <f t="shared" si="52"/>
        <v>24</v>
      </c>
      <c r="J62" s="58">
        <f t="shared" si="52"/>
        <v>0</v>
      </c>
      <c r="K62" s="58">
        <f t="shared" si="52"/>
        <v>0</v>
      </c>
      <c r="L62" s="58">
        <f t="shared" si="52"/>
        <v>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0" customHeight="1">
      <c r="A63" s="68">
        <v>46205.0</v>
      </c>
      <c r="B63" s="64" t="s">
        <v>9</v>
      </c>
      <c r="C63" s="65">
        <v>14.0</v>
      </c>
      <c r="D63" s="66">
        <f t="shared" si="3"/>
        <v>8050</v>
      </c>
      <c r="E63" s="56" t="s">
        <v>260</v>
      </c>
      <c r="F63" s="58">
        <f t="shared" ref="F63:L63" si="53">SUMIFS($C63,$B63,F$7)+F62</f>
        <v>55</v>
      </c>
      <c r="G63" s="58">
        <f t="shared" si="53"/>
        <v>24</v>
      </c>
      <c r="H63" s="58">
        <f t="shared" si="53"/>
        <v>12</v>
      </c>
      <c r="I63" s="58">
        <f t="shared" si="53"/>
        <v>24</v>
      </c>
      <c r="J63" s="58">
        <f t="shared" si="53"/>
        <v>0</v>
      </c>
      <c r="K63" s="58">
        <f t="shared" si="53"/>
        <v>0</v>
      </c>
      <c r="L63" s="58">
        <f t="shared" si="53"/>
        <v>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0" customHeight="1">
      <c r="A64" s="70"/>
      <c r="B64" s="64" t="s">
        <v>13</v>
      </c>
      <c r="C64" s="65">
        <v>9.0</v>
      </c>
      <c r="D64" s="66">
        <f t="shared" si="3"/>
        <v>5175</v>
      </c>
      <c r="E64" s="56" t="s">
        <v>261</v>
      </c>
      <c r="F64" s="58">
        <f t="shared" ref="F64:L64" si="54">SUMIFS($C64,$B64,F$7)+F63</f>
        <v>55</v>
      </c>
      <c r="G64" s="58">
        <f t="shared" si="54"/>
        <v>33</v>
      </c>
      <c r="H64" s="58">
        <f t="shared" si="54"/>
        <v>12</v>
      </c>
      <c r="I64" s="58">
        <f t="shared" si="54"/>
        <v>24</v>
      </c>
      <c r="J64" s="58">
        <f t="shared" si="54"/>
        <v>0</v>
      </c>
      <c r="K64" s="58">
        <f t="shared" si="54"/>
        <v>0</v>
      </c>
      <c r="L64" s="58">
        <f t="shared" si="54"/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0" customHeight="1">
      <c r="A65" s="70"/>
      <c r="B65" s="64" t="s">
        <v>9</v>
      </c>
      <c r="C65" s="65">
        <v>-9.0</v>
      </c>
      <c r="D65" s="66">
        <f t="shared" si="3"/>
        <v>-5175</v>
      </c>
      <c r="E65" s="56" t="s">
        <v>256</v>
      </c>
      <c r="F65" s="58">
        <f t="shared" ref="F65:L65" si="55">SUMIFS($C65,$B65,F$7)+F64</f>
        <v>46</v>
      </c>
      <c r="G65" s="58">
        <f t="shared" si="55"/>
        <v>33</v>
      </c>
      <c r="H65" s="58">
        <f t="shared" si="55"/>
        <v>12</v>
      </c>
      <c r="I65" s="58">
        <f t="shared" si="55"/>
        <v>24</v>
      </c>
      <c r="J65" s="58">
        <f t="shared" si="55"/>
        <v>0</v>
      </c>
      <c r="K65" s="58">
        <f t="shared" si="55"/>
        <v>0</v>
      </c>
      <c r="L65" s="58">
        <f t="shared" si="55"/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0" customHeight="1">
      <c r="A66" s="70"/>
      <c r="B66" s="64" t="s">
        <v>16</v>
      </c>
      <c r="C66" s="65">
        <v>6.0</v>
      </c>
      <c r="D66" s="66">
        <f t="shared" si="3"/>
        <v>3450</v>
      </c>
      <c r="E66" s="56" t="s">
        <v>262</v>
      </c>
      <c r="F66" s="58">
        <f t="shared" ref="F66:L66" si="56">SUMIFS($C66,$B66,F$7)+F65</f>
        <v>46</v>
      </c>
      <c r="G66" s="58">
        <f t="shared" si="56"/>
        <v>33</v>
      </c>
      <c r="H66" s="58">
        <f t="shared" si="56"/>
        <v>18</v>
      </c>
      <c r="I66" s="58">
        <f t="shared" si="56"/>
        <v>24</v>
      </c>
      <c r="J66" s="58">
        <f t="shared" si="56"/>
        <v>0</v>
      </c>
      <c r="K66" s="58">
        <f t="shared" si="56"/>
        <v>0</v>
      </c>
      <c r="L66" s="58">
        <f t="shared" si="56"/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0" customHeight="1">
      <c r="A67" s="70"/>
      <c r="B67" s="64" t="s">
        <v>9</v>
      </c>
      <c r="C67" s="65">
        <v>-6.0</v>
      </c>
      <c r="D67" s="66">
        <f t="shared" si="3"/>
        <v>-3450</v>
      </c>
      <c r="E67" s="56" t="s">
        <v>130</v>
      </c>
      <c r="F67" s="58">
        <f t="shared" ref="F67:L67" si="57">SUMIFS($C67,$B67,F$7)+F66</f>
        <v>40</v>
      </c>
      <c r="G67" s="58">
        <f t="shared" si="57"/>
        <v>33</v>
      </c>
      <c r="H67" s="58">
        <f t="shared" si="57"/>
        <v>18</v>
      </c>
      <c r="I67" s="58">
        <f t="shared" si="57"/>
        <v>24</v>
      </c>
      <c r="J67" s="58">
        <f t="shared" si="57"/>
        <v>0</v>
      </c>
      <c r="K67" s="58">
        <f t="shared" si="57"/>
        <v>0</v>
      </c>
      <c r="L67" s="58">
        <f t="shared" si="57"/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0" customHeight="1">
      <c r="A68" s="70"/>
      <c r="B68" s="71"/>
      <c r="C68" s="66"/>
      <c r="D68" s="66">
        <f t="shared" si="3"/>
        <v>0</v>
      </c>
      <c r="E68" s="67"/>
      <c r="F68" s="58">
        <f t="shared" ref="F68:L68" si="58">SUMIFS($C68,$B68,F$7)+F67</f>
        <v>40</v>
      </c>
      <c r="G68" s="58">
        <f t="shared" si="58"/>
        <v>33</v>
      </c>
      <c r="H68" s="58">
        <f t="shared" si="58"/>
        <v>18</v>
      </c>
      <c r="I68" s="58">
        <f t="shared" si="58"/>
        <v>24</v>
      </c>
      <c r="J68" s="58">
        <f t="shared" si="58"/>
        <v>0</v>
      </c>
      <c r="K68" s="58">
        <f t="shared" si="58"/>
        <v>0</v>
      </c>
      <c r="L68" s="58">
        <f t="shared" si="58"/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0" customHeight="1">
      <c r="A69" s="68">
        <v>46206.0</v>
      </c>
      <c r="B69" s="64" t="s">
        <v>9</v>
      </c>
      <c r="C69" s="65">
        <v>13.0</v>
      </c>
      <c r="D69" s="66">
        <f t="shared" si="3"/>
        <v>7475</v>
      </c>
      <c r="E69" s="67"/>
      <c r="F69" s="58">
        <f t="shared" ref="F69:L69" si="59">SUMIFS($C69,$B69,F$7)+F68</f>
        <v>53</v>
      </c>
      <c r="G69" s="58">
        <f t="shared" si="59"/>
        <v>33</v>
      </c>
      <c r="H69" s="58">
        <f t="shared" si="59"/>
        <v>18</v>
      </c>
      <c r="I69" s="58">
        <f t="shared" si="59"/>
        <v>24</v>
      </c>
      <c r="J69" s="58">
        <f t="shared" si="59"/>
        <v>0</v>
      </c>
      <c r="K69" s="58">
        <f t="shared" si="59"/>
        <v>0</v>
      </c>
      <c r="L69" s="58">
        <f t="shared" si="59"/>
        <v>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0" customHeight="1">
      <c r="A70" s="70"/>
      <c r="B70" s="64" t="s">
        <v>13</v>
      </c>
      <c r="C70" s="65">
        <v>7.0</v>
      </c>
      <c r="D70" s="66">
        <f t="shared" si="3"/>
        <v>4025</v>
      </c>
      <c r="E70" s="56" t="s">
        <v>263</v>
      </c>
      <c r="F70" s="58">
        <f t="shared" ref="F70:L70" si="60">SUMIFS($C70,$B70,F$7)+F69</f>
        <v>53</v>
      </c>
      <c r="G70" s="58">
        <f t="shared" si="60"/>
        <v>40</v>
      </c>
      <c r="H70" s="58">
        <f t="shared" si="60"/>
        <v>18</v>
      </c>
      <c r="I70" s="58">
        <f t="shared" si="60"/>
        <v>24</v>
      </c>
      <c r="J70" s="58">
        <f t="shared" si="60"/>
        <v>0</v>
      </c>
      <c r="K70" s="58">
        <f t="shared" si="60"/>
        <v>0</v>
      </c>
      <c r="L70" s="58">
        <f t="shared" si="60"/>
        <v>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0" customHeight="1">
      <c r="A71" s="70"/>
      <c r="B71" s="64" t="s">
        <v>9</v>
      </c>
      <c r="C71" s="65">
        <v>-7.0</v>
      </c>
      <c r="D71" s="66">
        <f t="shared" si="3"/>
        <v>-4025</v>
      </c>
      <c r="E71" s="67"/>
      <c r="F71" s="58">
        <f t="shared" ref="F71:L71" si="61">SUMIFS($C71,$B71,F$7)+F70</f>
        <v>46</v>
      </c>
      <c r="G71" s="58">
        <f t="shared" si="61"/>
        <v>40</v>
      </c>
      <c r="H71" s="58">
        <f t="shared" si="61"/>
        <v>18</v>
      </c>
      <c r="I71" s="58">
        <f t="shared" si="61"/>
        <v>24</v>
      </c>
      <c r="J71" s="58">
        <f t="shared" si="61"/>
        <v>0</v>
      </c>
      <c r="K71" s="58">
        <f t="shared" si="61"/>
        <v>0</v>
      </c>
      <c r="L71" s="58">
        <f t="shared" si="61"/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0" customHeight="1">
      <c r="A72" s="70"/>
      <c r="B72" s="64" t="s">
        <v>16</v>
      </c>
      <c r="C72" s="65">
        <v>2.0</v>
      </c>
      <c r="D72" s="66">
        <f t="shared" si="3"/>
        <v>1150</v>
      </c>
      <c r="E72" s="56" t="s">
        <v>264</v>
      </c>
      <c r="F72" s="58">
        <f t="shared" ref="F72:L72" si="62">SUMIFS($C72,$B72,F$7)+F71</f>
        <v>46</v>
      </c>
      <c r="G72" s="58">
        <f t="shared" si="62"/>
        <v>40</v>
      </c>
      <c r="H72" s="58">
        <f t="shared" si="62"/>
        <v>20</v>
      </c>
      <c r="I72" s="58">
        <f t="shared" si="62"/>
        <v>24</v>
      </c>
      <c r="J72" s="58">
        <f t="shared" si="62"/>
        <v>0</v>
      </c>
      <c r="K72" s="58">
        <f t="shared" si="62"/>
        <v>0</v>
      </c>
      <c r="L72" s="58">
        <f t="shared" si="62"/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0" customHeight="1">
      <c r="A73" s="70"/>
      <c r="B73" s="64" t="s">
        <v>9</v>
      </c>
      <c r="C73" s="65">
        <v>-2.0</v>
      </c>
      <c r="D73" s="66">
        <f t="shared" si="3"/>
        <v>-1150</v>
      </c>
      <c r="E73" s="67"/>
      <c r="F73" s="58">
        <f t="shared" ref="F73:L73" si="63">SUMIFS($C73,$B73,F$7)+F72</f>
        <v>44</v>
      </c>
      <c r="G73" s="58">
        <f t="shared" si="63"/>
        <v>40</v>
      </c>
      <c r="H73" s="58">
        <f t="shared" si="63"/>
        <v>20</v>
      </c>
      <c r="I73" s="58">
        <f t="shared" si="63"/>
        <v>24</v>
      </c>
      <c r="J73" s="58">
        <f t="shared" si="63"/>
        <v>0</v>
      </c>
      <c r="K73" s="58">
        <f t="shared" si="63"/>
        <v>0</v>
      </c>
      <c r="L73" s="58">
        <f t="shared" si="63"/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0" customHeight="1">
      <c r="A74" s="70"/>
      <c r="B74" s="71"/>
      <c r="C74" s="66"/>
      <c r="D74" s="66">
        <f t="shared" si="3"/>
        <v>0</v>
      </c>
      <c r="E74" s="67"/>
      <c r="F74" s="58">
        <f t="shared" ref="F74:L74" si="64">SUMIFS($C74,$B74,F$7)+F73</f>
        <v>44</v>
      </c>
      <c r="G74" s="58">
        <f t="shared" si="64"/>
        <v>40</v>
      </c>
      <c r="H74" s="58">
        <f t="shared" si="64"/>
        <v>20</v>
      </c>
      <c r="I74" s="58">
        <f t="shared" si="64"/>
        <v>24</v>
      </c>
      <c r="J74" s="58">
        <f t="shared" si="64"/>
        <v>0</v>
      </c>
      <c r="K74" s="58">
        <f t="shared" si="64"/>
        <v>0</v>
      </c>
      <c r="L74" s="58">
        <f t="shared" si="64"/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0" customHeight="1">
      <c r="A75" s="68">
        <v>46207.0</v>
      </c>
      <c r="B75" s="64" t="s">
        <v>9</v>
      </c>
      <c r="C75" s="65">
        <v>15.0</v>
      </c>
      <c r="D75" s="66">
        <f t="shared" si="3"/>
        <v>8625</v>
      </c>
      <c r="E75" s="56" t="s">
        <v>265</v>
      </c>
      <c r="F75" s="58">
        <f t="shared" ref="F75:L75" si="65">SUMIFS($C75,$B75,F$7)+F74</f>
        <v>59</v>
      </c>
      <c r="G75" s="58">
        <f t="shared" si="65"/>
        <v>40</v>
      </c>
      <c r="H75" s="58">
        <f t="shared" si="65"/>
        <v>20</v>
      </c>
      <c r="I75" s="58">
        <f t="shared" si="65"/>
        <v>24</v>
      </c>
      <c r="J75" s="58">
        <f t="shared" si="65"/>
        <v>0</v>
      </c>
      <c r="K75" s="58">
        <f t="shared" si="65"/>
        <v>0</v>
      </c>
      <c r="L75" s="58">
        <f t="shared" si="65"/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0" customHeight="1">
      <c r="A76" s="70"/>
      <c r="B76" s="64" t="s">
        <v>13</v>
      </c>
      <c r="C76" s="65">
        <v>11.0</v>
      </c>
      <c r="D76" s="66">
        <f t="shared" si="3"/>
        <v>6325</v>
      </c>
      <c r="E76" s="56" t="s">
        <v>266</v>
      </c>
      <c r="F76" s="58">
        <f t="shared" ref="F76:L76" si="66">SUMIFS($C76,$B76,F$7)+F75</f>
        <v>59</v>
      </c>
      <c r="G76" s="58">
        <f t="shared" si="66"/>
        <v>51</v>
      </c>
      <c r="H76" s="58">
        <f t="shared" si="66"/>
        <v>20</v>
      </c>
      <c r="I76" s="58">
        <f t="shared" si="66"/>
        <v>24</v>
      </c>
      <c r="J76" s="58">
        <f t="shared" si="66"/>
        <v>0</v>
      </c>
      <c r="K76" s="58">
        <f t="shared" si="66"/>
        <v>0</v>
      </c>
      <c r="L76" s="58">
        <f t="shared" si="66"/>
        <v>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0" customHeight="1">
      <c r="A77" s="70"/>
      <c r="B77" s="64" t="s">
        <v>9</v>
      </c>
      <c r="C77" s="65">
        <v>-11.0</v>
      </c>
      <c r="D77" s="66">
        <f t="shared" si="3"/>
        <v>-6325</v>
      </c>
      <c r="E77" s="56" t="s">
        <v>267</v>
      </c>
      <c r="F77" s="58">
        <f t="shared" ref="F77:L77" si="67">SUMIFS($C77,$B77,F$7)+F76</f>
        <v>48</v>
      </c>
      <c r="G77" s="58">
        <f t="shared" si="67"/>
        <v>51</v>
      </c>
      <c r="H77" s="58">
        <f t="shared" si="67"/>
        <v>20</v>
      </c>
      <c r="I77" s="58">
        <f t="shared" si="67"/>
        <v>24</v>
      </c>
      <c r="J77" s="58">
        <f t="shared" si="67"/>
        <v>0</v>
      </c>
      <c r="K77" s="58">
        <f t="shared" si="67"/>
        <v>0</v>
      </c>
      <c r="L77" s="58">
        <f t="shared" si="67"/>
        <v>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0" customHeight="1">
      <c r="A78" s="70"/>
      <c r="B78" s="64" t="s">
        <v>9</v>
      </c>
      <c r="C78" s="65">
        <v>-1.0</v>
      </c>
      <c r="D78" s="66">
        <f t="shared" si="3"/>
        <v>-575</v>
      </c>
      <c r="E78" s="63" t="s">
        <v>268</v>
      </c>
      <c r="F78" s="58">
        <f t="shared" ref="F78:L78" si="68">SUMIFS($C78,$B78,F$7)+F77</f>
        <v>47</v>
      </c>
      <c r="G78" s="58">
        <f t="shared" si="68"/>
        <v>51</v>
      </c>
      <c r="H78" s="58">
        <f t="shared" si="68"/>
        <v>20</v>
      </c>
      <c r="I78" s="58">
        <f t="shared" si="68"/>
        <v>24</v>
      </c>
      <c r="J78" s="58">
        <f t="shared" si="68"/>
        <v>0</v>
      </c>
      <c r="K78" s="58">
        <f t="shared" si="68"/>
        <v>0</v>
      </c>
      <c r="L78" s="58">
        <f t="shared" si="68"/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0" customHeight="1">
      <c r="A79" s="70"/>
      <c r="B79" s="64" t="s">
        <v>13</v>
      </c>
      <c r="C79" s="65">
        <v>-27.0</v>
      </c>
      <c r="D79" s="66">
        <f t="shared" si="3"/>
        <v>-15525</v>
      </c>
      <c r="E79" s="56" t="s">
        <v>245</v>
      </c>
      <c r="F79" s="58">
        <f t="shared" ref="F79:L79" si="69">SUMIFS($C79,$B79,F$7)+F78</f>
        <v>47</v>
      </c>
      <c r="G79" s="58">
        <f t="shared" si="69"/>
        <v>24</v>
      </c>
      <c r="H79" s="58">
        <f t="shared" si="69"/>
        <v>20</v>
      </c>
      <c r="I79" s="58">
        <f t="shared" si="69"/>
        <v>24</v>
      </c>
      <c r="J79" s="58">
        <f t="shared" si="69"/>
        <v>0</v>
      </c>
      <c r="K79" s="58">
        <f t="shared" si="69"/>
        <v>0</v>
      </c>
      <c r="L79" s="58">
        <f t="shared" si="69"/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0" customHeight="1">
      <c r="A80" s="70"/>
      <c r="B80" s="64" t="s">
        <v>17</v>
      </c>
      <c r="C80" s="65">
        <v>27.0</v>
      </c>
      <c r="D80" s="66">
        <f t="shared" si="3"/>
        <v>15525</v>
      </c>
      <c r="E80" s="67"/>
      <c r="F80" s="58">
        <f t="shared" ref="F80:L80" si="70">SUMIFS($C80,$B80,F$7)+F79</f>
        <v>47</v>
      </c>
      <c r="G80" s="58">
        <f t="shared" si="70"/>
        <v>24</v>
      </c>
      <c r="H80" s="58">
        <f t="shared" si="70"/>
        <v>20</v>
      </c>
      <c r="I80" s="58">
        <f t="shared" si="70"/>
        <v>51</v>
      </c>
      <c r="J80" s="58">
        <f t="shared" si="70"/>
        <v>0</v>
      </c>
      <c r="K80" s="58">
        <f t="shared" si="70"/>
        <v>0</v>
      </c>
      <c r="L80" s="58">
        <f t="shared" si="70"/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0" customHeight="1">
      <c r="A81" s="70"/>
      <c r="B81" s="64" t="s">
        <v>16</v>
      </c>
      <c r="C81" s="65">
        <v>-8.0</v>
      </c>
      <c r="D81" s="66">
        <f t="shared" si="3"/>
        <v>-4600</v>
      </c>
      <c r="E81" s="56" t="s">
        <v>245</v>
      </c>
      <c r="F81" s="58">
        <f t="shared" ref="F81:L81" si="71">SUMIFS($C81,$B81,F$7)+F80</f>
        <v>47</v>
      </c>
      <c r="G81" s="58">
        <f t="shared" si="71"/>
        <v>24</v>
      </c>
      <c r="H81" s="58">
        <f t="shared" si="71"/>
        <v>12</v>
      </c>
      <c r="I81" s="58">
        <f t="shared" si="71"/>
        <v>51</v>
      </c>
      <c r="J81" s="58">
        <f t="shared" si="71"/>
        <v>0</v>
      </c>
      <c r="K81" s="58">
        <f t="shared" si="71"/>
        <v>0</v>
      </c>
      <c r="L81" s="58">
        <f t="shared" si="71"/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0" customHeight="1">
      <c r="A82" s="70"/>
      <c r="B82" s="64" t="s">
        <v>17</v>
      </c>
      <c r="C82" s="65">
        <v>8.0</v>
      </c>
      <c r="D82" s="66">
        <f t="shared" si="3"/>
        <v>4600</v>
      </c>
      <c r="E82" s="67"/>
      <c r="F82" s="58">
        <f t="shared" ref="F82:L82" si="72">SUMIFS($C82,$B82,F$7)+F81</f>
        <v>47</v>
      </c>
      <c r="G82" s="58">
        <f t="shared" si="72"/>
        <v>24</v>
      </c>
      <c r="H82" s="58">
        <f t="shared" si="72"/>
        <v>12</v>
      </c>
      <c r="I82" s="58">
        <f t="shared" si="72"/>
        <v>59</v>
      </c>
      <c r="J82" s="58">
        <f t="shared" si="72"/>
        <v>0</v>
      </c>
      <c r="K82" s="58">
        <f t="shared" si="72"/>
        <v>0</v>
      </c>
      <c r="L82" s="58">
        <f t="shared" si="72"/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0" customHeight="1">
      <c r="A83" s="70"/>
      <c r="B83" s="71"/>
      <c r="C83" s="66"/>
      <c r="D83" s="66">
        <f t="shared" si="3"/>
        <v>0</v>
      </c>
      <c r="E83" s="67"/>
      <c r="F83" s="58">
        <f t="shared" ref="F83:L83" si="73">SUMIFS($C83,$B83,F$7)+F82</f>
        <v>47</v>
      </c>
      <c r="G83" s="58">
        <f t="shared" si="73"/>
        <v>24</v>
      </c>
      <c r="H83" s="58">
        <f t="shared" si="73"/>
        <v>12</v>
      </c>
      <c r="I83" s="58">
        <f t="shared" si="73"/>
        <v>59</v>
      </c>
      <c r="J83" s="58">
        <f t="shared" si="73"/>
        <v>0</v>
      </c>
      <c r="K83" s="58">
        <f t="shared" si="73"/>
        <v>0</v>
      </c>
      <c r="L83" s="58">
        <f t="shared" si="73"/>
        <v>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0" customHeight="1">
      <c r="A84" s="68">
        <v>46209.0</v>
      </c>
      <c r="B84" s="64" t="s">
        <v>9</v>
      </c>
      <c r="C84" s="65">
        <v>14.0</v>
      </c>
      <c r="D84" s="66">
        <f t="shared" si="3"/>
        <v>8050</v>
      </c>
      <c r="E84" s="56" t="s">
        <v>260</v>
      </c>
      <c r="F84" s="58">
        <f t="shared" ref="F84:L84" si="74">SUMIFS($C84,$B84,F$7)+F83</f>
        <v>61</v>
      </c>
      <c r="G84" s="58">
        <f t="shared" si="74"/>
        <v>24</v>
      </c>
      <c r="H84" s="58">
        <f t="shared" si="74"/>
        <v>12</v>
      </c>
      <c r="I84" s="58">
        <f t="shared" si="74"/>
        <v>59</v>
      </c>
      <c r="J84" s="58">
        <f t="shared" si="74"/>
        <v>0</v>
      </c>
      <c r="K84" s="58">
        <f t="shared" si="74"/>
        <v>0</v>
      </c>
      <c r="L84" s="58">
        <f t="shared" si="74"/>
        <v>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0" customHeight="1">
      <c r="A85" s="70"/>
      <c r="B85" s="71"/>
      <c r="C85" s="66"/>
      <c r="D85" s="66">
        <f t="shared" si="3"/>
        <v>0</v>
      </c>
      <c r="E85" s="67"/>
      <c r="F85" s="58">
        <f t="shared" ref="F85:L85" si="75">SUMIFS($C85,$B85,F$7)+F84</f>
        <v>61</v>
      </c>
      <c r="G85" s="58">
        <f t="shared" si="75"/>
        <v>24</v>
      </c>
      <c r="H85" s="58">
        <f t="shared" si="75"/>
        <v>12</v>
      </c>
      <c r="I85" s="58">
        <f t="shared" si="75"/>
        <v>59</v>
      </c>
      <c r="J85" s="58">
        <f t="shared" si="75"/>
        <v>0</v>
      </c>
      <c r="K85" s="58">
        <f t="shared" si="75"/>
        <v>0</v>
      </c>
      <c r="L85" s="58">
        <f t="shared" si="75"/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0" customHeight="1">
      <c r="A86" s="68">
        <v>46210.0</v>
      </c>
      <c r="B86" s="64" t="s">
        <v>9</v>
      </c>
      <c r="C86" s="65">
        <v>11.0</v>
      </c>
      <c r="D86" s="66">
        <f t="shared" si="3"/>
        <v>6325</v>
      </c>
      <c r="E86" s="56" t="s">
        <v>269</v>
      </c>
      <c r="F86" s="58">
        <f t="shared" ref="F86:L86" si="76">SUMIFS($C86,$B86,F$7)+F85</f>
        <v>72</v>
      </c>
      <c r="G86" s="58">
        <f t="shared" si="76"/>
        <v>24</v>
      </c>
      <c r="H86" s="58">
        <f t="shared" si="76"/>
        <v>12</v>
      </c>
      <c r="I86" s="58">
        <f t="shared" si="76"/>
        <v>59</v>
      </c>
      <c r="J86" s="58">
        <f t="shared" si="76"/>
        <v>0</v>
      </c>
      <c r="K86" s="58">
        <f t="shared" si="76"/>
        <v>0</v>
      </c>
      <c r="L86" s="58">
        <f t="shared" si="76"/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0" customHeight="1">
      <c r="A87" s="70"/>
      <c r="B87" s="64" t="s">
        <v>13</v>
      </c>
      <c r="C87" s="65">
        <v>3.0</v>
      </c>
      <c r="D87" s="66">
        <f t="shared" si="3"/>
        <v>1725</v>
      </c>
      <c r="E87" s="75">
        <v>1.24126139E8</v>
      </c>
      <c r="F87" s="58">
        <f t="shared" ref="F87:L87" si="77">SUMIFS($C87,$B87,F$7)+F86</f>
        <v>72</v>
      </c>
      <c r="G87" s="58">
        <f t="shared" si="77"/>
        <v>27</v>
      </c>
      <c r="H87" s="58">
        <f t="shared" si="77"/>
        <v>12</v>
      </c>
      <c r="I87" s="58">
        <f t="shared" si="77"/>
        <v>59</v>
      </c>
      <c r="J87" s="58">
        <f t="shared" si="77"/>
        <v>0</v>
      </c>
      <c r="K87" s="58">
        <f t="shared" si="77"/>
        <v>0</v>
      </c>
      <c r="L87" s="58">
        <f t="shared" si="77"/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0" customHeight="1">
      <c r="A88" s="70"/>
      <c r="B88" s="64" t="s">
        <v>9</v>
      </c>
      <c r="C88" s="65">
        <v>-3.0</v>
      </c>
      <c r="D88" s="66">
        <f t="shared" si="3"/>
        <v>-1725</v>
      </c>
      <c r="E88" s="67"/>
      <c r="F88" s="58">
        <f t="shared" ref="F88:L88" si="78">SUMIFS($C88,$B88,F$7)+F87</f>
        <v>69</v>
      </c>
      <c r="G88" s="58">
        <f t="shared" si="78"/>
        <v>27</v>
      </c>
      <c r="H88" s="58">
        <f t="shared" si="78"/>
        <v>12</v>
      </c>
      <c r="I88" s="58">
        <f t="shared" si="78"/>
        <v>59</v>
      </c>
      <c r="J88" s="58">
        <f t="shared" si="78"/>
        <v>0</v>
      </c>
      <c r="K88" s="58">
        <f t="shared" si="78"/>
        <v>0</v>
      </c>
      <c r="L88" s="58">
        <f t="shared" si="78"/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0" customHeight="1">
      <c r="A89" s="70"/>
      <c r="B89" s="64" t="s">
        <v>9</v>
      </c>
      <c r="C89" s="65">
        <v>-12.0</v>
      </c>
      <c r="D89" s="66">
        <f t="shared" si="3"/>
        <v>-6900</v>
      </c>
      <c r="E89" s="56" t="s">
        <v>245</v>
      </c>
      <c r="F89" s="58">
        <f t="shared" ref="F89:L89" si="79">SUMIFS($C89,$B89,F$7)+F88</f>
        <v>57</v>
      </c>
      <c r="G89" s="58">
        <f t="shared" si="79"/>
        <v>27</v>
      </c>
      <c r="H89" s="58">
        <f t="shared" si="79"/>
        <v>12</v>
      </c>
      <c r="I89" s="58">
        <f t="shared" si="79"/>
        <v>59</v>
      </c>
      <c r="J89" s="58">
        <f t="shared" si="79"/>
        <v>0</v>
      </c>
      <c r="K89" s="58">
        <f t="shared" si="79"/>
        <v>0</v>
      </c>
      <c r="L89" s="58">
        <f t="shared" si="79"/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0" customHeight="1">
      <c r="A90" s="70"/>
      <c r="B90" s="64" t="s">
        <v>17</v>
      </c>
      <c r="C90" s="65">
        <v>12.0</v>
      </c>
      <c r="D90" s="66">
        <f t="shared" si="3"/>
        <v>6900</v>
      </c>
      <c r="E90" s="67"/>
      <c r="F90" s="58">
        <f t="shared" ref="F90:L90" si="80">SUMIFS($C90,$B90,F$7)+F89</f>
        <v>57</v>
      </c>
      <c r="G90" s="58">
        <f t="shared" si="80"/>
        <v>27</v>
      </c>
      <c r="H90" s="58">
        <f t="shared" si="80"/>
        <v>12</v>
      </c>
      <c r="I90" s="58">
        <f t="shared" si="80"/>
        <v>71</v>
      </c>
      <c r="J90" s="58">
        <f t="shared" si="80"/>
        <v>0</v>
      </c>
      <c r="K90" s="58">
        <f t="shared" si="80"/>
        <v>0</v>
      </c>
      <c r="L90" s="58">
        <f t="shared" si="80"/>
        <v>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0" customHeight="1">
      <c r="A91" s="70"/>
      <c r="B91" s="64" t="s">
        <v>13</v>
      </c>
      <c r="C91" s="65">
        <v>-3.0</v>
      </c>
      <c r="D91" s="66">
        <f t="shared" si="3"/>
        <v>-1725</v>
      </c>
      <c r="E91" s="56" t="s">
        <v>245</v>
      </c>
      <c r="F91" s="58">
        <f t="shared" ref="F91:L91" si="81">SUMIFS($C91,$B91,F$7)+F90</f>
        <v>57</v>
      </c>
      <c r="G91" s="58">
        <f t="shared" si="81"/>
        <v>24</v>
      </c>
      <c r="H91" s="58">
        <f t="shared" si="81"/>
        <v>12</v>
      </c>
      <c r="I91" s="58">
        <f t="shared" si="81"/>
        <v>71</v>
      </c>
      <c r="J91" s="58">
        <f t="shared" si="81"/>
        <v>0</v>
      </c>
      <c r="K91" s="58">
        <f t="shared" si="81"/>
        <v>0</v>
      </c>
      <c r="L91" s="58">
        <f t="shared" si="81"/>
        <v>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0" customHeight="1">
      <c r="A92" s="70"/>
      <c r="B92" s="64" t="s">
        <v>17</v>
      </c>
      <c r="C92" s="65">
        <v>3.0</v>
      </c>
      <c r="D92" s="66">
        <f t="shared" si="3"/>
        <v>1725</v>
      </c>
      <c r="E92" s="67"/>
      <c r="F92" s="58">
        <f t="shared" ref="F92:L92" si="82">SUMIFS($C92,$B92,F$7)+F91</f>
        <v>57</v>
      </c>
      <c r="G92" s="58">
        <f t="shared" si="82"/>
        <v>24</v>
      </c>
      <c r="H92" s="58">
        <f t="shared" si="82"/>
        <v>12</v>
      </c>
      <c r="I92" s="58">
        <f t="shared" si="82"/>
        <v>74</v>
      </c>
      <c r="J92" s="58">
        <f t="shared" si="82"/>
        <v>0</v>
      </c>
      <c r="K92" s="58">
        <f t="shared" si="82"/>
        <v>0</v>
      </c>
      <c r="L92" s="58">
        <f t="shared" si="82"/>
        <v>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0" customHeight="1">
      <c r="A93" s="70"/>
      <c r="B93" s="71"/>
      <c r="C93" s="66"/>
      <c r="D93" s="66">
        <f t="shared" si="3"/>
        <v>0</v>
      </c>
      <c r="E93" s="67"/>
      <c r="F93" s="58">
        <f t="shared" ref="F93:L93" si="83">SUMIFS($C93,$B93,F$7)+F92</f>
        <v>57</v>
      </c>
      <c r="G93" s="58">
        <f t="shared" si="83"/>
        <v>24</v>
      </c>
      <c r="H93" s="58">
        <f t="shared" si="83"/>
        <v>12</v>
      </c>
      <c r="I93" s="58">
        <f t="shared" si="83"/>
        <v>74</v>
      </c>
      <c r="J93" s="58">
        <f t="shared" si="83"/>
        <v>0</v>
      </c>
      <c r="K93" s="58">
        <f t="shared" si="83"/>
        <v>0</v>
      </c>
      <c r="L93" s="58">
        <f t="shared" si="83"/>
        <v>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0" customHeight="1">
      <c r="A94" s="68">
        <v>46211.0</v>
      </c>
      <c r="B94" s="64" t="s">
        <v>9</v>
      </c>
      <c r="C94" s="65">
        <v>12.0</v>
      </c>
      <c r="D94" s="66">
        <f t="shared" si="3"/>
        <v>6900</v>
      </c>
      <c r="E94" s="56" t="s">
        <v>270</v>
      </c>
      <c r="F94" s="58">
        <f t="shared" ref="F94:L94" si="84">SUMIFS($C94,$B94,F$7)+F93</f>
        <v>69</v>
      </c>
      <c r="G94" s="58">
        <f t="shared" si="84"/>
        <v>24</v>
      </c>
      <c r="H94" s="58">
        <f t="shared" si="84"/>
        <v>12</v>
      </c>
      <c r="I94" s="58">
        <f t="shared" si="84"/>
        <v>74</v>
      </c>
      <c r="J94" s="58">
        <f t="shared" si="84"/>
        <v>0</v>
      </c>
      <c r="K94" s="58">
        <f t="shared" si="84"/>
        <v>0</v>
      </c>
      <c r="L94" s="58">
        <f t="shared" si="84"/>
        <v>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0" customHeight="1">
      <c r="A95" s="70"/>
      <c r="B95" s="64" t="s">
        <v>13</v>
      </c>
      <c r="C95" s="65">
        <v>4.0</v>
      </c>
      <c r="D95" s="66">
        <f t="shared" si="3"/>
        <v>2300</v>
      </c>
      <c r="E95" s="67"/>
      <c r="F95" s="58">
        <f t="shared" ref="F95:L95" si="85">SUMIFS($C95,$B95,F$7)+F94</f>
        <v>69</v>
      </c>
      <c r="G95" s="58">
        <f t="shared" si="85"/>
        <v>28</v>
      </c>
      <c r="H95" s="58">
        <f t="shared" si="85"/>
        <v>12</v>
      </c>
      <c r="I95" s="58">
        <f t="shared" si="85"/>
        <v>74</v>
      </c>
      <c r="J95" s="58">
        <f t="shared" si="85"/>
        <v>0</v>
      </c>
      <c r="K95" s="58">
        <f t="shared" si="85"/>
        <v>0</v>
      </c>
      <c r="L95" s="58">
        <f t="shared" si="85"/>
        <v>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0" customHeight="1">
      <c r="A96" s="70"/>
      <c r="B96" s="64" t="s">
        <v>9</v>
      </c>
      <c r="C96" s="65">
        <v>-4.0</v>
      </c>
      <c r="D96" s="66">
        <f t="shared" si="3"/>
        <v>-2300</v>
      </c>
      <c r="E96" s="67"/>
      <c r="F96" s="58">
        <f t="shared" ref="F96:L96" si="86">SUMIFS($C96,$B96,F$7)+F95</f>
        <v>65</v>
      </c>
      <c r="G96" s="58">
        <f t="shared" si="86"/>
        <v>28</v>
      </c>
      <c r="H96" s="58">
        <f t="shared" si="86"/>
        <v>12</v>
      </c>
      <c r="I96" s="58">
        <f t="shared" si="86"/>
        <v>74</v>
      </c>
      <c r="J96" s="58">
        <f t="shared" si="86"/>
        <v>0</v>
      </c>
      <c r="K96" s="58">
        <f t="shared" si="86"/>
        <v>0</v>
      </c>
      <c r="L96" s="58">
        <f t="shared" si="86"/>
        <v>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0" customHeight="1">
      <c r="A97" s="70"/>
      <c r="B97" s="64" t="s">
        <v>16</v>
      </c>
      <c r="C97" s="65">
        <v>3.0</v>
      </c>
      <c r="D97" s="66">
        <f t="shared" si="3"/>
        <v>1725</v>
      </c>
      <c r="E97" s="67"/>
      <c r="F97" s="58">
        <f t="shared" ref="F97:L97" si="87">SUMIFS($C97,$B97,F$7)+F96</f>
        <v>65</v>
      </c>
      <c r="G97" s="58">
        <f t="shared" si="87"/>
        <v>28</v>
      </c>
      <c r="H97" s="58">
        <f t="shared" si="87"/>
        <v>15</v>
      </c>
      <c r="I97" s="58">
        <f t="shared" si="87"/>
        <v>74</v>
      </c>
      <c r="J97" s="58">
        <f t="shared" si="87"/>
        <v>0</v>
      </c>
      <c r="K97" s="58">
        <f t="shared" si="87"/>
        <v>0</v>
      </c>
      <c r="L97" s="58">
        <f t="shared" si="87"/>
        <v>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0" customHeight="1">
      <c r="A98" s="70"/>
      <c r="B98" s="64" t="s">
        <v>9</v>
      </c>
      <c r="C98" s="65">
        <v>-3.0</v>
      </c>
      <c r="D98" s="66">
        <f t="shared" si="3"/>
        <v>-1725</v>
      </c>
      <c r="E98" s="67"/>
      <c r="F98" s="58">
        <f t="shared" ref="F98:L98" si="88">SUMIFS($C98,$B98,F$7)+F97</f>
        <v>62</v>
      </c>
      <c r="G98" s="58">
        <f t="shared" si="88"/>
        <v>28</v>
      </c>
      <c r="H98" s="58">
        <f t="shared" si="88"/>
        <v>15</v>
      </c>
      <c r="I98" s="58">
        <f t="shared" si="88"/>
        <v>74</v>
      </c>
      <c r="J98" s="58">
        <f t="shared" si="88"/>
        <v>0</v>
      </c>
      <c r="K98" s="58">
        <f t="shared" si="88"/>
        <v>0</v>
      </c>
      <c r="L98" s="58">
        <f t="shared" si="88"/>
        <v>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0" customHeight="1">
      <c r="A99" s="70"/>
      <c r="B99" s="71"/>
      <c r="C99" s="66"/>
      <c r="D99" s="66">
        <f t="shared" si="3"/>
        <v>0</v>
      </c>
      <c r="E99" s="67"/>
      <c r="F99" s="58">
        <f t="shared" ref="F99:L99" si="89">SUMIFS($C99,$B99,F$7)+F98</f>
        <v>62</v>
      </c>
      <c r="G99" s="58">
        <f t="shared" si="89"/>
        <v>28</v>
      </c>
      <c r="H99" s="58">
        <f t="shared" si="89"/>
        <v>15</v>
      </c>
      <c r="I99" s="58">
        <f t="shared" si="89"/>
        <v>74</v>
      </c>
      <c r="J99" s="58">
        <f t="shared" si="89"/>
        <v>0</v>
      </c>
      <c r="K99" s="58">
        <f t="shared" si="89"/>
        <v>0</v>
      </c>
      <c r="L99" s="58">
        <f t="shared" si="89"/>
        <v>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0" customHeight="1">
      <c r="A100" s="68">
        <v>46212.0</v>
      </c>
      <c r="B100" s="64" t="s">
        <v>9</v>
      </c>
      <c r="C100" s="65">
        <v>12.0</v>
      </c>
      <c r="D100" s="66">
        <f t="shared" si="3"/>
        <v>6900</v>
      </c>
      <c r="E100" s="56" t="s">
        <v>270</v>
      </c>
      <c r="F100" s="58">
        <f t="shared" ref="F100:L100" si="90">SUMIFS($C100,$B100,F$7)+F99</f>
        <v>74</v>
      </c>
      <c r="G100" s="58">
        <f t="shared" si="90"/>
        <v>28</v>
      </c>
      <c r="H100" s="58">
        <f t="shared" si="90"/>
        <v>15</v>
      </c>
      <c r="I100" s="58">
        <f t="shared" si="90"/>
        <v>74</v>
      </c>
      <c r="J100" s="58">
        <f t="shared" si="90"/>
        <v>0</v>
      </c>
      <c r="K100" s="58">
        <f t="shared" si="90"/>
        <v>0</v>
      </c>
      <c r="L100" s="58">
        <f t="shared" si="90"/>
        <v>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0" customHeight="1">
      <c r="A101" s="70"/>
      <c r="B101" s="64" t="s">
        <v>13</v>
      </c>
      <c r="C101" s="65">
        <v>3.0</v>
      </c>
      <c r="D101" s="66">
        <f t="shared" si="3"/>
        <v>1725</v>
      </c>
      <c r="E101" s="56" t="s">
        <v>271</v>
      </c>
      <c r="F101" s="58">
        <f t="shared" ref="F101:L101" si="91">SUMIFS($C101,$B101,F$7)+F100</f>
        <v>74</v>
      </c>
      <c r="G101" s="58">
        <f t="shared" si="91"/>
        <v>31</v>
      </c>
      <c r="H101" s="58">
        <f t="shared" si="91"/>
        <v>15</v>
      </c>
      <c r="I101" s="58">
        <f t="shared" si="91"/>
        <v>74</v>
      </c>
      <c r="J101" s="58">
        <f t="shared" si="91"/>
        <v>0</v>
      </c>
      <c r="K101" s="58">
        <f t="shared" si="91"/>
        <v>0</v>
      </c>
      <c r="L101" s="58">
        <f t="shared" si="91"/>
        <v>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0" customHeight="1">
      <c r="A102" s="70"/>
      <c r="B102" s="64" t="s">
        <v>9</v>
      </c>
      <c r="C102" s="65">
        <v>-3.0</v>
      </c>
      <c r="D102" s="66">
        <f t="shared" si="3"/>
        <v>-1725</v>
      </c>
      <c r="E102" s="67"/>
      <c r="F102" s="58">
        <f t="shared" ref="F102:L102" si="92">SUMIFS($C102,$B102,F$7)+F101</f>
        <v>71</v>
      </c>
      <c r="G102" s="58">
        <f t="shared" si="92"/>
        <v>31</v>
      </c>
      <c r="H102" s="58">
        <f t="shared" si="92"/>
        <v>15</v>
      </c>
      <c r="I102" s="58">
        <f t="shared" si="92"/>
        <v>74</v>
      </c>
      <c r="J102" s="58">
        <f t="shared" si="92"/>
        <v>0</v>
      </c>
      <c r="K102" s="58">
        <f t="shared" si="92"/>
        <v>0</v>
      </c>
      <c r="L102" s="58">
        <f t="shared" si="92"/>
        <v>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0" customHeight="1">
      <c r="A103" s="70"/>
      <c r="B103" s="71"/>
      <c r="C103" s="66"/>
      <c r="D103" s="66">
        <f t="shared" si="3"/>
        <v>0</v>
      </c>
      <c r="E103" s="67"/>
      <c r="F103" s="58">
        <f t="shared" ref="F103:L103" si="93">SUMIFS($C103,$B103,F$7)+F102</f>
        <v>71</v>
      </c>
      <c r="G103" s="58">
        <f t="shared" si="93"/>
        <v>31</v>
      </c>
      <c r="H103" s="58">
        <f t="shared" si="93"/>
        <v>15</v>
      </c>
      <c r="I103" s="58">
        <f t="shared" si="93"/>
        <v>74</v>
      </c>
      <c r="J103" s="58">
        <f t="shared" si="93"/>
        <v>0</v>
      </c>
      <c r="K103" s="58">
        <f t="shared" si="93"/>
        <v>0</v>
      </c>
      <c r="L103" s="58">
        <f t="shared" si="93"/>
        <v>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0" customHeight="1">
      <c r="A104" s="68">
        <v>46213.0</v>
      </c>
      <c r="B104" s="64" t="s">
        <v>9</v>
      </c>
      <c r="C104" s="65">
        <v>15.0</v>
      </c>
      <c r="D104" s="66">
        <f t="shared" si="3"/>
        <v>8625</v>
      </c>
      <c r="E104" s="56" t="s">
        <v>239</v>
      </c>
      <c r="F104" s="58">
        <f t="shared" ref="F104:L104" si="94">SUMIFS($C104,$B104,F$7)+F103</f>
        <v>86</v>
      </c>
      <c r="G104" s="58">
        <f t="shared" si="94"/>
        <v>31</v>
      </c>
      <c r="H104" s="58">
        <f t="shared" si="94"/>
        <v>15</v>
      </c>
      <c r="I104" s="58">
        <f t="shared" si="94"/>
        <v>74</v>
      </c>
      <c r="J104" s="58">
        <f t="shared" si="94"/>
        <v>0</v>
      </c>
      <c r="K104" s="58">
        <f t="shared" si="94"/>
        <v>0</v>
      </c>
      <c r="L104" s="58">
        <f t="shared" si="94"/>
        <v>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0" customHeight="1">
      <c r="A105" s="70"/>
      <c r="B105" s="71"/>
      <c r="C105" s="66"/>
      <c r="D105" s="66">
        <f t="shared" si="3"/>
        <v>0</v>
      </c>
      <c r="E105" s="67"/>
      <c r="F105" s="58">
        <f t="shared" ref="F105:L105" si="95">SUMIFS($C105,$B105,F$7)+F104</f>
        <v>86</v>
      </c>
      <c r="G105" s="58">
        <f t="shared" si="95"/>
        <v>31</v>
      </c>
      <c r="H105" s="58">
        <f t="shared" si="95"/>
        <v>15</v>
      </c>
      <c r="I105" s="58">
        <f t="shared" si="95"/>
        <v>74</v>
      </c>
      <c r="J105" s="58">
        <f t="shared" si="95"/>
        <v>0</v>
      </c>
      <c r="K105" s="58">
        <f t="shared" si="95"/>
        <v>0</v>
      </c>
      <c r="L105" s="58">
        <f t="shared" si="95"/>
        <v>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0" customHeight="1">
      <c r="A106" s="68">
        <v>46214.0</v>
      </c>
      <c r="B106" s="64" t="s">
        <v>9</v>
      </c>
      <c r="C106" s="65">
        <v>13.0</v>
      </c>
      <c r="D106" s="66">
        <f t="shared" si="3"/>
        <v>7475</v>
      </c>
      <c r="E106" s="56" t="s">
        <v>251</v>
      </c>
      <c r="F106" s="58">
        <f t="shared" ref="F106:L106" si="96">SUMIFS($C106,$B106,F$7)+F105</f>
        <v>99</v>
      </c>
      <c r="G106" s="58">
        <f t="shared" si="96"/>
        <v>31</v>
      </c>
      <c r="H106" s="58">
        <f t="shared" si="96"/>
        <v>15</v>
      </c>
      <c r="I106" s="58">
        <f t="shared" si="96"/>
        <v>74</v>
      </c>
      <c r="J106" s="58">
        <f t="shared" si="96"/>
        <v>0</v>
      </c>
      <c r="K106" s="58">
        <f t="shared" si="96"/>
        <v>0</v>
      </c>
      <c r="L106" s="58">
        <f t="shared" si="96"/>
        <v>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0" customHeight="1">
      <c r="A107" s="70"/>
      <c r="B107" s="64" t="s">
        <v>13</v>
      </c>
      <c r="C107" s="65">
        <v>6.0</v>
      </c>
      <c r="D107" s="66">
        <f t="shared" si="3"/>
        <v>3450</v>
      </c>
      <c r="E107" s="56" t="s">
        <v>272</v>
      </c>
      <c r="F107" s="58">
        <f t="shared" ref="F107:L107" si="97">SUMIFS($C107,$B107,F$7)+F106</f>
        <v>99</v>
      </c>
      <c r="G107" s="58">
        <f t="shared" si="97"/>
        <v>37</v>
      </c>
      <c r="H107" s="58">
        <f t="shared" si="97"/>
        <v>15</v>
      </c>
      <c r="I107" s="58">
        <f t="shared" si="97"/>
        <v>74</v>
      </c>
      <c r="J107" s="58">
        <f t="shared" si="97"/>
        <v>0</v>
      </c>
      <c r="K107" s="58">
        <f t="shared" si="97"/>
        <v>0</v>
      </c>
      <c r="L107" s="58">
        <f t="shared" si="97"/>
        <v>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0" customHeight="1">
      <c r="A108" s="70"/>
      <c r="B108" s="64" t="s">
        <v>9</v>
      </c>
      <c r="C108" s="65">
        <v>-6.0</v>
      </c>
      <c r="D108" s="66">
        <f t="shared" si="3"/>
        <v>-3450</v>
      </c>
      <c r="E108" s="67"/>
      <c r="F108" s="58">
        <f t="shared" ref="F108:L108" si="98">SUMIFS($C108,$B108,F$7)+F107</f>
        <v>93</v>
      </c>
      <c r="G108" s="58">
        <f t="shared" si="98"/>
        <v>37</v>
      </c>
      <c r="H108" s="58">
        <f t="shared" si="98"/>
        <v>15</v>
      </c>
      <c r="I108" s="58">
        <f t="shared" si="98"/>
        <v>74</v>
      </c>
      <c r="J108" s="58">
        <f t="shared" si="98"/>
        <v>0</v>
      </c>
      <c r="K108" s="58">
        <f t="shared" si="98"/>
        <v>0</v>
      </c>
      <c r="L108" s="58">
        <f t="shared" si="98"/>
        <v>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0" customHeight="1">
      <c r="A109" s="70"/>
      <c r="B109" s="64" t="s">
        <v>9</v>
      </c>
      <c r="C109" s="65">
        <v>-1.0</v>
      </c>
      <c r="D109" s="66">
        <f t="shared" si="3"/>
        <v>-575</v>
      </c>
      <c r="E109" s="63" t="s">
        <v>273</v>
      </c>
      <c r="F109" s="58">
        <f t="shared" ref="F109:L109" si="99">SUMIFS($C109,$B109,F$7)+F108</f>
        <v>92</v>
      </c>
      <c r="G109" s="58">
        <f t="shared" si="99"/>
        <v>37</v>
      </c>
      <c r="H109" s="58">
        <f t="shared" si="99"/>
        <v>15</v>
      </c>
      <c r="I109" s="58">
        <f t="shared" si="99"/>
        <v>74</v>
      </c>
      <c r="J109" s="58">
        <f t="shared" si="99"/>
        <v>0</v>
      </c>
      <c r="K109" s="58">
        <f t="shared" si="99"/>
        <v>0</v>
      </c>
      <c r="L109" s="58">
        <f t="shared" si="99"/>
        <v>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0" customHeight="1">
      <c r="A110" s="70"/>
      <c r="B110" s="64" t="s">
        <v>13</v>
      </c>
      <c r="C110" s="65">
        <v>-13.0</v>
      </c>
      <c r="D110" s="66">
        <f t="shared" si="3"/>
        <v>-7475</v>
      </c>
      <c r="E110" s="56" t="s">
        <v>134</v>
      </c>
      <c r="F110" s="58">
        <f t="shared" ref="F110:L110" si="100">SUMIFS($C110,$B110,F$7)+F109</f>
        <v>92</v>
      </c>
      <c r="G110" s="58">
        <f t="shared" si="100"/>
        <v>24</v>
      </c>
      <c r="H110" s="58">
        <f t="shared" si="100"/>
        <v>15</v>
      </c>
      <c r="I110" s="58">
        <f t="shared" si="100"/>
        <v>74</v>
      </c>
      <c r="J110" s="58">
        <f t="shared" si="100"/>
        <v>0</v>
      </c>
      <c r="K110" s="58">
        <f t="shared" si="100"/>
        <v>0</v>
      </c>
      <c r="L110" s="58">
        <f t="shared" si="100"/>
        <v>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0" customHeight="1">
      <c r="A111" s="70"/>
      <c r="B111" s="64" t="s">
        <v>17</v>
      </c>
      <c r="C111" s="65">
        <v>13.0</v>
      </c>
      <c r="D111" s="66">
        <f t="shared" si="3"/>
        <v>7475</v>
      </c>
      <c r="E111" s="67"/>
      <c r="F111" s="58">
        <f t="shared" ref="F111:L111" si="101">SUMIFS($C111,$B111,F$7)+F110</f>
        <v>92</v>
      </c>
      <c r="G111" s="58">
        <f t="shared" si="101"/>
        <v>24</v>
      </c>
      <c r="H111" s="58">
        <f t="shared" si="101"/>
        <v>15</v>
      </c>
      <c r="I111" s="58">
        <f t="shared" si="101"/>
        <v>87</v>
      </c>
      <c r="J111" s="58">
        <f t="shared" si="101"/>
        <v>0</v>
      </c>
      <c r="K111" s="58">
        <f t="shared" si="101"/>
        <v>0</v>
      </c>
      <c r="L111" s="58">
        <f t="shared" si="101"/>
        <v>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0" customHeight="1">
      <c r="A112" s="70"/>
      <c r="B112" s="64" t="s">
        <v>16</v>
      </c>
      <c r="C112" s="65">
        <v>-3.0</v>
      </c>
      <c r="D112" s="66">
        <f t="shared" si="3"/>
        <v>-1725</v>
      </c>
      <c r="E112" s="56" t="s">
        <v>274</v>
      </c>
      <c r="F112" s="58">
        <f t="shared" ref="F112:L112" si="102">SUMIFS($C112,$B112,F$7)+F111</f>
        <v>92</v>
      </c>
      <c r="G112" s="58">
        <f t="shared" si="102"/>
        <v>24</v>
      </c>
      <c r="H112" s="58">
        <f t="shared" si="102"/>
        <v>12</v>
      </c>
      <c r="I112" s="58">
        <f t="shared" si="102"/>
        <v>87</v>
      </c>
      <c r="J112" s="58">
        <f t="shared" si="102"/>
        <v>0</v>
      </c>
      <c r="K112" s="58">
        <f t="shared" si="102"/>
        <v>0</v>
      </c>
      <c r="L112" s="58">
        <f t="shared" si="102"/>
        <v>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0" customHeight="1">
      <c r="A113" s="70"/>
      <c r="B113" s="64" t="s">
        <v>17</v>
      </c>
      <c r="C113" s="65">
        <v>3.0</v>
      </c>
      <c r="D113" s="66">
        <f t="shared" si="3"/>
        <v>1725</v>
      </c>
      <c r="E113" s="67"/>
      <c r="F113" s="58">
        <f t="shared" ref="F113:L113" si="103">SUMIFS($C113,$B113,F$7)+F112</f>
        <v>92</v>
      </c>
      <c r="G113" s="58">
        <f t="shared" si="103"/>
        <v>24</v>
      </c>
      <c r="H113" s="58">
        <f t="shared" si="103"/>
        <v>12</v>
      </c>
      <c r="I113" s="58">
        <f t="shared" si="103"/>
        <v>90</v>
      </c>
      <c r="J113" s="58">
        <f t="shared" si="103"/>
        <v>0</v>
      </c>
      <c r="K113" s="58">
        <f t="shared" si="103"/>
        <v>0</v>
      </c>
      <c r="L113" s="58">
        <f t="shared" si="103"/>
        <v>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0" customHeight="1">
      <c r="A114" s="70"/>
      <c r="B114" s="64" t="s">
        <v>9</v>
      </c>
      <c r="C114" s="65">
        <v>-48.0</v>
      </c>
      <c r="D114" s="66">
        <f t="shared" si="3"/>
        <v>-27600</v>
      </c>
      <c r="E114" s="56" t="s">
        <v>134</v>
      </c>
      <c r="F114" s="58">
        <f t="shared" ref="F114:L114" si="104">SUMIFS($C114,$B114,F$7)+F113</f>
        <v>44</v>
      </c>
      <c r="G114" s="58">
        <f t="shared" si="104"/>
        <v>24</v>
      </c>
      <c r="H114" s="58">
        <f t="shared" si="104"/>
        <v>12</v>
      </c>
      <c r="I114" s="58">
        <f t="shared" si="104"/>
        <v>90</v>
      </c>
      <c r="J114" s="58">
        <f t="shared" si="104"/>
        <v>0</v>
      </c>
      <c r="K114" s="58">
        <f t="shared" si="104"/>
        <v>0</v>
      </c>
      <c r="L114" s="58">
        <f t="shared" si="104"/>
        <v>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0" customHeight="1">
      <c r="A115" s="70"/>
      <c r="B115" s="64" t="s">
        <v>17</v>
      </c>
      <c r="C115" s="65">
        <v>48.0</v>
      </c>
      <c r="D115" s="66">
        <f t="shared" si="3"/>
        <v>27600</v>
      </c>
      <c r="E115" s="67"/>
      <c r="F115" s="58">
        <f t="shared" ref="F115:L115" si="105">SUMIFS($C115,$B115,F$7)+F114</f>
        <v>44</v>
      </c>
      <c r="G115" s="58">
        <f t="shared" si="105"/>
        <v>24</v>
      </c>
      <c r="H115" s="58">
        <f t="shared" si="105"/>
        <v>12</v>
      </c>
      <c r="I115" s="58">
        <f t="shared" si="105"/>
        <v>138</v>
      </c>
      <c r="J115" s="58">
        <f t="shared" si="105"/>
        <v>0</v>
      </c>
      <c r="K115" s="58">
        <f t="shared" si="105"/>
        <v>0</v>
      </c>
      <c r="L115" s="58">
        <f t="shared" si="105"/>
        <v>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0" customHeight="1">
      <c r="A116" s="70"/>
      <c r="B116" s="71"/>
      <c r="C116" s="66"/>
      <c r="D116" s="66">
        <f t="shared" si="3"/>
        <v>0</v>
      </c>
      <c r="E116" s="67"/>
      <c r="F116" s="58">
        <f t="shared" ref="F116:L116" si="106">SUMIFS($C116,$B116,F$7)+F115</f>
        <v>44</v>
      </c>
      <c r="G116" s="58">
        <f t="shared" si="106"/>
        <v>24</v>
      </c>
      <c r="H116" s="58">
        <f t="shared" si="106"/>
        <v>12</v>
      </c>
      <c r="I116" s="58">
        <f t="shared" si="106"/>
        <v>138</v>
      </c>
      <c r="J116" s="58">
        <f t="shared" si="106"/>
        <v>0</v>
      </c>
      <c r="K116" s="58">
        <f t="shared" si="106"/>
        <v>0</v>
      </c>
      <c r="L116" s="58">
        <f t="shared" si="106"/>
        <v>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0" customHeight="1">
      <c r="A117" s="68">
        <v>46216.0</v>
      </c>
      <c r="B117" s="64" t="s">
        <v>13</v>
      </c>
      <c r="C117" s="65">
        <v>6.0</v>
      </c>
      <c r="D117" s="66">
        <f t="shared" si="3"/>
        <v>3450</v>
      </c>
      <c r="E117" s="67"/>
      <c r="F117" s="58">
        <f t="shared" ref="F117:L117" si="107">SUMIFS($C117,$B117,F$7)+F116</f>
        <v>44</v>
      </c>
      <c r="G117" s="58">
        <f t="shared" si="107"/>
        <v>30</v>
      </c>
      <c r="H117" s="58">
        <f t="shared" si="107"/>
        <v>12</v>
      </c>
      <c r="I117" s="58">
        <f t="shared" si="107"/>
        <v>138</v>
      </c>
      <c r="J117" s="58">
        <f t="shared" si="107"/>
        <v>0</v>
      </c>
      <c r="K117" s="58">
        <f t="shared" si="107"/>
        <v>0</v>
      </c>
      <c r="L117" s="58">
        <f t="shared" si="107"/>
        <v>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0" customHeight="1">
      <c r="A118" s="70"/>
      <c r="B118" s="64" t="s">
        <v>9</v>
      </c>
      <c r="C118" s="65">
        <v>-6.0</v>
      </c>
      <c r="D118" s="66">
        <f t="shared" si="3"/>
        <v>-3450</v>
      </c>
      <c r="E118" s="67"/>
      <c r="F118" s="58">
        <f t="shared" ref="F118:L118" si="108">SUMIFS($C118,$B118,F$7)+F117</f>
        <v>38</v>
      </c>
      <c r="G118" s="58">
        <f t="shared" si="108"/>
        <v>30</v>
      </c>
      <c r="H118" s="58">
        <f t="shared" si="108"/>
        <v>12</v>
      </c>
      <c r="I118" s="58">
        <f t="shared" si="108"/>
        <v>138</v>
      </c>
      <c r="J118" s="58">
        <f t="shared" si="108"/>
        <v>0</v>
      </c>
      <c r="K118" s="58">
        <f t="shared" si="108"/>
        <v>0</v>
      </c>
      <c r="L118" s="58">
        <f t="shared" si="108"/>
        <v>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0" customHeight="1">
      <c r="A119" s="70"/>
      <c r="B119" s="64" t="s">
        <v>16</v>
      </c>
      <c r="C119" s="65">
        <v>1.0</v>
      </c>
      <c r="D119" s="66">
        <f t="shared" si="3"/>
        <v>575</v>
      </c>
      <c r="E119" s="67"/>
      <c r="F119" s="58">
        <f t="shared" ref="F119:L119" si="109">SUMIFS($C119,$B119,F$7)+F118</f>
        <v>38</v>
      </c>
      <c r="G119" s="58">
        <f t="shared" si="109"/>
        <v>30</v>
      </c>
      <c r="H119" s="58">
        <f t="shared" si="109"/>
        <v>13</v>
      </c>
      <c r="I119" s="58">
        <f t="shared" si="109"/>
        <v>138</v>
      </c>
      <c r="J119" s="58">
        <f t="shared" si="109"/>
        <v>0</v>
      </c>
      <c r="K119" s="58">
        <f t="shared" si="109"/>
        <v>0</v>
      </c>
      <c r="L119" s="58">
        <f t="shared" si="109"/>
        <v>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0" customHeight="1">
      <c r="A120" s="70"/>
      <c r="B120" s="64" t="s">
        <v>9</v>
      </c>
      <c r="C120" s="65">
        <v>-1.0</v>
      </c>
      <c r="D120" s="66">
        <f t="shared" si="3"/>
        <v>-575</v>
      </c>
      <c r="E120" s="67"/>
      <c r="F120" s="58">
        <f t="shared" ref="F120:L120" si="110">SUMIFS($C120,$B120,F$7)+F119</f>
        <v>37</v>
      </c>
      <c r="G120" s="58">
        <f t="shared" si="110"/>
        <v>30</v>
      </c>
      <c r="H120" s="58">
        <f t="shared" si="110"/>
        <v>13</v>
      </c>
      <c r="I120" s="58">
        <f t="shared" si="110"/>
        <v>138</v>
      </c>
      <c r="J120" s="58">
        <f t="shared" si="110"/>
        <v>0</v>
      </c>
      <c r="K120" s="58">
        <f t="shared" si="110"/>
        <v>0</v>
      </c>
      <c r="L120" s="58">
        <f t="shared" si="110"/>
        <v>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0" customHeight="1">
      <c r="A121" s="70"/>
      <c r="B121" s="71"/>
      <c r="C121" s="66"/>
      <c r="D121" s="66">
        <f t="shared" si="3"/>
        <v>0</v>
      </c>
      <c r="E121" s="67"/>
      <c r="F121" s="58">
        <f t="shared" ref="F121:L121" si="111">SUMIFS($C121,$B121,F$7)+F120</f>
        <v>37</v>
      </c>
      <c r="G121" s="58">
        <f t="shared" si="111"/>
        <v>30</v>
      </c>
      <c r="H121" s="58">
        <f t="shared" si="111"/>
        <v>13</v>
      </c>
      <c r="I121" s="58">
        <f t="shared" si="111"/>
        <v>138</v>
      </c>
      <c r="J121" s="58">
        <f t="shared" si="111"/>
        <v>0</v>
      </c>
      <c r="K121" s="58">
        <f t="shared" si="111"/>
        <v>0</v>
      </c>
      <c r="L121" s="58">
        <f t="shared" si="111"/>
        <v>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0" customHeight="1">
      <c r="A122" s="68">
        <v>46217.0</v>
      </c>
      <c r="B122" s="64" t="s">
        <v>13</v>
      </c>
      <c r="C122" s="65">
        <v>6.0</v>
      </c>
      <c r="D122" s="66">
        <f t="shared" si="3"/>
        <v>3450</v>
      </c>
      <c r="E122" s="67"/>
      <c r="F122" s="58">
        <f t="shared" ref="F122:L122" si="112">SUMIFS($C122,$B122,F$7)+F121</f>
        <v>37</v>
      </c>
      <c r="G122" s="58">
        <f t="shared" si="112"/>
        <v>36</v>
      </c>
      <c r="H122" s="58">
        <f t="shared" si="112"/>
        <v>13</v>
      </c>
      <c r="I122" s="58">
        <f t="shared" si="112"/>
        <v>138</v>
      </c>
      <c r="J122" s="58">
        <f t="shared" si="112"/>
        <v>0</v>
      </c>
      <c r="K122" s="58">
        <f t="shared" si="112"/>
        <v>0</v>
      </c>
      <c r="L122" s="58">
        <f t="shared" si="112"/>
        <v>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0" customHeight="1">
      <c r="A123" s="70"/>
      <c r="B123" s="64" t="s">
        <v>9</v>
      </c>
      <c r="C123" s="65">
        <v>-6.0</v>
      </c>
      <c r="D123" s="66">
        <f t="shared" si="3"/>
        <v>-3450</v>
      </c>
      <c r="E123" s="67"/>
      <c r="F123" s="58">
        <f t="shared" ref="F123:L123" si="113">SUMIFS($C123,$B123,F$7)+F122</f>
        <v>31</v>
      </c>
      <c r="G123" s="58">
        <f t="shared" si="113"/>
        <v>36</v>
      </c>
      <c r="H123" s="58">
        <f t="shared" si="113"/>
        <v>13</v>
      </c>
      <c r="I123" s="58">
        <f t="shared" si="113"/>
        <v>138</v>
      </c>
      <c r="J123" s="58">
        <f t="shared" si="113"/>
        <v>0</v>
      </c>
      <c r="K123" s="58">
        <f t="shared" si="113"/>
        <v>0</v>
      </c>
      <c r="L123" s="58">
        <f t="shared" si="113"/>
        <v>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0" customHeight="1">
      <c r="A124" s="70"/>
      <c r="B124" s="71"/>
      <c r="C124" s="66"/>
      <c r="D124" s="66">
        <f t="shared" si="3"/>
        <v>0</v>
      </c>
      <c r="E124" s="67"/>
      <c r="F124" s="58">
        <f t="shared" ref="F124:L124" si="114">SUMIFS($C124,$B124,F$7)+F123</f>
        <v>31</v>
      </c>
      <c r="G124" s="58">
        <f t="shared" si="114"/>
        <v>36</v>
      </c>
      <c r="H124" s="58">
        <f t="shared" si="114"/>
        <v>13</v>
      </c>
      <c r="I124" s="58">
        <f t="shared" si="114"/>
        <v>138</v>
      </c>
      <c r="J124" s="58">
        <f t="shared" si="114"/>
        <v>0</v>
      </c>
      <c r="K124" s="58">
        <f t="shared" si="114"/>
        <v>0</v>
      </c>
      <c r="L124" s="58">
        <f t="shared" si="114"/>
        <v>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0" customHeight="1">
      <c r="A125" s="68">
        <v>46218.0</v>
      </c>
      <c r="B125" s="64" t="s">
        <v>9</v>
      </c>
      <c r="C125" s="65">
        <v>-5.0</v>
      </c>
      <c r="D125" s="66">
        <f t="shared" si="3"/>
        <v>-2875</v>
      </c>
      <c r="E125" s="56" t="s">
        <v>134</v>
      </c>
      <c r="F125" s="58">
        <f t="shared" ref="F125:L125" si="115">SUMIFS($C125,$B125,F$7)+F124</f>
        <v>26</v>
      </c>
      <c r="G125" s="58">
        <f t="shared" si="115"/>
        <v>36</v>
      </c>
      <c r="H125" s="58">
        <f t="shared" si="115"/>
        <v>13</v>
      </c>
      <c r="I125" s="58">
        <f t="shared" si="115"/>
        <v>138</v>
      </c>
      <c r="J125" s="58">
        <f t="shared" si="115"/>
        <v>0</v>
      </c>
      <c r="K125" s="58">
        <f t="shared" si="115"/>
        <v>0</v>
      </c>
      <c r="L125" s="58">
        <f t="shared" si="115"/>
        <v>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0" customHeight="1">
      <c r="A126" s="70"/>
      <c r="B126" s="64" t="s">
        <v>17</v>
      </c>
      <c r="C126" s="65">
        <v>5.0</v>
      </c>
      <c r="D126" s="66">
        <f t="shared" si="3"/>
        <v>2875</v>
      </c>
      <c r="E126" s="67"/>
      <c r="F126" s="58">
        <f t="shared" ref="F126:L126" si="116">SUMIFS($C126,$B126,F$7)+F125</f>
        <v>26</v>
      </c>
      <c r="G126" s="58">
        <f t="shared" si="116"/>
        <v>36</v>
      </c>
      <c r="H126" s="58">
        <f t="shared" si="116"/>
        <v>13</v>
      </c>
      <c r="I126" s="58">
        <f t="shared" si="116"/>
        <v>143</v>
      </c>
      <c r="J126" s="58">
        <f t="shared" si="116"/>
        <v>0</v>
      </c>
      <c r="K126" s="58">
        <f t="shared" si="116"/>
        <v>0</v>
      </c>
      <c r="L126" s="58">
        <f t="shared" si="116"/>
        <v>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0" customHeight="1">
      <c r="A127" s="70"/>
      <c r="B127" s="64" t="s">
        <v>13</v>
      </c>
      <c r="C127" s="65">
        <v>-12.0</v>
      </c>
      <c r="D127" s="66">
        <f t="shared" si="3"/>
        <v>-6900</v>
      </c>
      <c r="E127" s="56" t="s">
        <v>134</v>
      </c>
      <c r="F127" s="58">
        <f t="shared" ref="F127:L127" si="117">SUMIFS($C127,$B127,F$7)+F126</f>
        <v>26</v>
      </c>
      <c r="G127" s="58">
        <f t="shared" si="117"/>
        <v>24</v>
      </c>
      <c r="H127" s="58">
        <f t="shared" si="117"/>
        <v>13</v>
      </c>
      <c r="I127" s="58">
        <f t="shared" si="117"/>
        <v>143</v>
      </c>
      <c r="J127" s="58">
        <f t="shared" si="117"/>
        <v>0</v>
      </c>
      <c r="K127" s="58">
        <f t="shared" si="117"/>
        <v>0</v>
      </c>
      <c r="L127" s="58">
        <f t="shared" si="117"/>
        <v>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0" customHeight="1">
      <c r="A128" s="70"/>
      <c r="B128" s="64" t="s">
        <v>17</v>
      </c>
      <c r="C128" s="65">
        <v>12.0</v>
      </c>
      <c r="D128" s="66">
        <f t="shared" si="3"/>
        <v>6900</v>
      </c>
      <c r="E128" s="67"/>
      <c r="F128" s="58">
        <f t="shared" ref="F128:L128" si="118">SUMIFS($C128,$B128,F$7)+F127</f>
        <v>26</v>
      </c>
      <c r="G128" s="58">
        <f t="shared" si="118"/>
        <v>24</v>
      </c>
      <c r="H128" s="58">
        <f t="shared" si="118"/>
        <v>13</v>
      </c>
      <c r="I128" s="58">
        <f t="shared" si="118"/>
        <v>155</v>
      </c>
      <c r="J128" s="58">
        <f t="shared" si="118"/>
        <v>0</v>
      </c>
      <c r="K128" s="58">
        <f t="shared" si="118"/>
        <v>0</v>
      </c>
      <c r="L128" s="58">
        <f t="shared" si="118"/>
        <v>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0" customHeight="1">
      <c r="A129" s="70"/>
      <c r="B129" s="64" t="s">
        <v>16</v>
      </c>
      <c r="C129" s="65">
        <v>-1.0</v>
      </c>
      <c r="D129" s="66">
        <f t="shared" si="3"/>
        <v>-575</v>
      </c>
      <c r="E129" s="56" t="s">
        <v>134</v>
      </c>
      <c r="F129" s="58">
        <f t="shared" ref="F129:L129" si="119">SUMIFS($C129,$B129,F$7)+F128</f>
        <v>26</v>
      </c>
      <c r="G129" s="58">
        <f t="shared" si="119"/>
        <v>24</v>
      </c>
      <c r="H129" s="58">
        <f t="shared" si="119"/>
        <v>12</v>
      </c>
      <c r="I129" s="58">
        <f t="shared" si="119"/>
        <v>155</v>
      </c>
      <c r="J129" s="58">
        <f t="shared" si="119"/>
        <v>0</v>
      </c>
      <c r="K129" s="58">
        <f t="shared" si="119"/>
        <v>0</v>
      </c>
      <c r="L129" s="58">
        <f t="shared" si="119"/>
        <v>0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0" customHeight="1">
      <c r="A130" s="70"/>
      <c r="B130" s="64" t="s">
        <v>17</v>
      </c>
      <c r="C130" s="65">
        <v>1.0</v>
      </c>
      <c r="D130" s="66">
        <f t="shared" si="3"/>
        <v>575</v>
      </c>
      <c r="E130" s="67"/>
      <c r="F130" s="58">
        <f t="shared" ref="F130:L130" si="120">SUMIFS($C130,$B130,F$7)+F129</f>
        <v>26</v>
      </c>
      <c r="G130" s="58">
        <f t="shared" si="120"/>
        <v>24</v>
      </c>
      <c r="H130" s="58">
        <f t="shared" si="120"/>
        <v>12</v>
      </c>
      <c r="I130" s="58">
        <f t="shared" si="120"/>
        <v>156</v>
      </c>
      <c r="J130" s="58">
        <f t="shared" si="120"/>
        <v>0</v>
      </c>
      <c r="K130" s="58">
        <f t="shared" si="120"/>
        <v>0</v>
      </c>
      <c r="L130" s="58">
        <f t="shared" si="120"/>
        <v>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0" customHeight="1">
      <c r="A131" s="70"/>
      <c r="B131" s="64" t="s">
        <v>17</v>
      </c>
      <c r="C131" s="65">
        <v>-1.0</v>
      </c>
      <c r="D131" s="66">
        <f t="shared" si="3"/>
        <v>-575</v>
      </c>
      <c r="E131" s="74" t="s">
        <v>275</v>
      </c>
      <c r="F131" s="58">
        <f t="shared" ref="F131:L131" si="121">SUMIFS($C131,$B131,F$7)+F129</f>
        <v>26</v>
      </c>
      <c r="G131" s="58">
        <f t="shared" si="121"/>
        <v>24</v>
      </c>
      <c r="H131" s="58">
        <f t="shared" si="121"/>
        <v>12</v>
      </c>
      <c r="I131" s="58">
        <f t="shared" si="121"/>
        <v>154</v>
      </c>
      <c r="J131" s="58">
        <f t="shared" si="121"/>
        <v>0</v>
      </c>
      <c r="K131" s="58">
        <f t="shared" si="121"/>
        <v>0</v>
      </c>
      <c r="L131" s="58">
        <f t="shared" si="121"/>
        <v>0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0" customHeight="1">
      <c r="A132" s="70"/>
      <c r="B132" s="71"/>
      <c r="C132" s="66"/>
      <c r="D132" s="66">
        <f t="shared" si="3"/>
        <v>0</v>
      </c>
      <c r="E132" s="67"/>
      <c r="F132" s="58">
        <f t="shared" ref="F132:L132" si="122">SUMIFS($C132,$B132,F$7)+F130</f>
        <v>26</v>
      </c>
      <c r="G132" s="58">
        <f t="shared" si="122"/>
        <v>24</v>
      </c>
      <c r="H132" s="58">
        <f t="shared" si="122"/>
        <v>12</v>
      </c>
      <c r="I132" s="58">
        <f t="shared" si="122"/>
        <v>156</v>
      </c>
      <c r="J132" s="58">
        <f t="shared" si="122"/>
        <v>0</v>
      </c>
      <c r="K132" s="58">
        <f t="shared" si="122"/>
        <v>0</v>
      </c>
      <c r="L132" s="58">
        <f t="shared" si="122"/>
        <v>0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0" customHeight="1">
      <c r="A133" s="68">
        <v>46233.0</v>
      </c>
      <c r="B133" s="64" t="s">
        <v>17</v>
      </c>
      <c r="C133" s="65">
        <v>-88.0</v>
      </c>
      <c r="D133" s="66">
        <f t="shared" si="3"/>
        <v>-50600</v>
      </c>
      <c r="E133" s="56" t="s">
        <v>276</v>
      </c>
      <c r="F133" s="58">
        <f t="shared" ref="F133:L133" si="123">SUMIFS($C133,$B133,F$7)+F132</f>
        <v>26</v>
      </c>
      <c r="G133" s="58">
        <f t="shared" si="123"/>
        <v>24</v>
      </c>
      <c r="H133" s="58">
        <f t="shared" si="123"/>
        <v>12</v>
      </c>
      <c r="I133" s="58">
        <f t="shared" si="123"/>
        <v>68</v>
      </c>
      <c r="J133" s="58">
        <f t="shared" si="123"/>
        <v>0</v>
      </c>
      <c r="K133" s="58">
        <f t="shared" si="123"/>
        <v>0</v>
      </c>
      <c r="L133" s="58">
        <f t="shared" si="123"/>
        <v>0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0" customHeight="1">
      <c r="A134" s="70"/>
      <c r="B134" s="71"/>
      <c r="C134" s="66"/>
      <c r="D134" s="66">
        <f t="shared" si="3"/>
        <v>0</v>
      </c>
      <c r="E134" s="67"/>
      <c r="F134" s="58">
        <f t="shared" ref="F134:L134" si="124">SUMIFS($C134,$B134,F$7)+F133</f>
        <v>26</v>
      </c>
      <c r="G134" s="58">
        <f t="shared" si="124"/>
        <v>24</v>
      </c>
      <c r="H134" s="58">
        <f t="shared" si="124"/>
        <v>12</v>
      </c>
      <c r="I134" s="58">
        <f t="shared" si="124"/>
        <v>68</v>
      </c>
      <c r="J134" s="58">
        <f t="shared" si="124"/>
        <v>0</v>
      </c>
      <c r="K134" s="58">
        <f t="shared" si="124"/>
        <v>0</v>
      </c>
      <c r="L134" s="58">
        <f t="shared" si="124"/>
        <v>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0" customHeight="1">
      <c r="A135" s="68">
        <v>46268.0</v>
      </c>
      <c r="B135" s="64" t="s">
        <v>17</v>
      </c>
      <c r="C135" s="65">
        <v>-88.0</v>
      </c>
      <c r="D135" s="66">
        <f t="shared" si="3"/>
        <v>-50600</v>
      </c>
      <c r="E135" s="56" t="s">
        <v>78</v>
      </c>
      <c r="F135" s="58">
        <f t="shared" ref="F135:L135" si="125">SUMIFS($C135,$B135,F$7)+F134</f>
        <v>26</v>
      </c>
      <c r="G135" s="58">
        <f t="shared" si="125"/>
        <v>24</v>
      </c>
      <c r="H135" s="58">
        <f t="shared" si="125"/>
        <v>12</v>
      </c>
      <c r="I135" s="58">
        <f t="shared" si="125"/>
        <v>-20</v>
      </c>
      <c r="J135" s="58">
        <f t="shared" si="125"/>
        <v>0</v>
      </c>
      <c r="K135" s="58">
        <f t="shared" si="125"/>
        <v>0</v>
      </c>
      <c r="L135" s="58">
        <f t="shared" si="125"/>
        <v>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0" customHeight="1">
      <c r="B136" s="71"/>
      <c r="C136" s="66"/>
      <c r="D136" s="66">
        <f t="shared" si="3"/>
        <v>0</v>
      </c>
      <c r="E136" s="67"/>
      <c r="F136" s="58">
        <f t="shared" ref="F136:L136" si="126">SUMIFS($C136,$B136,F$7)+F135</f>
        <v>26</v>
      </c>
      <c r="G136" s="58">
        <f t="shared" si="126"/>
        <v>24</v>
      </c>
      <c r="H136" s="58">
        <f t="shared" si="126"/>
        <v>12</v>
      </c>
      <c r="I136" s="58">
        <f t="shared" si="126"/>
        <v>-20</v>
      </c>
      <c r="J136" s="58">
        <f t="shared" si="126"/>
        <v>0</v>
      </c>
      <c r="K136" s="58">
        <f t="shared" si="126"/>
        <v>0</v>
      </c>
      <c r="L136" s="58">
        <f t="shared" si="126"/>
        <v>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0" customHeight="1">
      <c r="A137" s="70"/>
      <c r="B137" s="71"/>
      <c r="C137" s="66"/>
      <c r="D137" s="66">
        <f t="shared" si="3"/>
        <v>0</v>
      </c>
      <c r="E137" s="67"/>
      <c r="F137" s="58">
        <f t="shared" ref="F137:L137" si="127">SUMIFS($C137,$B137,F$7)+F136</f>
        <v>26</v>
      </c>
      <c r="G137" s="58">
        <f t="shared" si="127"/>
        <v>24</v>
      </c>
      <c r="H137" s="58">
        <f t="shared" si="127"/>
        <v>12</v>
      </c>
      <c r="I137" s="58">
        <f t="shared" si="127"/>
        <v>-20</v>
      </c>
      <c r="J137" s="58">
        <f t="shared" si="127"/>
        <v>0</v>
      </c>
      <c r="K137" s="58">
        <f t="shared" si="127"/>
        <v>0</v>
      </c>
      <c r="L137" s="58">
        <f t="shared" si="127"/>
        <v>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0" customHeight="1">
      <c r="A138" s="70"/>
      <c r="B138" s="71"/>
      <c r="C138" s="66"/>
      <c r="D138" s="66">
        <f t="shared" si="3"/>
        <v>0</v>
      </c>
      <c r="E138" s="67"/>
      <c r="F138" s="58">
        <f t="shared" ref="F138:L138" si="128">SUMIFS($C138,$B138,F$7)+F137</f>
        <v>26</v>
      </c>
      <c r="G138" s="58">
        <f t="shared" si="128"/>
        <v>24</v>
      </c>
      <c r="H138" s="58">
        <f t="shared" si="128"/>
        <v>12</v>
      </c>
      <c r="I138" s="58">
        <f t="shared" si="128"/>
        <v>-20</v>
      </c>
      <c r="J138" s="58">
        <f t="shared" si="128"/>
        <v>0</v>
      </c>
      <c r="K138" s="58">
        <f t="shared" si="128"/>
        <v>0</v>
      </c>
      <c r="L138" s="58">
        <f t="shared" si="128"/>
        <v>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0" customHeight="1">
      <c r="A139" s="70"/>
      <c r="B139" s="71"/>
      <c r="C139" s="66"/>
      <c r="D139" s="66">
        <f t="shared" si="3"/>
        <v>0</v>
      </c>
      <c r="E139" s="67"/>
      <c r="F139" s="58">
        <f t="shared" ref="F139:L139" si="129">SUMIFS($C139,$B139,F$7)+F138</f>
        <v>26</v>
      </c>
      <c r="G139" s="58">
        <f t="shared" si="129"/>
        <v>24</v>
      </c>
      <c r="H139" s="58">
        <f t="shared" si="129"/>
        <v>12</v>
      </c>
      <c r="I139" s="58">
        <f t="shared" si="129"/>
        <v>-20</v>
      </c>
      <c r="J139" s="58">
        <f t="shared" si="129"/>
        <v>0</v>
      </c>
      <c r="K139" s="58">
        <f t="shared" si="129"/>
        <v>0</v>
      </c>
      <c r="L139" s="58">
        <f t="shared" si="129"/>
        <v>0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0" customHeight="1">
      <c r="A140" s="70"/>
      <c r="B140" s="71"/>
      <c r="C140" s="66"/>
      <c r="D140" s="66">
        <f t="shared" si="3"/>
        <v>0</v>
      </c>
      <c r="E140" s="67"/>
      <c r="F140" s="58">
        <f t="shared" ref="F140:L140" si="130">SUMIFS($C140,$B140,F$7)+F139</f>
        <v>26</v>
      </c>
      <c r="G140" s="58">
        <f t="shared" si="130"/>
        <v>24</v>
      </c>
      <c r="H140" s="58">
        <f t="shared" si="130"/>
        <v>12</v>
      </c>
      <c r="I140" s="58">
        <f t="shared" si="130"/>
        <v>-20</v>
      </c>
      <c r="J140" s="58">
        <f t="shared" si="130"/>
        <v>0</v>
      </c>
      <c r="K140" s="58">
        <f t="shared" si="130"/>
        <v>0</v>
      </c>
      <c r="L140" s="58">
        <f t="shared" si="130"/>
        <v>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0" customHeight="1">
      <c r="A141" s="70"/>
      <c r="B141" s="71"/>
      <c r="C141" s="66"/>
      <c r="D141" s="66">
        <f t="shared" si="3"/>
        <v>0</v>
      </c>
      <c r="E141" s="67"/>
      <c r="F141" s="58">
        <f t="shared" ref="F141:L141" si="131">SUMIFS($C141,$B141,F$7)+F140</f>
        <v>26</v>
      </c>
      <c r="G141" s="58">
        <f t="shared" si="131"/>
        <v>24</v>
      </c>
      <c r="H141" s="58">
        <f t="shared" si="131"/>
        <v>12</v>
      </c>
      <c r="I141" s="58">
        <f t="shared" si="131"/>
        <v>-20</v>
      </c>
      <c r="J141" s="58">
        <f t="shared" si="131"/>
        <v>0</v>
      </c>
      <c r="K141" s="58">
        <f t="shared" si="131"/>
        <v>0</v>
      </c>
      <c r="L141" s="58">
        <f t="shared" si="131"/>
        <v>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0" customHeight="1">
      <c r="A142" s="70"/>
      <c r="B142" s="71"/>
      <c r="C142" s="66"/>
      <c r="D142" s="66">
        <f t="shared" si="3"/>
        <v>0</v>
      </c>
      <c r="E142" s="67"/>
      <c r="F142" s="58">
        <f t="shared" ref="F142:L142" si="132">SUMIFS($C142,$B142,F$7)+F141</f>
        <v>26</v>
      </c>
      <c r="G142" s="58">
        <f t="shared" si="132"/>
        <v>24</v>
      </c>
      <c r="H142" s="58">
        <f t="shared" si="132"/>
        <v>12</v>
      </c>
      <c r="I142" s="58">
        <f t="shared" si="132"/>
        <v>-20</v>
      </c>
      <c r="J142" s="58">
        <f t="shared" si="132"/>
        <v>0</v>
      </c>
      <c r="K142" s="58">
        <f t="shared" si="132"/>
        <v>0</v>
      </c>
      <c r="L142" s="58">
        <f t="shared" si="132"/>
        <v>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0" customHeight="1">
      <c r="A143" s="70"/>
      <c r="B143" s="71"/>
      <c r="C143" s="66"/>
      <c r="D143" s="66">
        <f t="shared" si="3"/>
        <v>0</v>
      </c>
      <c r="E143" s="67"/>
      <c r="F143" s="58">
        <f t="shared" ref="F143:L143" si="133">SUMIFS($C143,$B143,F$7)+F142</f>
        <v>26</v>
      </c>
      <c r="G143" s="58">
        <f t="shared" si="133"/>
        <v>24</v>
      </c>
      <c r="H143" s="58">
        <f t="shared" si="133"/>
        <v>12</v>
      </c>
      <c r="I143" s="58">
        <f t="shared" si="133"/>
        <v>-20</v>
      </c>
      <c r="J143" s="58">
        <f t="shared" si="133"/>
        <v>0</v>
      </c>
      <c r="K143" s="58">
        <f t="shared" si="133"/>
        <v>0</v>
      </c>
      <c r="L143" s="58">
        <f t="shared" si="133"/>
        <v>0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0" customHeight="1">
      <c r="A144" s="70"/>
      <c r="B144" s="71"/>
      <c r="C144" s="66"/>
      <c r="D144" s="66">
        <f t="shared" si="3"/>
        <v>0</v>
      </c>
      <c r="E144" s="67"/>
      <c r="F144" s="58">
        <f t="shared" ref="F144:L144" si="134">SUMIFS($C144,$B144,F$7)+F143</f>
        <v>26</v>
      </c>
      <c r="G144" s="58">
        <f t="shared" si="134"/>
        <v>24</v>
      </c>
      <c r="H144" s="58">
        <f t="shared" si="134"/>
        <v>12</v>
      </c>
      <c r="I144" s="58">
        <f t="shared" si="134"/>
        <v>-20</v>
      </c>
      <c r="J144" s="58">
        <f t="shared" si="134"/>
        <v>0</v>
      </c>
      <c r="K144" s="58">
        <f t="shared" si="134"/>
        <v>0</v>
      </c>
      <c r="L144" s="58">
        <f t="shared" si="134"/>
        <v>0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0" customHeight="1">
      <c r="A145" s="70"/>
      <c r="B145" s="71"/>
      <c r="C145" s="66"/>
      <c r="D145" s="66">
        <f t="shared" si="3"/>
        <v>0</v>
      </c>
      <c r="E145" s="67"/>
      <c r="F145" s="58">
        <f t="shared" ref="F145:L145" si="135">SUMIFS($C145,$B145,F$7)+F144</f>
        <v>26</v>
      </c>
      <c r="G145" s="58">
        <f t="shared" si="135"/>
        <v>24</v>
      </c>
      <c r="H145" s="58">
        <f t="shared" si="135"/>
        <v>12</v>
      </c>
      <c r="I145" s="58">
        <f t="shared" si="135"/>
        <v>-20</v>
      </c>
      <c r="J145" s="58">
        <f t="shared" si="135"/>
        <v>0</v>
      </c>
      <c r="K145" s="58">
        <f t="shared" si="135"/>
        <v>0</v>
      </c>
      <c r="L145" s="58">
        <f t="shared" si="135"/>
        <v>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0" customHeight="1">
      <c r="A146" s="70"/>
      <c r="B146" s="71"/>
      <c r="C146" s="66"/>
      <c r="D146" s="66">
        <f t="shared" si="3"/>
        <v>0</v>
      </c>
      <c r="E146" s="67"/>
      <c r="F146" s="58">
        <f t="shared" ref="F146:L146" si="136">SUMIFS($C146,$B146,F$7)+F145</f>
        <v>26</v>
      </c>
      <c r="G146" s="58">
        <f t="shared" si="136"/>
        <v>24</v>
      </c>
      <c r="H146" s="58">
        <f t="shared" si="136"/>
        <v>12</v>
      </c>
      <c r="I146" s="58">
        <f t="shared" si="136"/>
        <v>-20</v>
      </c>
      <c r="J146" s="58">
        <f t="shared" si="136"/>
        <v>0</v>
      </c>
      <c r="K146" s="58">
        <f t="shared" si="136"/>
        <v>0</v>
      </c>
      <c r="L146" s="58">
        <f t="shared" si="136"/>
        <v>0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0" customHeight="1">
      <c r="A147" s="70"/>
      <c r="B147" s="71"/>
      <c r="C147" s="66"/>
      <c r="D147" s="66">
        <f t="shared" si="3"/>
        <v>0</v>
      </c>
      <c r="E147" s="67"/>
      <c r="F147" s="58">
        <f t="shared" ref="F147:L147" si="137">SUMIFS($C147,$B147,F$7)+F146</f>
        <v>26</v>
      </c>
      <c r="G147" s="58">
        <f t="shared" si="137"/>
        <v>24</v>
      </c>
      <c r="H147" s="58">
        <f t="shared" si="137"/>
        <v>12</v>
      </c>
      <c r="I147" s="58">
        <f t="shared" si="137"/>
        <v>-20</v>
      </c>
      <c r="J147" s="58">
        <f t="shared" si="137"/>
        <v>0</v>
      </c>
      <c r="K147" s="58">
        <f t="shared" si="137"/>
        <v>0</v>
      </c>
      <c r="L147" s="58">
        <f t="shared" si="137"/>
        <v>0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0" customHeight="1">
      <c r="A148" s="70"/>
      <c r="B148" s="71"/>
      <c r="C148" s="66"/>
      <c r="D148" s="66">
        <f t="shared" si="3"/>
        <v>0</v>
      </c>
      <c r="E148" s="67"/>
      <c r="F148" s="58">
        <f t="shared" ref="F148:L148" si="138">SUMIFS($C148,$B148,F$7)+F147</f>
        <v>26</v>
      </c>
      <c r="G148" s="58">
        <f t="shared" si="138"/>
        <v>24</v>
      </c>
      <c r="H148" s="58">
        <f t="shared" si="138"/>
        <v>12</v>
      </c>
      <c r="I148" s="58">
        <f t="shared" si="138"/>
        <v>-20</v>
      </c>
      <c r="J148" s="58">
        <f t="shared" si="138"/>
        <v>0</v>
      </c>
      <c r="K148" s="58">
        <f t="shared" si="138"/>
        <v>0</v>
      </c>
      <c r="L148" s="58">
        <f t="shared" si="138"/>
        <v>0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0" customHeight="1">
      <c r="A149" s="70"/>
      <c r="B149" s="71"/>
      <c r="C149" s="66"/>
      <c r="D149" s="66">
        <f t="shared" si="3"/>
        <v>0</v>
      </c>
      <c r="E149" s="67"/>
      <c r="F149" s="58">
        <f t="shared" ref="F149:L149" si="139">SUMIFS($C149,$B149,F$7)+F148</f>
        <v>26</v>
      </c>
      <c r="G149" s="58">
        <f t="shared" si="139"/>
        <v>24</v>
      </c>
      <c r="H149" s="58">
        <f t="shared" si="139"/>
        <v>12</v>
      </c>
      <c r="I149" s="58">
        <f t="shared" si="139"/>
        <v>-20</v>
      </c>
      <c r="J149" s="58">
        <f t="shared" si="139"/>
        <v>0</v>
      </c>
      <c r="K149" s="58">
        <f t="shared" si="139"/>
        <v>0</v>
      </c>
      <c r="L149" s="58">
        <f t="shared" si="139"/>
        <v>0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0" customHeight="1">
      <c r="A150" s="70"/>
      <c r="B150" s="71"/>
      <c r="C150" s="66"/>
      <c r="D150" s="66">
        <f t="shared" si="3"/>
        <v>0</v>
      </c>
      <c r="E150" s="67"/>
      <c r="F150" s="58">
        <f t="shared" ref="F150:L150" si="140">SUMIFS($C150,$B150,F$7)+F149</f>
        <v>26</v>
      </c>
      <c r="G150" s="58">
        <f t="shared" si="140"/>
        <v>24</v>
      </c>
      <c r="H150" s="58">
        <f t="shared" si="140"/>
        <v>12</v>
      </c>
      <c r="I150" s="58">
        <f t="shared" si="140"/>
        <v>-20</v>
      </c>
      <c r="J150" s="58">
        <f t="shared" si="140"/>
        <v>0</v>
      </c>
      <c r="K150" s="58">
        <f t="shared" si="140"/>
        <v>0</v>
      </c>
      <c r="L150" s="58">
        <f t="shared" si="140"/>
        <v>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0" customHeight="1">
      <c r="A151" s="70"/>
      <c r="B151" s="71"/>
      <c r="C151" s="66"/>
      <c r="D151" s="66">
        <f t="shared" si="3"/>
        <v>0</v>
      </c>
      <c r="E151" s="67"/>
      <c r="F151" s="58">
        <f t="shared" ref="F151:L151" si="141">SUMIFS($C151,$B151,F$7)+F150</f>
        <v>26</v>
      </c>
      <c r="G151" s="58">
        <f t="shared" si="141"/>
        <v>24</v>
      </c>
      <c r="H151" s="58">
        <f t="shared" si="141"/>
        <v>12</v>
      </c>
      <c r="I151" s="58">
        <f t="shared" si="141"/>
        <v>-20</v>
      </c>
      <c r="J151" s="58">
        <f t="shared" si="141"/>
        <v>0</v>
      </c>
      <c r="K151" s="58">
        <f t="shared" si="141"/>
        <v>0</v>
      </c>
      <c r="L151" s="58">
        <f t="shared" si="141"/>
        <v>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0" customHeight="1">
      <c r="A152" s="70"/>
      <c r="B152" s="71"/>
      <c r="C152" s="66"/>
      <c r="D152" s="66">
        <f t="shared" si="3"/>
        <v>0</v>
      </c>
      <c r="E152" s="67"/>
      <c r="F152" s="58">
        <f t="shared" ref="F152:L152" si="142">SUMIFS($C152,$B152,F$7)+F151</f>
        <v>26</v>
      </c>
      <c r="G152" s="58">
        <f t="shared" si="142"/>
        <v>24</v>
      </c>
      <c r="H152" s="58">
        <f t="shared" si="142"/>
        <v>12</v>
      </c>
      <c r="I152" s="58">
        <f t="shared" si="142"/>
        <v>-20</v>
      </c>
      <c r="J152" s="58">
        <f t="shared" si="142"/>
        <v>0</v>
      </c>
      <c r="K152" s="58">
        <f t="shared" si="142"/>
        <v>0</v>
      </c>
      <c r="L152" s="58">
        <f t="shared" si="142"/>
        <v>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0" customHeight="1">
      <c r="A153" s="70"/>
      <c r="B153" s="71"/>
      <c r="C153" s="66"/>
      <c r="D153" s="66">
        <f t="shared" si="3"/>
        <v>0</v>
      </c>
      <c r="E153" s="67"/>
      <c r="F153" s="58">
        <f t="shared" ref="F153:L153" si="143">SUMIFS($C153,$B153,F$7)+F152</f>
        <v>26</v>
      </c>
      <c r="G153" s="58">
        <f t="shared" si="143"/>
        <v>24</v>
      </c>
      <c r="H153" s="58">
        <f t="shared" si="143"/>
        <v>12</v>
      </c>
      <c r="I153" s="58">
        <f t="shared" si="143"/>
        <v>-20</v>
      </c>
      <c r="J153" s="58">
        <f t="shared" si="143"/>
        <v>0</v>
      </c>
      <c r="K153" s="58">
        <f t="shared" si="143"/>
        <v>0</v>
      </c>
      <c r="L153" s="58">
        <f t="shared" si="143"/>
        <v>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0" customHeight="1">
      <c r="A154" s="70"/>
      <c r="B154" s="71"/>
      <c r="C154" s="66"/>
      <c r="D154" s="66">
        <f t="shared" si="3"/>
        <v>0</v>
      </c>
      <c r="E154" s="67"/>
      <c r="F154" s="58">
        <f t="shared" ref="F154:L154" si="144">SUMIFS($C154,$B154,F$7)+F153</f>
        <v>26</v>
      </c>
      <c r="G154" s="58">
        <f t="shared" si="144"/>
        <v>24</v>
      </c>
      <c r="H154" s="58">
        <f t="shared" si="144"/>
        <v>12</v>
      </c>
      <c r="I154" s="58">
        <f t="shared" si="144"/>
        <v>-20</v>
      </c>
      <c r="J154" s="58">
        <f t="shared" si="144"/>
        <v>0</v>
      </c>
      <c r="K154" s="58">
        <f t="shared" si="144"/>
        <v>0</v>
      </c>
      <c r="L154" s="58">
        <f t="shared" si="144"/>
        <v>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0" customHeight="1">
      <c r="A155" s="70"/>
      <c r="B155" s="71"/>
      <c r="C155" s="66"/>
      <c r="D155" s="66">
        <f t="shared" si="3"/>
        <v>0</v>
      </c>
      <c r="E155" s="67"/>
      <c r="F155" s="58">
        <f t="shared" ref="F155:L155" si="145">SUMIFS($C155,$B155,F$7)+F154</f>
        <v>26</v>
      </c>
      <c r="G155" s="58">
        <f t="shared" si="145"/>
        <v>24</v>
      </c>
      <c r="H155" s="58">
        <f t="shared" si="145"/>
        <v>12</v>
      </c>
      <c r="I155" s="58">
        <f t="shared" si="145"/>
        <v>-20</v>
      </c>
      <c r="J155" s="58">
        <f t="shared" si="145"/>
        <v>0</v>
      </c>
      <c r="K155" s="58">
        <f t="shared" si="145"/>
        <v>0</v>
      </c>
      <c r="L155" s="58">
        <f t="shared" si="145"/>
        <v>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0" customHeight="1">
      <c r="A156" s="70"/>
      <c r="B156" s="71"/>
      <c r="C156" s="66"/>
      <c r="D156" s="66">
        <f t="shared" si="3"/>
        <v>0</v>
      </c>
      <c r="E156" s="67"/>
      <c r="F156" s="58">
        <f t="shared" ref="F156:L156" si="146">SUMIFS($C156,$B156,F$7)+F155</f>
        <v>26</v>
      </c>
      <c r="G156" s="58">
        <f t="shared" si="146"/>
        <v>24</v>
      </c>
      <c r="H156" s="58">
        <f t="shared" si="146"/>
        <v>12</v>
      </c>
      <c r="I156" s="58">
        <f t="shared" si="146"/>
        <v>-20</v>
      </c>
      <c r="J156" s="58">
        <f t="shared" si="146"/>
        <v>0</v>
      </c>
      <c r="K156" s="58">
        <f t="shared" si="146"/>
        <v>0</v>
      </c>
      <c r="L156" s="58">
        <f t="shared" si="146"/>
        <v>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0" customHeight="1">
      <c r="A157" s="70"/>
      <c r="B157" s="71"/>
      <c r="C157" s="66"/>
      <c r="D157" s="66">
        <f t="shared" si="3"/>
        <v>0</v>
      </c>
      <c r="E157" s="67"/>
      <c r="F157" s="58">
        <f t="shared" ref="F157:L157" si="147">SUMIFS($C157,$B157,F$7)+F156</f>
        <v>26</v>
      </c>
      <c r="G157" s="58">
        <f t="shared" si="147"/>
        <v>24</v>
      </c>
      <c r="H157" s="58">
        <f t="shared" si="147"/>
        <v>12</v>
      </c>
      <c r="I157" s="58">
        <f t="shared" si="147"/>
        <v>-20</v>
      </c>
      <c r="J157" s="58">
        <f t="shared" si="147"/>
        <v>0</v>
      </c>
      <c r="K157" s="58">
        <f t="shared" si="147"/>
        <v>0</v>
      </c>
      <c r="L157" s="58">
        <f t="shared" si="147"/>
        <v>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0" customHeight="1">
      <c r="A158" s="70"/>
      <c r="B158" s="71"/>
      <c r="C158" s="66"/>
      <c r="D158" s="66">
        <f t="shared" si="3"/>
        <v>0</v>
      </c>
      <c r="E158" s="67"/>
      <c r="F158" s="58">
        <f t="shared" ref="F158:L158" si="148">SUMIFS($C158,$B158,F$7)+F157</f>
        <v>26</v>
      </c>
      <c r="G158" s="58">
        <f t="shared" si="148"/>
        <v>24</v>
      </c>
      <c r="H158" s="58">
        <f t="shared" si="148"/>
        <v>12</v>
      </c>
      <c r="I158" s="58">
        <f t="shared" si="148"/>
        <v>-20</v>
      </c>
      <c r="J158" s="58">
        <f t="shared" si="148"/>
        <v>0</v>
      </c>
      <c r="K158" s="58">
        <f t="shared" si="148"/>
        <v>0</v>
      </c>
      <c r="L158" s="58">
        <f t="shared" si="148"/>
        <v>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0" customHeight="1">
      <c r="A159" s="70"/>
      <c r="B159" s="71"/>
      <c r="C159" s="66"/>
      <c r="D159" s="66">
        <f t="shared" si="3"/>
        <v>0</v>
      </c>
      <c r="E159" s="67"/>
      <c r="F159" s="58">
        <f t="shared" ref="F159:L159" si="149">SUMIFS($C159,$B159,F$7)+F158</f>
        <v>26</v>
      </c>
      <c r="G159" s="58">
        <f t="shared" si="149"/>
        <v>24</v>
      </c>
      <c r="H159" s="58">
        <f t="shared" si="149"/>
        <v>12</v>
      </c>
      <c r="I159" s="58">
        <f t="shared" si="149"/>
        <v>-20</v>
      </c>
      <c r="J159" s="58">
        <f t="shared" si="149"/>
        <v>0</v>
      </c>
      <c r="K159" s="58">
        <f t="shared" si="149"/>
        <v>0</v>
      </c>
      <c r="L159" s="58">
        <f t="shared" si="149"/>
        <v>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0" customHeight="1">
      <c r="A160" s="70"/>
      <c r="B160" s="71"/>
      <c r="C160" s="66"/>
      <c r="D160" s="66">
        <f t="shared" si="3"/>
        <v>0</v>
      </c>
      <c r="E160" s="67"/>
      <c r="F160" s="58">
        <f t="shared" ref="F160:L160" si="150">SUMIFS($C160,$B160,F$7)+F159</f>
        <v>26</v>
      </c>
      <c r="G160" s="58">
        <f t="shared" si="150"/>
        <v>24</v>
      </c>
      <c r="H160" s="58">
        <f t="shared" si="150"/>
        <v>12</v>
      </c>
      <c r="I160" s="58">
        <f t="shared" si="150"/>
        <v>-20</v>
      </c>
      <c r="J160" s="58">
        <f t="shared" si="150"/>
        <v>0</v>
      </c>
      <c r="K160" s="58">
        <f t="shared" si="150"/>
        <v>0</v>
      </c>
      <c r="L160" s="58">
        <f t="shared" si="150"/>
        <v>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0" customHeight="1">
      <c r="A161" s="70"/>
      <c r="B161" s="71"/>
      <c r="C161" s="66"/>
      <c r="D161" s="66">
        <f t="shared" si="3"/>
        <v>0</v>
      </c>
      <c r="E161" s="67"/>
      <c r="F161" s="58">
        <f t="shared" ref="F161:L161" si="151">SUMIFS($C161,$B161,F$7)+F160</f>
        <v>26</v>
      </c>
      <c r="G161" s="58">
        <f t="shared" si="151"/>
        <v>24</v>
      </c>
      <c r="H161" s="58">
        <f t="shared" si="151"/>
        <v>12</v>
      </c>
      <c r="I161" s="58">
        <f t="shared" si="151"/>
        <v>-20</v>
      </c>
      <c r="J161" s="58">
        <f t="shared" si="151"/>
        <v>0</v>
      </c>
      <c r="K161" s="58">
        <f t="shared" si="151"/>
        <v>0</v>
      </c>
      <c r="L161" s="58">
        <f t="shared" si="151"/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0" customHeight="1">
      <c r="A162" s="70"/>
      <c r="B162" s="71"/>
      <c r="C162" s="66"/>
      <c r="D162" s="66">
        <f t="shared" si="3"/>
        <v>0</v>
      </c>
      <c r="E162" s="67"/>
      <c r="F162" s="58">
        <f t="shared" ref="F162:L162" si="152">SUMIFS($C162,$B162,F$7)+F161</f>
        <v>26</v>
      </c>
      <c r="G162" s="58">
        <f t="shared" si="152"/>
        <v>24</v>
      </c>
      <c r="H162" s="58">
        <f t="shared" si="152"/>
        <v>12</v>
      </c>
      <c r="I162" s="58">
        <f t="shared" si="152"/>
        <v>-20</v>
      </c>
      <c r="J162" s="58">
        <f t="shared" si="152"/>
        <v>0</v>
      </c>
      <c r="K162" s="58">
        <f t="shared" si="152"/>
        <v>0</v>
      </c>
      <c r="L162" s="58">
        <f t="shared" si="152"/>
        <v>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0" customHeight="1">
      <c r="A163" s="70"/>
      <c r="B163" s="71"/>
      <c r="C163" s="66"/>
      <c r="D163" s="66">
        <f t="shared" si="3"/>
        <v>0</v>
      </c>
      <c r="E163" s="67"/>
      <c r="F163" s="58">
        <f t="shared" ref="F163:L163" si="153">SUMIFS($C163,$B163,F$7)+F162</f>
        <v>26</v>
      </c>
      <c r="G163" s="58">
        <f t="shared" si="153"/>
        <v>24</v>
      </c>
      <c r="H163" s="58">
        <f t="shared" si="153"/>
        <v>12</v>
      </c>
      <c r="I163" s="58">
        <f t="shared" si="153"/>
        <v>-20</v>
      </c>
      <c r="J163" s="58">
        <f t="shared" si="153"/>
        <v>0</v>
      </c>
      <c r="K163" s="58">
        <f t="shared" si="153"/>
        <v>0</v>
      </c>
      <c r="L163" s="58">
        <f t="shared" si="153"/>
        <v>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0" customHeight="1">
      <c r="A164" s="70"/>
      <c r="B164" s="71"/>
      <c r="C164" s="66"/>
      <c r="D164" s="66">
        <f t="shared" si="3"/>
        <v>0</v>
      </c>
      <c r="E164" s="67"/>
      <c r="F164" s="58">
        <f t="shared" ref="F164:L164" si="154">SUMIFS($C164,$B164,F$7)+F163</f>
        <v>26</v>
      </c>
      <c r="G164" s="58">
        <f t="shared" si="154"/>
        <v>24</v>
      </c>
      <c r="H164" s="58">
        <f t="shared" si="154"/>
        <v>12</v>
      </c>
      <c r="I164" s="58">
        <f t="shared" si="154"/>
        <v>-20</v>
      </c>
      <c r="J164" s="58">
        <f t="shared" si="154"/>
        <v>0</v>
      </c>
      <c r="K164" s="58">
        <f t="shared" si="154"/>
        <v>0</v>
      </c>
      <c r="L164" s="58">
        <f t="shared" si="154"/>
        <v>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0" customHeight="1">
      <c r="A165" s="70"/>
      <c r="B165" s="71"/>
      <c r="C165" s="66"/>
      <c r="D165" s="66">
        <f t="shared" si="3"/>
        <v>0</v>
      </c>
      <c r="E165" s="67"/>
      <c r="F165" s="58">
        <f t="shared" ref="F165:L165" si="155">SUMIFS($C165,$B165,F$7)+F164</f>
        <v>26</v>
      </c>
      <c r="G165" s="58">
        <f t="shared" si="155"/>
        <v>24</v>
      </c>
      <c r="H165" s="58">
        <f t="shared" si="155"/>
        <v>12</v>
      </c>
      <c r="I165" s="58">
        <f t="shared" si="155"/>
        <v>-20</v>
      </c>
      <c r="J165" s="58">
        <f t="shared" si="155"/>
        <v>0</v>
      </c>
      <c r="K165" s="58">
        <f t="shared" si="155"/>
        <v>0</v>
      </c>
      <c r="L165" s="58">
        <f t="shared" si="155"/>
        <v>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0" customHeight="1">
      <c r="A166" s="70"/>
      <c r="B166" s="71"/>
      <c r="C166" s="66"/>
      <c r="D166" s="66">
        <f t="shared" si="3"/>
        <v>0</v>
      </c>
      <c r="E166" s="67"/>
      <c r="F166" s="58">
        <f t="shared" ref="F166:L166" si="156">SUMIFS($C166,$B166,F$7)+F165</f>
        <v>26</v>
      </c>
      <c r="G166" s="58">
        <f t="shared" si="156"/>
        <v>24</v>
      </c>
      <c r="H166" s="58">
        <f t="shared" si="156"/>
        <v>12</v>
      </c>
      <c r="I166" s="58">
        <f t="shared" si="156"/>
        <v>-20</v>
      </c>
      <c r="J166" s="58">
        <f t="shared" si="156"/>
        <v>0</v>
      </c>
      <c r="K166" s="58">
        <f t="shared" si="156"/>
        <v>0</v>
      </c>
      <c r="L166" s="58">
        <f t="shared" si="156"/>
        <v>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0" customHeight="1">
      <c r="A167" s="70"/>
      <c r="B167" s="71"/>
      <c r="C167" s="66"/>
      <c r="D167" s="66">
        <f t="shared" si="3"/>
        <v>0</v>
      </c>
      <c r="E167" s="67"/>
      <c r="F167" s="58">
        <f t="shared" ref="F167:L167" si="157">SUMIFS($C167,$B167,F$7)+F166</f>
        <v>26</v>
      </c>
      <c r="G167" s="58">
        <f t="shared" si="157"/>
        <v>24</v>
      </c>
      <c r="H167" s="58">
        <f t="shared" si="157"/>
        <v>12</v>
      </c>
      <c r="I167" s="58">
        <f t="shared" si="157"/>
        <v>-20</v>
      </c>
      <c r="J167" s="58">
        <f t="shared" si="157"/>
        <v>0</v>
      </c>
      <c r="K167" s="58">
        <f t="shared" si="157"/>
        <v>0</v>
      </c>
      <c r="L167" s="58">
        <f t="shared" si="157"/>
        <v>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0" customHeight="1">
      <c r="A168" s="70"/>
      <c r="B168" s="71"/>
      <c r="C168" s="66"/>
      <c r="D168" s="66">
        <f t="shared" si="3"/>
        <v>0</v>
      </c>
      <c r="E168" s="67"/>
      <c r="F168" s="58">
        <f t="shared" ref="F168:L168" si="158">SUMIFS($C168,$B168,F$7)+F167</f>
        <v>26</v>
      </c>
      <c r="G168" s="58">
        <f t="shared" si="158"/>
        <v>24</v>
      </c>
      <c r="H168" s="58">
        <f t="shared" si="158"/>
        <v>12</v>
      </c>
      <c r="I168" s="58">
        <f t="shared" si="158"/>
        <v>-20</v>
      </c>
      <c r="J168" s="58">
        <f t="shared" si="158"/>
        <v>0</v>
      </c>
      <c r="K168" s="58">
        <f t="shared" si="158"/>
        <v>0</v>
      </c>
      <c r="L168" s="58">
        <f t="shared" si="158"/>
        <v>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0" customHeight="1">
      <c r="A169" s="70"/>
      <c r="B169" s="71"/>
      <c r="C169" s="66"/>
      <c r="D169" s="66">
        <f t="shared" si="3"/>
        <v>0</v>
      </c>
      <c r="E169" s="67"/>
      <c r="F169" s="58">
        <f t="shared" ref="F169:L169" si="159">SUMIFS($C169,$B169,F$7)+F168</f>
        <v>26</v>
      </c>
      <c r="G169" s="58">
        <f t="shared" si="159"/>
        <v>24</v>
      </c>
      <c r="H169" s="58">
        <f t="shared" si="159"/>
        <v>12</v>
      </c>
      <c r="I169" s="58">
        <f t="shared" si="159"/>
        <v>-20</v>
      </c>
      <c r="J169" s="58">
        <f t="shared" si="159"/>
        <v>0</v>
      </c>
      <c r="K169" s="58">
        <f t="shared" si="159"/>
        <v>0</v>
      </c>
      <c r="L169" s="58">
        <f t="shared" si="159"/>
        <v>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0" customHeight="1">
      <c r="A170" s="70"/>
      <c r="B170" s="71"/>
      <c r="C170" s="66"/>
      <c r="D170" s="66">
        <f t="shared" si="3"/>
        <v>0</v>
      </c>
      <c r="E170" s="67"/>
      <c r="F170" s="58">
        <f t="shared" ref="F170:L170" si="160">SUMIFS($C170,$B170,F$7)+F169</f>
        <v>26</v>
      </c>
      <c r="G170" s="58">
        <f t="shared" si="160"/>
        <v>24</v>
      </c>
      <c r="H170" s="58">
        <f t="shared" si="160"/>
        <v>12</v>
      </c>
      <c r="I170" s="58">
        <f t="shared" si="160"/>
        <v>-20</v>
      </c>
      <c r="J170" s="58">
        <f t="shared" si="160"/>
        <v>0</v>
      </c>
      <c r="K170" s="58">
        <f t="shared" si="160"/>
        <v>0</v>
      </c>
      <c r="L170" s="58">
        <f t="shared" si="160"/>
        <v>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0" customHeight="1">
      <c r="A171" s="70"/>
      <c r="B171" s="71"/>
      <c r="C171" s="66"/>
      <c r="D171" s="66">
        <f t="shared" si="3"/>
        <v>0</v>
      </c>
      <c r="E171" s="67"/>
      <c r="F171" s="58">
        <f t="shared" ref="F171:L171" si="161">SUMIFS($C171,$B171,F$7)+F170</f>
        <v>26</v>
      </c>
      <c r="G171" s="58">
        <f t="shared" si="161"/>
        <v>24</v>
      </c>
      <c r="H171" s="58">
        <f t="shared" si="161"/>
        <v>12</v>
      </c>
      <c r="I171" s="58">
        <f t="shared" si="161"/>
        <v>-20</v>
      </c>
      <c r="J171" s="58">
        <f t="shared" si="161"/>
        <v>0</v>
      </c>
      <c r="K171" s="58">
        <f t="shared" si="161"/>
        <v>0</v>
      </c>
      <c r="L171" s="58">
        <f t="shared" si="161"/>
        <v>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0" customHeight="1">
      <c r="A172" s="70"/>
      <c r="B172" s="71"/>
      <c r="C172" s="66"/>
      <c r="D172" s="66">
        <f t="shared" si="3"/>
        <v>0</v>
      </c>
      <c r="E172" s="67"/>
      <c r="F172" s="58">
        <f t="shared" ref="F172:L172" si="162">SUMIFS($C172,$B172,F$7)+F171</f>
        <v>26</v>
      </c>
      <c r="G172" s="58">
        <f t="shared" si="162"/>
        <v>24</v>
      </c>
      <c r="H172" s="58">
        <f t="shared" si="162"/>
        <v>12</v>
      </c>
      <c r="I172" s="58">
        <f t="shared" si="162"/>
        <v>-20</v>
      </c>
      <c r="J172" s="58">
        <f t="shared" si="162"/>
        <v>0</v>
      </c>
      <c r="K172" s="58">
        <f t="shared" si="162"/>
        <v>0</v>
      </c>
      <c r="L172" s="58">
        <f t="shared" si="162"/>
        <v>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0" customHeight="1">
      <c r="A173" s="70"/>
      <c r="B173" s="71"/>
      <c r="C173" s="66"/>
      <c r="D173" s="66">
        <f t="shared" si="3"/>
        <v>0</v>
      </c>
      <c r="E173" s="67"/>
      <c r="F173" s="58">
        <f t="shared" ref="F173:L173" si="163">SUMIFS($C173,$B173,F$7)+F172</f>
        <v>26</v>
      </c>
      <c r="G173" s="58">
        <f t="shared" si="163"/>
        <v>24</v>
      </c>
      <c r="H173" s="58">
        <f t="shared" si="163"/>
        <v>12</v>
      </c>
      <c r="I173" s="58">
        <f t="shared" si="163"/>
        <v>-20</v>
      </c>
      <c r="J173" s="58">
        <f t="shared" si="163"/>
        <v>0</v>
      </c>
      <c r="K173" s="58">
        <f t="shared" si="163"/>
        <v>0</v>
      </c>
      <c r="L173" s="58">
        <f t="shared" si="163"/>
        <v>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0" customHeight="1">
      <c r="A174" s="70"/>
      <c r="B174" s="71"/>
      <c r="C174" s="66"/>
      <c r="D174" s="66">
        <f t="shared" si="3"/>
        <v>0</v>
      </c>
      <c r="E174" s="67"/>
      <c r="F174" s="58">
        <f t="shared" ref="F174:L174" si="164">SUMIFS($C174,$B174,F$7)+F173</f>
        <v>26</v>
      </c>
      <c r="G174" s="58">
        <f t="shared" si="164"/>
        <v>24</v>
      </c>
      <c r="H174" s="58">
        <f t="shared" si="164"/>
        <v>12</v>
      </c>
      <c r="I174" s="58">
        <f t="shared" si="164"/>
        <v>-20</v>
      </c>
      <c r="J174" s="58">
        <f t="shared" si="164"/>
        <v>0</v>
      </c>
      <c r="K174" s="58">
        <f t="shared" si="164"/>
        <v>0</v>
      </c>
      <c r="L174" s="58">
        <f t="shared" si="164"/>
        <v>0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0" customHeight="1">
      <c r="A175" s="70"/>
      <c r="B175" s="71"/>
      <c r="C175" s="66"/>
      <c r="D175" s="66">
        <f t="shared" si="3"/>
        <v>0</v>
      </c>
      <c r="E175" s="67"/>
      <c r="F175" s="58">
        <f t="shared" ref="F175:L175" si="165">SUMIFS($C175,$B175,F$7)+F174</f>
        <v>26</v>
      </c>
      <c r="G175" s="58">
        <f t="shared" si="165"/>
        <v>24</v>
      </c>
      <c r="H175" s="58">
        <f t="shared" si="165"/>
        <v>12</v>
      </c>
      <c r="I175" s="58">
        <f t="shared" si="165"/>
        <v>-20</v>
      </c>
      <c r="J175" s="58">
        <f t="shared" si="165"/>
        <v>0</v>
      </c>
      <c r="K175" s="58">
        <f t="shared" si="165"/>
        <v>0</v>
      </c>
      <c r="L175" s="58">
        <f t="shared" si="165"/>
        <v>0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0" customHeight="1">
      <c r="A176" s="70"/>
      <c r="B176" s="71"/>
      <c r="C176" s="66"/>
      <c r="D176" s="66">
        <f t="shared" si="3"/>
        <v>0</v>
      </c>
      <c r="E176" s="67"/>
      <c r="F176" s="58">
        <f t="shared" ref="F176:L176" si="166">SUMIFS($C176,$B176,F$7)+F175</f>
        <v>26</v>
      </c>
      <c r="G176" s="58">
        <f t="shared" si="166"/>
        <v>24</v>
      </c>
      <c r="H176" s="58">
        <f t="shared" si="166"/>
        <v>12</v>
      </c>
      <c r="I176" s="58">
        <f t="shared" si="166"/>
        <v>-20</v>
      </c>
      <c r="J176" s="58">
        <f t="shared" si="166"/>
        <v>0</v>
      </c>
      <c r="K176" s="58">
        <f t="shared" si="166"/>
        <v>0</v>
      </c>
      <c r="L176" s="58">
        <f t="shared" si="166"/>
        <v>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0" customHeight="1">
      <c r="A177" s="70"/>
      <c r="B177" s="71"/>
      <c r="C177" s="66"/>
      <c r="D177" s="66">
        <f t="shared" si="3"/>
        <v>0</v>
      </c>
      <c r="E177" s="67"/>
      <c r="F177" s="58">
        <f t="shared" ref="F177:L177" si="167">SUMIFS($C177,$B177,F$7)+F176</f>
        <v>26</v>
      </c>
      <c r="G177" s="58">
        <f t="shared" si="167"/>
        <v>24</v>
      </c>
      <c r="H177" s="58">
        <f t="shared" si="167"/>
        <v>12</v>
      </c>
      <c r="I177" s="58">
        <f t="shared" si="167"/>
        <v>-20</v>
      </c>
      <c r="J177" s="58">
        <f t="shared" si="167"/>
        <v>0</v>
      </c>
      <c r="K177" s="58">
        <f t="shared" si="167"/>
        <v>0</v>
      </c>
      <c r="L177" s="58">
        <f t="shared" si="167"/>
        <v>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0" customHeight="1">
      <c r="A178" s="70"/>
      <c r="B178" s="71"/>
      <c r="C178" s="66"/>
      <c r="D178" s="66">
        <f t="shared" si="3"/>
        <v>0</v>
      </c>
      <c r="E178" s="67"/>
      <c r="F178" s="58">
        <f t="shared" ref="F178:L178" si="168">SUMIFS($C178,$B178,F$7)+F177</f>
        <v>26</v>
      </c>
      <c r="G178" s="58">
        <f t="shared" si="168"/>
        <v>24</v>
      </c>
      <c r="H178" s="58">
        <f t="shared" si="168"/>
        <v>12</v>
      </c>
      <c r="I178" s="58">
        <f t="shared" si="168"/>
        <v>-20</v>
      </c>
      <c r="J178" s="58">
        <f t="shared" si="168"/>
        <v>0</v>
      </c>
      <c r="K178" s="58">
        <f t="shared" si="168"/>
        <v>0</v>
      </c>
      <c r="L178" s="58">
        <f t="shared" si="168"/>
        <v>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0" customHeight="1">
      <c r="A179" s="70"/>
      <c r="B179" s="71"/>
      <c r="C179" s="66"/>
      <c r="D179" s="66">
        <f t="shared" si="3"/>
        <v>0</v>
      </c>
      <c r="E179" s="67"/>
      <c r="F179" s="58">
        <f t="shared" ref="F179:L179" si="169">SUMIFS($C179,$B179,F$7)+F178</f>
        <v>26</v>
      </c>
      <c r="G179" s="58">
        <f t="shared" si="169"/>
        <v>24</v>
      </c>
      <c r="H179" s="58">
        <f t="shared" si="169"/>
        <v>12</v>
      </c>
      <c r="I179" s="58">
        <f t="shared" si="169"/>
        <v>-20</v>
      </c>
      <c r="J179" s="58">
        <f t="shared" si="169"/>
        <v>0</v>
      </c>
      <c r="K179" s="58">
        <f t="shared" si="169"/>
        <v>0</v>
      </c>
      <c r="L179" s="58">
        <f t="shared" si="169"/>
        <v>0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0" customHeight="1">
      <c r="A180" s="70"/>
      <c r="B180" s="71"/>
      <c r="C180" s="66"/>
      <c r="D180" s="66">
        <f t="shared" si="3"/>
        <v>0</v>
      </c>
      <c r="E180" s="67"/>
      <c r="F180" s="58">
        <f t="shared" ref="F180:L180" si="170">SUMIFS($C180,$B180,F$7)+F179</f>
        <v>26</v>
      </c>
      <c r="G180" s="58">
        <f t="shared" si="170"/>
        <v>24</v>
      </c>
      <c r="H180" s="58">
        <f t="shared" si="170"/>
        <v>12</v>
      </c>
      <c r="I180" s="58">
        <f t="shared" si="170"/>
        <v>-20</v>
      </c>
      <c r="J180" s="58">
        <f t="shared" si="170"/>
        <v>0</v>
      </c>
      <c r="K180" s="58">
        <f t="shared" si="170"/>
        <v>0</v>
      </c>
      <c r="L180" s="58">
        <f t="shared" si="170"/>
        <v>0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0" customHeight="1">
      <c r="A181" s="70"/>
      <c r="B181" s="71"/>
      <c r="C181" s="66"/>
      <c r="D181" s="66">
        <f t="shared" si="3"/>
        <v>0</v>
      </c>
      <c r="E181" s="67"/>
      <c r="F181" s="58">
        <f t="shared" ref="F181:L181" si="171">SUMIFS($C181,$B181,F$7)+F180</f>
        <v>26</v>
      </c>
      <c r="G181" s="58">
        <f t="shared" si="171"/>
        <v>24</v>
      </c>
      <c r="H181" s="58">
        <f t="shared" si="171"/>
        <v>12</v>
      </c>
      <c r="I181" s="58">
        <f t="shared" si="171"/>
        <v>-20</v>
      </c>
      <c r="J181" s="58">
        <f t="shared" si="171"/>
        <v>0</v>
      </c>
      <c r="K181" s="58">
        <f t="shared" si="171"/>
        <v>0</v>
      </c>
      <c r="L181" s="58">
        <f t="shared" si="171"/>
        <v>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0" customHeight="1">
      <c r="A182" s="70"/>
      <c r="B182" s="71"/>
      <c r="C182" s="66"/>
      <c r="D182" s="66">
        <f t="shared" si="3"/>
        <v>0</v>
      </c>
      <c r="E182" s="67"/>
      <c r="F182" s="58">
        <f t="shared" ref="F182:L182" si="172">SUMIFS($C182,$B182,F$7)+F181</f>
        <v>26</v>
      </c>
      <c r="G182" s="58">
        <f t="shared" si="172"/>
        <v>24</v>
      </c>
      <c r="H182" s="58">
        <f t="shared" si="172"/>
        <v>12</v>
      </c>
      <c r="I182" s="58">
        <f t="shared" si="172"/>
        <v>-20</v>
      </c>
      <c r="J182" s="58">
        <f t="shared" si="172"/>
        <v>0</v>
      </c>
      <c r="K182" s="58">
        <f t="shared" si="172"/>
        <v>0</v>
      </c>
      <c r="L182" s="58">
        <f t="shared" si="172"/>
        <v>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0" customHeight="1">
      <c r="A183" s="70"/>
      <c r="B183" s="71"/>
      <c r="C183" s="66"/>
      <c r="D183" s="66">
        <f t="shared" si="3"/>
        <v>0</v>
      </c>
      <c r="E183" s="67"/>
      <c r="F183" s="58">
        <f t="shared" ref="F183:L183" si="173">SUMIFS($C183,$B183,F$7)+F182</f>
        <v>26</v>
      </c>
      <c r="G183" s="58">
        <f t="shared" si="173"/>
        <v>24</v>
      </c>
      <c r="H183" s="58">
        <f t="shared" si="173"/>
        <v>12</v>
      </c>
      <c r="I183" s="58">
        <f t="shared" si="173"/>
        <v>-20</v>
      </c>
      <c r="J183" s="58">
        <f t="shared" si="173"/>
        <v>0</v>
      </c>
      <c r="K183" s="58">
        <f t="shared" si="173"/>
        <v>0</v>
      </c>
      <c r="L183" s="58">
        <f t="shared" si="173"/>
        <v>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0" customHeight="1">
      <c r="A184" s="70"/>
      <c r="B184" s="71"/>
      <c r="C184" s="66"/>
      <c r="D184" s="66">
        <f t="shared" si="3"/>
        <v>0</v>
      </c>
      <c r="E184" s="67"/>
      <c r="F184" s="58">
        <f t="shared" ref="F184:L184" si="174">SUMIFS($C184,$B184,F$7)+F183</f>
        <v>26</v>
      </c>
      <c r="G184" s="58">
        <f t="shared" si="174"/>
        <v>24</v>
      </c>
      <c r="H184" s="58">
        <f t="shared" si="174"/>
        <v>12</v>
      </c>
      <c r="I184" s="58">
        <f t="shared" si="174"/>
        <v>-20</v>
      </c>
      <c r="J184" s="58">
        <f t="shared" si="174"/>
        <v>0</v>
      </c>
      <c r="K184" s="58">
        <f t="shared" si="174"/>
        <v>0</v>
      </c>
      <c r="L184" s="58">
        <f t="shared" si="174"/>
        <v>0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0" customHeight="1">
      <c r="A185" s="70"/>
      <c r="B185" s="71"/>
      <c r="C185" s="66"/>
      <c r="D185" s="66">
        <f t="shared" si="3"/>
        <v>0</v>
      </c>
      <c r="E185" s="67"/>
      <c r="F185" s="58">
        <f t="shared" ref="F185:L185" si="175">SUMIFS($C185,$B185,F$7)+F184</f>
        <v>26</v>
      </c>
      <c r="G185" s="58">
        <f t="shared" si="175"/>
        <v>24</v>
      </c>
      <c r="H185" s="58">
        <f t="shared" si="175"/>
        <v>12</v>
      </c>
      <c r="I185" s="58">
        <f t="shared" si="175"/>
        <v>-20</v>
      </c>
      <c r="J185" s="58">
        <f t="shared" si="175"/>
        <v>0</v>
      </c>
      <c r="K185" s="58">
        <f t="shared" si="175"/>
        <v>0</v>
      </c>
      <c r="L185" s="58">
        <f t="shared" si="175"/>
        <v>0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0" customHeight="1">
      <c r="A186" s="70"/>
      <c r="B186" s="71"/>
      <c r="C186" s="66"/>
      <c r="D186" s="66">
        <f t="shared" si="3"/>
        <v>0</v>
      </c>
      <c r="E186" s="67"/>
      <c r="F186" s="58">
        <f t="shared" ref="F186:L186" si="176">SUMIFS($C186,$B186,F$7)+F185</f>
        <v>26</v>
      </c>
      <c r="G186" s="58">
        <f t="shared" si="176"/>
        <v>24</v>
      </c>
      <c r="H186" s="58">
        <f t="shared" si="176"/>
        <v>12</v>
      </c>
      <c r="I186" s="58">
        <f t="shared" si="176"/>
        <v>-20</v>
      </c>
      <c r="J186" s="58">
        <f t="shared" si="176"/>
        <v>0</v>
      </c>
      <c r="K186" s="58">
        <f t="shared" si="176"/>
        <v>0</v>
      </c>
      <c r="L186" s="58">
        <f t="shared" si="176"/>
        <v>0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0" customHeight="1">
      <c r="A187" s="70"/>
      <c r="B187" s="71"/>
      <c r="C187" s="66"/>
      <c r="D187" s="66">
        <f t="shared" si="3"/>
        <v>0</v>
      </c>
      <c r="E187" s="67"/>
      <c r="F187" s="58">
        <f t="shared" ref="F187:L187" si="177">SUMIFS($C187,$B187,F$7)+F186</f>
        <v>26</v>
      </c>
      <c r="G187" s="58">
        <f t="shared" si="177"/>
        <v>24</v>
      </c>
      <c r="H187" s="58">
        <f t="shared" si="177"/>
        <v>12</v>
      </c>
      <c r="I187" s="58">
        <f t="shared" si="177"/>
        <v>-20</v>
      </c>
      <c r="J187" s="58">
        <f t="shared" si="177"/>
        <v>0</v>
      </c>
      <c r="K187" s="58">
        <f t="shared" si="177"/>
        <v>0</v>
      </c>
      <c r="L187" s="58">
        <f t="shared" si="177"/>
        <v>0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0" customHeight="1">
      <c r="A188" s="70"/>
      <c r="B188" s="71"/>
      <c r="C188" s="66"/>
      <c r="D188" s="66">
        <f t="shared" si="3"/>
        <v>0</v>
      </c>
      <c r="E188" s="67"/>
      <c r="F188" s="58">
        <f t="shared" ref="F188:L188" si="178">SUMIFS($C188,$B188,F$7)+F187</f>
        <v>26</v>
      </c>
      <c r="G188" s="58">
        <f t="shared" si="178"/>
        <v>24</v>
      </c>
      <c r="H188" s="58">
        <f t="shared" si="178"/>
        <v>12</v>
      </c>
      <c r="I188" s="58">
        <f t="shared" si="178"/>
        <v>-20</v>
      </c>
      <c r="J188" s="58">
        <f t="shared" si="178"/>
        <v>0</v>
      </c>
      <c r="K188" s="58">
        <f t="shared" si="178"/>
        <v>0</v>
      </c>
      <c r="L188" s="58">
        <f t="shared" si="178"/>
        <v>0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0" customHeight="1">
      <c r="A189" s="70"/>
      <c r="B189" s="71"/>
      <c r="C189" s="66"/>
      <c r="D189" s="66">
        <f t="shared" si="3"/>
        <v>0</v>
      </c>
      <c r="E189" s="67"/>
      <c r="F189" s="58">
        <f t="shared" ref="F189:L189" si="179">SUMIFS($C189,$B189,F$7)+F188</f>
        <v>26</v>
      </c>
      <c r="G189" s="58">
        <f t="shared" si="179"/>
        <v>24</v>
      </c>
      <c r="H189" s="58">
        <f t="shared" si="179"/>
        <v>12</v>
      </c>
      <c r="I189" s="58">
        <f t="shared" si="179"/>
        <v>-20</v>
      </c>
      <c r="J189" s="58">
        <f t="shared" si="179"/>
        <v>0</v>
      </c>
      <c r="K189" s="58">
        <f t="shared" si="179"/>
        <v>0</v>
      </c>
      <c r="L189" s="58">
        <f t="shared" si="179"/>
        <v>0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0" customHeight="1">
      <c r="A190" s="70"/>
      <c r="B190" s="71"/>
      <c r="C190" s="66"/>
      <c r="D190" s="66">
        <f t="shared" si="3"/>
        <v>0</v>
      </c>
      <c r="E190" s="67"/>
      <c r="F190" s="58">
        <f t="shared" ref="F190:L190" si="180">SUMIFS($C190,$B190,F$7)+F189</f>
        <v>26</v>
      </c>
      <c r="G190" s="58">
        <f t="shared" si="180"/>
        <v>24</v>
      </c>
      <c r="H190" s="58">
        <f t="shared" si="180"/>
        <v>12</v>
      </c>
      <c r="I190" s="58">
        <f t="shared" si="180"/>
        <v>-20</v>
      </c>
      <c r="J190" s="58">
        <f t="shared" si="180"/>
        <v>0</v>
      </c>
      <c r="K190" s="58">
        <f t="shared" si="180"/>
        <v>0</v>
      </c>
      <c r="L190" s="58">
        <f t="shared" si="180"/>
        <v>0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0" customHeight="1">
      <c r="A191" s="70"/>
      <c r="B191" s="71"/>
      <c r="C191" s="66"/>
      <c r="D191" s="66">
        <f t="shared" si="3"/>
        <v>0</v>
      </c>
      <c r="E191" s="67"/>
      <c r="F191" s="58">
        <f t="shared" ref="F191:L191" si="181">SUMIFS($C191,$B191,F$7)+F190</f>
        <v>26</v>
      </c>
      <c r="G191" s="58">
        <f t="shared" si="181"/>
        <v>24</v>
      </c>
      <c r="H191" s="58">
        <f t="shared" si="181"/>
        <v>12</v>
      </c>
      <c r="I191" s="58">
        <f t="shared" si="181"/>
        <v>-20</v>
      </c>
      <c r="J191" s="58">
        <f t="shared" si="181"/>
        <v>0</v>
      </c>
      <c r="K191" s="58">
        <f t="shared" si="181"/>
        <v>0</v>
      </c>
      <c r="L191" s="58">
        <f t="shared" si="181"/>
        <v>0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0" customHeight="1">
      <c r="A192" s="70"/>
      <c r="B192" s="71"/>
      <c r="C192" s="66"/>
      <c r="D192" s="66">
        <f t="shared" si="3"/>
        <v>0</v>
      </c>
      <c r="E192" s="67"/>
      <c r="F192" s="58">
        <f t="shared" ref="F192:L192" si="182">SUMIFS($C192,$B192,F$7)+F191</f>
        <v>26</v>
      </c>
      <c r="G192" s="58">
        <f t="shared" si="182"/>
        <v>24</v>
      </c>
      <c r="H192" s="58">
        <f t="shared" si="182"/>
        <v>12</v>
      </c>
      <c r="I192" s="58">
        <f t="shared" si="182"/>
        <v>-20</v>
      </c>
      <c r="J192" s="58">
        <f t="shared" si="182"/>
        <v>0</v>
      </c>
      <c r="K192" s="58">
        <f t="shared" si="182"/>
        <v>0</v>
      </c>
      <c r="L192" s="58">
        <f t="shared" si="182"/>
        <v>0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0" customHeight="1">
      <c r="A193" s="70"/>
      <c r="B193" s="71"/>
      <c r="C193" s="66"/>
      <c r="D193" s="66">
        <f t="shared" si="3"/>
        <v>0</v>
      </c>
      <c r="E193" s="67"/>
      <c r="F193" s="58">
        <f t="shared" ref="F193:L193" si="183">SUMIFS($C193,$B193,F$7)+F192</f>
        <v>26</v>
      </c>
      <c r="G193" s="58">
        <f t="shared" si="183"/>
        <v>24</v>
      </c>
      <c r="H193" s="58">
        <f t="shared" si="183"/>
        <v>12</v>
      </c>
      <c r="I193" s="58">
        <f t="shared" si="183"/>
        <v>-20</v>
      </c>
      <c r="J193" s="58">
        <f t="shared" si="183"/>
        <v>0</v>
      </c>
      <c r="K193" s="58">
        <f t="shared" si="183"/>
        <v>0</v>
      </c>
      <c r="L193" s="58">
        <f t="shared" si="183"/>
        <v>0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0" customHeight="1">
      <c r="A194" s="70"/>
      <c r="B194" s="71"/>
      <c r="C194" s="66"/>
      <c r="D194" s="66">
        <f t="shared" si="3"/>
        <v>0</v>
      </c>
      <c r="E194" s="67"/>
      <c r="F194" s="58">
        <f t="shared" ref="F194:L194" si="184">SUMIFS($C194,$B194,F$7)+F193</f>
        <v>26</v>
      </c>
      <c r="G194" s="58">
        <f t="shared" si="184"/>
        <v>24</v>
      </c>
      <c r="H194" s="58">
        <f t="shared" si="184"/>
        <v>12</v>
      </c>
      <c r="I194" s="58">
        <f t="shared" si="184"/>
        <v>-20</v>
      </c>
      <c r="J194" s="58">
        <f t="shared" si="184"/>
        <v>0</v>
      </c>
      <c r="K194" s="58">
        <f t="shared" si="184"/>
        <v>0</v>
      </c>
      <c r="L194" s="58">
        <f t="shared" si="184"/>
        <v>0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0" customHeight="1">
      <c r="A195" s="70"/>
      <c r="B195" s="71"/>
      <c r="C195" s="66"/>
      <c r="D195" s="66">
        <f t="shared" si="3"/>
        <v>0</v>
      </c>
      <c r="E195" s="67"/>
      <c r="F195" s="58">
        <f t="shared" ref="F195:L195" si="185">SUMIFS($C195,$B195,F$7)+F194</f>
        <v>26</v>
      </c>
      <c r="G195" s="58">
        <f t="shared" si="185"/>
        <v>24</v>
      </c>
      <c r="H195" s="58">
        <f t="shared" si="185"/>
        <v>12</v>
      </c>
      <c r="I195" s="58">
        <f t="shared" si="185"/>
        <v>-20</v>
      </c>
      <c r="J195" s="58">
        <f t="shared" si="185"/>
        <v>0</v>
      </c>
      <c r="K195" s="58">
        <f t="shared" si="185"/>
        <v>0</v>
      </c>
      <c r="L195" s="58">
        <f t="shared" si="185"/>
        <v>0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0" customHeight="1">
      <c r="A196" s="70"/>
      <c r="B196" s="71"/>
      <c r="C196" s="66"/>
      <c r="D196" s="66">
        <f t="shared" si="3"/>
        <v>0</v>
      </c>
      <c r="E196" s="67"/>
      <c r="F196" s="58">
        <f t="shared" ref="F196:L196" si="186">SUMIFS($C196,$B196,F$7)+F195</f>
        <v>26</v>
      </c>
      <c r="G196" s="58">
        <f t="shared" si="186"/>
        <v>24</v>
      </c>
      <c r="H196" s="58">
        <f t="shared" si="186"/>
        <v>12</v>
      </c>
      <c r="I196" s="58">
        <f t="shared" si="186"/>
        <v>-20</v>
      </c>
      <c r="J196" s="58">
        <f t="shared" si="186"/>
        <v>0</v>
      </c>
      <c r="K196" s="58">
        <f t="shared" si="186"/>
        <v>0</v>
      </c>
      <c r="L196" s="58">
        <f t="shared" si="186"/>
        <v>0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0" customHeight="1">
      <c r="A197" s="70"/>
      <c r="B197" s="71"/>
      <c r="C197" s="66"/>
      <c r="D197" s="66">
        <f t="shared" si="3"/>
        <v>0</v>
      </c>
      <c r="E197" s="67"/>
      <c r="F197" s="58">
        <f t="shared" ref="F197:L197" si="187">SUMIFS($C197,$B197,F$7)+F196</f>
        <v>26</v>
      </c>
      <c r="G197" s="58">
        <f t="shared" si="187"/>
        <v>24</v>
      </c>
      <c r="H197" s="58">
        <f t="shared" si="187"/>
        <v>12</v>
      </c>
      <c r="I197" s="58">
        <f t="shared" si="187"/>
        <v>-20</v>
      </c>
      <c r="J197" s="58">
        <f t="shared" si="187"/>
        <v>0</v>
      </c>
      <c r="K197" s="58">
        <f t="shared" si="187"/>
        <v>0</v>
      </c>
      <c r="L197" s="58">
        <f t="shared" si="187"/>
        <v>0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0" customHeight="1">
      <c r="A198" s="70"/>
      <c r="B198" s="71"/>
      <c r="C198" s="66"/>
      <c r="D198" s="66">
        <f t="shared" si="3"/>
        <v>0</v>
      </c>
      <c r="E198" s="67"/>
      <c r="F198" s="58">
        <f t="shared" ref="F198:L198" si="188">SUMIFS($C198,$B198,F$7)+F197</f>
        <v>26</v>
      </c>
      <c r="G198" s="58">
        <f t="shared" si="188"/>
        <v>24</v>
      </c>
      <c r="H198" s="58">
        <f t="shared" si="188"/>
        <v>12</v>
      </c>
      <c r="I198" s="58">
        <f t="shared" si="188"/>
        <v>-20</v>
      </c>
      <c r="J198" s="58">
        <f t="shared" si="188"/>
        <v>0</v>
      </c>
      <c r="K198" s="58">
        <f t="shared" si="188"/>
        <v>0</v>
      </c>
      <c r="L198" s="58">
        <f t="shared" si="188"/>
        <v>0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0" customHeight="1">
      <c r="A199" s="70"/>
      <c r="B199" s="71"/>
      <c r="C199" s="66"/>
      <c r="D199" s="66">
        <f t="shared" si="3"/>
        <v>0</v>
      </c>
      <c r="E199" s="67"/>
      <c r="F199" s="58">
        <f t="shared" ref="F199:L199" si="189">SUMIFS($C199,$B199,F$7)+F198</f>
        <v>26</v>
      </c>
      <c r="G199" s="58">
        <f t="shared" si="189"/>
        <v>24</v>
      </c>
      <c r="H199" s="58">
        <f t="shared" si="189"/>
        <v>12</v>
      </c>
      <c r="I199" s="58">
        <f t="shared" si="189"/>
        <v>-20</v>
      </c>
      <c r="J199" s="58">
        <f t="shared" si="189"/>
        <v>0</v>
      </c>
      <c r="K199" s="58">
        <f t="shared" si="189"/>
        <v>0</v>
      </c>
      <c r="L199" s="58">
        <f t="shared" si="189"/>
        <v>0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0" customHeight="1">
      <c r="A200" s="70"/>
      <c r="B200" s="71"/>
      <c r="C200" s="66"/>
      <c r="D200" s="66">
        <f t="shared" si="3"/>
        <v>0</v>
      </c>
      <c r="E200" s="67"/>
      <c r="F200" s="58">
        <f t="shared" ref="F200:L200" si="190">SUMIFS($C200,$B200,F$7)+F199</f>
        <v>26</v>
      </c>
      <c r="G200" s="58">
        <f t="shared" si="190"/>
        <v>24</v>
      </c>
      <c r="H200" s="58">
        <f t="shared" si="190"/>
        <v>12</v>
      </c>
      <c r="I200" s="58">
        <f t="shared" si="190"/>
        <v>-20</v>
      </c>
      <c r="J200" s="58">
        <f t="shared" si="190"/>
        <v>0</v>
      </c>
      <c r="K200" s="58">
        <f t="shared" si="190"/>
        <v>0</v>
      </c>
      <c r="L200" s="58">
        <f t="shared" si="190"/>
        <v>0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0" customHeight="1">
      <c r="A201" s="70"/>
      <c r="B201" s="71"/>
      <c r="C201" s="66"/>
      <c r="D201" s="66">
        <f t="shared" si="3"/>
        <v>0</v>
      </c>
      <c r="E201" s="67"/>
      <c r="F201" s="58">
        <f t="shared" ref="F201:L201" si="191">SUMIFS($C201,$B201,F$7)+F200</f>
        <v>26</v>
      </c>
      <c r="G201" s="58">
        <f t="shared" si="191"/>
        <v>24</v>
      </c>
      <c r="H201" s="58">
        <f t="shared" si="191"/>
        <v>12</v>
      </c>
      <c r="I201" s="58">
        <f t="shared" si="191"/>
        <v>-20</v>
      </c>
      <c r="J201" s="58">
        <f t="shared" si="191"/>
        <v>0</v>
      </c>
      <c r="K201" s="58">
        <f t="shared" si="191"/>
        <v>0</v>
      </c>
      <c r="L201" s="58">
        <f t="shared" si="191"/>
        <v>0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0" customHeight="1">
      <c r="A202" s="70"/>
      <c r="B202" s="71"/>
      <c r="C202" s="66"/>
      <c r="D202" s="66">
        <f t="shared" si="3"/>
        <v>0</v>
      </c>
      <c r="E202" s="67"/>
      <c r="F202" s="58">
        <f t="shared" ref="F202:L202" si="192">SUMIFS($C202,$B202,F$7)+F201</f>
        <v>26</v>
      </c>
      <c r="G202" s="58">
        <f t="shared" si="192"/>
        <v>24</v>
      </c>
      <c r="H202" s="58">
        <f t="shared" si="192"/>
        <v>12</v>
      </c>
      <c r="I202" s="58">
        <f t="shared" si="192"/>
        <v>-20</v>
      </c>
      <c r="J202" s="58">
        <f t="shared" si="192"/>
        <v>0</v>
      </c>
      <c r="K202" s="58">
        <f t="shared" si="192"/>
        <v>0</v>
      </c>
      <c r="L202" s="58">
        <f t="shared" si="192"/>
        <v>0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0" customHeight="1">
      <c r="A203" s="70"/>
      <c r="B203" s="71"/>
      <c r="C203" s="66"/>
      <c r="D203" s="66">
        <f t="shared" si="3"/>
        <v>0</v>
      </c>
      <c r="E203" s="67"/>
      <c r="F203" s="58">
        <f t="shared" ref="F203:L203" si="193">SUMIFS($C203,$B203,F$7)+F202</f>
        <v>26</v>
      </c>
      <c r="G203" s="58">
        <f t="shared" si="193"/>
        <v>24</v>
      </c>
      <c r="H203" s="58">
        <f t="shared" si="193"/>
        <v>12</v>
      </c>
      <c r="I203" s="58">
        <f t="shared" si="193"/>
        <v>-20</v>
      </c>
      <c r="J203" s="58">
        <f t="shared" si="193"/>
        <v>0</v>
      </c>
      <c r="K203" s="58">
        <f t="shared" si="193"/>
        <v>0</v>
      </c>
      <c r="L203" s="58">
        <f t="shared" si="193"/>
        <v>0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0" customHeight="1">
      <c r="A204" s="70"/>
      <c r="B204" s="71"/>
      <c r="C204" s="66"/>
      <c r="D204" s="66">
        <f t="shared" si="3"/>
        <v>0</v>
      </c>
      <c r="E204" s="67"/>
      <c r="F204" s="58">
        <f t="shared" ref="F204:L204" si="194">SUMIFS($C204,$B204,F$7)+F203</f>
        <v>26</v>
      </c>
      <c r="G204" s="58">
        <f t="shared" si="194"/>
        <v>24</v>
      </c>
      <c r="H204" s="58">
        <f t="shared" si="194"/>
        <v>12</v>
      </c>
      <c r="I204" s="58">
        <f t="shared" si="194"/>
        <v>-20</v>
      </c>
      <c r="J204" s="58">
        <f t="shared" si="194"/>
        <v>0</v>
      </c>
      <c r="K204" s="58">
        <f t="shared" si="194"/>
        <v>0</v>
      </c>
      <c r="L204" s="58">
        <f t="shared" si="194"/>
        <v>0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0" customHeight="1">
      <c r="A205" s="70"/>
      <c r="B205" s="71"/>
      <c r="C205" s="66"/>
      <c r="D205" s="66">
        <f t="shared" si="3"/>
        <v>0</v>
      </c>
      <c r="E205" s="67"/>
      <c r="F205" s="58">
        <f t="shared" ref="F205:L205" si="195">SUMIFS($C205,$B205,F$7)+F204</f>
        <v>26</v>
      </c>
      <c r="G205" s="58">
        <f t="shared" si="195"/>
        <v>24</v>
      </c>
      <c r="H205" s="58">
        <f t="shared" si="195"/>
        <v>12</v>
      </c>
      <c r="I205" s="58">
        <f t="shared" si="195"/>
        <v>-20</v>
      </c>
      <c r="J205" s="58">
        <f t="shared" si="195"/>
        <v>0</v>
      </c>
      <c r="K205" s="58">
        <f t="shared" si="195"/>
        <v>0</v>
      </c>
      <c r="L205" s="58">
        <f t="shared" si="195"/>
        <v>0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0" customHeight="1">
      <c r="A206" s="70"/>
      <c r="B206" s="71"/>
      <c r="C206" s="66"/>
      <c r="D206" s="66">
        <f t="shared" si="3"/>
        <v>0</v>
      </c>
      <c r="E206" s="67"/>
      <c r="F206" s="58">
        <f t="shared" ref="F206:L206" si="196">SUMIFS($C206,$B206,F$7)+F205</f>
        <v>26</v>
      </c>
      <c r="G206" s="58">
        <f t="shared" si="196"/>
        <v>24</v>
      </c>
      <c r="H206" s="58">
        <f t="shared" si="196"/>
        <v>12</v>
      </c>
      <c r="I206" s="58">
        <f t="shared" si="196"/>
        <v>-20</v>
      </c>
      <c r="J206" s="58">
        <f t="shared" si="196"/>
        <v>0</v>
      </c>
      <c r="K206" s="58">
        <f t="shared" si="196"/>
        <v>0</v>
      </c>
      <c r="L206" s="58">
        <f t="shared" si="196"/>
        <v>0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0" customHeight="1">
      <c r="A207" s="70"/>
      <c r="B207" s="71"/>
      <c r="C207" s="66"/>
      <c r="D207" s="66">
        <f t="shared" si="3"/>
        <v>0</v>
      </c>
      <c r="E207" s="67"/>
      <c r="F207" s="58">
        <f t="shared" ref="F207:L207" si="197">SUMIFS($C207,$B207,F$7)+F206</f>
        <v>26</v>
      </c>
      <c r="G207" s="58">
        <f t="shared" si="197"/>
        <v>24</v>
      </c>
      <c r="H207" s="58">
        <f t="shared" si="197"/>
        <v>12</v>
      </c>
      <c r="I207" s="58">
        <f t="shared" si="197"/>
        <v>-20</v>
      </c>
      <c r="J207" s="58">
        <f t="shared" si="197"/>
        <v>0</v>
      </c>
      <c r="K207" s="58">
        <f t="shared" si="197"/>
        <v>0</v>
      </c>
      <c r="L207" s="58">
        <f t="shared" si="197"/>
        <v>0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0" customHeight="1">
      <c r="A208" s="70"/>
      <c r="B208" s="71"/>
      <c r="C208" s="66"/>
      <c r="D208" s="66">
        <f t="shared" si="3"/>
        <v>0</v>
      </c>
      <c r="E208" s="67"/>
      <c r="F208" s="58">
        <f t="shared" ref="F208:L208" si="198">SUMIFS($C208,$B208,F$7)+F207</f>
        <v>26</v>
      </c>
      <c r="G208" s="58">
        <f t="shared" si="198"/>
        <v>24</v>
      </c>
      <c r="H208" s="58">
        <f t="shared" si="198"/>
        <v>12</v>
      </c>
      <c r="I208" s="58">
        <f t="shared" si="198"/>
        <v>-20</v>
      </c>
      <c r="J208" s="58">
        <f t="shared" si="198"/>
        <v>0</v>
      </c>
      <c r="K208" s="58">
        <f t="shared" si="198"/>
        <v>0</v>
      </c>
      <c r="L208" s="58">
        <f t="shared" si="198"/>
        <v>0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0" customHeight="1">
      <c r="A209" s="70"/>
      <c r="B209" s="71"/>
      <c r="C209" s="66"/>
      <c r="D209" s="66">
        <f t="shared" si="3"/>
        <v>0</v>
      </c>
      <c r="E209" s="67"/>
      <c r="F209" s="58">
        <f t="shared" ref="F209:L209" si="199">SUMIFS($C209,$B209,F$7)+F208</f>
        <v>26</v>
      </c>
      <c r="G209" s="58">
        <f t="shared" si="199"/>
        <v>24</v>
      </c>
      <c r="H209" s="58">
        <f t="shared" si="199"/>
        <v>12</v>
      </c>
      <c r="I209" s="58">
        <f t="shared" si="199"/>
        <v>-20</v>
      </c>
      <c r="J209" s="58">
        <f t="shared" si="199"/>
        <v>0</v>
      </c>
      <c r="K209" s="58">
        <f t="shared" si="199"/>
        <v>0</v>
      </c>
      <c r="L209" s="58">
        <f t="shared" si="199"/>
        <v>0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0" customHeight="1">
      <c r="A210" s="70"/>
      <c r="B210" s="71"/>
      <c r="C210" s="66"/>
      <c r="D210" s="66">
        <f t="shared" si="3"/>
        <v>0</v>
      </c>
      <c r="E210" s="67"/>
      <c r="F210" s="58">
        <f t="shared" ref="F210:L210" si="200">SUMIFS($C210,$B210,F$7)+F209</f>
        <v>26</v>
      </c>
      <c r="G210" s="58">
        <f t="shared" si="200"/>
        <v>24</v>
      </c>
      <c r="H210" s="58">
        <f t="shared" si="200"/>
        <v>12</v>
      </c>
      <c r="I210" s="58">
        <f t="shared" si="200"/>
        <v>-20</v>
      </c>
      <c r="J210" s="58">
        <f t="shared" si="200"/>
        <v>0</v>
      </c>
      <c r="K210" s="58">
        <f t="shared" si="200"/>
        <v>0</v>
      </c>
      <c r="L210" s="58">
        <f t="shared" si="200"/>
        <v>0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0" customHeight="1">
      <c r="A211" s="70"/>
      <c r="B211" s="71"/>
      <c r="C211" s="66"/>
      <c r="D211" s="66">
        <f t="shared" si="3"/>
        <v>0</v>
      </c>
      <c r="E211" s="67"/>
      <c r="F211" s="58">
        <f t="shared" ref="F211:L211" si="201">SUMIFS($C211,$B211,F$7)+F210</f>
        <v>26</v>
      </c>
      <c r="G211" s="58">
        <f t="shared" si="201"/>
        <v>24</v>
      </c>
      <c r="H211" s="58">
        <f t="shared" si="201"/>
        <v>12</v>
      </c>
      <c r="I211" s="58">
        <f t="shared" si="201"/>
        <v>-20</v>
      </c>
      <c r="J211" s="58">
        <f t="shared" si="201"/>
        <v>0</v>
      </c>
      <c r="K211" s="58">
        <f t="shared" si="201"/>
        <v>0</v>
      </c>
      <c r="L211" s="58">
        <f t="shared" si="201"/>
        <v>0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0" customHeight="1">
      <c r="A212" s="70"/>
      <c r="B212" s="71"/>
      <c r="C212" s="66"/>
      <c r="D212" s="66">
        <f t="shared" si="3"/>
        <v>0</v>
      </c>
      <c r="E212" s="67"/>
      <c r="F212" s="58">
        <f t="shared" ref="F212:L212" si="202">SUMIFS($C212,$B212,F$7)+F211</f>
        <v>26</v>
      </c>
      <c r="G212" s="58">
        <f t="shared" si="202"/>
        <v>24</v>
      </c>
      <c r="H212" s="58">
        <f t="shared" si="202"/>
        <v>12</v>
      </c>
      <c r="I212" s="58">
        <f t="shared" si="202"/>
        <v>-20</v>
      </c>
      <c r="J212" s="58">
        <f t="shared" si="202"/>
        <v>0</v>
      </c>
      <c r="K212" s="58">
        <f t="shared" si="202"/>
        <v>0</v>
      </c>
      <c r="L212" s="58">
        <f t="shared" si="202"/>
        <v>0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0" customHeight="1">
      <c r="A213" s="70"/>
      <c r="B213" s="71"/>
      <c r="C213" s="66"/>
      <c r="D213" s="66">
        <f t="shared" si="3"/>
        <v>0</v>
      </c>
      <c r="E213" s="67"/>
      <c r="F213" s="58">
        <f t="shared" ref="F213:L213" si="203">SUMIFS($C213,$B213,F$7)+F212</f>
        <v>26</v>
      </c>
      <c r="G213" s="58">
        <f t="shared" si="203"/>
        <v>24</v>
      </c>
      <c r="H213" s="58">
        <f t="shared" si="203"/>
        <v>12</v>
      </c>
      <c r="I213" s="58">
        <f t="shared" si="203"/>
        <v>-20</v>
      </c>
      <c r="J213" s="58">
        <f t="shared" si="203"/>
        <v>0</v>
      </c>
      <c r="K213" s="58">
        <f t="shared" si="203"/>
        <v>0</v>
      </c>
      <c r="L213" s="58">
        <f t="shared" si="203"/>
        <v>0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0" customHeight="1">
      <c r="A214" s="70"/>
      <c r="B214" s="71"/>
      <c r="C214" s="66"/>
      <c r="D214" s="66">
        <f t="shared" si="3"/>
        <v>0</v>
      </c>
      <c r="E214" s="67"/>
      <c r="F214" s="58">
        <f t="shared" ref="F214:L214" si="204">SUMIFS($C214,$B214,F$7)+F213</f>
        <v>26</v>
      </c>
      <c r="G214" s="58">
        <f t="shared" si="204"/>
        <v>24</v>
      </c>
      <c r="H214" s="58">
        <f t="shared" si="204"/>
        <v>12</v>
      </c>
      <c r="I214" s="58">
        <f t="shared" si="204"/>
        <v>-20</v>
      </c>
      <c r="J214" s="58">
        <f t="shared" si="204"/>
        <v>0</v>
      </c>
      <c r="K214" s="58">
        <f t="shared" si="204"/>
        <v>0</v>
      </c>
      <c r="L214" s="58">
        <f t="shared" si="204"/>
        <v>0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0" customHeight="1">
      <c r="A215" s="70"/>
      <c r="B215" s="71"/>
      <c r="C215" s="66"/>
      <c r="D215" s="66">
        <f t="shared" si="3"/>
        <v>0</v>
      </c>
      <c r="E215" s="67"/>
      <c r="F215" s="58">
        <f t="shared" ref="F215:L215" si="205">SUMIFS($C215,$B215,F$7)+F214</f>
        <v>26</v>
      </c>
      <c r="G215" s="58">
        <f t="shared" si="205"/>
        <v>24</v>
      </c>
      <c r="H215" s="58">
        <f t="shared" si="205"/>
        <v>12</v>
      </c>
      <c r="I215" s="58">
        <f t="shared" si="205"/>
        <v>-20</v>
      </c>
      <c r="J215" s="58">
        <f t="shared" si="205"/>
        <v>0</v>
      </c>
      <c r="K215" s="58">
        <f t="shared" si="205"/>
        <v>0</v>
      </c>
      <c r="L215" s="58">
        <f t="shared" si="205"/>
        <v>0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0" customHeight="1">
      <c r="A216" s="70"/>
      <c r="B216" s="71"/>
      <c r="C216" s="66"/>
      <c r="D216" s="66">
        <f t="shared" si="3"/>
        <v>0</v>
      </c>
      <c r="E216" s="67"/>
      <c r="F216" s="58">
        <f t="shared" ref="F216:L216" si="206">SUMIFS($C216,$B216,F$7)+F215</f>
        <v>26</v>
      </c>
      <c r="G216" s="58">
        <f t="shared" si="206"/>
        <v>24</v>
      </c>
      <c r="H216" s="58">
        <f t="shared" si="206"/>
        <v>12</v>
      </c>
      <c r="I216" s="58">
        <f t="shared" si="206"/>
        <v>-20</v>
      </c>
      <c r="J216" s="58">
        <f t="shared" si="206"/>
        <v>0</v>
      </c>
      <c r="K216" s="58">
        <f t="shared" si="206"/>
        <v>0</v>
      </c>
      <c r="L216" s="58">
        <f t="shared" si="206"/>
        <v>0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0" customHeight="1">
      <c r="A217" s="70"/>
      <c r="B217" s="71"/>
      <c r="C217" s="66"/>
      <c r="D217" s="66">
        <f t="shared" si="3"/>
        <v>0</v>
      </c>
      <c r="E217" s="67"/>
      <c r="F217" s="58">
        <f t="shared" ref="F217:L217" si="207">SUMIFS($C217,$B217,F$7)+F216</f>
        <v>26</v>
      </c>
      <c r="G217" s="58">
        <f t="shared" si="207"/>
        <v>24</v>
      </c>
      <c r="H217" s="58">
        <f t="shared" si="207"/>
        <v>12</v>
      </c>
      <c r="I217" s="58">
        <f t="shared" si="207"/>
        <v>-20</v>
      </c>
      <c r="J217" s="58">
        <f t="shared" si="207"/>
        <v>0</v>
      </c>
      <c r="K217" s="58">
        <f t="shared" si="207"/>
        <v>0</v>
      </c>
      <c r="L217" s="58">
        <f t="shared" si="207"/>
        <v>0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0" customHeight="1">
      <c r="A218" s="70"/>
      <c r="B218" s="71"/>
      <c r="C218" s="66"/>
      <c r="D218" s="66">
        <f t="shared" si="3"/>
        <v>0</v>
      </c>
      <c r="E218" s="67"/>
      <c r="F218" s="58">
        <f t="shared" ref="F218:L218" si="208">SUMIFS($C218,$B218,F$7)+F217</f>
        <v>26</v>
      </c>
      <c r="G218" s="58">
        <f t="shared" si="208"/>
        <v>24</v>
      </c>
      <c r="H218" s="58">
        <f t="shared" si="208"/>
        <v>12</v>
      </c>
      <c r="I218" s="58">
        <f t="shared" si="208"/>
        <v>-20</v>
      </c>
      <c r="J218" s="58">
        <f t="shared" si="208"/>
        <v>0</v>
      </c>
      <c r="K218" s="58">
        <f t="shared" si="208"/>
        <v>0</v>
      </c>
      <c r="L218" s="58">
        <f t="shared" si="208"/>
        <v>0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0" customHeight="1">
      <c r="A219" s="70"/>
      <c r="B219" s="71"/>
      <c r="C219" s="66"/>
      <c r="D219" s="66">
        <f t="shared" si="3"/>
        <v>0</v>
      </c>
      <c r="E219" s="67"/>
      <c r="F219" s="58">
        <f t="shared" ref="F219:L219" si="209">SUMIFS($C219,$B219,F$7)+F218</f>
        <v>26</v>
      </c>
      <c r="G219" s="58">
        <f t="shared" si="209"/>
        <v>24</v>
      </c>
      <c r="H219" s="58">
        <f t="shared" si="209"/>
        <v>12</v>
      </c>
      <c r="I219" s="58">
        <f t="shared" si="209"/>
        <v>-20</v>
      </c>
      <c r="J219" s="58">
        <f t="shared" si="209"/>
        <v>0</v>
      </c>
      <c r="K219" s="58">
        <f t="shared" si="209"/>
        <v>0</v>
      </c>
      <c r="L219" s="58">
        <f t="shared" si="209"/>
        <v>0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0" customHeight="1">
      <c r="A220" s="70"/>
      <c r="B220" s="71"/>
      <c r="C220" s="66"/>
      <c r="D220" s="66">
        <f t="shared" si="3"/>
        <v>0</v>
      </c>
      <c r="E220" s="67"/>
      <c r="F220" s="58">
        <f t="shared" ref="F220:L220" si="210">SUMIFS($C220,$B220,F$7)+F219</f>
        <v>26</v>
      </c>
      <c r="G220" s="58">
        <f t="shared" si="210"/>
        <v>24</v>
      </c>
      <c r="H220" s="58">
        <f t="shared" si="210"/>
        <v>12</v>
      </c>
      <c r="I220" s="58">
        <f t="shared" si="210"/>
        <v>-20</v>
      </c>
      <c r="J220" s="58">
        <f t="shared" si="210"/>
        <v>0</v>
      </c>
      <c r="K220" s="58">
        <f t="shared" si="210"/>
        <v>0</v>
      </c>
      <c r="L220" s="58">
        <f t="shared" si="210"/>
        <v>0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0" customHeight="1">
      <c r="A221" s="70"/>
      <c r="B221" s="71"/>
      <c r="C221" s="66"/>
      <c r="D221" s="66">
        <f t="shared" si="3"/>
        <v>0</v>
      </c>
      <c r="E221" s="67"/>
      <c r="F221" s="58">
        <f t="shared" ref="F221:L221" si="211">SUMIFS($C221,$B221,F$7)+F220</f>
        <v>26</v>
      </c>
      <c r="G221" s="58">
        <f t="shared" si="211"/>
        <v>24</v>
      </c>
      <c r="H221" s="58">
        <f t="shared" si="211"/>
        <v>12</v>
      </c>
      <c r="I221" s="58">
        <f t="shared" si="211"/>
        <v>-20</v>
      </c>
      <c r="J221" s="58">
        <f t="shared" si="211"/>
        <v>0</v>
      </c>
      <c r="K221" s="58">
        <f t="shared" si="211"/>
        <v>0</v>
      </c>
      <c r="L221" s="58">
        <f t="shared" si="211"/>
        <v>0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0" customHeight="1">
      <c r="A222" s="70"/>
      <c r="B222" s="71"/>
      <c r="C222" s="66"/>
      <c r="D222" s="66">
        <f t="shared" si="3"/>
        <v>0</v>
      </c>
      <c r="E222" s="67"/>
      <c r="F222" s="58">
        <f t="shared" ref="F222:L222" si="212">SUMIFS($C222,$B222,F$7)+F221</f>
        <v>26</v>
      </c>
      <c r="G222" s="58">
        <f t="shared" si="212"/>
        <v>24</v>
      </c>
      <c r="H222" s="58">
        <f t="shared" si="212"/>
        <v>12</v>
      </c>
      <c r="I222" s="58">
        <f t="shared" si="212"/>
        <v>-20</v>
      </c>
      <c r="J222" s="58">
        <f t="shared" si="212"/>
        <v>0</v>
      </c>
      <c r="K222" s="58">
        <f t="shared" si="212"/>
        <v>0</v>
      </c>
      <c r="L222" s="58">
        <f t="shared" si="212"/>
        <v>0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0" customHeight="1">
      <c r="A223" s="70"/>
      <c r="B223" s="71"/>
      <c r="C223" s="66"/>
      <c r="D223" s="66">
        <f t="shared" si="3"/>
        <v>0</v>
      </c>
      <c r="E223" s="67"/>
      <c r="F223" s="58">
        <f t="shared" ref="F223:L223" si="213">SUMIFS($C223,$B223,F$7)+F222</f>
        <v>26</v>
      </c>
      <c r="G223" s="58">
        <f t="shared" si="213"/>
        <v>24</v>
      </c>
      <c r="H223" s="58">
        <f t="shared" si="213"/>
        <v>12</v>
      </c>
      <c r="I223" s="58">
        <f t="shared" si="213"/>
        <v>-20</v>
      </c>
      <c r="J223" s="58">
        <f t="shared" si="213"/>
        <v>0</v>
      </c>
      <c r="K223" s="58">
        <f t="shared" si="213"/>
        <v>0</v>
      </c>
      <c r="L223" s="58">
        <f t="shared" si="213"/>
        <v>0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0" customHeight="1">
      <c r="A224" s="70"/>
      <c r="B224" s="71"/>
      <c r="C224" s="66"/>
      <c r="D224" s="66">
        <f t="shared" si="3"/>
        <v>0</v>
      </c>
      <c r="E224" s="67"/>
      <c r="F224" s="58">
        <f t="shared" ref="F224:L224" si="214">SUMIFS($C224,$B224,F$7)+F223</f>
        <v>26</v>
      </c>
      <c r="G224" s="58">
        <f t="shared" si="214"/>
        <v>24</v>
      </c>
      <c r="H224" s="58">
        <f t="shared" si="214"/>
        <v>12</v>
      </c>
      <c r="I224" s="58">
        <f t="shared" si="214"/>
        <v>-20</v>
      </c>
      <c r="J224" s="58">
        <f t="shared" si="214"/>
        <v>0</v>
      </c>
      <c r="K224" s="58">
        <f t="shared" si="214"/>
        <v>0</v>
      </c>
      <c r="L224" s="58">
        <f t="shared" si="214"/>
        <v>0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0" customHeight="1">
      <c r="A225" s="70"/>
      <c r="B225" s="71"/>
      <c r="C225" s="66"/>
      <c r="D225" s="66">
        <f t="shared" si="3"/>
        <v>0</v>
      </c>
      <c r="E225" s="67"/>
      <c r="F225" s="58">
        <f t="shared" ref="F225:L225" si="215">SUMIFS($C225,$B225,F$7)+F224</f>
        <v>26</v>
      </c>
      <c r="G225" s="58">
        <f t="shared" si="215"/>
        <v>24</v>
      </c>
      <c r="H225" s="58">
        <f t="shared" si="215"/>
        <v>12</v>
      </c>
      <c r="I225" s="58">
        <f t="shared" si="215"/>
        <v>-20</v>
      </c>
      <c r="J225" s="58">
        <f t="shared" si="215"/>
        <v>0</v>
      </c>
      <c r="K225" s="58">
        <f t="shared" si="215"/>
        <v>0</v>
      </c>
      <c r="L225" s="58">
        <f t="shared" si="215"/>
        <v>0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0" customHeight="1">
      <c r="A226" s="70"/>
      <c r="B226" s="71"/>
      <c r="C226" s="66"/>
      <c r="D226" s="66">
        <f t="shared" si="3"/>
        <v>0</v>
      </c>
      <c r="E226" s="67"/>
      <c r="F226" s="58">
        <f t="shared" ref="F226:L226" si="216">SUMIFS($C226,$B226,F$7)+F225</f>
        <v>26</v>
      </c>
      <c r="G226" s="58">
        <f t="shared" si="216"/>
        <v>24</v>
      </c>
      <c r="H226" s="58">
        <f t="shared" si="216"/>
        <v>12</v>
      </c>
      <c r="I226" s="58">
        <f t="shared" si="216"/>
        <v>-20</v>
      </c>
      <c r="J226" s="58">
        <f t="shared" si="216"/>
        <v>0</v>
      </c>
      <c r="K226" s="58">
        <f t="shared" si="216"/>
        <v>0</v>
      </c>
      <c r="L226" s="58">
        <f t="shared" si="216"/>
        <v>0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0" customHeight="1">
      <c r="A227" s="70"/>
      <c r="B227" s="71"/>
      <c r="C227" s="66"/>
      <c r="D227" s="66">
        <f t="shared" si="3"/>
        <v>0</v>
      </c>
      <c r="E227" s="67"/>
      <c r="F227" s="58">
        <f t="shared" ref="F227:L227" si="217">SUMIFS($C227,$B227,F$7)+F226</f>
        <v>26</v>
      </c>
      <c r="G227" s="58">
        <f t="shared" si="217"/>
        <v>24</v>
      </c>
      <c r="H227" s="58">
        <f t="shared" si="217"/>
        <v>12</v>
      </c>
      <c r="I227" s="58">
        <f t="shared" si="217"/>
        <v>-20</v>
      </c>
      <c r="J227" s="58">
        <f t="shared" si="217"/>
        <v>0</v>
      </c>
      <c r="K227" s="58">
        <f t="shared" si="217"/>
        <v>0</v>
      </c>
      <c r="L227" s="58">
        <f t="shared" si="217"/>
        <v>0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0" customHeight="1">
      <c r="A228" s="70"/>
      <c r="B228" s="71"/>
      <c r="C228" s="66"/>
      <c r="D228" s="66">
        <f t="shared" si="3"/>
        <v>0</v>
      </c>
      <c r="E228" s="67"/>
      <c r="F228" s="58">
        <f t="shared" ref="F228:L228" si="218">SUMIFS($C228,$B228,F$7)+F227</f>
        <v>26</v>
      </c>
      <c r="G228" s="58">
        <f t="shared" si="218"/>
        <v>24</v>
      </c>
      <c r="H228" s="58">
        <f t="shared" si="218"/>
        <v>12</v>
      </c>
      <c r="I228" s="58">
        <f t="shared" si="218"/>
        <v>-20</v>
      </c>
      <c r="J228" s="58">
        <f t="shared" si="218"/>
        <v>0</v>
      </c>
      <c r="K228" s="58">
        <f t="shared" si="218"/>
        <v>0</v>
      </c>
      <c r="L228" s="58">
        <f t="shared" si="218"/>
        <v>0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0" customHeight="1">
      <c r="A229" s="70"/>
      <c r="B229" s="71"/>
      <c r="C229" s="66"/>
      <c r="D229" s="66">
        <f t="shared" si="3"/>
        <v>0</v>
      </c>
      <c r="E229" s="67"/>
      <c r="F229" s="58">
        <f t="shared" ref="F229:L229" si="219">SUMIFS($C229,$B229,F$7)+F228</f>
        <v>26</v>
      </c>
      <c r="G229" s="58">
        <f t="shared" si="219"/>
        <v>24</v>
      </c>
      <c r="H229" s="58">
        <f t="shared" si="219"/>
        <v>12</v>
      </c>
      <c r="I229" s="58">
        <f t="shared" si="219"/>
        <v>-20</v>
      </c>
      <c r="J229" s="58">
        <f t="shared" si="219"/>
        <v>0</v>
      </c>
      <c r="K229" s="58">
        <f t="shared" si="219"/>
        <v>0</v>
      </c>
      <c r="L229" s="58">
        <f t="shared" si="219"/>
        <v>0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0" customHeight="1">
      <c r="A230" s="70"/>
      <c r="B230" s="71"/>
      <c r="C230" s="66"/>
      <c r="D230" s="66">
        <f t="shared" si="3"/>
        <v>0</v>
      </c>
      <c r="E230" s="67"/>
      <c r="F230" s="58">
        <f t="shared" ref="F230:L230" si="220">SUMIFS($C230,$B230,F$7)+F229</f>
        <v>26</v>
      </c>
      <c r="G230" s="58">
        <f t="shared" si="220"/>
        <v>24</v>
      </c>
      <c r="H230" s="58">
        <f t="shared" si="220"/>
        <v>12</v>
      </c>
      <c r="I230" s="58">
        <f t="shared" si="220"/>
        <v>-20</v>
      </c>
      <c r="J230" s="58">
        <f t="shared" si="220"/>
        <v>0</v>
      </c>
      <c r="K230" s="58">
        <f t="shared" si="220"/>
        <v>0</v>
      </c>
      <c r="L230" s="58">
        <f t="shared" si="220"/>
        <v>0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0" customHeight="1">
      <c r="A231" s="70"/>
      <c r="B231" s="71"/>
      <c r="C231" s="66"/>
      <c r="D231" s="66">
        <f t="shared" si="3"/>
        <v>0</v>
      </c>
      <c r="E231" s="67"/>
      <c r="F231" s="58">
        <f t="shared" ref="F231:L231" si="221">SUMIFS($C231,$B231,F$7)+F230</f>
        <v>26</v>
      </c>
      <c r="G231" s="58">
        <f t="shared" si="221"/>
        <v>24</v>
      </c>
      <c r="H231" s="58">
        <f t="shared" si="221"/>
        <v>12</v>
      </c>
      <c r="I231" s="58">
        <f t="shared" si="221"/>
        <v>-20</v>
      </c>
      <c r="J231" s="58">
        <f t="shared" si="221"/>
        <v>0</v>
      </c>
      <c r="K231" s="58">
        <f t="shared" si="221"/>
        <v>0</v>
      </c>
      <c r="L231" s="58">
        <f t="shared" si="221"/>
        <v>0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0" customHeight="1">
      <c r="A232" s="70"/>
      <c r="B232" s="71"/>
      <c r="C232" s="66"/>
      <c r="D232" s="66">
        <f t="shared" si="3"/>
        <v>0</v>
      </c>
      <c r="E232" s="67"/>
      <c r="F232" s="58">
        <f t="shared" ref="F232:L232" si="222">SUMIFS($C232,$B232,F$7)+F231</f>
        <v>26</v>
      </c>
      <c r="G232" s="58">
        <f t="shared" si="222"/>
        <v>24</v>
      </c>
      <c r="H232" s="58">
        <f t="shared" si="222"/>
        <v>12</v>
      </c>
      <c r="I232" s="58">
        <f t="shared" si="222"/>
        <v>-20</v>
      </c>
      <c r="J232" s="58">
        <f t="shared" si="222"/>
        <v>0</v>
      </c>
      <c r="K232" s="58">
        <f t="shared" si="222"/>
        <v>0</v>
      </c>
      <c r="L232" s="58">
        <f t="shared" si="222"/>
        <v>0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0" customHeight="1">
      <c r="A233" s="70"/>
      <c r="B233" s="71"/>
      <c r="C233" s="66"/>
      <c r="D233" s="66">
        <f t="shared" si="3"/>
        <v>0</v>
      </c>
      <c r="E233" s="67"/>
      <c r="F233" s="58">
        <f t="shared" ref="F233:L233" si="223">SUMIFS($C233,$B233,F$7)+F232</f>
        <v>26</v>
      </c>
      <c r="G233" s="58">
        <f t="shared" si="223"/>
        <v>24</v>
      </c>
      <c r="H233" s="58">
        <f t="shared" si="223"/>
        <v>12</v>
      </c>
      <c r="I233" s="58">
        <f t="shared" si="223"/>
        <v>-20</v>
      </c>
      <c r="J233" s="58">
        <f t="shared" si="223"/>
        <v>0</v>
      </c>
      <c r="K233" s="58">
        <f t="shared" si="223"/>
        <v>0</v>
      </c>
      <c r="L233" s="58">
        <f t="shared" si="223"/>
        <v>0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0" customHeight="1">
      <c r="A234" s="70"/>
      <c r="B234" s="71"/>
      <c r="C234" s="66"/>
      <c r="D234" s="66">
        <f t="shared" si="3"/>
        <v>0</v>
      </c>
      <c r="E234" s="67"/>
      <c r="F234" s="58">
        <f t="shared" ref="F234:L234" si="224">SUMIFS($C234,$B234,F$7)+F233</f>
        <v>26</v>
      </c>
      <c r="G234" s="58">
        <f t="shared" si="224"/>
        <v>24</v>
      </c>
      <c r="H234" s="58">
        <f t="shared" si="224"/>
        <v>12</v>
      </c>
      <c r="I234" s="58">
        <f t="shared" si="224"/>
        <v>-20</v>
      </c>
      <c r="J234" s="58">
        <f t="shared" si="224"/>
        <v>0</v>
      </c>
      <c r="K234" s="58">
        <f t="shared" si="224"/>
        <v>0</v>
      </c>
      <c r="L234" s="58">
        <f t="shared" si="224"/>
        <v>0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0" customHeight="1">
      <c r="A235" s="70"/>
      <c r="B235" s="71"/>
      <c r="C235" s="66"/>
      <c r="D235" s="66">
        <f t="shared" si="3"/>
        <v>0</v>
      </c>
      <c r="E235" s="67"/>
      <c r="F235" s="58">
        <f t="shared" ref="F235:L235" si="225">SUMIFS($C235,$B235,F$7)+F234</f>
        <v>26</v>
      </c>
      <c r="G235" s="58">
        <f t="shared" si="225"/>
        <v>24</v>
      </c>
      <c r="H235" s="58">
        <f t="shared" si="225"/>
        <v>12</v>
      </c>
      <c r="I235" s="58">
        <f t="shared" si="225"/>
        <v>-20</v>
      </c>
      <c r="J235" s="58">
        <f t="shared" si="225"/>
        <v>0</v>
      </c>
      <c r="K235" s="58">
        <f t="shared" si="225"/>
        <v>0</v>
      </c>
      <c r="L235" s="58">
        <f t="shared" si="225"/>
        <v>0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0" customHeight="1">
      <c r="A236" s="70"/>
      <c r="B236" s="71"/>
      <c r="C236" s="66"/>
      <c r="D236" s="66">
        <f t="shared" si="3"/>
        <v>0</v>
      </c>
      <c r="E236" s="67"/>
      <c r="F236" s="58">
        <f t="shared" ref="F236:L236" si="226">SUMIFS($C236,$B236,F$7)+F235</f>
        <v>26</v>
      </c>
      <c r="G236" s="58">
        <f t="shared" si="226"/>
        <v>24</v>
      </c>
      <c r="H236" s="58">
        <f t="shared" si="226"/>
        <v>12</v>
      </c>
      <c r="I236" s="58">
        <f t="shared" si="226"/>
        <v>-20</v>
      </c>
      <c r="J236" s="58">
        <f t="shared" si="226"/>
        <v>0</v>
      </c>
      <c r="K236" s="58">
        <f t="shared" si="226"/>
        <v>0</v>
      </c>
      <c r="L236" s="58">
        <f t="shared" si="226"/>
        <v>0</v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0" customHeight="1">
      <c r="A237" s="70"/>
      <c r="B237" s="71"/>
      <c r="C237" s="66"/>
      <c r="D237" s="66">
        <f t="shared" si="3"/>
        <v>0</v>
      </c>
      <c r="E237" s="67"/>
      <c r="F237" s="58">
        <f t="shared" ref="F237:L237" si="227">SUMIFS($C237,$B237,F$7)+F236</f>
        <v>26</v>
      </c>
      <c r="G237" s="58">
        <f t="shared" si="227"/>
        <v>24</v>
      </c>
      <c r="H237" s="58">
        <f t="shared" si="227"/>
        <v>12</v>
      </c>
      <c r="I237" s="58">
        <f t="shared" si="227"/>
        <v>-20</v>
      </c>
      <c r="J237" s="58">
        <f t="shared" si="227"/>
        <v>0</v>
      </c>
      <c r="K237" s="58">
        <f t="shared" si="227"/>
        <v>0</v>
      </c>
      <c r="L237" s="58">
        <f t="shared" si="227"/>
        <v>0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0" customHeight="1">
      <c r="A238" s="70"/>
      <c r="B238" s="71"/>
      <c r="C238" s="66"/>
      <c r="D238" s="66">
        <f t="shared" si="3"/>
        <v>0</v>
      </c>
      <c r="E238" s="67"/>
      <c r="F238" s="58">
        <f t="shared" ref="F238:L238" si="228">SUMIFS($C238,$B238,F$7)+F237</f>
        <v>26</v>
      </c>
      <c r="G238" s="58">
        <f t="shared" si="228"/>
        <v>24</v>
      </c>
      <c r="H238" s="58">
        <f t="shared" si="228"/>
        <v>12</v>
      </c>
      <c r="I238" s="58">
        <f t="shared" si="228"/>
        <v>-20</v>
      </c>
      <c r="J238" s="58">
        <f t="shared" si="228"/>
        <v>0</v>
      </c>
      <c r="K238" s="58">
        <f t="shared" si="228"/>
        <v>0</v>
      </c>
      <c r="L238" s="58">
        <f t="shared" si="228"/>
        <v>0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0" customHeight="1">
      <c r="A239" s="70"/>
      <c r="B239" s="71"/>
      <c r="C239" s="66"/>
      <c r="D239" s="66">
        <f t="shared" si="3"/>
        <v>0</v>
      </c>
      <c r="E239" s="67"/>
      <c r="F239" s="58">
        <f t="shared" ref="F239:L239" si="229">SUMIFS($C239,$B239,F$7)+F238</f>
        <v>26</v>
      </c>
      <c r="G239" s="58">
        <f t="shared" si="229"/>
        <v>24</v>
      </c>
      <c r="H239" s="58">
        <f t="shared" si="229"/>
        <v>12</v>
      </c>
      <c r="I239" s="58">
        <f t="shared" si="229"/>
        <v>-20</v>
      </c>
      <c r="J239" s="58">
        <f t="shared" si="229"/>
        <v>0</v>
      </c>
      <c r="K239" s="58">
        <f t="shared" si="229"/>
        <v>0</v>
      </c>
      <c r="L239" s="58">
        <f t="shared" si="229"/>
        <v>0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0" customHeight="1">
      <c r="A240" s="70"/>
      <c r="B240" s="71"/>
      <c r="C240" s="66"/>
      <c r="D240" s="66">
        <f t="shared" si="3"/>
        <v>0</v>
      </c>
      <c r="E240" s="67"/>
      <c r="F240" s="58">
        <f t="shared" ref="F240:L240" si="230">SUMIFS($C240,$B240,F$7)+F239</f>
        <v>26</v>
      </c>
      <c r="G240" s="58">
        <f t="shared" si="230"/>
        <v>24</v>
      </c>
      <c r="H240" s="58">
        <f t="shared" si="230"/>
        <v>12</v>
      </c>
      <c r="I240" s="58">
        <f t="shared" si="230"/>
        <v>-20</v>
      </c>
      <c r="J240" s="58">
        <f t="shared" si="230"/>
        <v>0</v>
      </c>
      <c r="K240" s="58">
        <f t="shared" si="230"/>
        <v>0</v>
      </c>
      <c r="L240" s="58">
        <f t="shared" si="230"/>
        <v>0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0" customHeight="1">
      <c r="A241" s="70"/>
      <c r="B241" s="71"/>
      <c r="C241" s="66"/>
      <c r="D241" s="66">
        <f t="shared" si="3"/>
        <v>0</v>
      </c>
      <c r="E241" s="67"/>
      <c r="F241" s="58">
        <f t="shared" ref="F241:L241" si="231">SUMIFS($C241,$B241,F$7)+F240</f>
        <v>26</v>
      </c>
      <c r="G241" s="58">
        <f t="shared" si="231"/>
        <v>24</v>
      </c>
      <c r="H241" s="58">
        <f t="shared" si="231"/>
        <v>12</v>
      </c>
      <c r="I241" s="58">
        <f t="shared" si="231"/>
        <v>-20</v>
      </c>
      <c r="J241" s="58">
        <f t="shared" si="231"/>
        <v>0</v>
      </c>
      <c r="K241" s="58">
        <f t="shared" si="231"/>
        <v>0</v>
      </c>
      <c r="L241" s="58">
        <f t="shared" si="231"/>
        <v>0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0" customHeight="1">
      <c r="A242" s="70"/>
      <c r="B242" s="71"/>
      <c r="C242" s="66"/>
      <c r="D242" s="66">
        <f t="shared" si="3"/>
        <v>0</v>
      </c>
      <c r="E242" s="67"/>
      <c r="F242" s="58">
        <f t="shared" ref="F242:L242" si="232">SUMIFS($C242,$B242,F$7)+F241</f>
        <v>26</v>
      </c>
      <c r="G242" s="58">
        <f t="shared" si="232"/>
        <v>24</v>
      </c>
      <c r="H242" s="58">
        <f t="shared" si="232"/>
        <v>12</v>
      </c>
      <c r="I242" s="58">
        <f t="shared" si="232"/>
        <v>-20</v>
      </c>
      <c r="J242" s="58">
        <f t="shared" si="232"/>
        <v>0</v>
      </c>
      <c r="K242" s="58">
        <f t="shared" si="232"/>
        <v>0</v>
      </c>
      <c r="L242" s="58">
        <f t="shared" si="232"/>
        <v>0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0" customHeight="1">
      <c r="A243" s="70"/>
      <c r="B243" s="71"/>
      <c r="C243" s="66"/>
      <c r="D243" s="66">
        <f t="shared" si="3"/>
        <v>0</v>
      </c>
      <c r="E243" s="67"/>
      <c r="F243" s="58">
        <f t="shared" ref="F243:L243" si="233">SUMIFS($C243,$B243,F$7)+F242</f>
        <v>26</v>
      </c>
      <c r="G243" s="58">
        <f t="shared" si="233"/>
        <v>24</v>
      </c>
      <c r="H243" s="58">
        <f t="shared" si="233"/>
        <v>12</v>
      </c>
      <c r="I243" s="58">
        <f t="shared" si="233"/>
        <v>-20</v>
      </c>
      <c r="J243" s="58">
        <f t="shared" si="233"/>
        <v>0</v>
      </c>
      <c r="K243" s="58">
        <f t="shared" si="233"/>
        <v>0</v>
      </c>
      <c r="L243" s="58">
        <f t="shared" si="233"/>
        <v>0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0" customHeight="1">
      <c r="A244" s="70"/>
      <c r="B244" s="71"/>
      <c r="C244" s="66"/>
      <c r="D244" s="66">
        <f t="shared" si="3"/>
        <v>0</v>
      </c>
      <c r="E244" s="67"/>
      <c r="F244" s="58">
        <f t="shared" ref="F244:L244" si="234">SUMIFS($C244,$B244,F$7)+F243</f>
        <v>26</v>
      </c>
      <c r="G244" s="58">
        <f t="shared" si="234"/>
        <v>24</v>
      </c>
      <c r="H244" s="58">
        <f t="shared" si="234"/>
        <v>12</v>
      </c>
      <c r="I244" s="58">
        <f t="shared" si="234"/>
        <v>-20</v>
      </c>
      <c r="J244" s="58">
        <f t="shared" si="234"/>
        <v>0</v>
      </c>
      <c r="K244" s="58">
        <f t="shared" si="234"/>
        <v>0</v>
      </c>
      <c r="L244" s="58">
        <f t="shared" si="234"/>
        <v>0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0" customHeight="1">
      <c r="A245" s="70"/>
      <c r="B245" s="71"/>
      <c r="C245" s="66"/>
      <c r="D245" s="66">
        <f t="shared" si="3"/>
        <v>0</v>
      </c>
      <c r="E245" s="67"/>
      <c r="F245" s="58">
        <f t="shared" ref="F245:L245" si="235">SUMIFS($C245,$B245,F$7)+F244</f>
        <v>26</v>
      </c>
      <c r="G245" s="58">
        <f t="shared" si="235"/>
        <v>24</v>
      </c>
      <c r="H245" s="58">
        <f t="shared" si="235"/>
        <v>12</v>
      </c>
      <c r="I245" s="58">
        <f t="shared" si="235"/>
        <v>-20</v>
      </c>
      <c r="J245" s="58">
        <f t="shared" si="235"/>
        <v>0</v>
      </c>
      <c r="K245" s="58">
        <f t="shared" si="235"/>
        <v>0</v>
      </c>
      <c r="L245" s="58">
        <f t="shared" si="235"/>
        <v>0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0" customHeight="1">
      <c r="A246" s="70"/>
      <c r="B246" s="71"/>
      <c r="C246" s="66"/>
      <c r="D246" s="66">
        <f t="shared" si="3"/>
        <v>0</v>
      </c>
      <c r="E246" s="67"/>
      <c r="F246" s="58">
        <f t="shared" ref="F246:L246" si="236">SUMIFS($C246,$B246,F$7)+F245</f>
        <v>26</v>
      </c>
      <c r="G246" s="58">
        <f t="shared" si="236"/>
        <v>24</v>
      </c>
      <c r="H246" s="58">
        <f t="shared" si="236"/>
        <v>12</v>
      </c>
      <c r="I246" s="58">
        <f t="shared" si="236"/>
        <v>-20</v>
      </c>
      <c r="J246" s="58">
        <f t="shared" si="236"/>
        <v>0</v>
      </c>
      <c r="K246" s="58">
        <f t="shared" si="236"/>
        <v>0</v>
      </c>
      <c r="L246" s="58">
        <f t="shared" si="236"/>
        <v>0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0" customHeight="1">
      <c r="A247" s="70"/>
      <c r="B247" s="71"/>
      <c r="C247" s="66"/>
      <c r="D247" s="66">
        <f t="shared" si="3"/>
        <v>0</v>
      </c>
      <c r="E247" s="67"/>
      <c r="F247" s="58">
        <f t="shared" ref="F247:L247" si="237">SUMIFS($C247,$B247,F$7)+F246</f>
        <v>26</v>
      </c>
      <c r="G247" s="58">
        <f t="shared" si="237"/>
        <v>24</v>
      </c>
      <c r="H247" s="58">
        <f t="shared" si="237"/>
        <v>12</v>
      </c>
      <c r="I247" s="58">
        <f t="shared" si="237"/>
        <v>-20</v>
      </c>
      <c r="J247" s="58">
        <f t="shared" si="237"/>
        <v>0</v>
      </c>
      <c r="K247" s="58">
        <f t="shared" si="237"/>
        <v>0</v>
      </c>
      <c r="L247" s="58">
        <f t="shared" si="237"/>
        <v>0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0" customHeight="1">
      <c r="A248" s="70"/>
      <c r="B248" s="71"/>
      <c r="C248" s="66"/>
      <c r="D248" s="66">
        <f t="shared" si="3"/>
        <v>0</v>
      </c>
      <c r="E248" s="67"/>
      <c r="F248" s="58">
        <f t="shared" ref="F248:L248" si="238">SUMIFS($C248,$B248,F$7)+F247</f>
        <v>26</v>
      </c>
      <c r="G248" s="58">
        <f t="shared" si="238"/>
        <v>24</v>
      </c>
      <c r="H248" s="58">
        <f t="shared" si="238"/>
        <v>12</v>
      </c>
      <c r="I248" s="58">
        <f t="shared" si="238"/>
        <v>-20</v>
      </c>
      <c r="J248" s="58">
        <f t="shared" si="238"/>
        <v>0</v>
      </c>
      <c r="K248" s="58">
        <f t="shared" si="238"/>
        <v>0</v>
      </c>
      <c r="L248" s="58">
        <f t="shared" si="238"/>
        <v>0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0" customHeight="1">
      <c r="A249" s="70"/>
      <c r="B249" s="71"/>
      <c r="C249" s="66"/>
      <c r="D249" s="66">
        <f t="shared" si="3"/>
        <v>0</v>
      </c>
      <c r="E249" s="67"/>
      <c r="F249" s="58">
        <f t="shared" ref="F249:L249" si="239">SUMIFS($C249,$B249,F$7)+F248</f>
        <v>26</v>
      </c>
      <c r="G249" s="58">
        <f t="shared" si="239"/>
        <v>24</v>
      </c>
      <c r="H249" s="58">
        <f t="shared" si="239"/>
        <v>12</v>
      </c>
      <c r="I249" s="58">
        <f t="shared" si="239"/>
        <v>-20</v>
      </c>
      <c r="J249" s="58">
        <f t="shared" si="239"/>
        <v>0</v>
      </c>
      <c r="K249" s="58">
        <f t="shared" si="239"/>
        <v>0</v>
      </c>
      <c r="L249" s="58">
        <f t="shared" si="239"/>
        <v>0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0" customHeight="1">
      <c r="A250" s="70"/>
      <c r="B250" s="71"/>
      <c r="C250" s="66"/>
      <c r="D250" s="66">
        <f t="shared" si="3"/>
        <v>0</v>
      </c>
      <c r="E250" s="67"/>
      <c r="F250" s="58">
        <f t="shared" ref="F250:L250" si="240">SUMIFS($C250,$B250,F$7)+F249</f>
        <v>26</v>
      </c>
      <c r="G250" s="58">
        <f t="shared" si="240"/>
        <v>24</v>
      </c>
      <c r="H250" s="58">
        <f t="shared" si="240"/>
        <v>12</v>
      </c>
      <c r="I250" s="58">
        <f t="shared" si="240"/>
        <v>-20</v>
      </c>
      <c r="J250" s="58">
        <f t="shared" si="240"/>
        <v>0</v>
      </c>
      <c r="K250" s="58">
        <f t="shared" si="240"/>
        <v>0</v>
      </c>
      <c r="L250" s="58">
        <f t="shared" si="240"/>
        <v>0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0" customHeight="1">
      <c r="A251" s="70"/>
      <c r="B251" s="71"/>
      <c r="C251" s="66"/>
      <c r="D251" s="66">
        <f t="shared" si="3"/>
        <v>0</v>
      </c>
      <c r="E251" s="67"/>
      <c r="F251" s="58">
        <f t="shared" ref="F251:L251" si="241">SUMIFS($C251,$B251,F$7)+F250</f>
        <v>26</v>
      </c>
      <c r="G251" s="58">
        <f t="shared" si="241"/>
        <v>24</v>
      </c>
      <c r="H251" s="58">
        <f t="shared" si="241"/>
        <v>12</v>
      </c>
      <c r="I251" s="58">
        <f t="shared" si="241"/>
        <v>-20</v>
      </c>
      <c r="J251" s="58">
        <f t="shared" si="241"/>
        <v>0</v>
      </c>
      <c r="K251" s="58">
        <f t="shared" si="241"/>
        <v>0</v>
      </c>
      <c r="L251" s="58">
        <f t="shared" si="241"/>
        <v>0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0" customHeight="1">
      <c r="A252" s="70"/>
      <c r="B252" s="71"/>
      <c r="C252" s="66"/>
      <c r="D252" s="66">
        <f t="shared" si="3"/>
        <v>0</v>
      </c>
      <c r="E252" s="67"/>
      <c r="F252" s="58">
        <f t="shared" ref="F252:L252" si="242">SUMIFS($C252,$B252,F$7)+F251</f>
        <v>26</v>
      </c>
      <c r="G252" s="58">
        <f t="shared" si="242"/>
        <v>24</v>
      </c>
      <c r="H252" s="58">
        <f t="shared" si="242"/>
        <v>12</v>
      </c>
      <c r="I252" s="58">
        <f t="shared" si="242"/>
        <v>-20</v>
      </c>
      <c r="J252" s="58">
        <f t="shared" si="242"/>
        <v>0</v>
      </c>
      <c r="K252" s="58">
        <f t="shared" si="242"/>
        <v>0</v>
      </c>
      <c r="L252" s="58">
        <f t="shared" si="242"/>
        <v>0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0" customHeight="1">
      <c r="A253" s="70"/>
      <c r="B253" s="71"/>
      <c r="C253" s="66"/>
      <c r="D253" s="66">
        <f t="shared" si="3"/>
        <v>0</v>
      </c>
      <c r="E253" s="67"/>
      <c r="F253" s="58">
        <f t="shared" ref="F253:L253" si="243">SUMIFS($C253,$B253,F$7)+F252</f>
        <v>26</v>
      </c>
      <c r="G253" s="58">
        <f t="shared" si="243"/>
        <v>24</v>
      </c>
      <c r="H253" s="58">
        <f t="shared" si="243"/>
        <v>12</v>
      </c>
      <c r="I253" s="58">
        <f t="shared" si="243"/>
        <v>-20</v>
      </c>
      <c r="J253" s="58">
        <f t="shared" si="243"/>
        <v>0</v>
      </c>
      <c r="K253" s="58">
        <f t="shared" si="243"/>
        <v>0</v>
      </c>
      <c r="L253" s="58">
        <f t="shared" si="243"/>
        <v>0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0" customHeight="1">
      <c r="A254" s="70"/>
      <c r="B254" s="71"/>
      <c r="C254" s="66"/>
      <c r="D254" s="66">
        <f t="shared" si="3"/>
        <v>0</v>
      </c>
      <c r="E254" s="67"/>
      <c r="F254" s="58">
        <f t="shared" ref="F254:L254" si="244">SUMIFS($C254,$B254,F$7)+F253</f>
        <v>26</v>
      </c>
      <c r="G254" s="58">
        <f t="shared" si="244"/>
        <v>24</v>
      </c>
      <c r="H254" s="58">
        <f t="shared" si="244"/>
        <v>12</v>
      </c>
      <c r="I254" s="58">
        <f t="shared" si="244"/>
        <v>-20</v>
      </c>
      <c r="J254" s="58">
        <f t="shared" si="244"/>
        <v>0</v>
      </c>
      <c r="K254" s="58">
        <f t="shared" si="244"/>
        <v>0</v>
      </c>
      <c r="L254" s="58">
        <f t="shared" si="244"/>
        <v>0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0" customHeight="1">
      <c r="A255" s="70"/>
      <c r="B255" s="71"/>
      <c r="C255" s="66"/>
      <c r="D255" s="66">
        <f t="shared" si="3"/>
        <v>0</v>
      </c>
      <c r="E255" s="67"/>
      <c r="F255" s="58">
        <f t="shared" ref="F255:L255" si="245">SUMIFS($C255,$B255,F$7)+F254</f>
        <v>26</v>
      </c>
      <c r="G255" s="58">
        <f t="shared" si="245"/>
        <v>24</v>
      </c>
      <c r="H255" s="58">
        <f t="shared" si="245"/>
        <v>12</v>
      </c>
      <c r="I255" s="58">
        <f t="shared" si="245"/>
        <v>-20</v>
      </c>
      <c r="J255" s="58">
        <f t="shared" si="245"/>
        <v>0</v>
      </c>
      <c r="K255" s="58">
        <f t="shared" si="245"/>
        <v>0</v>
      </c>
      <c r="L255" s="58">
        <f t="shared" si="245"/>
        <v>0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0" customHeight="1">
      <c r="A256" s="70"/>
      <c r="B256" s="71"/>
      <c r="C256" s="66"/>
      <c r="D256" s="66">
        <f t="shared" si="3"/>
        <v>0</v>
      </c>
      <c r="E256" s="67"/>
      <c r="F256" s="58">
        <f t="shared" ref="F256:L256" si="246">SUMIFS($C256,$B256,F$7)+F255</f>
        <v>26</v>
      </c>
      <c r="G256" s="58">
        <f t="shared" si="246"/>
        <v>24</v>
      </c>
      <c r="H256" s="58">
        <f t="shared" si="246"/>
        <v>12</v>
      </c>
      <c r="I256" s="58">
        <f t="shared" si="246"/>
        <v>-20</v>
      </c>
      <c r="J256" s="58">
        <f t="shared" si="246"/>
        <v>0</v>
      </c>
      <c r="K256" s="58">
        <f t="shared" si="246"/>
        <v>0</v>
      </c>
      <c r="L256" s="58">
        <f t="shared" si="246"/>
        <v>0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0" customHeight="1">
      <c r="A257" s="70"/>
      <c r="B257" s="71"/>
      <c r="C257" s="66"/>
      <c r="D257" s="66">
        <f t="shared" si="3"/>
        <v>0</v>
      </c>
      <c r="E257" s="67"/>
      <c r="F257" s="58">
        <f t="shared" ref="F257:L257" si="247">SUMIFS($C257,$B257,F$7)+F256</f>
        <v>26</v>
      </c>
      <c r="G257" s="58">
        <f t="shared" si="247"/>
        <v>24</v>
      </c>
      <c r="H257" s="58">
        <f t="shared" si="247"/>
        <v>12</v>
      </c>
      <c r="I257" s="58">
        <f t="shared" si="247"/>
        <v>-20</v>
      </c>
      <c r="J257" s="58">
        <f t="shared" si="247"/>
        <v>0</v>
      </c>
      <c r="K257" s="58">
        <f t="shared" si="247"/>
        <v>0</v>
      </c>
      <c r="L257" s="58">
        <f t="shared" si="247"/>
        <v>0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0" customHeight="1">
      <c r="A258" s="70"/>
      <c r="B258" s="71"/>
      <c r="C258" s="66"/>
      <c r="D258" s="66">
        <f t="shared" si="3"/>
        <v>0</v>
      </c>
      <c r="E258" s="67"/>
      <c r="F258" s="58">
        <f t="shared" ref="F258:L258" si="248">SUMIFS($C258,$B258,F$7)+F257</f>
        <v>26</v>
      </c>
      <c r="G258" s="58">
        <f t="shared" si="248"/>
        <v>24</v>
      </c>
      <c r="H258" s="58">
        <f t="shared" si="248"/>
        <v>12</v>
      </c>
      <c r="I258" s="58">
        <f t="shared" si="248"/>
        <v>-20</v>
      </c>
      <c r="J258" s="58">
        <f t="shared" si="248"/>
        <v>0</v>
      </c>
      <c r="K258" s="58">
        <f t="shared" si="248"/>
        <v>0</v>
      </c>
      <c r="L258" s="58">
        <f t="shared" si="248"/>
        <v>0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0" customHeight="1">
      <c r="A259" s="70"/>
      <c r="B259" s="71"/>
      <c r="C259" s="66"/>
      <c r="D259" s="66">
        <f t="shared" si="3"/>
        <v>0</v>
      </c>
      <c r="E259" s="67"/>
      <c r="F259" s="58">
        <f t="shared" ref="F259:L259" si="249">SUMIFS($C259,$B259,F$7)+F258</f>
        <v>26</v>
      </c>
      <c r="G259" s="58">
        <f t="shared" si="249"/>
        <v>24</v>
      </c>
      <c r="H259" s="58">
        <f t="shared" si="249"/>
        <v>12</v>
      </c>
      <c r="I259" s="58">
        <f t="shared" si="249"/>
        <v>-20</v>
      </c>
      <c r="J259" s="58">
        <f t="shared" si="249"/>
        <v>0</v>
      </c>
      <c r="K259" s="58">
        <f t="shared" si="249"/>
        <v>0</v>
      </c>
      <c r="L259" s="58">
        <f t="shared" si="249"/>
        <v>0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0" customHeight="1">
      <c r="A260" s="70"/>
      <c r="B260" s="71"/>
      <c r="C260" s="66"/>
      <c r="D260" s="66">
        <f t="shared" si="3"/>
        <v>0</v>
      </c>
      <c r="E260" s="67"/>
      <c r="F260" s="58">
        <f t="shared" ref="F260:L260" si="250">SUMIFS($C260,$B260,F$7)+F259</f>
        <v>26</v>
      </c>
      <c r="G260" s="58">
        <f t="shared" si="250"/>
        <v>24</v>
      </c>
      <c r="H260" s="58">
        <f t="shared" si="250"/>
        <v>12</v>
      </c>
      <c r="I260" s="58">
        <f t="shared" si="250"/>
        <v>-20</v>
      </c>
      <c r="J260" s="58">
        <f t="shared" si="250"/>
        <v>0</v>
      </c>
      <c r="K260" s="58">
        <f t="shared" si="250"/>
        <v>0</v>
      </c>
      <c r="L260" s="58">
        <f t="shared" si="250"/>
        <v>0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0" customHeight="1">
      <c r="A261" s="70"/>
      <c r="B261" s="71"/>
      <c r="C261" s="66"/>
      <c r="D261" s="66">
        <f t="shared" si="3"/>
        <v>0</v>
      </c>
      <c r="E261" s="67"/>
      <c r="F261" s="58">
        <f t="shared" ref="F261:L261" si="251">SUMIFS($C261,$B261,F$7)+F260</f>
        <v>26</v>
      </c>
      <c r="G261" s="58">
        <f t="shared" si="251"/>
        <v>24</v>
      </c>
      <c r="H261" s="58">
        <f t="shared" si="251"/>
        <v>12</v>
      </c>
      <c r="I261" s="58">
        <f t="shared" si="251"/>
        <v>-20</v>
      </c>
      <c r="J261" s="58">
        <f t="shared" si="251"/>
        <v>0</v>
      </c>
      <c r="K261" s="58">
        <f t="shared" si="251"/>
        <v>0</v>
      </c>
      <c r="L261" s="58">
        <f t="shared" si="251"/>
        <v>0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0" customHeight="1">
      <c r="A262" s="70"/>
      <c r="B262" s="71"/>
      <c r="C262" s="66"/>
      <c r="D262" s="66">
        <f t="shared" si="3"/>
        <v>0</v>
      </c>
      <c r="E262" s="67"/>
      <c r="F262" s="58">
        <f t="shared" ref="F262:L262" si="252">SUMIFS($C262,$B262,F$7)+F261</f>
        <v>26</v>
      </c>
      <c r="G262" s="58">
        <f t="shared" si="252"/>
        <v>24</v>
      </c>
      <c r="H262" s="58">
        <f t="shared" si="252"/>
        <v>12</v>
      </c>
      <c r="I262" s="58">
        <f t="shared" si="252"/>
        <v>-20</v>
      </c>
      <c r="J262" s="58">
        <f t="shared" si="252"/>
        <v>0</v>
      </c>
      <c r="K262" s="58">
        <f t="shared" si="252"/>
        <v>0</v>
      </c>
      <c r="L262" s="58">
        <f t="shared" si="252"/>
        <v>0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0" customHeight="1">
      <c r="A263" s="70"/>
      <c r="B263" s="71"/>
      <c r="C263" s="66"/>
      <c r="D263" s="66">
        <f t="shared" si="3"/>
        <v>0</v>
      </c>
      <c r="E263" s="67"/>
      <c r="F263" s="58">
        <f t="shared" ref="F263:L263" si="253">SUMIFS($C263,$B263,F$7)+F262</f>
        <v>26</v>
      </c>
      <c r="G263" s="58">
        <f t="shared" si="253"/>
        <v>24</v>
      </c>
      <c r="H263" s="58">
        <f t="shared" si="253"/>
        <v>12</v>
      </c>
      <c r="I263" s="58">
        <f t="shared" si="253"/>
        <v>-20</v>
      </c>
      <c r="J263" s="58">
        <f t="shared" si="253"/>
        <v>0</v>
      </c>
      <c r="K263" s="58">
        <f t="shared" si="253"/>
        <v>0</v>
      </c>
      <c r="L263" s="58">
        <f t="shared" si="253"/>
        <v>0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0" customHeight="1">
      <c r="A264" s="70"/>
      <c r="B264" s="71"/>
      <c r="C264" s="66"/>
      <c r="D264" s="66">
        <f t="shared" si="3"/>
        <v>0</v>
      </c>
      <c r="E264" s="67"/>
      <c r="F264" s="58">
        <f t="shared" ref="F264:L264" si="254">SUMIFS($C264,$B264,F$7)+F263</f>
        <v>26</v>
      </c>
      <c r="G264" s="58">
        <f t="shared" si="254"/>
        <v>24</v>
      </c>
      <c r="H264" s="58">
        <f t="shared" si="254"/>
        <v>12</v>
      </c>
      <c r="I264" s="58">
        <f t="shared" si="254"/>
        <v>-20</v>
      </c>
      <c r="J264" s="58">
        <f t="shared" si="254"/>
        <v>0</v>
      </c>
      <c r="K264" s="58">
        <f t="shared" si="254"/>
        <v>0</v>
      </c>
      <c r="L264" s="58">
        <f t="shared" si="254"/>
        <v>0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0" customHeight="1">
      <c r="A265" s="70"/>
      <c r="B265" s="71"/>
      <c r="C265" s="66"/>
      <c r="D265" s="66">
        <f t="shared" si="3"/>
        <v>0</v>
      </c>
      <c r="E265" s="67"/>
      <c r="F265" s="58">
        <f t="shared" ref="F265:L265" si="255">SUMIFS($C265,$B265,F$7)+F264</f>
        <v>26</v>
      </c>
      <c r="G265" s="58">
        <f t="shared" si="255"/>
        <v>24</v>
      </c>
      <c r="H265" s="58">
        <f t="shared" si="255"/>
        <v>12</v>
      </c>
      <c r="I265" s="58">
        <f t="shared" si="255"/>
        <v>-20</v>
      </c>
      <c r="J265" s="58">
        <f t="shared" si="255"/>
        <v>0</v>
      </c>
      <c r="K265" s="58">
        <f t="shared" si="255"/>
        <v>0</v>
      </c>
      <c r="L265" s="58">
        <f t="shared" si="255"/>
        <v>0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0" customHeight="1">
      <c r="A266" s="70"/>
      <c r="B266" s="71"/>
      <c r="C266" s="66"/>
      <c r="D266" s="66">
        <f t="shared" si="3"/>
        <v>0</v>
      </c>
      <c r="E266" s="67"/>
      <c r="F266" s="58">
        <f t="shared" ref="F266:L266" si="256">SUMIFS($C266,$B266,F$7)+F265</f>
        <v>26</v>
      </c>
      <c r="G266" s="58">
        <f t="shared" si="256"/>
        <v>24</v>
      </c>
      <c r="H266" s="58">
        <f t="shared" si="256"/>
        <v>12</v>
      </c>
      <c r="I266" s="58">
        <f t="shared" si="256"/>
        <v>-20</v>
      </c>
      <c r="J266" s="58">
        <f t="shared" si="256"/>
        <v>0</v>
      </c>
      <c r="K266" s="58">
        <f t="shared" si="256"/>
        <v>0</v>
      </c>
      <c r="L266" s="58">
        <f t="shared" si="256"/>
        <v>0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0" customHeight="1">
      <c r="A267" s="70"/>
      <c r="B267" s="71"/>
      <c r="C267" s="66"/>
      <c r="D267" s="66">
        <f t="shared" si="3"/>
        <v>0</v>
      </c>
      <c r="E267" s="67"/>
      <c r="F267" s="58">
        <f t="shared" ref="F267:L267" si="257">SUMIFS($C267,$B267,F$7)+F266</f>
        <v>26</v>
      </c>
      <c r="G267" s="58">
        <f t="shared" si="257"/>
        <v>24</v>
      </c>
      <c r="H267" s="58">
        <f t="shared" si="257"/>
        <v>12</v>
      </c>
      <c r="I267" s="58">
        <f t="shared" si="257"/>
        <v>-20</v>
      </c>
      <c r="J267" s="58">
        <f t="shared" si="257"/>
        <v>0</v>
      </c>
      <c r="K267" s="58">
        <f t="shared" si="257"/>
        <v>0</v>
      </c>
      <c r="L267" s="58">
        <f t="shared" si="257"/>
        <v>0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0" customHeight="1">
      <c r="A268" s="70"/>
      <c r="B268" s="71"/>
      <c r="C268" s="66"/>
      <c r="D268" s="66">
        <f t="shared" si="3"/>
        <v>0</v>
      </c>
      <c r="E268" s="67"/>
      <c r="F268" s="58">
        <f t="shared" ref="F268:L268" si="258">SUMIFS($C268,$B268,F$7)+F267</f>
        <v>26</v>
      </c>
      <c r="G268" s="58">
        <f t="shared" si="258"/>
        <v>24</v>
      </c>
      <c r="H268" s="58">
        <f t="shared" si="258"/>
        <v>12</v>
      </c>
      <c r="I268" s="58">
        <f t="shared" si="258"/>
        <v>-20</v>
      </c>
      <c r="J268" s="58">
        <f t="shared" si="258"/>
        <v>0</v>
      </c>
      <c r="K268" s="58">
        <f t="shared" si="258"/>
        <v>0</v>
      </c>
      <c r="L268" s="58">
        <f t="shared" si="258"/>
        <v>0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0" customHeight="1">
      <c r="A269" s="70"/>
      <c r="B269" s="71"/>
      <c r="C269" s="66"/>
      <c r="D269" s="66">
        <f t="shared" si="3"/>
        <v>0</v>
      </c>
      <c r="E269" s="67"/>
      <c r="F269" s="58">
        <f t="shared" ref="F269:L269" si="259">SUMIFS($C269,$B269,F$7)+F268</f>
        <v>26</v>
      </c>
      <c r="G269" s="58">
        <f t="shared" si="259"/>
        <v>24</v>
      </c>
      <c r="H269" s="58">
        <f t="shared" si="259"/>
        <v>12</v>
      </c>
      <c r="I269" s="58">
        <f t="shared" si="259"/>
        <v>-20</v>
      </c>
      <c r="J269" s="58">
        <f t="shared" si="259"/>
        <v>0</v>
      </c>
      <c r="K269" s="58">
        <f t="shared" si="259"/>
        <v>0</v>
      </c>
      <c r="L269" s="58">
        <f t="shared" si="259"/>
        <v>0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0" customHeight="1">
      <c r="A270" s="70"/>
      <c r="B270" s="71"/>
      <c r="C270" s="66"/>
      <c r="D270" s="66">
        <f t="shared" si="3"/>
        <v>0</v>
      </c>
      <c r="E270" s="67"/>
      <c r="F270" s="58">
        <f t="shared" ref="F270:L270" si="260">SUMIFS($C270,$B270,F$7)+F269</f>
        <v>26</v>
      </c>
      <c r="G270" s="58">
        <f t="shared" si="260"/>
        <v>24</v>
      </c>
      <c r="H270" s="58">
        <f t="shared" si="260"/>
        <v>12</v>
      </c>
      <c r="I270" s="58">
        <f t="shared" si="260"/>
        <v>-20</v>
      </c>
      <c r="J270" s="58">
        <f t="shared" si="260"/>
        <v>0</v>
      </c>
      <c r="K270" s="58">
        <f t="shared" si="260"/>
        <v>0</v>
      </c>
      <c r="L270" s="58">
        <f t="shared" si="260"/>
        <v>0</v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0" customHeight="1">
      <c r="A271" s="70"/>
      <c r="B271" s="71"/>
      <c r="C271" s="66"/>
      <c r="D271" s="66">
        <f t="shared" si="3"/>
        <v>0</v>
      </c>
      <c r="E271" s="67"/>
      <c r="F271" s="58">
        <f t="shared" ref="F271:L271" si="261">SUMIFS($C271,$B271,F$7)+F270</f>
        <v>26</v>
      </c>
      <c r="G271" s="58">
        <f t="shared" si="261"/>
        <v>24</v>
      </c>
      <c r="H271" s="58">
        <f t="shared" si="261"/>
        <v>12</v>
      </c>
      <c r="I271" s="58">
        <f t="shared" si="261"/>
        <v>-20</v>
      </c>
      <c r="J271" s="58">
        <f t="shared" si="261"/>
        <v>0</v>
      </c>
      <c r="K271" s="58">
        <f t="shared" si="261"/>
        <v>0</v>
      </c>
      <c r="L271" s="58">
        <f t="shared" si="261"/>
        <v>0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0" customHeight="1">
      <c r="A272" s="70"/>
      <c r="B272" s="71"/>
      <c r="C272" s="66"/>
      <c r="D272" s="66">
        <f t="shared" si="3"/>
        <v>0</v>
      </c>
      <c r="E272" s="67"/>
      <c r="F272" s="58">
        <f t="shared" ref="F272:L272" si="262">SUMIFS($C272,$B272,F$7)+F271</f>
        <v>26</v>
      </c>
      <c r="G272" s="58">
        <f t="shared" si="262"/>
        <v>24</v>
      </c>
      <c r="H272" s="58">
        <f t="shared" si="262"/>
        <v>12</v>
      </c>
      <c r="I272" s="58">
        <f t="shared" si="262"/>
        <v>-20</v>
      </c>
      <c r="J272" s="58">
        <f t="shared" si="262"/>
        <v>0</v>
      </c>
      <c r="K272" s="58">
        <f t="shared" si="262"/>
        <v>0</v>
      </c>
      <c r="L272" s="58">
        <f t="shared" si="262"/>
        <v>0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0" customHeight="1">
      <c r="A273" s="70"/>
      <c r="B273" s="71"/>
      <c r="C273" s="66"/>
      <c r="D273" s="66">
        <f t="shared" si="3"/>
        <v>0</v>
      </c>
      <c r="E273" s="67"/>
      <c r="F273" s="58">
        <f t="shared" ref="F273:L273" si="263">SUMIFS($C273,$B273,F$7)+F272</f>
        <v>26</v>
      </c>
      <c r="G273" s="58">
        <f t="shared" si="263"/>
        <v>24</v>
      </c>
      <c r="H273" s="58">
        <f t="shared" si="263"/>
        <v>12</v>
      </c>
      <c r="I273" s="58">
        <f t="shared" si="263"/>
        <v>-20</v>
      </c>
      <c r="J273" s="58">
        <f t="shared" si="263"/>
        <v>0</v>
      </c>
      <c r="K273" s="58">
        <f t="shared" si="263"/>
        <v>0</v>
      </c>
      <c r="L273" s="58">
        <f t="shared" si="263"/>
        <v>0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0" customHeight="1">
      <c r="A274" s="70"/>
      <c r="B274" s="71"/>
      <c r="C274" s="66"/>
      <c r="D274" s="66">
        <f t="shared" si="3"/>
        <v>0</v>
      </c>
      <c r="E274" s="67"/>
      <c r="F274" s="58">
        <f t="shared" ref="F274:L274" si="264">SUMIFS($C274,$B274,F$7)+F273</f>
        <v>26</v>
      </c>
      <c r="G274" s="58">
        <f t="shared" si="264"/>
        <v>24</v>
      </c>
      <c r="H274" s="58">
        <f t="shared" si="264"/>
        <v>12</v>
      </c>
      <c r="I274" s="58">
        <f t="shared" si="264"/>
        <v>-20</v>
      </c>
      <c r="J274" s="58">
        <f t="shared" si="264"/>
        <v>0</v>
      </c>
      <c r="K274" s="58">
        <f t="shared" si="264"/>
        <v>0</v>
      </c>
      <c r="L274" s="58">
        <f t="shared" si="264"/>
        <v>0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0" customHeight="1">
      <c r="A275" s="70"/>
      <c r="B275" s="71"/>
      <c r="C275" s="66"/>
      <c r="D275" s="66">
        <f t="shared" si="3"/>
        <v>0</v>
      </c>
      <c r="E275" s="67"/>
      <c r="F275" s="58">
        <f t="shared" ref="F275:L275" si="265">SUMIFS($C275,$B275,F$7)+F274</f>
        <v>26</v>
      </c>
      <c r="G275" s="58">
        <f t="shared" si="265"/>
        <v>24</v>
      </c>
      <c r="H275" s="58">
        <f t="shared" si="265"/>
        <v>12</v>
      </c>
      <c r="I275" s="58">
        <f t="shared" si="265"/>
        <v>-20</v>
      </c>
      <c r="J275" s="58">
        <f t="shared" si="265"/>
        <v>0</v>
      </c>
      <c r="K275" s="58">
        <f t="shared" si="265"/>
        <v>0</v>
      </c>
      <c r="L275" s="58">
        <f t="shared" si="265"/>
        <v>0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0" customHeight="1">
      <c r="A276" s="70"/>
      <c r="B276" s="71"/>
      <c r="C276" s="66"/>
      <c r="D276" s="66">
        <f t="shared" si="3"/>
        <v>0</v>
      </c>
      <c r="E276" s="67"/>
      <c r="F276" s="58">
        <f t="shared" ref="F276:L276" si="266">SUMIFS($C276,$B276,F$7)+F275</f>
        <v>26</v>
      </c>
      <c r="G276" s="58">
        <f t="shared" si="266"/>
        <v>24</v>
      </c>
      <c r="H276" s="58">
        <f t="shared" si="266"/>
        <v>12</v>
      </c>
      <c r="I276" s="58">
        <f t="shared" si="266"/>
        <v>-20</v>
      </c>
      <c r="J276" s="58">
        <f t="shared" si="266"/>
        <v>0</v>
      </c>
      <c r="K276" s="58">
        <f t="shared" si="266"/>
        <v>0</v>
      </c>
      <c r="L276" s="58">
        <f t="shared" si="266"/>
        <v>0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0" customHeight="1">
      <c r="A277" s="70"/>
      <c r="B277" s="71"/>
      <c r="C277" s="66"/>
      <c r="D277" s="66">
        <f t="shared" si="3"/>
        <v>0</v>
      </c>
      <c r="E277" s="67"/>
      <c r="F277" s="58">
        <f t="shared" ref="F277:L277" si="267">SUMIFS($C277,$B277,F$7)+F276</f>
        <v>26</v>
      </c>
      <c r="G277" s="58">
        <f t="shared" si="267"/>
        <v>24</v>
      </c>
      <c r="H277" s="58">
        <f t="shared" si="267"/>
        <v>12</v>
      </c>
      <c r="I277" s="58">
        <f t="shared" si="267"/>
        <v>-20</v>
      </c>
      <c r="J277" s="58">
        <f t="shared" si="267"/>
        <v>0</v>
      </c>
      <c r="K277" s="58">
        <f t="shared" si="267"/>
        <v>0</v>
      </c>
      <c r="L277" s="58">
        <f t="shared" si="267"/>
        <v>0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0" customHeight="1">
      <c r="A278" s="70"/>
      <c r="B278" s="71"/>
      <c r="C278" s="66"/>
      <c r="D278" s="66">
        <f t="shared" si="3"/>
        <v>0</v>
      </c>
      <c r="E278" s="67"/>
      <c r="F278" s="58">
        <f t="shared" ref="F278:L278" si="268">SUMIFS($C278,$B278,F$7)+F277</f>
        <v>26</v>
      </c>
      <c r="G278" s="58">
        <f t="shared" si="268"/>
        <v>24</v>
      </c>
      <c r="H278" s="58">
        <f t="shared" si="268"/>
        <v>12</v>
      </c>
      <c r="I278" s="58">
        <f t="shared" si="268"/>
        <v>-20</v>
      </c>
      <c r="J278" s="58">
        <f t="shared" si="268"/>
        <v>0</v>
      </c>
      <c r="K278" s="58">
        <f t="shared" si="268"/>
        <v>0</v>
      </c>
      <c r="L278" s="58">
        <f t="shared" si="268"/>
        <v>0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0" customHeight="1">
      <c r="A279" s="70"/>
      <c r="B279" s="71"/>
      <c r="C279" s="66"/>
      <c r="D279" s="66">
        <f t="shared" si="3"/>
        <v>0</v>
      </c>
      <c r="E279" s="67"/>
      <c r="F279" s="58">
        <f t="shared" ref="F279:L279" si="269">SUMIFS($C279,$B279,F$7)+F278</f>
        <v>26</v>
      </c>
      <c r="G279" s="58">
        <f t="shared" si="269"/>
        <v>24</v>
      </c>
      <c r="H279" s="58">
        <f t="shared" si="269"/>
        <v>12</v>
      </c>
      <c r="I279" s="58">
        <f t="shared" si="269"/>
        <v>-20</v>
      </c>
      <c r="J279" s="58">
        <f t="shared" si="269"/>
        <v>0</v>
      </c>
      <c r="K279" s="58">
        <f t="shared" si="269"/>
        <v>0</v>
      </c>
      <c r="L279" s="58">
        <f t="shared" si="269"/>
        <v>0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0" customHeight="1">
      <c r="A280" s="70"/>
      <c r="B280" s="71"/>
      <c r="C280" s="66"/>
      <c r="D280" s="66">
        <f t="shared" si="3"/>
        <v>0</v>
      </c>
      <c r="E280" s="67"/>
      <c r="F280" s="58">
        <f t="shared" ref="F280:L280" si="270">SUMIFS($C280,$B280,F$7)+F279</f>
        <v>26</v>
      </c>
      <c r="G280" s="58">
        <f t="shared" si="270"/>
        <v>24</v>
      </c>
      <c r="H280" s="58">
        <f t="shared" si="270"/>
        <v>12</v>
      </c>
      <c r="I280" s="58">
        <f t="shared" si="270"/>
        <v>-20</v>
      </c>
      <c r="J280" s="58">
        <f t="shared" si="270"/>
        <v>0</v>
      </c>
      <c r="K280" s="58">
        <f t="shared" si="270"/>
        <v>0</v>
      </c>
      <c r="L280" s="58">
        <f t="shared" si="270"/>
        <v>0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0" customHeight="1">
      <c r="A281" s="70"/>
      <c r="B281" s="71"/>
      <c r="C281" s="66"/>
      <c r="D281" s="66">
        <f t="shared" si="3"/>
        <v>0</v>
      </c>
      <c r="E281" s="67"/>
      <c r="F281" s="58">
        <f t="shared" ref="F281:L281" si="271">SUMIFS($C281,$B281,F$7)+F280</f>
        <v>26</v>
      </c>
      <c r="G281" s="58">
        <f t="shared" si="271"/>
        <v>24</v>
      </c>
      <c r="H281" s="58">
        <f t="shared" si="271"/>
        <v>12</v>
      </c>
      <c r="I281" s="58">
        <f t="shared" si="271"/>
        <v>-20</v>
      </c>
      <c r="J281" s="58">
        <f t="shared" si="271"/>
        <v>0</v>
      </c>
      <c r="K281" s="58">
        <f t="shared" si="271"/>
        <v>0</v>
      </c>
      <c r="L281" s="58">
        <f t="shared" si="271"/>
        <v>0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0" customHeight="1">
      <c r="A282" s="70"/>
      <c r="B282" s="71"/>
      <c r="C282" s="66"/>
      <c r="D282" s="66">
        <f t="shared" si="3"/>
        <v>0</v>
      </c>
      <c r="E282" s="67"/>
      <c r="F282" s="58">
        <f t="shared" ref="F282:L282" si="272">SUMIFS($C282,$B282,F$7)+F281</f>
        <v>26</v>
      </c>
      <c r="G282" s="58">
        <f t="shared" si="272"/>
        <v>24</v>
      </c>
      <c r="H282" s="58">
        <f t="shared" si="272"/>
        <v>12</v>
      </c>
      <c r="I282" s="58">
        <f t="shared" si="272"/>
        <v>-20</v>
      </c>
      <c r="J282" s="58">
        <f t="shared" si="272"/>
        <v>0</v>
      </c>
      <c r="K282" s="58">
        <f t="shared" si="272"/>
        <v>0</v>
      </c>
      <c r="L282" s="58">
        <f t="shared" si="272"/>
        <v>0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0" customHeight="1">
      <c r="A283" s="70"/>
      <c r="B283" s="71"/>
      <c r="C283" s="66"/>
      <c r="D283" s="66">
        <f t="shared" si="3"/>
        <v>0</v>
      </c>
      <c r="E283" s="67"/>
      <c r="F283" s="58">
        <f t="shared" ref="F283:L283" si="273">SUMIFS($C283,$B283,F$7)+F282</f>
        <v>26</v>
      </c>
      <c r="G283" s="58">
        <f t="shared" si="273"/>
        <v>24</v>
      </c>
      <c r="H283" s="58">
        <f t="shared" si="273"/>
        <v>12</v>
      </c>
      <c r="I283" s="58">
        <f t="shared" si="273"/>
        <v>-20</v>
      </c>
      <c r="J283" s="58">
        <f t="shared" si="273"/>
        <v>0</v>
      </c>
      <c r="K283" s="58">
        <f t="shared" si="273"/>
        <v>0</v>
      </c>
      <c r="L283" s="58">
        <f t="shared" si="273"/>
        <v>0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0" customHeight="1">
      <c r="A284" s="70"/>
      <c r="B284" s="71"/>
      <c r="C284" s="66"/>
      <c r="D284" s="66">
        <f t="shared" si="3"/>
        <v>0</v>
      </c>
      <c r="E284" s="67"/>
      <c r="F284" s="58">
        <f t="shared" ref="F284:L284" si="274">SUMIFS($C284,$B284,F$7)+F283</f>
        <v>26</v>
      </c>
      <c r="G284" s="58">
        <f t="shared" si="274"/>
        <v>24</v>
      </c>
      <c r="H284" s="58">
        <f t="shared" si="274"/>
        <v>12</v>
      </c>
      <c r="I284" s="58">
        <f t="shared" si="274"/>
        <v>-20</v>
      </c>
      <c r="J284" s="58">
        <f t="shared" si="274"/>
        <v>0</v>
      </c>
      <c r="K284" s="58">
        <f t="shared" si="274"/>
        <v>0</v>
      </c>
      <c r="L284" s="58">
        <f t="shared" si="274"/>
        <v>0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0" customHeight="1">
      <c r="A285" s="70"/>
      <c r="B285" s="71"/>
      <c r="C285" s="66"/>
      <c r="D285" s="66">
        <f t="shared" si="3"/>
        <v>0</v>
      </c>
      <c r="E285" s="67"/>
      <c r="F285" s="58">
        <f t="shared" ref="F285:L285" si="275">SUMIFS($C285,$B285,F$7)+F284</f>
        <v>26</v>
      </c>
      <c r="G285" s="58">
        <f t="shared" si="275"/>
        <v>24</v>
      </c>
      <c r="H285" s="58">
        <f t="shared" si="275"/>
        <v>12</v>
      </c>
      <c r="I285" s="58">
        <f t="shared" si="275"/>
        <v>-20</v>
      </c>
      <c r="J285" s="58">
        <f t="shared" si="275"/>
        <v>0</v>
      </c>
      <c r="K285" s="58">
        <f t="shared" si="275"/>
        <v>0</v>
      </c>
      <c r="L285" s="58">
        <f t="shared" si="275"/>
        <v>0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0" customHeight="1">
      <c r="A286" s="70"/>
      <c r="B286" s="71"/>
      <c r="C286" s="66"/>
      <c r="D286" s="66">
        <f t="shared" si="3"/>
        <v>0</v>
      </c>
      <c r="E286" s="67"/>
      <c r="F286" s="58">
        <f t="shared" ref="F286:L286" si="276">SUMIFS($C286,$B286,F$7)+F285</f>
        <v>26</v>
      </c>
      <c r="G286" s="58">
        <f t="shared" si="276"/>
        <v>24</v>
      </c>
      <c r="H286" s="58">
        <f t="shared" si="276"/>
        <v>12</v>
      </c>
      <c r="I286" s="58">
        <f t="shared" si="276"/>
        <v>-20</v>
      </c>
      <c r="J286" s="58">
        <f t="shared" si="276"/>
        <v>0</v>
      </c>
      <c r="K286" s="58">
        <f t="shared" si="276"/>
        <v>0</v>
      </c>
      <c r="L286" s="58">
        <f t="shared" si="276"/>
        <v>0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0" customHeight="1">
      <c r="A287" s="70"/>
      <c r="B287" s="71"/>
      <c r="C287" s="66"/>
      <c r="D287" s="66">
        <f t="shared" si="3"/>
        <v>0</v>
      </c>
      <c r="E287" s="67"/>
      <c r="F287" s="58">
        <f t="shared" ref="F287:L287" si="277">SUMIFS($C287,$B287,F$7)+F286</f>
        <v>26</v>
      </c>
      <c r="G287" s="58">
        <f t="shared" si="277"/>
        <v>24</v>
      </c>
      <c r="H287" s="58">
        <f t="shared" si="277"/>
        <v>12</v>
      </c>
      <c r="I287" s="58">
        <f t="shared" si="277"/>
        <v>-20</v>
      </c>
      <c r="J287" s="58">
        <f t="shared" si="277"/>
        <v>0</v>
      </c>
      <c r="K287" s="58">
        <f t="shared" si="277"/>
        <v>0</v>
      </c>
      <c r="L287" s="58">
        <f t="shared" si="277"/>
        <v>0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0" customHeight="1">
      <c r="A288" s="70"/>
      <c r="B288" s="71"/>
      <c r="C288" s="66"/>
      <c r="D288" s="66">
        <f t="shared" si="3"/>
        <v>0</v>
      </c>
      <c r="E288" s="67"/>
      <c r="F288" s="58">
        <f t="shared" ref="F288:L288" si="278">SUMIFS($C288,$B288,F$7)+F287</f>
        <v>26</v>
      </c>
      <c r="G288" s="58">
        <f t="shared" si="278"/>
        <v>24</v>
      </c>
      <c r="H288" s="58">
        <f t="shared" si="278"/>
        <v>12</v>
      </c>
      <c r="I288" s="58">
        <f t="shared" si="278"/>
        <v>-20</v>
      </c>
      <c r="J288" s="58">
        <f t="shared" si="278"/>
        <v>0</v>
      </c>
      <c r="K288" s="58">
        <f t="shared" si="278"/>
        <v>0</v>
      </c>
      <c r="L288" s="58">
        <f t="shared" si="278"/>
        <v>0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0" customHeight="1">
      <c r="A289" s="70"/>
      <c r="B289" s="71"/>
      <c r="C289" s="66"/>
      <c r="D289" s="66">
        <f t="shared" si="3"/>
        <v>0</v>
      </c>
      <c r="E289" s="67"/>
      <c r="F289" s="58">
        <f t="shared" ref="F289:L289" si="279">SUMIFS($C289,$B289,F$7)+F288</f>
        <v>26</v>
      </c>
      <c r="G289" s="58">
        <f t="shared" si="279"/>
        <v>24</v>
      </c>
      <c r="H289" s="58">
        <f t="shared" si="279"/>
        <v>12</v>
      </c>
      <c r="I289" s="58">
        <f t="shared" si="279"/>
        <v>-20</v>
      </c>
      <c r="J289" s="58">
        <f t="shared" si="279"/>
        <v>0</v>
      </c>
      <c r="K289" s="58">
        <f t="shared" si="279"/>
        <v>0</v>
      </c>
      <c r="L289" s="58">
        <f t="shared" si="279"/>
        <v>0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0" customHeight="1">
      <c r="A290" s="70"/>
      <c r="B290" s="71"/>
      <c r="C290" s="66"/>
      <c r="D290" s="66">
        <f t="shared" si="3"/>
        <v>0</v>
      </c>
      <c r="E290" s="67"/>
      <c r="F290" s="58">
        <f t="shared" ref="F290:L290" si="280">SUMIFS($C290,$B290,F$7)+F289</f>
        <v>26</v>
      </c>
      <c r="G290" s="58">
        <f t="shared" si="280"/>
        <v>24</v>
      </c>
      <c r="H290" s="58">
        <f t="shared" si="280"/>
        <v>12</v>
      </c>
      <c r="I290" s="58">
        <f t="shared" si="280"/>
        <v>-20</v>
      </c>
      <c r="J290" s="58">
        <f t="shared" si="280"/>
        <v>0</v>
      </c>
      <c r="K290" s="58">
        <f t="shared" si="280"/>
        <v>0</v>
      </c>
      <c r="L290" s="58">
        <f t="shared" si="280"/>
        <v>0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0" customHeight="1">
      <c r="A291" s="70"/>
      <c r="B291" s="71"/>
      <c r="C291" s="66"/>
      <c r="D291" s="66">
        <f t="shared" si="3"/>
        <v>0</v>
      </c>
      <c r="E291" s="67"/>
      <c r="F291" s="58">
        <f t="shared" ref="F291:L291" si="281">SUMIFS($C291,$B291,F$7)+F290</f>
        <v>26</v>
      </c>
      <c r="G291" s="58">
        <f t="shared" si="281"/>
        <v>24</v>
      </c>
      <c r="H291" s="58">
        <f t="shared" si="281"/>
        <v>12</v>
      </c>
      <c r="I291" s="58">
        <f t="shared" si="281"/>
        <v>-20</v>
      </c>
      <c r="J291" s="58">
        <f t="shared" si="281"/>
        <v>0</v>
      </c>
      <c r="K291" s="58">
        <f t="shared" si="281"/>
        <v>0</v>
      </c>
      <c r="L291" s="58">
        <f t="shared" si="281"/>
        <v>0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0" customHeight="1">
      <c r="A292" s="70"/>
      <c r="B292" s="71"/>
      <c r="C292" s="66"/>
      <c r="D292" s="66">
        <f t="shared" si="3"/>
        <v>0</v>
      </c>
      <c r="E292" s="67"/>
      <c r="F292" s="58">
        <f t="shared" ref="F292:L292" si="282">SUMIFS($C292,$B292,F$7)+F291</f>
        <v>26</v>
      </c>
      <c r="G292" s="58">
        <f t="shared" si="282"/>
        <v>24</v>
      </c>
      <c r="H292" s="58">
        <f t="shared" si="282"/>
        <v>12</v>
      </c>
      <c r="I292" s="58">
        <f t="shared" si="282"/>
        <v>-20</v>
      </c>
      <c r="J292" s="58">
        <f t="shared" si="282"/>
        <v>0</v>
      </c>
      <c r="K292" s="58">
        <f t="shared" si="282"/>
        <v>0</v>
      </c>
      <c r="L292" s="58">
        <f t="shared" si="282"/>
        <v>0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0" customHeight="1">
      <c r="A293" s="70"/>
      <c r="B293" s="71"/>
      <c r="C293" s="66"/>
      <c r="D293" s="66">
        <f t="shared" si="3"/>
        <v>0</v>
      </c>
      <c r="E293" s="67"/>
      <c r="F293" s="58">
        <f t="shared" ref="F293:L293" si="283">SUMIFS($C293,$B293,F$7)+F292</f>
        <v>26</v>
      </c>
      <c r="G293" s="58">
        <f t="shared" si="283"/>
        <v>24</v>
      </c>
      <c r="H293" s="58">
        <f t="shared" si="283"/>
        <v>12</v>
      </c>
      <c r="I293" s="58">
        <f t="shared" si="283"/>
        <v>-20</v>
      </c>
      <c r="J293" s="58">
        <f t="shared" si="283"/>
        <v>0</v>
      </c>
      <c r="K293" s="58">
        <f t="shared" si="283"/>
        <v>0</v>
      </c>
      <c r="L293" s="58">
        <f t="shared" si="283"/>
        <v>0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0" customHeight="1">
      <c r="A294" s="70"/>
      <c r="B294" s="71"/>
      <c r="C294" s="66"/>
      <c r="D294" s="66">
        <f t="shared" si="3"/>
        <v>0</v>
      </c>
      <c r="E294" s="67"/>
      <c r="F294" s="58">
        <f t="shared" ref="F294:L294" si="284">SUMIFS($C294,$B294,F$7)+F293</f>
        <v>26</v>
      </c>
      <c r="G294" s="58">
        <f t="shared" si="284"/>
        <v>24</v>
      </c>
      <c r="H294" s="58">
        <f t="shared" si="284"/>
        <v>12</v>
      </c>
      <c r="I294" s="58">
        <f t="shared" si="284"/>
        <v>-20</v>
      </c>
      <c r="J294" s="58">
        <f t="shared" si="284"/>
        <v>0</v>
      </c>
      <c r="K294" s="58">
        <f t="shared" si="284"/>
        <v>0</v>
      </c>
      <c r="L294" s="58">
        <f t="shared" si="284"/>
        <v>0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0" customHeight="1">
      <c r="A295" s="70"/>
      <c r="B295" s="71"/>
      <c r="C295" s="66"/>
      <c r="D295" s="66">
        <f t="shared" si="3"/>
        <v>0</v>
      </c>
      <c r="E295" s="67"/>
      <c r="F295" s="58">
        <f t="shared" ref="F295:L295" si="285">SUMIFS($C295,$B295,F$7)+F294</f>
        <v>26</v>
      </c>
      <c r="G295" s="58">
        <f t="shared" si="285"/>
        <v>24</v>
      </c>
      <c r="H295" s="58">
        <f t="shared" si="285"/>
        <v>12</v>
      </c>
      <c r="I295" s="58">
        <f t="shared" si="285"/>
        <v>-20</v>
      </c>
      <c r="J295" s="58">
        <f t="shared" si="285"/>
        <v>0</v>
      </c>
      <c r="K295" s="58">
        <f t="shared" si="285"/>
        <v>0</v>
      </c>
      <c r="L295" s="58">
        <f t="shared" si="285"/>
        <v>0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0" customHeight="1">
      <c r="A296" s="70"/>
      <c r="B296" s="71"/>
      <c r="C296" s="66"/>
      <c r="D296" s="66">
        <f t="shared" si="3"/>
        <v>0</v>
      </c>
      <c r="E296" s="67"/>
      <c r="F296" s="58">
        <f t="shared" ref="F296:L296" si="286">SUMIFS($C296,$B296,F$7)+F295</f>
        <v>26</v>
      </c>
      <c r="G296" s="58">
        <f t="shared" si="286"/>
        <v>24</v>
      </c>
      <c r="H296" s="58">
        <f t="shared" si="286"/>
        <v>12</v>
      </c>
      <c r="I296" s="58">
        <f t="shared" si="286"/>
        <v>-20</v>
      </c>
      <c r="J296" s="58">
        <f t="shared" si="286"/>
        <v>0</v>
      </c>
      <c r="K296" s="58">
        <f t="shared" si="286"/>
        <v>0</v>
      </c>
      <c r="L296" s="58">
        <f t="shared" si="286"/>
        <v>0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0" customHeight="1">
      <c r="A297" s="70"/>
      <c r="B297" s="71"/>
      <c r="C297" s="66"/>
      <c r="D297" s="66">
        <f t="shared" si="3"/>
        <v>0</v>
      </c>
      <c r="E297" s="67"/>
      <c r="F297" s="58">
        <f t="shared" ref="F297:L297" si="287">SUMIFS($C297,$B297,F$7)+F296</f>
        <v>26</v>
      </c>
      <c r="G297" s="58">
        <f t="shared" si="287"/>
        <v>24</v>
      </c>
      <c r="H297" s="58">
        <f t="shared" si="287"/>
        <v>12</v>
      </c>
      <c r="I297" s="58">
        <f t="shared" si="287"/>
        <v>-20</v>
      </c>
      <c r="J297" s="58">
        <f t="shared" si="287"/>
        <v>0</v>
      </c>
      <c r="K297" s="58">
        <f t="shared" si="287"/>
        <v>0</v>
      </c>
      <c r="L297" s="58">
        <f t="shared" si="287"/>
        <v>0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0" customHeight="1">
      <c r="A298" s="70"/>
      <c r="B298" s="71"/>
      <c r="C298" s="66"/>
      <c r="D298" s="66">
        <f t="shared" si="3"/>
        <v>0</v>
      </c>
      <c r="E298" s="67"/>
      <c r="F298" s="58">
        <f t="shared" ref="F298:L298" si="288">SUMIFS($C298,$B298,F$7)+F297</f>
        <v>26</v>
      </c>
      <c r="G298" s="58">
        <f t="shared" si="288"/>
        <v>24</v>
      </c>
      <c r="H298" s="58">
        <f t="shared" si="288"/>
        <v>12</v>
      </c>
      <c r="I298" s="58">
        <f t="shared" si="288"/>
        <v>-20</v>
      </c>
      <c r="J298" s="58">
        <f t="shared" si="288"/>
        <v>0</v>
      </c>
      <c r="K298" s="58">
        <f t="shared" si="288"/>
        <v>0</v>
      </c>
      <c r="L298" s="58">
        <f t="shared" si="288"/>
        <v>0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0" customHeight="1">
      <c r="A299" s="70"/>
      <c r="B299" s="71"/>
      <c r="C299" s="66"/>
      <c r="D299" s="66">
        <f t="shared" si="3"/>
        <v>0</v>
      </c>
      <c r="E299" s="67"/>
      <c r="F299" s="58">
        <f t="shared" ref="F299:L299" si="289">SUMIFS($C299,$B299,F$7)+F298</f>
        <v>26</v>
      </c>
      <c r="G299" s="58">
        <f t="shared" si="289"/>
        <v>24</v>
      </c>
      <c r="H299" s="58">
        <f t="shared" si="289"/>
        <v>12</v>
      </c>
      <c r="I299" s="58">
        <f t="shared" si="289"/>
        <v>-20</v>
      </c>
      <c r="J299" s="58">
        <f t="shared" si="289"/>
        <v>0</v>
      </c>
      <c r="K299" s="58">
        <f t="shared" si="289"/>
        <v>0</v>
      </c>
      <c r="L299" s="58">
        <f t="shared" si="289"/>
        <v>0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0" customHeight="1">
      <c r="A300" s="70"/>
      <c r="B300" s="71"/>
      <c r="C300" s="66"/>
      <c r="D300" s="66">
        <f t="shared" si="3"/>
        <v>0</v>
      </c>
      <c r="E300" s="67"/>
      <c r="F300" s="58">
        <f t="shared" ref="F300:L300" si="290">SUMIFS($C300,$B300,F$7)+F299</f>
        <v>26</v>
      </c>
      <c r="G300" s="58">
        <f t="shared" si="290"/>
        <v>24</v>
      </c>
      <c r="H300" s="58">
        <f t="shared" si="290"/>
        <v>12</v>
      </c>
      <c r="I300" s="58">
        <f t="shared" si="290"/>
        <v>-20</v>
      </c>
      <c r="J300" s="58">
        <f t="shared" si="290"/>
        <v>0</v>
      </c>
      <c r="K300" s="58">
        <f t="shared" si="290"/>
        <v>0</v>
      </c>
      <c r="L300" s="58">
        <f t="shared" si="290"/>
        <v>0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0" customHeight="1">
      <c r="A301" s="70"/>
      <c r="B301" s="71"/>
      <c r="C301" s="66"/>
      <c r="D301" s="66">
        <f t="shared" si="3"/>
        <v>0</v>
      </c>
      <c r="E301" s="67"/>
      <c r="F301" s="58">
        <f t="shared" ref="F301:L301" si="291">SUMIFS($C301,$B301,F$7)+F300</f>
        <v>26</v>
      </c>
      <c r="G301" s="58">
        <f t="shared" si="291"/>
        <v>24</v>
      </c>
      <c r="H301" s="58">
        <f t="shared" si="291"/>
        <v>12</v>
      </c>
      <c r="I301" s="58">
        <f t="shared" si="291"/>
        <v>-20</v>
      </c>
      <c r="J301" s="58">
        <f t="shared" si="291"/>
        <v>0</v>
      </c>
      <c r="K301" s="58">
        <f t="shared" si="291"/>
        <v>0</v>
      </c>
      <c r="L301" s="58">
        <f t="shared" si="291"/>
        <v>0</v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0" customHeight="1">
      <c r="A302" s="70"/>
      <c r="B302" s="71"/>
      <c r="C302" s="66"/>
      <c r="D302" s="66">
        <f t="shared" si="3"/>
        <v>0</v>
      </c>
      <c r="E302" s="67"/>
      <c r="F302" s="58">
        <f t="shared" ref="F302:L302" si="292">SUMIFS($C302,$B302,F$7)+F301</f>
        <v>26</v>
      </c>
      <c r="G302" s="58">
        <f t="shared" si="292"/>
        <v>24</v>
      </c>
      <c r="H302" s="58">
        <f t="shared" si="292"/>
        <v>12</v>
      </c>
      <c r="I302" s="58">
        <f t="shared" si="292"/>
        <v>-20</v>
      </c>
      <c r="J302" s="58">
        <f t="shared" si="292"/>
        <v>0</v>
      </c>
      <c r="K302" s="58">
        <f t="shared" si="292"/>
        <v>0</v>
      </c>
      <c r="L302" s="58">
        <f t="shared" si="292"/>
        <v>0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0" customHeight="1">
      <c r="A303" s="70"/>
      <c r="B303" s="71"/>
      <c r="C303" s="66"/>
      <c r="D303" s="66">
        <f t="shared" si="3"/>
        <v>0</v>
      </c>
      <c r="E303" s="67"/>
      <c r="F303" s="58">
        <f t="shared" ref="F303:L303" si="293">SUMIFS($C303,$B303,F$7)+F302</f>
        <v>26</v>
      </c>
      <c r="G303" s="58">
        <f t="shared" si="293"/>
        <v>24</v>
      </c>
      <c r="H303" s="58">
        <f t="shared" si="293"/>
        <v>12</v>
      </c>
      <c r="I303" s="58">
        <f t="shared" si="293"/>
        <v>-20</v>
      </c>
      <c r="J303" s="58">
        <f t="shared" si="293"/>
        <v>0</v>
      </c>
      <c r="K303" s="58">
        <f t="shared" si="293"/>
        <v>0</v>
      </c>
      <c r="L303" s="58">
        <f t="shared" si="293"/>
        <v>0</v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0" customHeight="1">
      <c r="A304" s="70"/>
      <c r="B304" s="71"/>
      <c r="C304" s="66"/>
      <c r="D304" s="66">
        <f t="shared" si="3"/>
        <v>0</v>
      </c>
      <c r="E304" s="67"/>
      <c r="F304" s="58">
        <f t="shared" ref="F304:L304" si="294">SUMIFS($C304,$B304,F$7)+F303</f>
        <v>26</v>
      </c>
      <c r="G304" s="58">
        <f t="shared" si="294"/>
        <v>24</v>
      </c>
      <c r="H304" s="58">
        <f t="shared" si="294"/>
        <v>12</v>
      </c>
      <c r="I304" s="58">
        <f t="shared" si="294"/>
        <v>-20</v>
      </c>
      <c r="J304" s="58">
        <f t="shared" si="294"/>
        <v>0</v>
      </c>
      <c r="K304" s="58">
        <f t="shared" si="294"/>
        <v>0</v>
      </c>
      <c r="L304" s="58">
        <f t="shared" si="294"/>
        <v>0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0" customHeight="1">
      <c r="A305" s="70"/>
      <c r="B305" s="71"/>
      <c r="C305" s="66"/>
      <c r="D305" s="66">
        <f t="shared" si="3"/>
        <v>0</v>
      </c>
      <c r="E305" s="67"/>
      <c r="F305" s="58">
        <f t="shared" ref="F305:L305" si="295">SUMIFS($C305,$B305,F$7)+F304</f>
        <v>26</v>
      </c>
      <c r="G305" s="58">
        <f t="shared" si="295"/>
        <v>24</v>
      </c>
      <c r="H305" s="58">
        <f t="shared" si="295"/>
        <v>12</v>
      </c>
      <c r="I305" s="58">
        <f t="shared" si="295"/>
        <v>-20</v>
      </c>
      <c r="J305" s="58">
        <f t="shared" si="295"/>
        <v>0</v>
      </c>
      <c r="K305" s="58">
        <f t="shared" si="295"/>
        <v>0</v>
      </c>
      <c r="L305" s="58">
        <f t="shared" si="295"/>
        <v>0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0" customHeight="1">
      <c r="A306" s="70"/>
      <c r="B306" s="71"/>
      <c r="C306" s="66"/>
      <c r="D306" s="66">
        <f t="shared" si="3"/>
        <v>0</v>
      </c>
      <c r="E306" s="67"/>
      <c r="F306" s="58">
        <f t="shared" ref="F306:L306" si="296">SUMIFS($C306,$B306,F$7)+F305</f>
        <v>26</v>
      </c>
      <c r="G306" s="58">
        <f t="shared" si="296"/>
        <v>24</v>
      </c>
      <c r="H306" s="58">
        <f t="shared" si="296"/>
        <v>12</v>
      </c>
      <c r="I306" s="58">
        <f t="shared" si="296"/>
        <v>-20</v>
      </c>
      <c r="J306" s="58">
        <f t="shared" si="296"/>
        <v>0</v>
      </c>
      <c r="K306" s="58">
        <f t="shared" si="296"/>
        <v>0</v>
      </c>
      <c r="L306" s="58">
        <f t="shared" si="296"/>
        <v>0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0" customHeight="1">
      <c r="A307" s="70"/>
      <c r="B307" s="71"/>
      <c r="C307" s="66"/>
      <c r="D307" s="66">
        <f t="shared" si="3"/>
        <v>0</v>
      </c>
      <c r="E307" s="67"/>
      <c r="F307" s="58">
        <f t="shared" ref="F307:L307" si="297">SUMIFS($C307,$B307,F$7)+F306</f>
        <v>26</v>
      </c>
      <c r="G307" s="58">
        <f t="shared" si="297"/>
        <v>24</v>
      </c>
      <c r="H307" s="58">
        <f t="shared" si="297"/>
        <v>12</v>
      </c>
      <c r="I307" s="58">
        <f t="shared" si="297"/>
        <v>-20</v>
      </c>
      <c r="J307" s="58">
        <f t="shared" si="297"/>
        <v>0</v>
      </c>
      <c r="K307" s="58">
        <f t="shared" si="297"/>
        <v>0</v>
      </c>
      <c r="L307" s="58">
        <f t="shared" si="297"/>
        <v>0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0" customHeight="1">
      <c r="A308" s="70"/>
      <c r="B308" s="71"/>
      <c r="C308" s="66"/>
      <c r="D308" s="66">
        <f t="shared" si="3"/>
        <v>0</v>
      </c>
      <c r="E308" s="67"/>
      <c r="F308" s="58">
        <f t="shared" ref="F308:L308" si="298">SUMIFS($C308,$B308,F$7)+F307</f>
        <v>26</v>
      </c>
      <c r="G308" s="58">
        <f t="shared" si="298"/>
        <v>24</v>
      </c>
      <c r="H308" s="58">
        <f t="shared" si="298"/>
        <v>12</v>
      </c>
      <c r="I308" s="58">
        <f t="shared" si="298"/>
        <v>-20</v>
      </c>
      <c r="J308" s="58">
        <f t="shared" si="298"/>
        <v>0</v>
      </c>
      <c r="K308" s="58">
        <f t="shared" si="298"/>
        <v>0</v>
      </c>
      <c r="L308" s="58">
        <f t="shared" si="298"/>
        <v>0</v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0" customHeight="1">
      <c r="A309" s="70"/>
      <c r="B309" s="71"/>
      <c r="C309" s="66"/>
      <c r="D309" s="66">
        <f t="shared" si="3"/>
        <v>0</v>
      </c>
      <c r="E309" s="67"/>
      <c r="F309" s="58">
        <f t="shared" ref="F309:L309" si="299">SUMIFS($C309,$B309,F$7)+F308</f>
        <v>26</v>
      </c>
      <c r="G309" s="58">
        <f t="shared" si="299"/>
        <v>24</v>
      </c>
      <c r="H309" s="58">
        <f t="shared" si="299"/>
        <v>12</v>
      </c>
      <c r="I309" s="58">
        <f t="shared" si="299"/>
        <v>-20</v>
      </c>
      <c r="J309" s="58">
        <f t="shared" si="299"/>
        <v>0</v>
      </c>
      <c r="K309" s="58">
        <f t="shared" si="299"/>
        <v>0</v>
      </c>
      <c r="L309" s="58">
        <f t="shared" si="299"/>
        <v>0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0" customHeight="1">
      <c r="A310" s="70"/>
      <c r="B310" s="71"/>
      <c r="C310" s="66"/>
      <c r="D310" s="66">
        <f t="shared" si="3"/>
        <v>0</v>
      </c>
      <c r="E310" s="67"/>
      <c r="F310" s="58">
        <f t="shared" ref="F310:L310" si="300">SUMIFS($C310,$B310,F$7)+F309</f>
        <v>26</v>
      </c>
      <c r="G310" s="58">
        <f t="shared" si="300"/>
        <v>24</v>
      </c>
      <c r="H310" s="58">
        <f t="shared" si="300"/>
        <v>12</v>
      </c>
      <c r="I310" s="58">
        <f t="shared" si="300"/>
        <v>-20</v>
      </c>
      <c r="J310" s="58">
        <f t="shared" si="300"/>
        <v>0</v>
      </c>
      <c r="K310" s="58">
        <f t="shared" si="300"/>
        <v>0</v>
      </c>
      <c r="L310" s="58">
        <f t="shared" si="300"/>
        <v>0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0" customHeight="1">
      <c r="A311" s="70"/>
      <c r="B311" s="71"/>
      <c r="C311" s="66"/>
      <c r="D311" s="66">
        <f t="shared" si="3"/>
        <v>0</v>
      </c>
      <c r="E311" s="67"/>
      <c r="F311" s="58">
        <f t="shared" ref="F311:L311" si="301">SUMIFS($C311,$B311,F$7)+F310</f>
        <v>26</v>
      </c>
      <c r="G311" s="58">
        <f t="shared" si="301"/>
        <v>24</v>
      </c>
      <c r="H311" s="58">
        <f t="shared" si="301"/>
        <v>12</v>
      </c>
      <c r="I311" s="58">
        <f t="shared" si="301"/>
        <v>-20</v>
      </c>
      <c r="J311" s="58">
        <f t="shared" si="301"/>
        <v>0</v>
      </c>
      <c r="K311" s="58">
        <f t="shared" si="301"/>
        <v>0</v>
      </c>
      <c r="L311" s="58">
        <f t="shared" si="301"/>
        <v>0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0" customHeight="1">
      <c r="A312" s="70"/>
      <c r="B312" s="71"/>
      <c r="C312" s="66"/>
      <c r="D312" s="66">
        <f t="shared" si="3"/>
        <v>0</v>
      </c>
      <c r="E312" s="67"/>
      <c r="F312" s="58">
        <f t="shared" ref="F312:L312" si="302">SUMIFS($C312,$B312,F$7)+F311</f>
        <v>26</v>
      </c>
      <c r="G312" s="58">
        <f t="shared" si="302"/>
        <v>24</v>
      </c>
      <c r="H312" s="58">
        <f t="shared" si="302"/>
        <v>12</v>
      </c>
      <c r="I312" s="58">
        <f t="shared" si="302"/>
        <v>-20</v>
      </c>
      <c r="J312" s="58">
        <f t="shared" si="302"/>
        <v>0</v>
      </c>
      <c r="K312" s="58">
        <f t="shared" si="302"/>
        <v>0</v>
      </c>
      <c r="L312" s="58">
        <f t="shared" si="302"/>
        <v>0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0" customHeight="1">
      <c r="A313" s="70"/>
      <c r="B313" s="71"/>
      <c r="C313" s="66"/>
      <c r="D313" s="66">
        <f t="shared" si="3"/>
        <v>0</v>
      </c>
      <c r="E313" s="67"/>
      <c r="F313" s="58">
        <f t="shared" ref="F313:L313" si="303">SUMIFS($C313,$B313,F$7)+F312</f>
        <v>26</v>
      </c>
      <c r="G313" s="58">
        <f t="shared" si="303"/>
        <v>24</v>
      </c>
      <c r="H313" s="58">
        <f t="shared" si="303"/>
        <v>12</v>
      </c>
      <c r="I313" s="58">
        <f t="shared" si="303"/>
        <v>-20</v>
      </c>
      <c r="J313" s="58">
        <f t="shared" si="303"/>
        <v>0</v>
      </c>
      <c r="K313" s="58">
        <f t="shared" si="303"/>
        <v>0</v>
      </c>
      <c r="L313" s="58">
        <f t="shared" si="303"/>
        <v>0</v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0" customHeight="1">
      <c r="A314" s="70"/>
      <c r="B314" s="71"/>
      <c r="C314" s="66"/>
      <c r="D314" s="66">
        <f t="shared" si="3"/>
        <v>0</v>
      </c>
      <c r="E314" s="67"/>
      <c r="F314" s="58">
        <f t="shared" ref="F314:L314" si="304">SUMIFS($C314,$B314,F$7)+F313</f>
        <v>26</v>
      </c>
      <c r="G314" s="58">
        <f t="shared" si="304"/>
        <v>24</v>
      </c>
      <c r="H314" s="58">
        <f t="shared" si="304"/>
        <v>12</v>
      </c>
      <c r="I314" s="58">
        <f t="shared" si="304"/>
        <v>-20</v>
      </c>
      <c r="J314" s="58">
        <f t="shared" si="304"/>
        <v>0</v>
      </c>
      <c r="K314" s="58">
        <f t="shared" si="304"/>
        <v>0</v>
      </c>
      <c r="L314" s="58">
        <f t="shared" si="304"/>
        <v>0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0" customHeight="1">
      <c r="A315" s="70"/>
      <c r="B315" s="71"/>
      <c r="C315" s="66"/>
      <c r="D315" s="66">
        <f t="shared" si="3"/>
        <v>0</v>
      </c>
      <c r="E315" s="67"/>
      <c r="F315" s="58">
        <f t="shared" ref="F315:L315" si="305">SUMIFS($C315,$B315,F$7)+F314</f>
        <v>26</v>
      </c>
      <c r="G315" s="58">
        <f t="shared" si="305"/>
        <v>24</v>
      </c>
      <c r="H315" s="58">
        <f t="shared" si="305"/>
        <v>12</v>
      </c>
      <c r="I315" s="58">
        <f t="shared" si="305"/>
        <v>-20</v>
      </c>
      <c r="J315" s="58">
        <f t="shared" si="305"/>
        <v>0</v>
      </c>
      <c r="K315" s="58">
        <f t="shared" si="305"/>
        <v>0</v>
      </c>
      <c r="L315" s="58">
        <f t="shared" si="305"/>
        <v>0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0" customHeight="1">
      <c r="A316" s="70"/>
      <c r="B316" s="71"/>
      <c r="C316" s="66"/>
      <c r="D316" s="66">
        <f t="shared" si="3"/>
        <v>0</v>
      </c>
      <c r="E316" s="67"/>
      <c r="F316" s="58">
        <f t="shared" ref="F316:L316" si="306">SUMIFS($C316,$B316,F$7)+F315</f>
        <v>26</v>
      </c>
      <c r="G316" s="58">
        <f t="shared" si="306"/>
        <v>24</v>
      </c>
      <c r="H316" s="58">
        <f t="shared" si="306"/>
        <v>12</v>
      </c>
      <c r="I316" s="58">
        <f t="shared" si="306"/>
        <v>-20</v>
      </c>
      <c r="J316" s="58">
        <f t="shared" si="306"/>
        <v>0</v>
      </c>
      <c r="K316" s="58">
        <f t="shared" si="306"/>
        <v>0</v>
      </c>
      <c r="L316" s="58">
        <f t="shared" si="306"/>
        <v>0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0" customHeight="1">
      <c r="A317" s="70"/>
      <c r="B317" s="71"/>
      <c r="C317" s="66"/>
      <c r="D317" s="66">
        <f t="shared" si="3"/>
        <v>0</v>
      </c>
      <c r="E317" s="67"/>
      <c r="F317" s="58">
        <f t="shared" ref="F317:L317" si="307">SUMIFS($C317,$B317,F$7)+F316</f>
        <v>26</v>
      </c>
      <c r="G317" s="58">
        <f t="shared" si="307"/>
        <v>24</v>
      </c>
      <c r="H317" s="58">
        <f t="shared" si="307"/>
        <v>12</v>
      </c>
      <c r="I317" s="58">
        <f t="shared" si="307"/>
        <v>-20</v>
      </c>
      <c r="J317" s="58">
        <f t="shared" si="307"/>
        <v>0</v>
      </c>
      <c r="K317" s="58">
        <f t="shared" si="307"/>
        <v>0</v>
      </c>
      <c r="L317" s="58">
        <f t="shared" si="307"/>
        <v>0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0" customHeight="1">
      <c r="A318" s="70"/>
      <c r="B318" s="71"/>
      <c r="C318" s="66"/>
      <c r="D318" s="66">
        <f t="shared" si="3"/>
        <v>0</v>
      </c>
      <c r="E318" s="67"/>
      <c r="F318" s="58">
        <f t="shared" ref="F318:L318" si="308">SUMIFS($C318,$B318,F$7)+F317</f>
        <v>26</v>
      </c>
      <c r="G318" s="58">
        <f t="shared" si="308"/>
        <v>24</v>
      </c>
      <c r="H318" s="58">
        <f t="shared" si="308"/>
        <v>12</v>
      </c>
      <c r="I318" s="58">
        <f t="shared" si="308"/>
        <v>-20</v>
      </c>
      <c r="J318" s="58">
        <f t="shared" si="308"/>
        <v>0</v>
      </c>
      <c r="K318" s="58">
        <f t="shared" si="308"/>
        <v>0</v>
      </c>
      <c r="L318" s="58">
        <f t="shared" si="308"/>
        <v>0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0" customHeight="1">
      <c r="A319" s="70"/>
      <c r="B319" s="71"/>
      <c r="C319" s="66"/>
      <c r="D319" s="66">
        <f t="shared" si="3"/>
        <v>0</v>
      </c>
      <c r="E319" s="67"/>
      <c r="F319" s="58">
        <f t="shared" ref="F319:L319" si="309">SUMIFS($C319,$B319,F$7)+F318</f>
        <v>26</v>
      </c>
      <c r="G319" s="58">
        <f t="shared" si="309"/>
        <v>24</v>
      </c>
      <c r="H319" s="58">
        <f t="shared" si="309"/>
        <v>12</v>
      </c>
      <c r="I319" s="58">
        <f t="shared" si="309"/>
        <v>-20</v>
      </c>
      <c r="J319" s="58">
        <f t="shared" si="309"/>
        <v>0</v>
      </c>
      <c r="K319" s="58">
        <f t="shared" si="309"/>
        <v>0</v>
      </c>
      <c r="L319" s="58">
        <f t="shared" si="309"/>
        <v>0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0" customHeight="1">
      <c r="A320" s="70"/>
      <c r="B320" s="71"/>
      <c r="C320" s="66"/>
      <c r="D320" s="66">
        <f t="shared" si="3"/>
        <v>0</v>
      </c>
      <c r="E320" s="67"/>
      <c r="F320" s="58">
        <f t="shared" ref="F320:L320" si="310">SUMIFS($C320,$B320,F$7)+F319</f>
        <v>26</v>
      </c>
      <c r="G320" s="58">
        <f t="shared" si="310"/>
        <v>24</v>
      </c>
      <c r="H320" s="58">
        <f t="shared" si="310"/>
        <v>12</v>
      </c>
      <c r="I320" s="58">
        <f t="shared" si="310"/>
        <v>-20</v>
      </c>
      <c r="J320" s="58">
        <f t="shared" si="310"/>
        <v>0</v>
      </c>
      <c r="K320" s="58">
        <f t="shared" si="310"/>
        <v>0</v>
      </c>
      <c r="L320" s="58">
        <f t="shared" si="310"/>
        <v>0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0" customHeight="1">
      <c r="A321" s="70"/>
      <c r="B321" s="71"/>
      <c r="C321" s="66"/>
      <c r="D321" s="66">
        <f t="shared" si="3"/>
        <v>0</v>
      </c>
      <c r="E321" s="67"/>
      <c r="F321" s="58">
        <f t="shared" ref="F321:L321" si="311">SUMIFS($C321,$B321,F$7)+F320</f>
        <v>26</v>
      </c>
      <c r="G321" s="58">
        <f t="shared" si="311"/>
        <v>24</v>
      </c>
      <c r="H321" s="58">
        <f t="shared" si="311"/>
        <v>12</v>
      </c>
      <c r="I321" s="58">
        <f t="shared" si="311"/>
        <v>-20</v>
      </c>
      <c r="J321" s="58">
        <f t="shared" si="311"/>
        <v>0</v>
      </c>
      <c r="K321" s="58">
        <f t="shared" si="311"/>
        <v>0</v>
      </c>
      <c r="L321" s="58">
        <f t="shared" si="311"/>
        <v>0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0" customHeight="1">
      <c r="A322" s="70"/>
      <c r="B322" s="71"/>
      <c r="C322" s="66"/>
      <c r="D322" s="66">
        <f t="shared" si="3"/>
        <v>0</v>
      </c>
      <c r="E322" s="67"/>
      <c r="F322" s="58">
        <f t="shared" ref="F322:L322" si="312">SUMIFS($C322,$B322,F$7)+F321</f>
        <v>26</v>
      </c>
      <c r="G322" s="58">
        <f t="shared" si="312"/>
        <v>24</v>
      </c>
      <c r="H322" s="58">
        <f t="shared" si="312"/>
        <v>12</v>
      </c>
      <c r="I322" s="58">
        <f t="shared" si="312"/>
        <v>-20</v>
      </c>
      <c r="J322" s="58">
        <f t="shared" si="312"/>
        <v>0</v>
      </c>
      <c r="K322" s="58">
        <f t="shared" si="312"/>
        <v>0</v>
      </c>
      <c r="L322" s="58">
        <f t="shared" si="312"/>
        <v>0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0" customHeight="1">
      <c r="A323" s="70"/>
      <c r="B323" s="71"/>
      <c r="C323" s="66"/>
      <c r="D323" s="66">
        <f t="shared" si="3"/>
        <v>0</v>
      </c>
      <c r="E323" s="67"/>
      <c r="F323" s="58">
        <f t="shared" ref="F323:L323" si="313">SUMIFS($C323,$B323,F$7)+F322</f>
        <v>26</v>
      </c>
      <c r="G323" s="58">
        <f t="shared" si="313"/>
        <v>24</v>
      </c>
      <c r="H323" s="58">
        <f t="shared" si="313"/>
        <v>12</v>
      </c>
      <c r="I323" s="58">
        <f t="shared" si="313"/>
        <v>-20</v>
      </c>
      <c r="J323" s="58">
        <f t="shared" si="313"/>
        <v>0</v>
      </c>
      <c r="K323" s="58">
        <f t="shared" si="313"/>
        <v>0</v>
      </c>
      <c r="L323" s="58">
        <f t="shared" si="313"/>
        <v>0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0" customHeight="1">
      <c r="A324" s="70"/>
      <c r="B324" s="71"/>
      <c r="C324" s="66"/>
      <c r="D324" s="66">
        <f t="shared" si="3"/>
        <v>0</v>
      </c>
      <c r="E324" s="67"/>
      <c r="F324" s="58">
        <f t="shared" ref="F324:L324" si="314">SUMIFS($C324,$B324,F$7)+F323</f>
        <v>26</v>
      </c>
      <c r="G324" s="58">
        <f t="shared" si="314"/>
        <v>24</v>
      </c>
      <c r="H324" s="58">
        <f t="shared" si="314"/>
        <v>12</v>
      </c>
      <c r="I324" s="58">
        <f t="shared" si="314"/>
        <v>-20</v>
      </c>
      <c r="J324" s="58">
        <f t="shared" si="314"/>
        <v>0</v>
      </c>
      <c r="K324" s="58">
        <f t="shared" si="314"/>
        <v>0</v>
      </c>
      <c r="L324" s="58">
        <f t="shared" si="314"/>
        <v>0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0" customHeight="1">
      <c r="A325" s="70"/>
      <c r="B325" s="71"/>
      <c r="C325" s="66"/>
      <c r="D325" s="66">
        <f t="shared" si="3"/>
        <v>0</v>
      </c>
      <c r="E325" s="67"/>
      <c r="F325" s="58">
        <f t="shared" ref="F325:L325" si="315">SUMIFS($C325,$B325,F$7)+F324</f>
        <v>26</v>
      </c>
      <c r="G325" s="58">
        <f t="shared" si="315"/>
        <v>24</v>
      </c>
      <c r="H325" s="58">
        <f t="shared" si="315"/>
        <v>12</v>
      </c>
      <c r="I325" s="58">
        <f t="shared" si="315"/>
        <v>-20</v>
      </c>
      <c r="J325" s="58">
        <f t="shared" si="315"/>
        <v>0</v>
      </c>
      <c r="K325" s="58">
        <f t="shared" si="315"/>
        <v>0</v>
      </c>
      <c r="L325" s="58">
        <f t="shared" si="315"/>
        <v>0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0" customHeight="1">
      <c r="A326" s="70"/>
      <c r="B326" s="71"/>
      <c r="C326" s="66"/>
      <c r="D326" s="66">
        <f t="shared" si="3"/>
        <v>0</v>
      </c>
      <c r="E326" s="67"/>
      <c r="F326" s="58">
        <f t="shared" ref="F326:L326" si="316">SUMIFS($C326,$B326,F$7)+F325</f>
        <v>26</v>
      </c>
      <c r="G326" s="58">
        <f t="shared" si="316"/>
        <v>24</v>
      </c>
      <c r="H326" s="58">
        <f t="shared" si="316"/>
        <v>12</v>
      </c>
      <c r="I326" s="58">
        <f t="shared" si="316"/>
        <v>-20</v>
      </c>
      <c r="J326" s="58">
        <f t="shared" si="316"/>
        <v>0</v>
      </c>
      <c r="K326" s="58">
        <f t="shared" si="316"/>
        <v>0</v>
      </c>
      <c r="L326" s="58">
        <f t="shared" si="316"/>
        <v>0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0" customHeight="1">
      <c r="A327" s="70"/>
      <c r="B327" s="71"/>
      <c r="C327" s="66"/>
      <c r="D327" s="66">
        <f t="shared" si="3"/>
        <v>0</v>
      </c>
      <c r="E327" s="67"/>
      <c r="F327" s="58">
        <f t="shared" ref="F327:L327" si="317">SUMIFS($C327,$B327,F$7)+F326</f>
        <v>26</v>
      </c>
      <c r="G327" s="58">
        <f t="shared" si="317"/>
        <v>24</v>
      </c>
      <c r="H327" s="58">
        <f t="shared" si="317"/>
        <v>12</v>
      </c>
      <c r="I327" s="58">
        <f t="shared" si="317"/>
        <v>-20</v>
      </c>
      <c r="J327" s="58">
        <f t="shared" si="317"/>
        <v>0</v>
      </c>
      <c r="K327" s="58">
        <f t="shared" si="317"/>
        <v>0</v>
      </c>
      <c r="L327" s="58">
        <f t="shared" si="317"/>
        <v>0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0" customHeight="1">
      <c r="A328" s="70"/>
      <c r="B328" s="71"/>
      <c r="C328" s="66"/>
      <c r="D328" s="66">
        <f t="shared" si="3"/>
        <v>0</v>
      </c>
      <c r="E328" s="67"/>
      <c r="F328" s="58">
        <f t="shared" ref="F328:L328" si="318">SUMIFS($C328,$B328,F$7)+F327</f>
        <v>26</v>
      </c>
      <c r="G328" s="58">
        <f t="shared" si="318"/>
        <v>24</v>
      </c>
      <c r="H328" s="58">
        <f t="shared" si="318"/>
        <v>12</v>
      </c>
      <c r="I328" s="58">
        <f t="shared" si="318"/>
        <v>-20</v>
      </c>
      <c r="J328" s="58">
        <f t="shared" si="318"/>
        <v>0</v>
      </c>
      <c r="K328" s="58">
        <f t="shared" si="318"/>
        <v>0</v>
      </c>
      <c r="L328" s="58">
        <f t="shared" si="318"/>
        <v>0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0" customHeight="1">
      <c r="A329" s="70"/>
      <c r="B329" s="71"/>
      <c r="C329" s="66"/>
      <c r="D329" s="66">
        <f t="shared" si="3"/>
        <v>0</v>
      </c>
      <c r="E329" s="67"/>
      <c r="F329" s="58">
        <f t="shared" ref="F329:L329" si="319">SUMIFS($C329,$B329,F$7)+F328</f>
        <v>26</v>
      </c>
      <c r="G329" s="58">
        <f t="shared" si="319"/>
        <v>24</v>
      </c>
      <c r="H329" s="58">
        <f t="shared" si="319"/>
        <v>12</v>
      </c>
      <c r="I329" s="58">
        <f t="shared" si="319"/>
        <v>-20</v>
      </c>
      <c r="J329" s="58">
        <f t="shared" si="319"/>
        <v>0</v>
      </c>
      <c r="K329" s="58">
        <f t="shared" si="319"/>
        <v>0</v>
      </c>
      <c r="L329" s="58">
        <f t="shared" si="319"/>
        <v>0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0" customHeight="1">
      <c r="A330" s="70"/>
      <c r="B330" s="71"/>
      <c r="C330" s="66"/>
      <c r="D330" s="66">
        <f t="shared" si="3"/>
        <v>0</v>
      </c>
      <c r="E330" s="67"/>
      <c r="F330" s="58">
        <f t="shared" ref="F330:L330" si="320">SUMIFS($C330,$B330,F$7)+F329</f>
        <v>26</v>
      </c>
      <c r="G330" s="58">
        <f t="shared" si="320"/>
        <v>24</v>
      </c>
      <c r="H330" s="58">
        <f t="shared" si="320"/>
        <v>12</v>
      </c>
      <c r="I330" s="58">
        <f t="shared" si="320"/>
        <v>-20</v>
      </c>
      <c r="J330" s="58">
        <f t="shared" si="320"/>
        <v>0</v>
      </c>
      <c r="K330" s="58">
        <f t="shared" si="320"/>
        <v>0</v>
      </c>
      <c r="L330" s="58">
        <f t="shared" si="320"/>
        <v>0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0" customHeight="1">
      <c r="A331" s="70"/>
      <c r="B331" s="71"/>
      <c r="C331" s="66"/>
      <c r="D331" s="66">
        <f t="shared" si="3"/>
        <v>0</v>
      </c>
      <c r="E331" s="67"/>
      <c r="F331" s="58">
        <f t="shared" ref="F331:L331" si="321">SUMIFS($C331,$B331,F$7)+F330</f>
        <v>26</v>
      </c>
      <c r="G331" s="58">
        <f t="shared" si="321"/>
        <v>24</v>
      </c>
      <c r="H331" s="58">
        <f t="shared" si="321"/>
        <v>12</v>
      </c>
      <c r="I331" s="58">
        <f t="shared" si="321"/>
        <v>-20</v>
      </c>
      <c r="J331" s="58">
        <f t="shared" si="321"/>
        <v>0</v>
      </c>
      <c r="K331" s="58">
        <f t="shared" si="321"/>
        <v>0</v>
      </c>
      <c r="L331" s="58">
        <f t="shared" si="321"/>
        <v>0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0" customHeight="1">
      <c r="A332" s="70"/>
      <c r="B332" s="71"/>
      <c r="C332" s="66"/>
      <c r="D332" s="66">
        <f t="shared" si="3"/>
        <v>0</v>
      </c>
      <c r="E332" s="67"/>
      <c r="F332" s="58">
        <f t="shared" ref="F332:L332" si="322">SUMIFS($C332,$B332,F$7)+F331</f>
        <v>26</v>
      </c>
      <c r="G332" s="58">
        <f t="shared" si="322"/>
        <v>24</v>
      </c>
      <c r="H332" s="58">
        <f t="shared" si="322"/>
        <v>12</v>
      </c>
      <c r="I332" s="58">
        <f t="shared" si="322"/>
        <v>-20</v>
      </c>
      <c r="J332" s="58">
        <f t="shared" si="322"/>
        <v>0</v>
      </c>
      <c r="K332" s="58">
        <f t="shared" si="322"/>
        <v>0</v>
      </c>
      <c r="L332" s="58">
        <f t="shared" si="322"/>
        <v>0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0" customHeight="1">
      <c r="A333" s="70"/>
      <c r="B333" s="71"/>
      <c r="C333" s="66"/>
      <c r="D333" s="66">
        <f t="shared" si="3"/>
        <v>0</v>
      </c>
      <c r="E333" s="67"/>
      <c r="F333" s="58">
        <f t="shared" ref="F333:L333" si="323">SUMIFS($C333,$B333,F$7)+F332</f>
        <v>26</v>
      </c>
      <c r="G333" s="58">
        <f t="shared" si="323"/>
        <v>24</v>
      </c>
      <c r="H333" s="58">
        <f t="shared" si="323"/>
        <v>12</v>
      </c>
      <c r="I333" s="58">
        <f t="shared" si="323"/>
        <v>-20</v>
      </c>
      <c r="J333" s="58">
        <f t="shared" si="323"/>
        <v>0</v>
      </c>
      <c r="K333" s="58">
        <f t="shared" si="323"/>
        <v>0</v>
      </c>
      <c r="L333" s="58">
        <f t="shared" si="323"/>
        <v>0</v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0" customHeight="1">
      <c r="A334" s="70"/>
      <c r="B334" s="71"/>
      <c r="C334" s="66"/>
      <c r="D334" s="66">
        <f t="shared" si="3"/>
        <v>0</v>
      </c>
      <c r="E334" s="67"/>
      <c r="F334" s="58">
        <f t="shared" ref="F334:L334" si="324">SUMIFS($C334,$B334,F$7)+F333</f>
        <v>26</v>
      </c>
      <c r="G334" s="58">
        <f t="shared" si="324"/>
        <v>24</v>
      </c>
      <c r="H334" s="58">
        <f t="shared" si="324"/>
        <v>12</v>
      </c>
      <c r="I334" s="58">
        <f t="shared" si="324"/>
        <v>-20</v>
      </c>
      <c r="J334" s="58">
        <f t="shared" si="324"/>
        <v>0</v>
      </c>
      <c r="K334" s="58">
        <f t="shared" si="324"/>
        <v>0</v>
      </c>
      <c r="L334" s="58">
        <f t="shared" si="324"/>
        <v>0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0" customHeight="1">
      <c r="A335" s="70"/>
      <c r="B335" s="71"/>
      <c r="C335" s="66"/>
      <c r="D335" s="66">
        <f t="shared" si="3"/>
        <v>0</v>
      </c>
      <c r="E335" s="67"/>
      <c r="F335" s="58">
        <f t="shared" ref="F335:L335" si="325">SUMIFS($C335,$B335,F$7)+F334</f>
        <v>26</v>
      </c>
      <c r="G335" s="58">
        <f t="shared" si="325"/>
        <v>24</v>
      </c>
      <c r="H335" s="58">
        <f t="shared" si="325"/>
        <v>12</v>
      </c>
      <c r="I335" s="58">
        <f t="shared" si="325"/>
        <v>-20</v>
      </c>
      <c r="J335" s="58">
        <f t="shared" si="325"/>
        <v>0</v>
      </c>
      <c r="K335" s="58">
        <f t="shared" si="325"/>
        <v>0</v>
      </c>
      <c r="L335" s="58">
        <f t="shared" si="325"/>
        <v>0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0" customHeight="1">
      <c r="A336" s="70"/>
      <c r="B336" s="71"/>
      <c r="C336" s="66"/>
      <c r="D336" s="66">
        <f t="shared" si="3"/>
        <v>0</v>
      </c>
      <c r="E336" s="67"/>
      <c r="F336" s="58">
        <f t="shared" ref="F336:L336" si="326">SUMIFS($C336,$B336,F$7)+F335</f>
        <v>26</v>
      </c>
      <c r="G336" s="58">
        <f t="shared" si="326"/>
        <v>24</v>
      </c>
      <c r="H336" s="58">
        <f t="shared" si="326"/>
        <v>12</v>
      </c>
      <c r="I336" s="58">
        <f t="shared" si="326"/>
        <v>-20</v>
      </c>
      <c r="J336" s="58">
        <f t="shared" si="326"/>
        <v>0</v>
      </c>
      <c r="K336" s="58">
        <f t="shared" si="326"/>
        <v>0</v>
      </c>
      <c r="L336" s="58">
        <f t="shared" si="326"/>
        <v>0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0" customHeight="1">
      <c r="A337" s="70"/>
      <c r="B337" s="71"/>
      <c r="C337" s="66"/>
      <c r="D337" s="66">
        <f t="shared" si="3"/>
        <v>0</v>
      </c>
      <c r="E337" s="67"/>
      <c r="F337" s="58">
        <f t="shared" ref="F337:L337" si="327">SUMIFS($C337,$B337,F$7)+F336</f>
        <v>26</v>
      </c>
      <c r="G337" s="58">
        <f t="shared" si="327"/>
        <v>24</v>
      </c>
      <c r="H337" s="58">
        <f t="shared" si="327"/>
        <v>12</v>
      </c>
      <c r="I337" s="58">
        <f t="shared" si="327"/>
        <v>-20</v>
      </c>
      <c r="J337" s="58">
        <f t="shared" si="327"/>
        <v>0</v>
      </c>
      <c r="K337" s="58">
        <f t="shared" si="327"/>
        <v>0</v>
      </c>
      <c r="L337" s="58">
        <f t="shared" si="327"/>
        <v>0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0" customHeight="1">
      <c r="A338" s="70"/>
      <c r="B338" s="71"/>
      <c r="C338" s="66"/>
      <c r="D338" s="66">
        <f t="shared" si="3"/>
        <v>0</v>
      </c>
      <c r="E338" s="67"/>
      <c r="F338" s="58">
        <f t="shared" ref="F338:L338" si="328">SUMIFS($C338,$B338,F$7)+F337</f>
        <v>26</v>
      </c>
      <c r="G338" s="58">
        <f t="shared" si="328"/>
        <v>24</v>
      </c>
      <c r="H338" s="58">
        <f t="shared" si="328"/>
        <v>12</v>
      </c>
      <c r="I338" s="58">
        <f t="shared" si="328"/>
        <v>-20</v>
      </c>
      <c r="J338" s="58">
        <f t="shared" si="328"/>
        <v>0</v>
      </c>
      <c r="K338" s="58">
        <f t="shared" si="328"/>
        <v>0</v>
      </c>
      <c r="L338" s="58">
        <f t="shared" si="328"/>
        <v>0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0" customHeight="1">
      <c r="A339" s="70"/>
      <c r="B339" s="71"/>
      <c r="C339" s="66"/>
      <c r="D339" s="66">
        <f t="shared" si="3"/>
        <v>0</v>
      </c>
      <c r="E339" s="67"/>
      <c r="F339" s="58">
        <f t="shared" ref="F339:L339" si="329">SUMIFS($C339,$B339,F$7)+F338</f>
        <v>26</v>
      </c>
      <c r="G339" s="58">
        <f t="shared" si="329"/>
        <v>24</v>
      </c>
      <c r="H339" s="58">
        <f t="shared" si="329"/>
        <v>12</v>
      </c>
      <c r="I339" s="58">
        <f t="shared" si="329"/>
        <v>-20</v>
      </c>
      <c r="J339" s="58">
        <f t="shared" si="329"/>
        <v>0</v>
      </c>
      <c r="K339" s="58">
        <f t="shared" si="329"/>
        <v>0</v>
      </c>
      <c r="L339" s="58">
        <f t="shared" si="329"/>
        <v>0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0" customHeight="1">
      <c r="A340" s="70"/>
      <c r="B340" s="71"/>
      <c r="C340" s="66"/>
      <c r="D340" s="66">
        <f t="shared" si="3"/>
        <v>0</v>
      </c>
      <c r="E340" s="67"/>
      <c r="F340" s="58">
        <f t="shared" ref="F340:L340" si="330">SUMIFS($C340,$B340,F$7)+F339</f>
        <v>26</v>
      </c>
      <c r="G340" s="58">
        <f t="shared" si="330"/>
        <v>24</v>
      </c>
      <c r="H340" s="58">
        <f t="shared" si="330"/>
        <v>12</v>
      </c>
      <c r="I340" s="58">
        <f t="shared" si="330"/>
        <v>-20</v>
      </c>
      <c r="J340" s="58">
        <f t="shared" si="330"/>
        <v>0</v>
      </c>
      <c r="K340" s="58">
        <f t="shared" si="330"/>
        <v>0</v>
      </c>
      <c r="L340" s="58">
        <f t="shared" si="330"/>
        <v>0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0" customHeight="1">
      <c r="A341" s="70"/>
      <c r="B341" s="71"/>
      <c r="C341" s="66"/>
      <c r="D341" s="66">
        <f t="shared" si="3"/>
        <v>0</v>
      </c>
      <c r="E341" s="67"/>
      <c r="F341" s="58">
        <f t="shared" ref="F341:L341" si="331">SUMIFS($C341,$B341,F$7)+F340</f>
        <v>26</v>
      </c>
      <c r="G341" s="58">
        <f t="shared" si="331"/>
        <v>24</v>
      </c>
      <c r="H341" s="58">
        <f t="shared" si="331"/>
        <v>12</v>
      </c>
      <c r="I341" s="58">
        <f t="shared" si="331"/>
        <v>-20</v>
      </c>
      <c r="J341" s="58">
        <f t="shared" si="331"/>
        <v>0</v>
      </c>
      <c r="K341" s="58">
        <f t="shared" si="331"/>
        <v>0</v>
      </c>
      <c r="L341" s="58">
        <f t="shared" si="331"/>
        <v>0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0" customHeight="1">
      <c r="A342" s="70"/>
      <c r="B342" s="71"/>
      <c r="C342" s="66"/>
      <c r="D342" s="66">
        <f t="shared" si="3"/>
        <v>0</v>
      </c>
      <c r="E342" s="67"/>
      <c r="F342" s="58">
        <f t="shared" ref="F342:L342" si="332">SUMIFS($C342,$B342,F$7)+F341</f>
        <v>26</v>
      </c>
      <c r="G342" s="58">
        <f t="shared" si="332"/>
        <v>24</v>
      </c>
      <c r="H342" s="58">
        <f t="shared" si="332"/>
        <v>12</v>
      </c>
      <c r="I342" s="58">
        <f t="shared" si="332"/>
        <v>-20</v>
      </c>
      <c r="J342" s="58">
        <f t="shared" si="332"/>
        <v>0</v>
      </c>
      <c r="K342" s="58">
        <f t="shared" si="332"/>
        <v>0</v>
      </c>
      <c r="L342" s="58">
        <f t="shared" si="332"/>
        <v>0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0" customHeight="1">
      <c r="A343" s="70"/>
      <c r="B343" s="71"/>
      <c r="C343" s="66"/>
      <c r="D343" s="66">
        <f t="shared" si="3"/>
        <v>0</v>
      </c>
      <c r="E343" s="67"/>
      <c r="F343" s="58">
        <f t="shared" ref="F343:L343" si="333">SUMIFS($C343,$B343,F$7)+F342</f>
        <v>26</v>
      </c>
      <c r="G343" s="58">
        <f t="shared" si="333"/>
        <v>24</v>
      </c>
      <c r="H343" s="58">
        <f t="shared" si="333"/>
        <v>12</v>
      </c>
      <c r="I343" s="58">
        <f t="shared" si="333"/>
        <v>-20</v>
      </c>
      <c r="J343" s="58">
        <f t="shared" si="333"/>
        <v>0</v>
      </c>
      <c r="K343" s="58">
        <f t="shared" si="333"/>
        <v>0</v>
      </c>
      <c r="L343" s="58">
        <f t="shared" si="333"/>
        <v>0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0" customHeight="1">
      <c r="A344" s="70"/>
      <c r="B344" s="71"/>
      <c r="C344" s="66"/>
      <c r="D344" s="66">
        <f t="shared" si="3"/>
        <v>0</v>
      </c>
      <c r="E344" s="67"/>
      <c r="F344" s="58">
        <f t="shared" ref="F344:L344" si="334">SUMIFS($C344,$B344,F$7)+F343</f>
        <v>26</v>
      </c>
      <c r="G344" s="58">
        <f t="shared" si="334"/>
        <v>24</v>
      </c>
      <c r="H344" s="58">
        <f t="shared" si="334"/>
        <v>12</v>
      </c>
      <c r="I344" s="58">
        <f t="shared" si="334"/>
        <v>-20</v>
      </c>
      <c r="J344" s="58">
        <f t="shared" si="334"/>
        <v>0</v>
      </c>
      <c r="K344" s="58">
        <f t="shared" si="334"/>
        <v>0</v>
      </c>
      <c r="L344" s="58">
        <f t="shared" si="334"/>
        <v>0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0" customHeight="1">
      <c r="A345" s="70"/>
      <c r="B345" s="71"/>
      <c r="C345" s="66"/>
      <c r="D345" s="66">
        <f t="shared" si="3"/>
        <v>0</v>
      </c>
      <c r="E345" s="67"/>
      <c r="F345" s="58">
        <f t="shared" ref="F345:L345" si="335">SUMIFS($C345,$B345,F$7)+F344</f>
        <v>26</v>
      </c>
      <c r="G345" s="58">
        <f t="shared" si="335"/>
        <v>24</v>
      </c>
      <c r="H345" s="58">
        <f t="shared" si="335"/>
        <v>12</v>
      </c>
      <c r="I345" s="58">
        <f t="shared" si="335"/>
        <v>-20</v>
      </c>
      <c r="J345" s="58">
        <f t="shared" si="335"/>
        <v>0</v>
      </c>
      <c r="K345" s="58">
        <f t="shared" si="335"/>
        <v>0</v>
      </c>
      <c r="L345" s="58">
        <f t="shared" si="335"/>
        <v>0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0" customHeight="1">
      <c r="A346" s="70"/>
      <c r="B346" s="71"/>
      <c r="C346" s="66"/>
      <c r="D346" s="66">
        <f t="shared" si="3"/>
        <v>0</v>
      </c>
      <c r="E346" s="67"/>
      <c r="F346" s="58">
        <f t="shared" ref="F346:L346" si="336">SUMIFS($C346,$B346,F$7)+F345</f>
        <v>26</v>
      </c>
      <c r="G346" s="58">
        <f t="shared" si="336"/>
        <v>24</v>
      </c>
      <c r="H346" s="58">
        <f t="shared" si="336"/>
        <v>12</v>
      </c>
      <c r="I346" s="58">
        <f t="shared" si="336"/>
        <v>-20</v>
      </c>
      <c r="J346" s="58">
        <f t="shared" si="336"/>
        <v>0</v>
      </c>
      <c r="K346" s="58">
        <f t="shared" si="336"/>
        <v>0</v>
      </c>
      <c r="L346" s="58">
        <f t="shared" si="336"/>
        <v>0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0" customHeight="1">
      <c r="A347" s="70"/>
      <c r="B347" s="71"/>
      <c r="C347" s="66"/>
      <c r="D347" s="66">
        <f t="shared" si="3"/>
        <v>0</v>
      </c>
      <c r="E347" s="67"/>
      <c r="F347" s="58">
        <f t="shared" ref="F347:L347" si="337">SUMIFS($C347,$B347,F$7)+F346</f>
        <v>26</v>
      </c>
      <c r="G347" s="58">
        <f t="shared" si="337"/>
        <v>24</v>
      </c>
      <c r="H347" s="58">
        <f t="shared" si="337"/>
        <v>12</v>
      </c>
      <c r="I347" s="58">
        <f t="shared" si="337"/>
        <v>-20</v>
      </c>
      <c r="J347" s="58">
        <f t="shared" si="337"/>
        <v>0</v>
      </c>
      <c r="K347" s="58">
        <f t="shared" si="337"/>
        <v>0</v>
      </c>
      <c r="L347" s="58">
        <f t="shared" si="337"/>
        <v>0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0" customHeight="1">
      <c r="A348" s="70"/>
      <c r="B348" s="71"/>
      <c r="C348" s="66"/>
      <c r="D348" s="66">
        <f t="shared" si="3"/>
        <v>0</v>
      </c>
      <c r="E348" s="67"/>
      <c r="F348" s="58">
        <f t="shared" ref="F348:L348" si="338">SUMIFS($C348,$B348,F$7)+F347</f>
        <v>26</v>
      </c>
      <c r="G348" s="58">
        <f t="shared" si="338"/>
        <v>24</v>
      </c>
      <c r="H348" s="58">
        <f t="shared" si="338"/>
        <v>12</v>
      </c>
      <c r="I348" s="58">
        <f t="shared" si="338"/>
        <v>-20</v>
      </c>
      <c r="J348" s="58">
        <f t="shared" si="338"/>
        <v>0</v>
      </c>
      <c r="K348" s="58">
        <f t="shared" si="338"/>
        <v>0</v>
      </c>
      <c r="L348" s="58">
        <f t="shared" si="338"/>
        <v>0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0" customHeight="1">
      <c r="A349" s="70"/>
      <c r="B349" s="71"/>
      <c r="C349" s="66"/>
      <c r="D349" s="66">
        <f t="shared" si="3"/>
        <v>0</v>
      </c>
      <c r="E349" s="67"/>
      <c r="F349" s="58">
        <f t="shared" ref="F349:L349" si="339">SUMIFS($C349,$B349,F$7)+F348</f>
        <v>26</v>
      </c>
      <c r="G349" s="58">
        <f t="shared" si="339"/>
        <v>24</v>
      </c>
      <c r="H349" s="58">
        <f t="shared" si="339"/>
        <v>12</v>
      </c>
      <c r="I349" s="58">
        <f t="shared" si="339"/>
        <v>-20</v>
      </c>
      <c r="J349" s="58">
        <f t="shared" si="339"/>
        <v>0</v>
      </c>
      <c r="K349" s="58">
        <f t="shared" si="339"/>
        <v>0</v>
      </c>
      <c r="L349" s="58">
        <f t="shared" si="339"/>
        <v>0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0" customHeight="1">
      <c r="A350" s="70"/>
      <c r="B350" s="71"/>
      <c r="C350" s="66"/>
      <c r="D350" s="66">
        <f t="shared" si="3"/>
        <v>0</v>
      </c>
      <c r="E350" s="67"/>
      <c r="F350" s="58">
        <f t="shared" ref="F350:L350" si="340">SUMIFS($C350,$B350,F$7)+F349</f>
        <v>26</v>
      </c>
      <c r="G350" s="58">
        <f t="shared" si="340"/>
        <v>24</v>
      </c>
      <c r="H350" s="58">
        <f t="shared" si="340"/>
        <v>12</v>
      </c>
      <c r="I350" s="58">
        <f t="shared" si="340"/>
        <v>-20</v>
      </c>
      <c r="J350" s="58">
        <f t="shared" si="340"/>
        <v>0</v>
      </c>
      <c r="K350" s="58">
        <f t="shared" si="340"/>
        <v>0</v>
      </c>
      <c r="L350" s="58">
        <f t="shared" si="340"/>
        <v>0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0" customHeight="1">
      <c r="A351" s="70"/>
      <c r="B351" s="71"/>
      <c r="C351" s="66"/>
      <c r="D351" s="66">
        <f t="shared" si="3"/>
        <v>0</v>
      </c>
      <c r="E351" s="67"/>
      <c r="F351" s="58">
        <f t="shared" ref="F351:L351" si="341">SUMIFS($C351,$B351,F$7)+F350</f>
        <v>26</v>
      </c>
      <c r="G351" s="58">
        <f t="shared" si="341"/>
        <v>24</v>
      </c>
      <c r="H351" s="58">
        <f t="shared" si="341"/>
        <v>12</v>
      </c>
      <c r="I351" s="58">
        <f t="shared" si="341"/>
        <v>-20</v>
      </c>
      <c r="J351" s="58">
        <f t="shared" si="341"/>
        <v>0</v>
      </c>
      <c r="K351" s="58">
        <f t="shared" si="341"/>
        <v>0</v>
      </c>
      <c r="L351" s="58">
        <f t="shared" si="341"/>
        <v>0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0" customHeight="1">
      <c r="A352" s="70"/>
      <c r="B352" s="71"/>
      <c r="C352" s="66"/>
      <c r="D352" s="66">
        <f t="shared" si="3"/>
        <v>0</v>
      </c>
      <c r="E352" s="67"/>
      <c r="F352" s="58">
        <f t="shared" ref="F352:L352" si="342">SUMIFS($C352,$B352,F$7)+F351</f>
        <v>26</v>
      </c>
      <c r="G352" s="58">
        <f t="shared" si="342"/>
        <v>24</v>
      </c>
      <c r="H352" s="58">
        <f t="shared" si="342"/>
        <v>12</v>
      </c>
      <c r="I352" s="58">
        <f t="shared" si="342"/>
        <v>-20</v>
      </c>
      <c r="J352" s="58">
        <f t="shared" si="342"/>
        <v>0</v>
      </c>
      <c r="K352" s="58">
        <f t="shared" si="342"/>
        <v>0</v>
      </c>
      <c r="L352" s="58">
        <f t="shared" si="342"/>
        <v>0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0" customHeight="1">
      <c r="A353" s="70"/>
      <c r="B353" s="71"/>
      <c r="C353" s="66"/>
      <c r="D353" s="66">
        <f t="shared" si="3"/>
        <v>0</v>
      </c>
      <c r="E353" s="67"/>
      <c r="F353" s="58">
        <f t="shared" ref="F353:L353" si="343">SUMIFS($C353,$B353,F$7)+F352</f>
        <v>26</v>
      </c>
      <c r="G353" s="58">
        <f t="shared" si="343"/>
        <v>24</v>
      </c>
      <c r="H353" s="58">
        <f t="shared" si="343"/>
        <v>12</v>
      </c>
      <c r="I353" s="58">
        <f t="shared" si="343"/>
        <v>-20</v>
      </c>
      <c r="J353" s="58">
        <f t="shared" si="343"/>
        <v>0</v>
      </c>
      <c r="K353" s="58">
        <f t="shared" si="343"/>
        <v>0</v>
      </c>
      <c r="L353" s="58">
        <f t="shared" si="343"/>
        <v>0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0" customHeight="1">
      <c r="A354" s="70"/>
      <c r="B354" s="71"/>
      <c r="C354" s="66"/>
      <c r="D354" s="66">
        <f t="shared" si="3"/>
        <v>0</v>
      </c>
      <c r="E354" s="67"/>
      <c r="F354" s="58">
        <f t="shared" ref="F354:L354" si="344">SUMIFS($C354,$B354,F$7)+F353</f>
        <v>26</v>
      </c>
      <c r="G354" s="58">
        <f t="shared" si="344"/>
        <v>24</v>
      </c>
      <c r="H354" s="58">
        <f t="shared" si="344"/>
        <v>12</v>
      </c>
      <c r="I354" s="58">
        <f t="shared" si="344"/>
        <v>-20</v>
      </c>
      <c r="J354" s="58">
        <f t="shared" si="344"/>
        <v>0</v>
      </c>
      <c r="K354" s="58">
        <f t="shared" si="344"/>
        <v>0</v>
      </c>
      <c r="L354" s="58">
        <f t="shared" si="344"/>
        <v>0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0" customHeight="1">
      <c r="A355" s="70"/>
      <c r="B355" s="71"/>
      <c r="C355" s="66"/>
      <c r="D355" s="66">
        <f t="shared" si="3"/>
        <v>0</v>
      </c>
      <c r="E355" s="67"/>
      <c r="F355" s="58">
        <f t="shared" ref="F355:L355" si="345">SUMIFS($C355,$B355,F$7)+F354</f>
        <v>26</v>
      </c>
      <c r="G355" s="58">
        <f t="shared" si="345"/>
        <v>24</v>
      </c>
      <c r="H355" s="58">
        <f t="shared" si="345"/>
        <v>12</v>
      </c>
      <c r="I355" s="58">
        <f t="shared" si="345"/>
        <v>-20</v>
      </c>
      <c r="J355" s="58">
        <f t="shared" si="345"/>
        <v>0</v>
      </c>
      <c r="K355" s="58">
        <f t="shared" si="345"/>
        <v>0</v>
      </c>
      <c r="L355" s="58">
        <f t="shared" si="345"/>
        <v>0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0" customHeight="1">
      <c r="A356" s="70"/>
      <c r="B356" s="71"/>
      <c r="C356" s="66"/>
      <c r="D356" s="66">
        <f t="shared" si="3"/>
        <v>0</v>
      </c>
      <c r="E356" s="67"/>
      <c r="F356" s="58">
        <f t="shared" ref="F356:L356" si="346">SUMIFS($C356,$B356,F$7)+F355</f>
        <v>26</v>
      </c>
      <c r="G356" s="58">
        <f t="shared" si="346"/>
        <v>24</v>
      </c>
      <c r="H356" s="58">
        <f t="shared" si="346"/>
        <v>12</v>
      </c>
      <c r="I356" s="58">
        <f t="shared" si="346"/>
        <v>-20</v>
      </c>
      <c r="J356" s="58">
        <f t="shared" si="346"/>
        <v>0</v>
      </c>
      <c r="K356" s="58">
        <f t="shared" si="346"/>
        <v>0</v>
      </c>
      <c r="L356" s="58">
        <f t="shared" si="346"/>
        <v>0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0" customHeight="1">
      <c r="A357" s="70"/>
      <c r="B357" s="71"/>
      <c r="C357" s="66"/>
      <c r="D357" s="66">
        <f t="shared" si="3"/>
        <v>0</v>
      </c>
      <c r="E357" s="67"/>
      <c r="F357" s="58">
        <f t="shared" ref="F357:L357" si="347">SUMIFS($C357,$B357,F$7)+F356</f>
        <v>26</v>
      </c>
      <c r="G357" s="58">
        <f t="shared" si="347"/>
        <v>24</v>
      </c>
      <c r="H357" s="58">
        <f t="shared" si="347"/>
        <v>12</v>
      </c>
      <c r="I357" s="58">
        <f t="shared" si="347"/>
        <v>-20</v>
      </c>
      <c r="J357" s="58">
        <f t="shared" si="347"/>
        <v>0</v>
      </c>
      <c r="K357" s="58">
        <f t="shared" si="347"/>
        <v>0</v>
      </c>
      <c r="L357" s="58">
        <f t="shared" si="347"/>
        <v>0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0" customHeight="1">
      <c r="A358" s="70"/>
      <c r="B358" s="71"/>
      <c r="C358" s="66"/>
      <c r="D358" s="66">
        <f t="shared" si="3"/>
        <v>0</v>
      </c>
      <c r="E358" s="67"/>
      <c r="F358" s="58">
        <f t="shared" ref="F358:L358" si="348">SUMIFS($C358,$B358,F$7)+F357</f>
        <v>26</v>
      </c>
      <c r="G358" s="58">
        <f t="shared" si="348"/>
        <v>24</v>
      </c>
      <c r="H358" s="58">
        <f t="shared" si="348"/>
        <v>12</v>
      </c>
      <c r="I358" s="58">
        <f t="shared" si="348"/>
        <v>-20</v>
      </c>
      <c r="J358" s="58">
        <f t="shared" si="348"/>
        <v>0</v>
      </c>
      <c r="K358" s="58">
        <f t="shared" si="348"/>
        <v>0</v>
      </c>
      <c r="L358" s="58">
        <f t="shared" si="348"/>
        <v>0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0" customHeight="1">
      <c r="A359" s="70"/>
      <c r="B359" s="71"/>
      <c r="C359" s="66"/>
      <c r="D359" s="66">
        <f t="shared" si="3"/>
        <v>0</v>
      </c>
      <c r="E359" s="67"/>
      <c r="F359" s="58">
        <f t="shared" ref="F359:L359" si="349">SUMIFS($C359,$B359,F$7)+F358</f>
        <v>26</v>
      </c>
      <c r="G359" s="58">
        <f t="shared" si="349"/>
        <v>24</v>
      </c>
      <c r="H359" s="58">
        <f t="shared" si="349"/>
        <v>12</v>
      </c>
      <c r="I359" s="58">
        <f t="shared" si="349"/>
        <v>-20</v>
      </c>
      <c r="J359" s="58">
        <f t="shared" si="349"/>
        <v>0</v>
      </c>
      <c r="K359" s="58">
        <f t="shared" si="349"/>
        <v>0</v>
      </c>
      <c r="L359" s="58">
        <f t="shared" si="349"/>
        <v>0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0" customHeight="1">
      <c r="A360" s="70"/>
      <c r="B360" s="71"/>
      <c r="C360" s="66"/>
      <c r="D360" s="66">
        <f t="shared" si="3"/>
        <v>0</v>
      </c>
      <c r="E360" s="67"/>
      <c r="F360" s="58">
        <f t="shared" ref="F360:L360" si="350">SUMIFS($C360,$B360,F$7)+F359</f>
        <v>26</v>
      </c>
      <c r="G360" s="58">
        <f t="shared" si="350"/>
        <v>24</v>
      </c>
      <c r="H360" s="58">
        <f t="shared" si="350"/>
        <v>12</v>
      </c>
      <c r="I360" s="58">
        <f t="shared" si="350"/>
        <v>-20</v>
      </c>
      <c r="J360" s="58">
        <f t="shared" si="350"/>
        <v>0</v>
      </c>
      <c r="K360" s="58">
        <f t="shared" si="350"/>
        <v>0</v>
      </c>
      <c r="L360" s="58">
        <f t="shared" si="350"/>
        <v>0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0" customHeight="1">
      <c r="A361" s="70"/>
      <c r="B361" s="71"/>
      <c r="C361" s="66"/>
      <c r="D361" s="66">
        <f t="shared" si="3"/>
        <v>0</v>
      </c>
      <c r="E361" s="67"/>
      <c r="F361" s="58">
        <f t="shared" ref="F361:L361" si="351">SUMIFS($C361,$B361,F$7)+F360</f>
        <v>26</v>
      </c>
      <c r="G361" s="58">
        <f t="shared" si="351"/>
        <v>24</v>
      </c>
      <c r="H361" s="58">
        <f t="shared" si="351"/>
        <v>12</v>
      </c>
      <c r="I361" s="58">
        <f t="shared" si="351"/>
        <v>-20</v>
      </c>
      <c r="J361" s="58">
        <f t="shared" si="351"/>
        <v>0</v>
      </c>
      <c r="K361" s="58">
        <f t="shared" si="351"/>
        <v>0</v>
      </c>
      <c r="L361" s="58">
        <f t="shared" si="351"/>
        <v>0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0" customHeight="1">
      <c r="A362" s="70"/>
      <c r="B362" s="71"/>
      <c r="C362" s="66"/>
      <c r="D362" s="66">
        <f t="shared" si="3"/>
        <v>0</v>
      </c>
      <c r="E362" s="67"/>
      <c r="F362" s="58">
        <f t="shared" ref="F362:L362" si="352">SUMIFS($C362,$B362,F$7)+F361</f>
        <v>26</v>
      </c>
      <c r="G362" s="58">
        <f t="shared" si="352"/>
        <v>24</v>
      </c>
      <c r="H362" s="58">
        <f t="shared" si="352"/>
        <v>12</v>
      </c>
      <c r="I362" s="58">
        <f t="shared" si="352"/>
        <v>-20</v>
      </c>
      <c r="J362" s="58">
        <f t="shared" si="352"/>
        <v>0</v>
      </c>
      <c r="K362" s="58">
        <f t="shared" si="352"/>
        <v>0</v>
      </c>
      <c r="L362" s="58">
        <f t="shared" si="352"/>
        <v>0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0" customHeight="1">
      <c r="A363" s="70"/>
      <c r="B363" s="71"/>
      <c r="C363" s="66"/>
      <c r="D363" s="66">
        <f t="shared" si="3"/>
        <v>0</v>
      </c>
      <c r="E363" s="67"/>
      <c r="F363" s="58">
        <f t="shared" ref="F363:L363" si="353">SUMIFS($C363,$B363,F$7)+F362</f>
        <v>26</v>
      </c>
      <c r="G363" s="58">
        <f t="shared" si="353"/>
        <v>24</v>
      </c>
      <c r="H363" s="58">
        <f t="shared" si="353"/>
        <v>12</v>
      </c>
      <c r="I363" s="58">
        <f t="shared" si="353"/>
        <v>-20</v>
      </c>
      <c r="J363" s="58">
        <f t="shared" si="353"/>
        <v>0</v>
      </c>
      <c r="K363" s="58">
        <f t="shared" si="353"/>
        <v>0</v>
      </c>
      <c r="L363" s="58">
        <f t="shared" si="353"/>
        <v>0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0" customHeight="1">
      <c r="A364" s="70"/>
      <c r="B364" s="71"/>
      <c r="C364" s="66"/>
      <c r="D364" s="66">
        <f t="shared" si="3"/>
        <v>0</v>
      </c>
      <c r="E364" s="67"/>
      <c r="F364" s="58">
        <f t="shared" ref="F364:L364" si="354">SUMIFS($C364,$B364,F$7)+F363</f>
        <v>26</v>
      </c>
      <c r="G364" s="58">
        <f t="shared" si="354"/>
        <v>24</v>
      </c>
      <c r="H364" s="58">
        <f t="shared" si="354"/>
        <v>12</v>
      </c>
      <c r="I364" s="58">
        <f t="shared" si="354"/>
        <v>-20</v>
      </c>
      <c r="J364" s="58">
        <f t="shared" si="354"/>
        <v>0</v>
      </c>
      <c r="K364" s="58">
        <f t="shared" si="354"/>
        <v>0</v>
      </c>
      <c r="L364" s="58">
        <f t="shared" si="354"/>
        <v>0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0" customHeight="1">
      <c r="A365" s="70"/>
      <c r="B365" s="71"/>
      <c r="C365" s="66"/>
      <c r="D365" s="66">
        <f t="shared" si="3"/>
        <v>0</v>
      </c>
      <c r="E365" s="67"/>
      <c r="F365" s="58">
        <f t="shared" ref="F365:L365" si="355">SUMIFS($C365,$B365,F$7)+F364</f>
        <v>26</v>
      </c>
      <c r="G365" s="58">
        <f t="shared" si="355"/>
        <v>24</v>
      </c>
      <c r="H365" s="58">
        <f t="shared" si="355"/>
        <v>12</v>
      </c>
      <c r="I365" s="58">
        <f t="shared" si="355"/>
        <v>-20</v>
      </c>
      <c r="J365" s="58">
        <f t="shared" si="355"/>
        <v>0</v>
      </c>
      <c r="K365" s="58">
        <f t="shared" si="355"/>
        <v>0</v>
      </c>
      <c r="L365" s="58">
        <f t="shared" si="355"/>
        <v>0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0" customHeight="1">
      <c r="A366" s="70"/>
      <c r="B366" s="71"/>
      <c r="C366" s="66"/>
      <c r="D366" s="66">
        <f t="shared" si="3"/>
        <v>0</v>
      </c>
      <c r="E366" s="67"/>
      <c r="F366" s="58">
        <f t="shared" ref="F366:L366" si="356">SUMIFS($C366,$B366,F$7)+F365</f>
        <v>26</v>
      </c>
      <c r="G366" s="58">
        <f t="shared" si="356"/>
        <v>24</v>
      </c>
      <c r="H366" s="58">
        <f t="shared" si="356"/>
        <v>12</v>
      </c>
      <c r="I366" s="58">
        <f t="shared" si="356"/>
        <v>-20</v>
      </c>
      <c r="J366" s="58">
        <f t="shared" si="356"/>
        <v>0</v>
      </c>
      <c r="K366" s="58">
        <f t="shared" si="356"/>
        <v>0</v>
      </c>
      <c r="L366" s="58">
        <f t="shared" si="356"/>
        <v>0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0" customHeight="1">
      <c r="A367" s="70"/>
      <c r="B367" s="71"/>
      <c r="C367" s="66"/>
      <c r="D367" s="66">
        <f t="shared" si="3"/>
        <v>0</v>
      </c>
      <c r="E367" s="67"/>
      <c r="F367" s="58">
        <f t="shared" ref="F367:L367" si="357">SUMIFS($C367,$B367,F$7)+F366</f>
        <v>26</v>
      </c>
      <c r="G367" s="58">
        <f t="shared" si="357"/>
        <v>24</v>
      </c>
      <c r="H367" s="58">
        <f t="shared" si="357"/>
        <v>12</v>
      </c>
      <c r="I367" s="58">
        <f t="shared" si="357"/>
        <v>-20</v>
      </c>
      <c r="J367" s="58">
        <f t="shared" si="357"/>
        <v>0</v>
      </c>
      <c r="K367" s="58">
        <f t="shared" si="357"/>
        <v>0</v>
      </c>
      <c r="L367" s="58">
        <f t="shared" si="357"/>
        <v>0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0" customHeight="1">
      <c r="A368" s="70"/>
      <c r="B368" s="71"/>
      <c r="C368" s="66"/>
      <c r="D368" s="66">
        <f t="shared" si="3"/>
        <v>0</v>
      </c>
      <c r="E368" s="67"/>
      <c r="F368" s="58">
        <f t="shared" ref="F368:L368" si="358">SUMIFS($C368,$B368,F$7)+F367</f>
        <v>26</v>
      </c>
      <c r="G368" s="58">
        <f t="shared" si="358"/>
        <v>24</v>
      </c>
      <c r="H368" s="58">
        <f t="shared" si="358"/>
        <v>12</v>
      </c>
      <c r="I368" s="58">
        <f t="shared" si="358"/>
        <v>-20</v>
      </c>
      <c r="J368" s="58">
        <f t="shared" si="358"/>
        <v>0</v>
      </c>
      <c r="K368" s="58">
        <f t="shared" si="358"/>
        <v>0</v>
      </c>
      <c r="L368" s="58">
        <f t="shared" si="358"/>
        <v>0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0" customHeight="1">
      <c r="A369" s="70"/>
      <c r="B369" s="71"/>
      <c r="C369" s="66"/>
      <c r="D369" s="66">
        <f t="shared" si="3"/>
        <v>0</v>
      </c>
      <c r="E369" s="67"/>
      <c r="F369" s="58">
        <f t="shared" ref="F369:L369" si="359">SUMIFS($C369,$B369,F$7)+F368</f>
        <v>26</v>
      </c>
      <c r="G369" s="58">
        <f t="shared" si="359"/>
        <v>24</v>
      </c>
      <c r="H369" s="58">
        <f t="shared" si="359"/>
        <v>12</v>
      </c>
      <c r="I369" s="58">
        <f t="shared" si="359"/>
        <v>-20</v>
      </c>
      <c r="J369" s="58">
        <f t="shared" si="359"/>
        <v>0</v>
      </c>
      <c r="K369" s="58">
        <f t="shared" si="359"/>
        <v>0</v>
      </c>
      <c r="L369" s="58">
        <f t="shared" si="359"/>
        <v>0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0" customHeight="1">
      <c r="A370" s="70"/>
      <c r="B370" s="71"/>
      <c r="C370" s="66"/>
      <c r="D370" s="66">
        <f t="shared" si="3"/>
        <v>0</v>
      </c>
      <c r="E370" s="67"/>
      <c r="F370" s="58">
        <f t="shared" ref="F370:L370" si="360">SUMIFS($C370,$B370,F$7)+F369</f>
        <v>26</v>
      </c>
      <c r="G370" s="58">
        <f t="shared" si="360"/>
        <v>24</v>
      </c>
      <c r="H370" s="58">
        <f t="shared" si="360"/>
        <v>12</v>
      </c>
      <c r="I370" s="58">
        <f t="shared" si="360"/>
        <v>-20</v>
      </c>
      <c r="J370" s="58">
        <f t="shared" si="360"/>
        <v>0</v>
      </c>
      <c r="K370" s="58">
        <f t="shared" si="360"/>
        <v>0</v>
      </c>
      <c r="L370" s="58">
        <f t="shared" si="360"/>
        <v>0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0" customHeight="1">
      <c r="A371" s="70"/>
      <c r="B371" s="71"/>
      <c r="C371" s="66"/>
      <c r="D371" s="66">
        <f t="shared" si="3"/>
        <v>0</v>
      </c>
      <c r="E371" s="67"/>
      <c r="F371" s="58">
        <f t="shared" ref="F371:L371" si="361">SUMIFS($C371,$B371,F$7)+F370</f>
        <v>26</v>
      </c>
      <c r="G371" s="58">
        <f t="shared" si="361"/>
        <v>24</v>
      </c>
      <c r="H371" s="58">
        <f t="shared" si="361"/>
        <v>12</v>
      </c>
      <c r="I371" s="58">
        <f t="shared" si="361"/>
        <v>-20</v>
      </c>
      <c r="J371" s="58">
        <f t="shared" si="361"/>
        <v>0</v>
      </c>
      <c r="K371" s="58">
        <f t="shared" si="361"/>
        <v>0</v>
      </c>
      <c r="L371" s="58">
        <f t="shared" si="361"/>
        <v>0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0" customHeight="1">
      <c r="A372" s="70"/>
      <c r="B372" s="71"/>
      <c r="C372" s="66"/>
      <c r="D372" s="66">
        <f t="shared" si="3"/>
        <v>0</v>
      </c>
      <c r="E372" s="67"/>
      <c r="F372" s="58">
        <f t="shared" ref="F372:L372" si="362">SUMIFS($C372,$B372,F$7)+F371</f>
        <v>26</v>
      </c>
      <c r="G372" s="58">
        <f t="shared" si="362"/>
        <v>24</v>
      </c>
      <c r="H372" s="58">
        <f t="shared" si="362"/>
        <v>12</v>
      </c>
      <c r="I372" s="58">
        <f t="shared" si="362"/>
        <v>-20</v>
      </c>
      <c r="J372" s="58">
        <f t="shared" si="362"/>
        <v>0</v>
      </c>
      <c r="K372" s="58">
        <f t="shared" si="362"/>
        <v>0</v>
      </c>
      <c r="L372" s="58">
        <f t="shared" si="362"/>
        <v>0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0" customHeight="1">
      <c r="A373" s="70"/>
      <c r="B373" s="71"/>
      <c r="C373" s="66"/>
      <c r="D373" s="66">
        <f t="shared" si="3"/>
        <v>0</v>
      </c>
      <c r="E373" s="67"/>
      <c r="F373" s="58">
        <f t="shared" ref="F373:L373" si="363">SUMIFS($C373,$B373,F$7)+F372</f>
        <v>26</v>
      </c>
      <c r="G373" s="58">
        <f t="shared" si="363"/>
        <v>24</v>
      </c>
      <c r="H373" s="58">
        <f t="shared" si="363"/>
        <v>12</v>
      </c>
      <c r="I373" s="58">
        <f t="shared" si="363"/>
        <v>-20</v>
      </c>
      <c r="J373" s="58">
        <f t="shared" si="363"/>
        <v>0</v>
      </c>
      <c r="K373" s="58">
        <f t="shared" si="363"/>
        <v>0</v>
      </c>
      <c r="L373" s="58">
        <f t="shared" si="363"/>
        <v>0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0" customHeight="1">
      <c r="A374" s="70"/>
      <c r="B374" s="71"/>
      <c r="C374" s="66"/>
      <c r="D374" s="66">
        <f t="shared" si="3"/>
        <v>0</v>
      </c>
      <c r="E374" s="67"/>
      <c r="F374" s="58">
        <f t="shared" ref="F374:L374" si="364">SUMIFS($C374,$B374,F$7)+F373</f>
        <v>26</v>
      </c>
      <c r="G374" s="58">
        <f t="shared" si="364"/>
        <v>24</v>
      </c>
      <c r="H374" s="58">
        <f t="shared" si="364"/>
        <v>12</v>
      </c>
      <c r="I374" s="58">
        <f t="shared" si="364"/>
        <v>-20</v>
      </c>
      <c r="J374" s="58">
        <f t="shared" si="364"/>
        <v>0</v>
      </c>
      <c r="K374" s="58">
        <f t="shared" si="364"/>
        <v>0</v>
      </c>
      <c r="L374" s="58">
        <f t="shared" si="364"/>
        <v>0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0" customHeight="1">
      <c r="A375" s="70"/>
      <c r="B375" s="71"/>
      <c r="C375" s="66"/>
      <c r="D375" s="66">
        <f t="shared" si="3"/>
        <v>0</v>
      </c>
      <c r="E375" s="67"/>
      <c r="F375" s="58">
        <f t="shared" ref="F375:L375" si="365">SUMIFS($C375,$B375,F$7)+F374</f>
        <v>26</v>
      </c>
      <c r="G375" s="58">
        <f t="shared" si="365"/>
        <v>24</v>
      </c>
      <c r="H375" s="58">
        <f t="shared" si="365"/>
        <v>12</v>
      </c>
      <c r="I375" s="58">
        <f t="shared" si="365"/>
        <v>-20</v>
      </c>
      <c r="J375" s="58">
        <f t="shared" si="365"/>
        <v>0</v>
      </c>
      <c r="K375" s="58">
        <f t="shared" si="365"/>
        <v>0</v>
      </c>
      <c r="L375" s="58">
        <f t="shared" si="365"/>
        <v>0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0" customHeight="1">
      <c r="A376" s="70"/>
      <c r="B376" s="71"/>
      <c r="C376" s="66"/>
      <c r="D376" s="66">
        <f t="shared" si="3"/>
        <v>0</v>
      </c>
      <c r="E376" s="67"/>
      <c r="F376" s="58">
        <f t="shared" ref="F376:L376" si="366">SUMIFS($C376,$B376,F$7)+F375</f>
        <v>26</v>
      </c>
      <c r="G376" s="58">
        <f t="shared" si="366"/>
        <v>24</v>
      </c>
      <c r="H376" s="58">
        <f t="shared" si="366"/>
        <v>12</v>
      </c>
      <c r="I376" s="58">
        <f t="shared" si="366"/>
        <v>-20</v>
      </c>
      <c r="J376" s="58">
        <f t="shared" si="366"/>
        <v>0</v>
      </c>
      <c r="K376" s="58">
        <f t="shared" si="366"/>
        <v>0</v>
      </c>
      <c r="L376" s="58">
        <f t="shared" si="366"/>
        <v>0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0" customHeight="1">
      <c r="A377" s="70"/>
      <c r="B377" s="71"/>
      <c r="C377" s="66"/>
      <c r="D377" s="66">
        <f t="shared" si="3"/>
        <v>0</v>
      </c>
      <c r="E377" s="67"/>
      <c r="F377" s="58">
        <f t="shared" ref="F377:L377" si="367">SUMIFS($C377,$B377,F$7)+F376</f>
        <v>26</v>
      </c>
      <c r="G377" s="58">
        <f t="shared" si="367"/>
        <v>24</v>
      </c>
      <c r="H377" s="58">
        <f t="shared" si="367"/>
        <v>12</v>
      </c>
      <c r="I377" s="58">
        <f t="shared" si="367"/>
        <v>-20</v>
      </c>
      <c r="J377" s="58">
        <f t="shared" si="367"/>
        <v>0</v>
      </c>
      <c r="K377" s="58">
        <f t="shared" si="367"/>
        <v>0</v>
      </c>
      <c r="L377" s="58">
        <f t="shared" si="367"/>
        <v>0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0" customHeight="1">
      <c r="A378" s="70"/>
      <c r="B378" s="71"/>
      <c r="C378" s="66"/>
      <c r="D378" s="66">
        <f t="shared" si="3"/>
        <v>0</v>
      </c>
      <c r="E378" s="67"/>
      <c r="F378" s="58">
        <f t="shared" ref="F378:L378" si="368">SUMIFS($C378,$B378,F$7)+F377</f>
        <v>26</v>
      </c>
      <c r="G378" s="58">
        <f t="shared" si="368"/>
        <v>24</v>
      </c>
      <c r="H378" s="58">
        <f t="shared" si="368"/>
        <v>12</v>
      </c>
      <c r="I378" s="58">
        <f t="shared" si="368"/>
        <v>-20</v>
      </c>
      <c r="J378" s="58">
        <f t="shared" si="368"/>
        <v>0</v>
      </c>
      <c r="K378" s="58">
        <f t="shared" si="368"/>
        <v>0</v>
      </c>
      <c r="L378" s="58">
        <f t="shared" si="368"/>
        <v>0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0" customHeight="1">
      <c r="A379" s="70"/>
      <c r="B379" s="71"/>
      <c r="C379" s="66"/>
      <c r="D379" s="66">
        <f t="shared" si="3"/>
        <v>0</v>
      </c>
      <c r="E379" s="67"/>
      <c r="F379" s="58">
        <f t="shared" ref="F379:L379" si="369">SUMIFS($C379,$B379,F$7)+F378</f>
        <v>26</v>
      </c>
      <c r="G379" s="58">
        <f t="shared" si="369"/>
        <v>24</v>
      </c>
      <c r="H379" s="58">
        <f t="shared" si="369"/>
        <v>12</v>
      </c>
      <c r="I379" s="58">
        <f t="shared" si="369"/>
        <v>-20</v>
      </c>
      <c r="J379" s="58">
        <f t="shared" si="369"/>
        <v>0</v>
      </c>
      <c r="K379" s="58">
        <f t="shared" si="369"/>
        <v>0</v>
      </c>
      <c r="L379" s="58">
        <f t="shared" si="369"/>
        <v>0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0" customHeight="1">
      <c r="A380" s="70"/>
      <c r="B380" s="71"/>
      <c r="C380" s="66"/>
      <c r="D380" s="66">
        <f t="shared" si="3"/>
        <v>0</v>
      </c>
      <c r="E380" s="67"/>
      <c r="F380" s="58">
        <f t="shared" ref="F380:L380" si="370">SUMIFS($C380,$B380,F$7)+F379</f>
        <v>26</v>
      </c>
      <c r="G380" s="58">
        <f t="shared" si="370"/>
        <v>24</v>
      </c>
      <c r="H380" s="58">
        <f t="shared" si="370"/>
        <v>12</v>
      </c>
      <c r="I380" s="58">
        <f t="shared" si="370"/>
        <v>-20</v>
      </c>
      <c r="J380" s="58">
        <f t="shared" si="370"/>
        <v>0</v>
      </c>
      <c r="K380" s="58">
        <f t="shared" si="370"/>
        <v>0</v>
      </c>
      <c r="L380" s="58">
        <f t="shared" si="370"/>
        <v>0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0" customHeight="1">
      <c r="A381" s="70"/>
      <c r="B381" s="71"/>
      <c r="C381" s="66"/>
      <c r="D381" s="66">
        <f t="shared" si="3"/>
        <v>0</v>
      </c>
      <c r="E381" s="67"/>
      <c r="F381" s="58">
        <f t="shared" ref="F381:L381" si="371">SUMIFS($C381,$B381,F$7)+F380</f>
        <v>26</v>
      </c>
      <c r="G381" s="58">
        <f t="shared" si="371"/>
        <v>24</v>
      </c>
      <c r="H381" s="58">
        <f t="shared" si="371"/>
        <v>12</v>
      </c>
      <c r="I381" s="58">
        <f t="shared" si="371"/>
        <v>-20</v>
      </c>
      <c r="J381" s="58">
        <f t="shared" si="371"/>
        <v>0</v>
      </c>
      <c r="K381" s="58">
        <f t="shared" si="371"/>
        <v>0</v>
      </c>
      <c r="L381" s="58">
        <f t="shared" si="371"/>
        <v>0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0" customHeight="1">
      <c r="A382" s="70"/>
      <c r="B382" s="71"/>
      <c r="C382" s="66"/>
      <c r="D382" s="66">
        <f t="shared" si="3"/>
        <v>0</v>
      </c>
      <c r="E382" s="67"/>
      <c r="F382" s="58">
        <f t="shared" ref="F382:L382" si="372">SUMIFS($C382,$B382,F$7)+F381</f>
        <v>26</v>
      </c>
      <c r="G382" s="58">
        <f t="shared" si="372"/>
        <v>24</v>
      </c>
      <c r="H382" s="58">
        <f t="shared" si="372"/>
        <v>12</v>
      </c>
      <c r="I382" s="58">
        <f t="shared" si="372"/>
        <v>-20</v>
      </c>
      <c r="J382" s="58">
        <f t="shared" si="372"/>
        <v>0</v>
      </c>
      <c r="K382" s="58">
        <f t="shared" si="372"/>
        <v>0</v>
      </c>
      <c r="L382" s="58">
        <f t="shared" si="372"/>
        <v>0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0" customHeight="1">
      <c r="A383" s="70"/>
      <c r="B383" s="71"/>
      <c r="C383" s="66"/>
      <c r="D383" s="66">
        <f t="shared" si="3"/>
        <v>0</v>
      </c>
      <c r="E383" s="67"/>
      <c r="F383" s="58">
        <f t="shared" ref="F383:L383" si="373">SUMIFS($C383,$B383,F$7)+F382</f>
        <v>26</v>
      </c>
      <c r="G383" s="58">
        <f t="shared" si="373"/>
        <v>24</v>
      </c>
      <c r="H383" s="58">
        <f t="shared" si="373"/>
        <v>12</v>
      </c>
      <c r="I383" s="58">
        <f t="shared" si="373"/>
        <v>-20</v>
      </c>
      <c r="J383" s="58">
        <f t="shared" si="373"/>
        <v>0</v>
      </c>
      <c r="K383" s="58">
        <f t="shared" si="373"/>
        <v>0</v>
      </c>
      <c r="L383" s="58">
        <f t="shared" si="373"/>
        <v>0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0" customHeight="1">
      <c r="A384" s="70"/>
      <c r="B384" s="71"/>
      <c r="C384" s="66"/>
      <c r="D384" s="66">
        <f t="shared" si="3"/>
        <v>0</v>
      </c>
      <c r="E384" s="67"/>
      <c r="F384" s="58">
        <f t="shared" ref="F384:L384" si="374">SUMIFS($C384,$B384,F$7)+F383</f>
        <v>26</v>
      </c>
      <c r="G384" s="58">
        <f t="shared" si="374"/>
        <v>24</v>
      </c>
      <c r="H384" s="58">
        <f t="shared" si="374"/>
        <v>12</v>
      </c>
      <c r="I384" s="58">
        <f t="shared" si="374"/>
        <v>-20</v>
      </c>
      <c r="J384" s="58">
        <f t="shared" si="374"/>
        <v>0</v>
      </c>
      <c r="K384" s="58">
        <f t="shared" si="374"/>
        <v>0</v>
      </c>
      <c r="L384" s="58">
        <f t="shared" si="374"/>
        <v>0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0" customHeight="1">
      <c r="A385" s="70"/>
      <c r="B385" s="71"/>
      <c r="C385" s="66"/>
      <c r="D385" s="66">
        <f t="shared" si="3"/>
        <v>0</v>
      </c>
      <c r="E385" s="67"/>
      <c r="F385" s="58">
        <f t="shared" ref="F385:L385" si="375">SUMIFS($C385,$B385,F$7)+F384</f>
        <v>26</v>
      </c>
      <c r="G385" s="58">
        <f t="shared" si="375"/>
        <v>24</v>
      </c>
      <c r="H385" s="58">
        <f t="shared" si="375"/>
        <v>12</v>
      </c>
      <c r="I385" s="58">
        <f t="shared" si="375"/>
        <v>-20</v>
      </c>
      <c r="J385" s="58">
        <f t="shared" si="375"/>
        <v>0</v>
      </c>
      <c r="K385" s="58">
        <f t="shared" si="375"/>
        <v>0</v>
      </c>
      <c r="L385" s="58">
        <f t="shared" si="375"/>
        <v>0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0" customHeight="1">
      <c r="A386" s="70"/>
      <c r="B386" s="71"/>
      <c r="C386" s="66"/>
      <c r="D386" s="66">
        <f t="shared" si="3"/>
        <v>0</v>
      </c>
      <c r="E386" s="67"/>
      <c r="F386" s="58">
        <f t="shared" ref="F386:L386" si="376">SUMIFS($C386,$B386,F$7)+F385</f>
        <v>26</v>
      </c>
      <c r="G386" s="58">
        <f t="shared" si="376"/>
        <v>24</v>
      </c>
      <c r="H386" s="58">
        <f t="shared" si="376"/>
        <v>12</v>
      </c>
      <c r="I386" s="58">
        <f t="shared" si="376"/>
        <v>-20</v>
      </c>
      <c r="J386" s="58">
        <f t="shared" si="376"/>
        <v>0</v>
      </c>
      <c r="K386" s="58">
        <f t="shared" si="376"/>
        <v>0</v>
      </c>
      <c r="L386" s="58">
        <f t="shared" si="376"/>
        <v>0</v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0" customHeight="1">
      <c r="A387" s="70"/>
      <c r="B387" s="71"/>
      <c r="C387" s="66"/>
      <c r="D387" s="66">
        <f t="shared" si="3"/>
        <v>0</v>
      </c>
      <c r="E387" s="67"/>
      <c r="F387" s="58">
        <f t="shared" ref="F387:L387" si="377">SUMIFS($C387,$B387,F$7)+F386</f>
        <v>26</v>
      </c>
      <c r="G387" s="58">
        <f t="shared" si="377"/>
        <v>24</v>
      </c>
      <c r="H387" s="58">
        <f t="shared" si="377"/>
        <v>12</v>
      </c>
      <c r="I387" s="58">
        <f t="shared" si="377"/>
        <v>-20</v>
      </c>
      <c r="J387" s="58">
        <f t="shared" si="377"/>
        <v>0</v>
      </c>
      <c r="K387" s="58">
        <f t="shared" si="377"/>
        <v>0</v>
      </c>
      <c r="L387" s="58">
        <f t="shared" si="377"/>
        <v>0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0" customHeight="1">
      <c r="A388" s="70"/>
      <c r="B388" s="71"/>
      <c r="C388" s="66"/>
      <c r="D388" s="66">
        <f t="shared" si="3"/>
        <v>0</v>
      </c>
      <c r="E388" s="67"/>
      <c r="F388" s="58">
        <f t="shared" ref="F388:L388" si="378">SUMIFS($C388,$B388,F$7)+F387</f>
        <v>26</v>
      </c>
      <c r="G388" s="58">
        <f t="shared" si="378"/>
        <v>24</v>
      </c>
      <c r="H388" s="58">
        <f t="shared" si="378"/>
        <v>12</v>
      </c>
      <c r="I388" s="58">
        <f t="shared" si="378"/>
        <v>-20</v>
      </c>
      <c r="J388" s="58">
        <f t="shared" si="378"/>
        <v>0</v>
      </c>
      <c r="K388" s="58">
        <f t="shared" si="378"/>
        <v>0</v>
      </c>
      <c r="L388" s="58">
        <f t="shared" si="378"/>
        <v>0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0" customHeight="1">
      <c r="A389" s="70"/>
      <c r="B389" s="71"/>
      <c r="C389" s="66"/>
      <c r="D389" s="66">
        <f t="shared" si="3"/>
        <v>0</v>
      </c>
      <c r="E389" s="67"/>
      <c r="F389" s="58">
        <f t="shared" ref="F389:L389" si="379">SUMIFS($C389,$B389,F$7)+F388</f>
        <v>26</v>
      </c>
      <c r="G389" s="58">
        <f t="shared" si="379"/>
        <v>24</v>
      </c>
      <c r="H389" s="58">
        <f t="shared" si="379"/>
        <v>12</v>
      </c>
      <c r="I389" s="58">
        <f t="shared" si="379"/>
        <v>-20</v>
      </c>
      <c r="J389" s="58">
        <f t="shared" si="379"/>
        <v>0</v>
      </c>
      <c r="K389" s="58">
        <f t="shared" si="379"/>
        <v>0</v>
      </c>
      <c r="L389" s="58">
        <f t="shared" si="379"/>
        <v>0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0" customHeight="1">
      <c r="A390" s="70"/>
      <c r="B390" s="71"/>
      <c r="C390" s="66"/>
      <c r="D390" s="66">
        <f t="shared" si="3"/>
        <v>0</v>
      </c>
      <c r="E390" s="67"/>
      <c r="F390" s="58">
        <f t="shared" ref="F390:L390" si="380">SUMIFS($C390,$B390,F$7)+F389</f>
        <v>26</v>
      </c>
      <c r="G390" s="58">
        <f t="shared" si="380"/>
        <v>24</v>
      </c>
      <c r="H390" s="58">
        <f t="shared" si="380"/>
        <v>12</v>
      </c>
      <c r="I390" s="58">
        <f t="shared" si="380"/>
        <v>-20</v>
      </c>
      <c r="J390" s="58">
        <f t="shared" si="380"/>
        <v>0</v>
      </c>
      <c r="K390" s="58">
        <f t="shared" si="380"/>
        <v>0</v>
      </c>
      <c r="L390" s="58">
        <f t="shared" si="380"/>
        <v>0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0" customHeight="1">
      <c r="A391" s="70"/>
      <c r="B391" s="71"/>
      <c r="C391" s="66"/>
      <c r="D391" s="66">
        <f t="shared" si="3"/>
        <v>0</v>
      </c>
      <c r="E391" s="67"/>
      <c r="F391" s="58">
        <f t="shared" ref="F391:L391" si="381">SUMIFS($C391,$B391,F$7)+F390</f>
        <v>26</v>
      </c>
      <c r="G391" s="58">
        <f t="shared" si="381"/>
        <v>24</v>
      </c>
      <c r="H391" s="58">
        <f t="shared" si="381"/>
        <v>12</v>
      </c>
      <c r="I391" s="58">
        <f t="shared" si="381"/>
        <v>-20</v>
      </c>
      <c r="J391" s="58">
        <f t="shared" si="381"/>
        <v>0</v>
      </c>
      <c r="K391" s="58">
        <f t="shared" si="381"/>
        <v>0</v>
      </c>
      <c r="L391" s="58">
        <f t="shared" si="381"/>
        <v>0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0" customHeight="1">
      <c r="A392" s="70"/>
      <c r="B392" s="71"/>
      <c r="C392" s="66"/>
      <c r="D392" s="66">
        <f t="shared" si="3"/>
        <v>0</v>
      </c>
      <c r="E392" s="67"/>
      <c r="F392" s="58">
        <f t="shared" ref="F392:L392" si="382">SUMIFS($C392,$B392,F$7)+F391</f>
        <v>26</v>
      </c>
      <c r="G392" s="58">
        <f t="shared" si="382"/>
        <v>24</v>
      </c>
      <c r="H392" s="58">
        <f t="shared" si="382"/>
        <v>12</v>
      </c>
      <c r="I392" s="58">
        <f t="shared" si="382"/>
        <v>-20</v>
      </c>
      <c r="J392" s="58">
        <f t="shared" si="382"/>
        <v>0</v>
      </c>
      <c r="K392" s="58">
        <f t="shared" si="382"/>
        <v>0</v>
      </c>
      <c r="L392" s="58">
        <f t="shared" si="382"/>
        <v>0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0" customHeight="1">
      <c r="A393" s="70"/>
      <c r="B393" s="71"/>
      <c r="C393" s="66"/>
      <c r="D393" s="66">
        <f t="shared" si="3"/>
        <v>0</v>
      </c>
      <c r="E393" s="67"/>
      <c r="F393" s="58">
        <f t="shared" ref="F393:L393" si="383">SUMIFS($C393,$B393,F$7)+F392</f>
        <v>26</v>
      </c>
      <c r="G393" s="58">
        <f t="shared" si="383"/>
        <v>24</v>
      </c>
      <c r="H393" s="58">
        <f t="shared" si="383"/>
        <v>12</v>
      </c>
      <c r="I393" s="58">
        <f t="shared" si="383"/>
        <v>-20</v>
      </c>
      <c r="J393" s="58">
        <f t="shared" si="383"/>
        <v>0</v>
      </c>
      <c r="K393" s="58">
        <f t="shared" si="383"/>
        <v>0</v>
      </c>
      <c r="L393" s="58">
        <f t="shared" si="383"/>
        <v>0</v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0" customHeight="1">
      <c r="A394" s="70"/>
      <c r="B394" s="71"/>
      <c r="C394" s="66"/>
      <c r="D394" s="66">
        <f t="shared" si="3"/>
        <v>0</v>
      </c>
      <c r="E394" s="67"/>
      <c r="F394" s="58">
        <f t="shared" ref="F394:L394" si="384">SUMIFS($C394,$B394,F$7)+F393</f>
        <v>26</v>
      </c>
      <c r="G394" s="58">
        <f t="shared" si="384"/>
        <v>24</v>
      </c>
      <c r="H394" s="58">
        <f t="shared" si="384"/>
        <v>12</v>
      </c>
      <c r="I394" s="58">
        <f t="shared" si="384"/>
        <v>-20</v>
      </c>
      <c r="J394" s="58">
        <f t="shared" si="384"/>
        <v>0</v>
      </c>
      <c r="K394" s="58">
        <f t="shared" si="384"/>
        <v>0</v>
      </c>
      <c r="L394" s="58">
        <f t="shared" si="384"/>
        <v>0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0" customHeight="1">
      <c r="A395" s="70"/>
      <c r="B395" s="71"/>
      <c r="C395" s="66"/>
      <c r="D395" s="66">
        <f t="shared" si="3"/>
        <v>0</v>
      </c>
      <c r="E395" s="67"/>
      <c r="F395" s="58">
        <f t="shared" ref="F395:L395" si="385">SUMIFS($C395,$B395,F$7)+F394</f>
        <v>26</v>
      </c>
      <c r="G395" s="58">
        <f t="shared" si="385"/>
        <v>24</v>
      </c>
      <c r="H395" s="58">
        <f t="shared" si="385"/>
        <v>12</v>
      </c>
      <c r="I395" s="58">
        <f t="shared" si="385"/>
        <v>-20</v>
      </c>
      <c r="J395" s="58">
        <f t="shared" si="385"/>
        <v>0</v>
      </c>
      <c r="K395" s="58">
        <f t="shared" si="385"/>
        <v>0</v>
      </c>
      <c r="L395" s="58">
        <f t="shared" si="385"/>
        <v>0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0" customHeight="1">
      <c r="A396" s="70"/>
      <c r="B396" s="71"/>
      <c r="C396" s="66"/>
      <c r="D396" s="66">
        <f t="shared" si="3"/>
        <v>0</v>
      </c>
      <c r="E396" s="67"/>
      <c r="F396" s="58">
        <f t="shared" ref="F396:L396" si="386">SUMIFS($C396,$B396,F$7)+F395</f>
        <v>26</v>
      </c>
      <c r="G396" s="58">
        <f t="shared" si="386"/>
        <v>24</v>
      </c>
      <c r="H396" s="58">
        <f t="shared" si="386"/>
        <v>12</v>
      </c>
      <c r="I396" s="58">
        <f t="shared" si="386"/>
        <v>-20</v>
      </c>
      <c r="J396" s="58">
        <f t="shared" si="386"/>
        <v>0</v>
      </c>
      <c r="K396" s="58">
        <f t="shared" si="386"/>
        <v>0</v>
      </c>
      <c r="L396" s="58">
        <f t="shared" si="386"/>
        <v>0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0" customHeight="1">
      <c r="A397" s="70"/>
      <c r="B397" s="71"/>
      <c r="C397" s="66"/>
      <c r="D397" s="66">
        <f t="shared" si="3"/>
        <v>0</v>
      </c>
      <c r="E397" s="67"/>
      <c r="F397" s="58">
        <f t="shared" ref="F397:L397" si="387">SUMIFS($C397,$B397,F$7)+F396</f>
        <v>26</v>
      </c>
      <c r="G397" s="58">
        <f t="shared" si="387"/>
        <v>24</v>
      </c>
      <c r="H397" s="58">
        <f t="shared" si="387"/>
        <v>12</v>
      </c>
      <c r="I397" s="58">
        <f t="shared" si="387"/>
        <v>-20</v>
      </c>
      <c r="J397" s="58">
        <f t="shared" si="387"/>
        <v>0</v>
      </c>
      <c r="K397" s="58">
        <f t="shared" si="387"/>
        <v>0</v>
      </c>
      <c r="L397" s="58">
        <f t="shared" si="387"/>
        <v>0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0" customHeight="1">
      <c r="A398" s="70"/>
      <c r="B398" s="71"/>
      <c r="C398" s="66"/>
      <c r="D398" s="66">
        <f t="shared" si="3"/>
        <v>0</v>
      </c>
      <c r="E398" s="67"/>
      <c r="F398" s="58">
        <f t="shared" ref="F398:L398" si="388">SUMIFS($C398,$B398,F$7)+F397</f>
        <v>26</v>
      </c>
      <c r="G398" s="58">
        <f t="shared" si="388"/>
        <v>24</v>
      </c>
      <c r="H398" s="58">
        <f t="shared" si="388"/>
        <v>12</v>
      </c>
      <c r="I398" s="58">
        <f t="shared" si="388"/>
        <v>-20</v>
      </c>
      <c r="J398" s="58">
        <f t="shared" si="388"/>
        <v>0</v>
      </c>
      <c r="K398" s="58">
        <f t="shared" si="388"/>
        <v>0</v>
      </c>
      <c r="L398" s="58">
        <f t="shared" si="388"/>
        <v>0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0" customHeight="1">
      <c r="A399" s="70"/>
      <c r="B399" s="71"/>
      <c r="C399" s="66"/>
      <c r="D399" s="66">
        <f t="shared" si="3"/>
        <v>0</v>
      </c>
      <c r="E399" s="67"/>
      <c r="F399" s="58">
        <f t="shared" ref="F399:L399" si="389">SUMIFS($C399,$B399,F$7)+F398</f>
        <v>26</v>
      </c>
      <c r="G399" s="58">
        <f t="shared" si="389"/>
        <v>24</v>
      </c>
      <c r="H399" s="58">
        <f t="shared" si="389"/>
        <v>12</v>
      </c>
      <c r="I399" s="58">
        <f t="shared" si="389"/>
        <v>-20</v>
      </c>
      <c r="J399" s="58">
        <f t="shared" si="389"/>
        <v>0</v>
      </c>
      <c r="K399" s="58">
        <f t="shared" si="389"/>
        <v>0</v>
      </c>
      <c r="L399" s="58">
        <f t="shared" si="389"/>
        <v>0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0" customHeight="1">
      <c r="A400" s="70"/>
      <c r="B400" s="71"/>
      <c r="C400" s="66"/>
      <c r="D400" s="66">
        <f t="shared" si="3"/>
        <v>0</v>
      </c>
      <c r="E400" s="67"/>
      <c r="F400" s="58">
        <f t="shared" ref="F400:L400" si="390">SUMIFS($C400,$B400,F$7)+F399</f>
        <v>26</v>
      </c>
      <c r="G400" s="58">
        <f t="shared" si="390"/>
        <v>24</v>
      </c>
      <c r="H400" s="58">
        <f t="shared" si="390"/>
        <v>12</v>
      </c>
      <c r="I400" s="58">
        <f t="shared" si="390"/>
        <v>-20</v>
      </c>
      <c r="J400" s="58">
        <f t="shared" si="390"/>
        <v>0</v>
      </c>
      <c r="K400" s="58">
        <f t="shared" si="390"/>
        <v>0</v>
      </c>
      <c r="L400" s="58">
        <f t="shared" si="390"/>
        <v>0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0" customHeight="1">
      <c r="A401" s="70"/>
      <c r="B401" s="71"/>
      <c r="C401" s="66"/>
      <c r="D401" s="66">
        <f t="shared" si="3"/>
        <v>0</v>
      </c>
      <c r="E401" s="67"/>
      <c r="F401" s="58">
        <f t="shared" ref="F401:L401" si="391">SUMIFS($C401,$B401,F$7)+F400</f>
        <v>26</v>
      </c>
      <c r="G401" s="58">
        <f t="shared" si="391"/>
        <v>24</v>
      </c>
      <c r="H401" s="58">
        <f t="shared" si="391"/>
        <v>12</v>
      </c>
      <c r="I401" s="58">
        <f t="shared" si="391"/>
        <v>-20</v>
      </c>
      <c r="J401" s="58">
        <f t="shared" si="391"/>
        <v>0</v>
      </c>
      <c r="K401" s="58">
        <f t="shared" si="391"/>
        <v>0</v>
      </c>
      <c r="L401" s="58">
        <f t="shared" si="391"/>
        <v>0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0" customHeight="1">
      <c r="A402" s="70"/>
      <c r="B402" s="71"/>
      <c r="C402" s="66"/>
      <c r="D402" s="66">
        <f t="shared" si="3"/>
        <v>0</v>
      </c>
      <c r="E402" s="67"/>
      <c r="F402" s="58">
        <f t="shared" ref="F402:L402" si="392">SUMIFS($C402,$B402,F$7)+F401</f>
        <v>26</v>
      </c>
      <c r="G402" s="58">
        <f t="shared" si="392"/>
        <v>24</v>
      </c>
      <c r="H402" s="58">
        <f t="shared" si="392"/>
        <v>12</v>
      </c>
      <c r="I402" s="58">
        <f t="shared" si="392"/>
        <v>-20</v>
      </c>
      <c r="J402" s="58">
        <f t="shared" si="392"/>
        <v>0</v>
      </c>
      <c r="K402" s="58">
        <f t="shared" si="392"/>
        <v>0</v>
      </c>
      <c r="L402" s="58">
        <f t="shared" si="392"/>
        <v>0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0" customHeight="1">
      <c r="A403" s="70"/>
      <c r="B403" s="71"/>
      <c r="C403" s="66"/>
      <c r="D403" s="66">
        <f t="shared" si="3"/>
        <v>0</v>
      </c>
      <c r="E403" s="67"/>
      <c r="F403" s="58">
        <f t="shared" ref="F403:L403" si="393">SUMIFS($C403,$B403,F$7)+F402</f>
        <v>26</v>
      </c>
      <c r="G403" s="58">
        <f t="shared" si="393"/>
        <v>24</v>
      </c>
      <c r="H403" s="58">
        <f t="shared" si="393"/>
        <v>12</v>
      </c>
      <c r="I403" s="58">
        <f t="shared" si="393"/>
        <v>-20</v>
      </c>
      <c r="J403" s="58">
        <f t="shared" si="393"/>
        <v>0</v>
      </c>
      <c r="K403" s="58">
        <f t="shared" si="393"/>
        <v>0</v>
      </c>
      <c r="L403" s="58">
        <f t="shared" si="393"/>
        <v>0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0" customHeight="1">
      <c r="A404" s="70"/>
      <c r="B404" s="71"/>
      <c r="C404" s="66"/>
      <c r="D404" s="66">
        <f t="shared" si="3"/>
        <v>0</v>
      </c>
      <c r="E404" s="67"/>
      <c r="F404" s="58">
        <f t="shared" ref="F404:L404" si="394">SUMIFS($C404,$B404,F$7)+F403</f>
        <v>26</v>
      </c>
      <c r="G404" s="58">
        <f t="shared" si="394"/>
        <v>24</v>
      </c>
      <c r="H404" s="58">
        <f t="shared" si="394"/>
        <v>12</v>
      </c>
      <c r="I404" s="58">
        <f t="shared" si="394"/>
        <v>-20</v>
      </c>
      <c r="J404" s="58">
        <f t="shared" si="394"/>
        <v>0</v>
      </c>
      <c r="K404" s="58">
        <f t="shared" si="394"/>
        <v>0</v>
      </c>
      <c r="L404" s="58">
        <f t="shared" si="394"/>
        <v>0</v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0" customHeight="1">
      <c r="A405" s="70"/>
      <c r="B405" s="71"/>
      <c r="C405" s="66"/>
      <c r="D405" s="66">
        <f t="shared" si="3"/>
        <v>0</v>
      </c>
      <c r="E405" s="67"/>
      <c r="F405" s="58">
        <f t="shared" ref="F405:L405" si="395">SUMIFS($C405,$B405,F$7)+F404</f>
        <v>26</v>
      </c>
      <c r="G405" s="58">
        <f t="shared" si="395"/>
        <v>24</v>
      </c>
      <c r="H405" s="58">
        <f t="shared" si="395"/>
        <v>12</v>
      </c>
      <c r="I405" s="58">
        <f t="shared" si="395"/>
        <v>-20</v>
      </c>
      <c r="J405" s="58">
        <f t="shared" si="395"/>
        <v>0</v>
      </c>
      <c r="K405" s="58">
        <f t="shared" si="395"/>
        <v>0</v>
      </c>
      <c r="L405" s="58">
        <f t="shared" si="395"/>
        <v>0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0" customHeight="1">
      <c r="A406" s="70"/>
      <c r="B406" s="71"/>
      <c r="C406" s="66"/>
      <c r="D406" s="66">
        <f t="shared" si="3"/>
        <v>0</v>
      </c>
      <c r="E406" s="67"/>
      <c r="F406" s="58">
        <f t="shared" ref="F406:L406" si="396">SUMIFS($C406,$B406,F$7)+F405</f>
        <v>26</v>
      </c>
      <c r="G406" s="58">
        <f t="shared" si="396"/>
        <v>24</v>
      </c>
      <c r="H406" s="58">
        <f t="shared" si="396"/>
        <v>12</v>
      </c>
      <c r="I406" s="58">
        <f t="shared" si="396"/>
        <v>-20</v>
      </c>
      <c r="J406" s="58">
        <f t="shared" si="396"/>
        <v>0</v>
      </c>
      <c r="K406" s="58">
        <f t="shared" si="396"/>
        <v>0</v>
      </c>
      <c r="L406" s="58">
        <f t="shared" si="396"/>
        <v>0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0" customHeight="1">
      <c r="A407" s="70"/>
      <c r="B407" s="71"/>
      <c r="C407" s="66"/>
      <c r="D407" s="66">
        <f t="shared" si="3"/>
        <v>0</v>
      </c>
      <c r="E407" s="67"/>
      <c r="F407" s="58">
        <f t="shared" ref="F407:L407" si="397">SUMIFS($C407,$B407,F$7)+F406</f>
        <v>26</v>
      </c>
      <c r="G407" s="58">
        <f t="shared" si="397"/>
        <v>24</v>
      </c>
      <c r="H407" s="58">
        <f t="shared" si="397"/>
        <v>12</v>
      </c>
      <c r="I407" s="58">
        <f t="shared" si="397"/>
        <v>-20</v>
      </c>
      <c r="J407" s="58">
        <f t="shared" si="397"/>
        <v>0</v>
      </c>
      <c r="K407" s="58">
        <f t="shared" si="397"/>
        <v>0</v>
      </c>
      <c r="L407" s="58">
        <f t="shared" si="397"/>
        <v>0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0" customHeight="1">
      <c r="A408" s="70"/>
      <c r="B408" s="71"/>
      <c r="C408" s="66"/>
      <c r="D408" s="66">
        <f t="shared" si="3"/>
        <v>0</v>
      </c>
      <c r="E408" s="67"/>
      <c r="F408" s="58">
        <f t="shared" ref="F408:L408" si="398">SUMIFS($C408,$B408,F$7)+F407</f>
        <v>26</v>
      </c>
      <c r="G408" s="58">
        <f t="shared" si="398"/>
        <v>24</v>
      </c>
      <c r="H408" s="58">
        <f t="shared" si="398"/>
        <v>12</v>
      </c>
      <c r="I408" s="58">
        <f t="shared" si="398"/>
        <v>-20</v>
      </c>
      <c r="J408" s="58">
        <f t="shared" si="398"/>
        <v>0</v>
      </c>
      <c r="K408" s="58">
        <f t="shared" si="398"/>
        <v>0</v>
      </c>
      <c r="L408" s="58">
        <f t="shared" si="398"/>
        <v>0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0" customHeight="1">
      <c r="A409" s="70"/>
      <c r="B409" s="71"/>
      <c r="C409" s="66"/>
      <c r="D409" s="66">
        <f t="shared" si="3"/>
        <v>0</v>
      </c>
      <c r="E409" s="67"/>
      <c r="F409" s="58">
        <f t="shared" ref="F409:L409" si="399">SUMIFS($C409,$B409,F$7)+F408</f>
        <v>26</v>
      </c>
      <c r="G409" s="58">
        <f t="shared" si="399"/>
        <v>24</v>
      </c>
      <c r="H409" s="58">
        <f t="shared" si="399"/>
        <v>12</v>
      </c>
      <c r="I409" s="58">
        <f t="shared" si="399"/>
        <v>-20</v>
      </c>
      <c r="J409" s="58">
        <f t="shared" si="399"/>
        <v>0</v>
      </c>
      <c r="K409" s="58">
        <f t="shared" si="399"/>
        <v>0</v>
      </c>
      <c r="L409" s="58">
        <f t="shared" si="399"/>
        <v>0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0" customHeight="1">
      <c r="A410" s="70"/>
      <c r="B410" s="71"/>
      <c r="C410" s="66"/>
      <c r="D410" s="66">
        <f t="shared" si="3"/>
        <v>0</v>
      </c>
      <c r="E410" s="67"/>
      <c r="F410" s="58">
        <f t="shared" ref="F410:L410" si="400">SUMIFS($C410,$B410,F$7)+F409</f>
        <v>26</v>
      </c>
      <c r="G410" s="58">
        <f t="shared" si="400"/>
        <v>24</v>
      </c>
      <c r="H410" s="58">
        <f t="shared" si="400"/>
        <v>12</v>
      </c>
      <c r="I410" s="58">
        <f t="shared" si="400"/>
        <v>-20</v>
      </c>
      <c r="J410" s="58">
        <f t="shared" si="400"/>
        <v>0</v>
      </c>
      <c r="K410" s="58">
        <f t="shared" si="400"/>
        <v>0</v>
      </c>
      <c r="L410" s="58">
        <f t="shared" si="400"/>
        <v>0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0" customHeight="1">
      <c r="A411" s="70"/>
      <c r="B411" s="71"/>
      <c r="C411" s="66"/>
      <c r="D411" s="66">
        <f t="shared" si="3"/>
        <v>0</v>
      </c>
      <c r="E411" s="67"/>
      <c r="F411" s="58">
        <f t="shared" ref="F411:L411" si="401">SUMIFS($C411,$B411,F$7)+F410</f>
        <v>26</v>
      </c>
      <c r="G411" s="58">
        <f t="shared" si="401"/>
        <v>24</v>
      </c>
      <c r="H411" s="58">
        <f t="shared" si="401"/>
        <v>12</v>
      </c>
      <c r="I411" s="58">
        <f t="shared" si="401"/>
        <v>-20</v>
      </c>
      <c r="J411" s="58">
        <f t="shared" si="401"/>
        <v>0</v>
      </c>
      <c r="K411" s="58">
        <f t="shared" si="401"/>
        <v>0</v>
      </c>
      <c r="L411" s="58">
        <f t="shared" si="401"/>
        <v>0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0" customHeight="1">
      <c r="A412" s="70"/>
      <c r="B412" s="71"/>
      <c r="C412" s="66"/>
      <c r="D412" s="66">
        <f t="shared" si="3"/>
        <v>0</v>
      </c>
      <c r="E412" s="67"/>
      <c r="F412" s="58">
        <f t="shared" ref="F412:L412" si="402">SUMIFS($C412,$B412,F$7)+F411</f>
        <v>26</v>
      </c>
      <c r="G412" s="58">
        <f t="shared" si="402"/>
        <v>24</v>
      </c>
      <c r="H412" s="58">
        <f t="shared" si="402"/>
        <v>12</v>
      </c>
      <c r="I412" s="58">
        <f t="shared" si="402"/>
        <v>-20</v>
      </c>
      <c r="J412" s="58">
        <f t="shared" si="402"/>
        <v>0</v>
      </c>
      <c r="K412" s="58">
        <f t="shared" si="402"/>
        <v>0</v>
      </c>
      <c r="L412" s="58">
        <f t="shared" si="402"/>
        <v>0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0" customHeight="1">
      <c r="A413" s="70"/>
      <c r="B413" s="71"/>
      <c r="C413" s="66"/>
      <c r="D413" s="66">
        <f t="shared" si="3"/>
        <v>0</v>
      </c>
      <c r="E413" s="67"/>
      <c r="F413" s="58">
        <f t="shared" ref="F413:L413" si="403">SUMIFS($C413,$B413,F$7)+F412</f>
        <v>26</v>
      </c>
      <c r="G413" s="58">
        <f t="shared" si="403"/>
        <v>24</v>
      </c>
      <c r="H413" s="58">
        <f t="shared" si="403"/>
        <v>12</v>
      </c>
      <c r="I413" s="58">
        <f t="shared" si="403"/>
        <v>-20</v>
      </c>
      <c r="J413" s="58">
        <f t="shared" si="403"/>
        <v>0</v>
      </c>
      <c r="K413" s="58">
        <f t="shared" si="403"/>
        <v>0</v>
      </c>
      <c r="L413" s="58">
        <f t="shared" si="403"/>
        <v>0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0" customHeight="1">
      <c r="A414" s="70"/>
      <c r="B414" s="71"/>
      <c r="C414" s="66"/>
      <c r="D414" s="66">
        <f t="shared" si="3"/>
        <v>0</v>
      </c>
      <c r="E414" s="67"/>
      <c r="F414" s="58">
        <f t="shared" ref="F414:L414" si="404">SUMIFS($C414,$B414,F$7)+F413</f>
        <v>26</v>
      </c>
      <c r="G414" s="58">
        <f t="shared" si="404"/>
        <v>24</v>
      </c>
      <c r="H414" s="58">
        <f t="shared" si="404"/>
        <v>12</v>
      </c>
      <c r="I414" s="58">
        <f t="shared" si="404"/>
        <v>-20</v>
      </c>
      <c r="J414" s="58">
        <f t="shared" si="404"/>
        <v>0</v>
      </c>
      <c r="K414" s="58">
        <f t="shared" si="404"/>
        <v>0</v>
      </c>
      <c r="L414" s="58">
        <f t="shared" si="404"/>
        <v>0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0" customHeight="1">
      <c r="A415" s="70"/>
      <c r="B415" s="71"/>
      <c r="C415" s="66"/>
      <c r="D415" s="66">
        <f t="shared" si="3"/>
        <v>0</v>
      </c>
      <c r="E415" s="67"/>
      <c r="F415" s="58">
        <f t="shared" ref="F415:L415" si="405">SUMIFS($C415,$B415,F$7)+F414</f>
        <v>26</v>
      </c>
      <c r="G415" s="58">
        <f t="shared" si="405"/>
        <v>24</v>
      </c>
      <c r="H415" s="58">
        <f t="shared" si="405"/>
        <v>12</v>
      </c>
      <c r="I415" s="58">
        <f t="shared" si="405"/>
        <v>-20</v>
      </c>
      <c r="J415" s="58">
        <f t="shared" si="405"/>
        <v>0</v>
      </c>
      <c r="K415" s="58">
        <f t="shared" si="405"/>
        <v>0</v>
      </c>
      <c r="L415" s="58">
        <f t="shared" si="405"/>
        <v>0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0" customHeight="1">
      <c r="A416" s="70"/>
      <c r="B416" s="71"/>
      <c r="C416" s="66"/>
      <c r="D416" s="66">
        <f t="shared" si="3"/>
        <v>0</v>
      </c>
      <c r="E416" s="67"/>
      <c r="F416" s="58">
        <f t="shared" ref="F416:L416" si="406">SUMIFS($C416,$B416,F$7)+F415</f>
        <v>26</v>
      </c>
      <c r="G416" s="58">
        <f t="shared" si="406"/>
        <v>24</v>
      </c>
      <c r="H416" s="58">
        <f t="shared" si="406"/>
        <v>12</v>
      </c>
      <c r="I416" s="58">
        <f t="shared" si="406"/>
        <v>-20</v>
      </c>
      <c r="J416" s="58">
        <f t="shared" si="406"/>
        <v>0</v>
      </c>
      <c r="K416" s="58">
        <f t="shared" si="406"/>
        <v>0</v>
      </c>
      <c r="L416" s="58">
        <f t="shared" si="406"/>
        <v>0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0" customHeight="1">
      <c r="A417" s="70"/>
      <c r="B417" s="71"/>
      <c r="C417" s="66"/>
      <c r="D417" s="66">
        <f t="shared" si="3"/>
        <v>0</v>
      </c>
      <c r="E417" s="67"/>
      <c r="F417" s="58">
        <f t="shared" ref="F417:L417" si="407">SUMIFS($C417,$B417,F$7)+F416</f>
        <v>26</v>
      </c>
      <c r="G417" s="58">
        <f t="shared" si="407"/>
        <v>24</v>
      </c>
      <c r="H417" s="58">
        <f t="shared" si="407"/>
        <v>12</v>
      </c>
      <c r="I417" s="58">
        <f t="shared" si="407"/>
        <v>-20</v>
      </c>
      <c r="J417" s="58">
        <f t="shared" si="407"/>
        <v>0</v>
      </c>
      <c r="K417" s="58">
        <f t="shared" si="407"/>
        <v>0</v>
      </c>
      <c r="L417" s="58">
        <f t="shared" si="407"/>
        <v>0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0" customHeight="1">
      <c r="A418" s="70"/>
      <c r="B418" s="71"/>
      <c r="C418" s="66"/>
      <c r="D418" s="66">
        <f t="shared" si="3"/>
        <v>0</v>
      </c>
      <c r="E418" s="67"/>
      <c r="F418" s="58">
        <f t="shared" ref="F418:L418" si="408">SUMIFS($C418,$B418,F$7)+F417</f>
        <v>26</v>
      </c>
      <c r="G418" s="58">
        <f t="shared" si="408"/>
        <v>24</v>
      </c>
      <c r="H418" s="58">
        <f t="shared" si="408"/>
        <v>12</v>
      </c>
      <c r="I418" s="58">
        <f t="shared" si="408"/>
        <v>-20</v>
      </c>
      <c r="J418" s="58">
        <f t="shared" si="408"/>
        <v>0</v>
      </c>
      <c r="K418" s="58">
        <f t="shared" si="408"/>
        <v>0</v>
      </c>
      <c r="L418" s="58">
        <f t="shared" si="408"/>
        <v>0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0" customHeight="1">
      <c r="A419" s="70"/>
      <c r="B419" s="71"/>
      <c r="C419" s="66"/>
      <c r="D419" s="66">
        <f t="shared" si="3"/>
        <v>0</v>
      </c>
      <c r="E419" s="67"/>
      <c r="F419" s="58">
        <f t="shared" ref="F419:L419" si="409">SUMIFS($C419,$B419,F$7)+F418</f>
        <v>26</v>
      </c>
      <c r="G419" s="58">
        <f t="shared" si="409"/>
        <v>24</v>
      </c>
      <c r="H419" s="58">
        <f t="shared" si="409"/>
        <v>12</v>
      </c>
      <c r="I419" s="58">
        <f t="shared" si="409"/>
        <v>-20</v>
      </c>
      <c r="J419" s="58">
        <f t="shared" si="409"/>
        <v>0</v>
      </c>
      <c r="K419" s="58">
        <f t="shared" si="409"/>
        <v>0</v>
      </c>
      <c r="L419" s="58">
        <f t="shared" si="409"/>
        <v>0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0" customHeight="1">
      <c r="A420" s="70"/>
      <c r="B420" s="71"/>
      <c r="C420" s="66"/>
      <c r="D420" s="66">
        <f t="shared" si="3"/>
        <v>0</v>
      </c>
      <c r="E420" s="67"/>
      <c r="F420" s="58">
        <f t="shared" ref="F420:L420" si="410">SUMIFS($C420,$B420,F$7)+F419</f>
        <v>26</v>
      </c>
      <c r="G420" s="58">
        <f t="shared" si="410"/>
        <v>24</v>
      </c>
      <c r="H420" s="58">
        <f t="shared" si="410"/>
        <v>12</v>
      </c>
      <c r="I420" s="58">
        <f t="shared" si="410"/>
        <v>-20</v>
      </c>
      <c r="J420" s="58">
        <f t="shared" si="410"/>
        <v>0</v>
      </c>
      <c r="K420" s="58">
        <f t="shared" si="410"/>
        <v>0</v>
      </c>
      <c r="L420" s="58">
        <f t="shared" si="410"/>
        <v>0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0" customHeight="1">
      <c r="A421" s="70"/>
      <c r="B421" s="71"/>
      <c r="C421" s="66"/>
      <c r="D421" s="66">
        <f t="shared" si="3"/>
        <v>0</v>
      </c>
      <c r="E421" s="67"/>
      <c r="F421" s="58">
        <f t="shared" ref="F421:L421" si="411">SUMIFS($C421,$B421,F$7)+F420</f>
        <v>26</v>
      </c>
      <c r="G421" s="58">
        <f t="shared" si="411"/>
        <v>24</v>
      </c>
      <c r="H421" s="58">
        <f t="shared" si="411"/>
        <v>12</v>
      </c>
      <c r="I421" s="58">
        <f t="shared" si="411"/>
        <v>-20</v>
      </c>
      <c r="J421" s="58">
        <f t="shared" si="411"/>
        <v>0</v>
      </c>
      <c r="K421" s="58">
        <f t="shared" si="411"/>
        <v>0</v>
      </c>
      <c r="L421" s="58">
        <f t="shared" si="411"/>
        <v>0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0" customHeight="1">
      <c r="A422" s="70"/>
      <c r="B422" s="71"/>
      <c r="C422" s="66"/>
      <c r="D422" s="66">
        <f t="shared" si="3"/>
        <v>0</v>
      </c>
      <c r="E422" s="67"/>
      <c r="F422" s="58">
        <f t="shared" ref="F422:L422" si="412">SUMIFS($C422,$B422,F$7)+F421</f>
        <v>26</v>
      </c>
      <c r="G422" s="58">
        <f t="shared" si="412"/>
        <v>24</v>
      </c>
      <c r="H422" s="58">
        <f t="shared" si="412"/>
        <v>12</v>
      </c>
      <c r="I422" s="58">
        <f t="shared" si="412"/>
        <v>-20</v>
      </c>
      <c r="J422" s="58">
        <f t="shared" si="412"/>
        <v>0</v>
      </c>
      <c r="K422" s="58">
        <f t="shared" si="412"/>
        <v>0</v>
      </c>
      <c r="L422" s="58">
        <f t="shared" si="412"/>
        <v>0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0" customHeight="1">
      <c r="A423" s="70"/>
      <c r="B423" s="71"/>
      <c r="C423" s="66"/>
      <c r="D423" s="66">
        <f t="shared" si="3"/>
        <v>0</v>
      </c>
      <c r="E423" s="67"/>
      <c r="F423" s="58">
        <f t="shared" ref="F423:L423" si="413">SUMIFS($C423,$B423,F$7)+F422</f>
        <v>26</v>
      </c>
      <c r="G423" s="58">
        <f t="shared" si="413"/>
        <v>24</v>
      </c>
      <c r="H423" s="58">
        <f t="shared" si="413"/>
        <v>12</v>
      </c>
      <c r="I423" s="58">
        <f t="shared" si="413"/>
        <v>-20</v>
      </c>
      <c r="J423" s="58">
        <f t="shared" si="413"/>
        <v>0</v>
      </c>
      <c r="K423" s="58">
        <f t="shared" si="413"/>
        <v>0</v>
      </c>
      <c r="L423" s="58">
        <f t="shared" si="413"/>
        <v>0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0" customHeight="1">
      <c r="A424" s="70"/>
      <c r="B424" s="71"/>
      <c r="C424" s="66"/>
      <c r="D424" s="66">
        <f t="shared" si="3"/>
        <v>0</v>
      </c>
      <c r="E424" s="67"/>
      <c r="F424" s="58">
        <f t="shared" ref="F424:L424" si="414">SUMIFS($C424,$B424,F$7)+F423</f>
        <v>26</v>
      </c>
      <c r="G424" s="58">
        <f t="shared" si="414"/>
        <v>24</v>
      </c>
      <c r="H424" s="58">
        <f t="shared" si="414"/>
        <v>12</v>
      </c>
      <c r="I424" s="58">
        <f t="shared" si="414"/>
        <v>-20</v>
      </c>
      <c r="J424" s="58">
        <f t="shared" si="414"/>
        <v>0</v>
      </c>
      <c r="K424" s="58">
        <f t="shared" si="414"/>
        <v>0</v>
      </c>
      <c r="L424" s="58">
        <f t="shared" si="414"/>
        <v>0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0" customHeight="1">
      <c r="A425" s="70"/>
      <c r="B425" s="71"/>
      <c r="C425" s="66"/>
      <c r="D425" s="66">
        <f t="shared" si="3"/>
        <v>0</v>
      </c>
      <c r="E425" s="67"/>
      <c r="F425" s="58">
        <f t="shared" ref="F425:L425" si="415">SUMIFS($C425,$B425,F$7)+F424</f>
        <v>26</v>
      </c>
      <c r="G425" s="58">
        <f t="shared" si="415"/>
        <v>24</v>
      </c>
      <c r="H425" s="58">
        <f t="shared" si="415"/>
        <v>12</v>
      </c>
      <c r="I425" s="58">
        <f t="shared" si="415"/>
        <v>-20</v>
      </c>
      <c r="J425" s="58">
        <f t="shared" si="415"/>
        <v>0</v>
      </c>
      <c r="K425" s="58">
        <f t="shared" si="415"/>
        <v>0</v>
      </c>
      <c r="L425" s="58">
        <f t="shared" si="415"/>
        <v>0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0" customHeight="1">
      <c r="A426" s="70"/>
      <c r="B426" s="71"/>
      <c r="C426" s="66"/>
      <c r="D426" s="66">
        <f t="shared" si="3"/>
        <v>0</v>
      </c>
      <c r="E426" s="67"/>
      <c r="F426" s="58">
        <f t="shared" ref="F426:L426" si="416">SUMIFS($C426,$B426,F$7)+F425</f>
        <v>26</v>
      </c>
      <c r="G426" s="58">
        <f t="shared" si="416"/>
        <v>24</v>
      </c>
      <c r="H426" s="58">
        <f t="shared" si="416"/>
        <v>12</v>
      </c>
      <c r="I426" s="58">
        <f t="shared" si="416"/>
        <v>-20</v>
      </c>
      <c r="J426" s="58">
        <f t="shared" si="416"/>
        <v>0</v>
      </c>
      <c r="K426" s="58">
        <f t="shared" si="416"/>
        <v>0</v>
      </c>
      <c r="L426" s="58">
        <f t="shared" si="416"/>
        <v>0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0" customHeight="1">
      <c r="A427" s="70"/>
      <c r="B427" s="71"/>
      <c r="C427" s="66"/>
      <c r="D427" s="66">
        <f t="shared" si="3"/>
        <v>0</v>
      </c>
      <c r="E427" s="67"/>
      <c r="F427" s="58">
        <f t="shared" ref="F427:L427" si="417">SUMIFS($C427,$B427,F$7)+F426</f>
        <v>26</v>
      </c>
      <c r="G427" s="58">
        <f t="shared" si="417"/>
        <v>24</v>
      </c>
      <c r="H427" s="58">
        <f t="shared" si="417"/>
        <v>12</v>
      </c>
      <c r="I427" s="58">
        <f t="shared" si="417"/>
        <v>-20</v>
      </c>
      <c r="J427" s="58">
        <f t="shared" si="417"/>
        <v>0</v>
      </c>
      <c r="K427" s="58">
        <f t="shared" si="417"/>
        <v>0</v>
      </c>
      <c r="L427" s="58">
        <f t="shared" si="417"/>
        <v>0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0" customHeight="1">
      <c r="A428" s="70"/>
      <c r="B428" s="71"/>
      <c r="C428" s="66"/>
      <c r="D428" s="66">
        <f t="shared" si="3"/>
        <v>0</v>
      </c>
      <c r="E428" s="67"/>
      <c r="F428" s="58">
        <f t="shared" ref="F428:L428" si="418">SUMIFS($C428,$B428,F$7)+F427</f>
        <v>26</v>
      </c>
      <c r="G428" s="58">
        <f t="shared" si="418"/>
        <v>24</v>
      </c>
      <c r="H428" s="58">
        <f t="shared" si="418"/>
        <v>12</v>
      </c>
      <c r="I428" s="58">
        <f t="shared" si="418"/>
        <v>-20</v>
      </c>
      <c r="J428" s="58">
        <f t="shared" si="418"/>
        <v>0</v>
      </c>
      <c r="K428" s="58">
        <f t="shared" si="418"/>
        <v>0</v>
      </c>
      <c r="L428" s="58">
        <f t="shared" si="418"/>
        <v>0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0" customHeight="1">
      <c r="A429" s="70"/>
      <c r="B429" s="71"/>
      <c r="C429" s="66"/>
      <c r="D429" s="66">
        <f t="shared" si="3"/>
        <v>0</v>
      </c>
      <c r="E429" s="67"/>
      <c r="F429" s="58">
        <f t="shared" ref="F429:L429" si="419">SUMIFS($C429,$B429,F$7)+F428</f>
        <v>26</v>
      </c>
      <c r="G429" s="58">
        <f t="shared" si="419"/>
        <v>24</v>
      </c>
      <c r="H429" s="58">
        <f t="shared" si="419"/>
        <v>12</v>
      </c>
      <c r="I429" s="58">
        <f t="shared" si="419"/>
        <v>-20</v>
      </c>
      <c r="J429" s="58">
        <f t="shared" si="419"/>
        <v>0</v>
      </c>
      <c r="K429" s="58">
        <f t="shared" si="419"/>
        <v>0</v>
      </c>
      <c r="L429" s="58">
        <f t="shared" si="419"/>
        <v>0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0" customHeight="1">
      <c r="A430" s="70"/>
      <c r="B430" s="71"/>
      <c r="C430" s="66"/>
      <c r="D430" s="66">
        <f t="shared" si="3"/>
        <v>0</v>
      </c>
      <c r="E430" s="67"/>
      <c r="F430" s="58">
        <f t="shared" ref="F430:L430" si="420">SUMIFS($C430,$B430,F$7)+F429</f>
        <v>26</v>
      </c>
      <c r="G430" s="58">
        <f t="shared" si="420"/>
        <v>24</v>
      </c>
      <c r="H430" s="58">
        <f t="shared" si="420"/>
        <v>12</v>
      </c>
      <c r="I430" s="58">
        <f t="shared" si="420"/>
        <v>-20</v>
      </c>
      <c r="J430" s="58">
        <f t="shared" si="420"/>
        <v>0</v>
      </c>
      <c r="K430" s="58">
        <f t="shared" si="420"/>
        <v>0</v>
      </c>
      <c r="L430" s="58">
        <f t="shared" si="420"/>
        <v>0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0" customHeight="1">
      <c r="A431" s="70"/>
      <c r="B431" s="71"/>
      <c r="C431" s="66"/>
      <c r="D431" s="66">
        <f t="shared" si="3"/>
        <v>0</v>
      </c>
      <c r="E431" s="67"/>
      <c r="F431" s="58">
        <f t="shared" ref="F431:L431" si="421">SUMIFS($C431,$B431,F$7)+F430</f>
        <v>26</v>
      </c>
      <c r="G431" s="58">
        <f t="shared" si="421"/>
        <v>24</v>
      </c>
      <c r="H431" s="58">
        <f t="shared" si="421"/>
        <v>12</v>
      </c>
      <c r="I431" s="58">
        <f t="shared" si="421"/>
        <v>-20</v>
      </c>
      <c r="J431" s="58">
        <f t="shared" si="421"/>
        <v>0</v>
      </c>
      <c r="K431" s="58">
        <f t="shared" si="421"/>
        <v>0</v>
      </c>
      <c r="L431" s="58">
        <f t="shared" si="421"/>
        <v>0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0" customHeight="1">
      <c r="A432" s="70"/>
      <c r="B432" s="71"/>
      <c r="C432" s="66"/>
      <c r="D432" s="66">
        <f t="shared" si="3"/>
        <v>0</v>
      </c>
      <c r="E432" s="67"/>
      <c r="F432" s="58">
        <f t="shared" ref="F432:L432" si="422">SUMIFS($C432,$B432,F$7)+F431</f>
        <v>26</v>
      </c>
      <c r="G432" s="58">
        <f t="shared" si="422"/>
        <v>24</v>
      </c>
      <c r="H432" s="58">
        <f t="shared" si="422"/>
        <v>12</v>
      </c>
      <c r="I432" s="58">
        <f t="shared" si="422"/>
        <v>-20</v>
      </c>
      <c r="J432" s="58">
        <f t="shared" si="422"/>
        <v>0</v>
      </c>
      <c r="K432" s="58">
        <f t="shared" si="422"/>
        <v>0</v>
      </c>
      <c r="L432" s="58">
        <f t="shared" si="422"/>
        <v>0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0" customHeight="1">
      <c r="A433" s="70"/>
      <c r="B433" s="71"/>
      <c r="C433" s="66"/>
      <c r="D433" s="66">
        <f t="shared" si="3"/>
        <v>0</v>
      </c>
      <c r="E433" s="67"/>
      <c r="F433" s="58">
        <f t="shared" ref="F433:L433" si="423">SUMIFS($C433,$B433,F$7)+F432</f>
        <v>26</v>
      </c>
      <c r="G433" s="58">
        <f t="shared" si="423"/>
        <v>24</v>
      </c>
      <c r="H433" s="58">
        <f t="shared" si="423"/>
        <v>12</v>
      </c>
      <c r="I433" s="58">
        <f t="shared" si="423"/>
        <v>-20</v>
      </c>
      <c r="J433" s="58">
        <f t="shared" si="423"/>
        <v>0</v>
      </c>
      <c r="K433" s="58">
        <f t="shared" si="423"/>
        <v>0</v>
      </c>
      <c r="L433" s="58">
        <f t="shared" si="423"/>
        <v>0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0" customHeight="1">
      <c r="A434" s="70"/>
      <c r="B434" s="71"/>
      <c r="C434" s="66"/>
      <c r="D434" s="66">
        <f t="shared" si="3"/>
        <v>0</v>
      </c>
      <c r="E434" s="67"/>
      <c r="F434" s="58">
        <f t="shared" ref="F434:L434" si="424">SUMIFS($C434,$B434,F$7)+F433</f>
        <v>26</v>
      </c>
      <c r="G434" s="58">
        <f t="shared" si="424"/>
        <v>24</v>
      </c>
      <c r="H434" s="58">
        <f t="shared" si="424"/>
        <v>12</v>
      </c>
      <c r="I434" s="58">
        <f t="shared" si="424"/>
        <v>-20</v>
      </c>
      <c r="J434" s="58">
        <f t="shared" si="424"/>
        <v>0</v>
      </c>
      <c r="K434" s="58">
        <f t="shared" si="424"/>
        <v>0</v>
      </c>
      <c r="L434" s="58">
        <f t="shared" si="424"/>
        <v>0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0" customHeight="1">
      <c r="A435" s="70"/>
      <c r="B435" s="71"/>
      <c r="C435" s="66"/>
      <c r="D435" s="66">
        <f t="shared" si="3"/>
        <v>0</v>
      </c>
      <c r="E435" s="67"/>
      <c r="F435" s="58">
        <f t="shared" ref="F435:L435" si="425">SUMIFS($C435,$B435,F$7)+F434</f>
        <v>26</v>
      </c>
      <c r="G435" s="58">
        <f t="shared" si="425"/>
        <v>24</v>
      </c>
      <c r="H435" s="58">
        <f t="shared" si="425"/>
        <v>12</v>
      </c>
      <c r="I435" s="58">
        <f t="shared" si="425"/>
        <v>-20</v>
      </c>
      <c r="J435" s="58">
        <f t="shared" si="425"/>
        <v>0</v>
      </c>
      <c r="K435" s="58">
        <f t="shared" si="425"/>
        <v>0</v>
      </c>
      <c r="L435" s="58">
        <f t="shared" si="425"/>
        <v>0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0" customHeight="1">
      <c r="A436" s="70"/>
      <c r="B436" s="71"/>
      <c r="C436" s="66"/>
      <c r="D436" s="66">
        <f t="shared" si="3"/>
        <v>0</v>
      </c>
      <c r="E436" s="67"/>
      <c r="F436" s="58">
        <f t="shared" ref="F436:L436" si="426">SUMIFS($C436,$B436,F$7)+F435</f>
        <v>26</v>
      </c>
      <c r="G436" s="58">
        <f t="shared" si="426"/>
        <v>24</v>
      </c>
      <c r="H436" s="58">
        <f t="shared" si="426"/>
        <v>12</v>
      </c>
      <c r="I436" s="58">
        <f t="shared" si="426"/>
        <v>-20</v>
      </c>
      <c r="J436" s="58">
        <f t="shared" si="426"/>
        <v>0</v>
      </c>
      <c r="K436" s="58">
        <f t="shared" si="426"/>
        <v>0</v>
      </c>
      <c r="L436" s="58">
        <f t="shared" si="426"/>
        <v>0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0" customHeight="1">
      <c r="A437" s="70"/>
      <c r="B437" s="71"/>
      <c r="C437" s="66"/>
      <c r="D437" s="66">
        <f t="shared" si="3"/>
        <v>0</v>
      </c>
      <c r="E437" s="67"/>
      <c r="F437" s="58">
        <f t="shared" ref="F437:L437" si="427">SUMIFS($C437,$B437,F$7)+F436</f>
        <v>26</v>
      </c>
      <c r="G437" s="58">
        <f t="shared" si="427"/>
        <v>24</v>
      </c>
      <c r="H437" s="58">
        <f t="shared" si="427"/>
        <v>12</v>
      </c>
      <c r="I437" s="58">
        <f t="shared" si="427"/>
        <v>-20</v>
      </c>
      <c r="J437" s="58">
        <f t="shared" si="427"/>
        <v>0</v>
      </c>
      <c r="K437" s="58">
        <f t="shared" si="427"/>
        <v>0</v>
      </c>
      <c r="L437" s="58">
        <f t="shared" si="427"/>
        <v>0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0" customHeight="1">
      <c r="A438" s="70"/>
      <c r="B438" s="71"/>
      <c r="C438" s="66"/>
      <c r="D438" s="66">
        <f t="shared" si="3"/>
        <v>0</v>
      </c>
      <c r="E438" s="67"/>
      <c r="F438" s="58">
        <f t="shared" ref="F438:L438" si="428">SUMIFS($C438,$B438,F$7)+F437</f>
        <v>26</v>
      </c>
      <c r="G438" s="58">
        <f t="shared" si="428"/>
        <v>24</v>
      </c>
      <c r="H438" s="58">
        <f t="shared" si="428"/>
        <v>12</v>
      </c>
      <c r="I438" s="58">
        <f t="shared" si="428"/>
        <v>-20</v>
      </c>
      <c r="J438" s="58">
        <f t="shared" si="428"/>
        <v>0</v>
      </c>
      <c r="K438" s="58">
        <f t="shared" si="428"/>
        <v>0</v>
      </c>
      <c r="L438" s="58">
        <f t="shared" si="428"/>
        <v>0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0" customHeight="1">
      <c r="A439" s="70"/>
      <c r="B439" s="71"/>
      <c r="C439" s="66"/>
      <c r="D439" s="66">
        <f t="shared" si="3"/>
        <v>0</v>
      </c>
      <c r="E439" s="67"/>
      <c r="F439" s="58">
        <f t="shared" ref="F439:L439" si="429">SUMIFS($C439,$B439,F$7)+F438</f>
        <v>26</v>
      </c>
      <c r="G439" s="58">
        <f t="shared" si="429"/>
        <v>24</v>
      </c>
      <c r="H439" s="58">
        <f t="shared" si="429"/>
        <v>12</v>
      </c>
      <c r="I439" s="58">
        <f t="shared" si="429"/>
        <v>-20</v>
      </c>
      <c r="J439" s="58">
        <f t="shared" si="429"/>
        <v>0</v>
      </c>
      <c r="K439" s="58">
        <f t="shared" si="429"/>
        <v>0</v>
      </c>
      <c r="L439" s="58">
        <f t="shared" si="429"/>
        <v>0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0" customHeight="1">
      <c r="A440" s="70"/>
      <c r="B440" s="71"/>
      <c r="C440" s="66"/>
      <c r="D440" s="66">
        <f t="shared" si="3"/>
        <v>0</v>
      </c>
      <c r="E440" s="67"/>
      <c r="F440" s="58">
        <f t="shared" ref="F440:L440" si="430">SUMIFS($C440,$B440,F$7)+F439</f>
        <v>26</v>
      </c>
      <c r="G440" s="58">
        <f t="shared" si="430"/>
        <v>24</v>
      </c>
      <c r="H440" s="58">
        <f t="shared" si="430"/>
        <v>12</v>
      </c>
      <c r="I440" s="58">
        <f t="shared" si="430"/>
        <v>-20</v>
      </c>
      <c r="J440" s="58">
        <f t="shared" si="430"/>
        <v>0</v>
      </c>
      <c r="K440" s="58">
        <f t="shared" si="430"/>
        <v>0</v>
      </c>
      <c r="L440" s="58">
        <f t="shared" si="430"/>
        <v>0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0" customHeight="1">
      <c r="A441" s="70"/>
      <c r="B441" s="71"/>
      <c r="C441" s="66"/>
      <c r="D441" s="66">
        <f t="shared" si="3"/>
        <v>0</v>
      </c>
      <c r="E441" s="67"/>
      <c r="F441" s="58">
        <f t="shared" ref="F441:L441" si="431">SUMIFS($C441,$B441,F$7)+F440</f>
        <v>26</v>
      </c>
      <c r="G441" s="58">
        <f t="shared" si="431"/>
        <v>24</v>
      </c>
      <c r="H441" s="58">
        <f t="shared" si="431"/>
        <v>12</v>
      </c>
      <c r="I441" s="58">
        <f t="shared" si="431"/>
        <v>-20</v>
      </c>
      <c r="J441" s="58">
        <f t="shared" si="431"/>
        <v>0</v>
      </c>
      <c r="K441" s="58">
        <f t="shared" si="431"/>
        <v>0</v>
      </c>
      <c r="L441" s="58">
        <f t="shared" si="431"/>
        <v>0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0" customHeight="1">
      <c r="A442" s="70"/>
      <c r="B442" s="71"/>
      <c r="C442" s="66"/>
      <c r="D442" s="66">
        <f t="shared" si="3"/>
        <v>0</v>
      </c>
      <c r="E442" s="67"/>
      <c r="F442" s="58">
        <f t="shared" ref="F442:L442" si="432">SUMIFS($C442,$B442,F$7)+F441</f>
        <v>26</v>
      </c>
      <c r="G442" s="58">
        <f t="shared" si="432"/>
        <v>24</v>
      </c>
      <c r="H442" s="58">
        <f t="shared" si="432"/>
        <v>12</v>
      </c>
      <c r="I442" s="58">
        <f t="shared" si="432"/>
        <v>-20</v>
      </c>
      <c r="J442" s="58">
        <f t="shared" si="432"/>
        <v>0</v>
      </c>
      <c r="K442" s="58">
        <f t="shared" si="432"/>
        <v>0</v>
      </c>
      <c r="L442" s="58">
        <f t="shared" si="432"/>
        <v>0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0" customHeight="1">
      <c r="A443" s="70"/>
      <c r="B443" s="71"/>
      <c r="C443" s="66"/>
      <c r="D443" s="66">
        <f t="shared" si="3"/>
        <v>0</v>
      </c>
      <c r="E443" s="67"/>
      <c r="F443" s="58">
        <f t="shared" ref="F443:L443" si="433">SUMIFS($C443,$B443,F$7)+F442</f>
        <v>26</v>
      </c>
      <c r="G443" s="58">
        <f t="shared" si="433"/>
        <v>24</v>
      </c>
      <c r="H443" s="58">
        <f t="shared" si="433"/>
        <v>12</v>
      </c>
      <c r="I443" s="58">
        <f t="shared" si="433"/>
        <v>-20</v>
      </c>
      <c r="J443" s="58">
        <f t="shared" si="433"/>
        <v>0</v>
      </c>
      <c r="K443" s="58">
        <f t="shared" si="433"/>
        <v>0</v>
      </c>
      <c r="L443" s="58">
        <f t="shared" si="433"/>
        <v>0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0" customHeight="1">
      <c r="A444" s="70"/>
      <c r="B444" s="71"/>
      <c r="C444" s="66"/>
      <c r="D444" s="66">
        <f t="shared" si="3"/>
        <v>0</v>
      </c>
      <c r="E444" s="67"/>
      <c r="F444" s="58">
        <f t="shared" ref="F444:L444" si="434">SUMIFS($C444,$B444,F$7)+F443</f>
        <v>26</v>
      </c>
      <c r="G444" s="58">
        <f t="shared" si="434"/>
        <v>24</v>
      </c>
      <c r="H444" s="58">
        <f t="shared" si="434"/>
        <v>12</v>
      </c>
      <c r="I444" s="58">
        <f t="shared" si="434"/>
        <v>-20</v>
      </c>
      <c r="J444" s="58">
        <f t="shared" si="434"/>
        <v>0</v>
      </c>
      <c r="K444" s="58">
        <f t="shared" si="434"/>
        <v>0</v>
      </c>
      <c r="L444" s="58">
        <f t="shared" si="434"/>
        <v>0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0" customHeight="1">
      <c r="A445" s="70"/>
      <c r="B445" s="71"/>
      <c r="C445" s="66"/>
      <c r="D445" s="66">
        <f t="shared" si="3"/>
        <v>0</v>
      </c>
      <c r="E445" s="67"/>
      <c r="F445" s="58">
        <f t="shared" ref="F445:L445" si="435">SUMIFS($C445,$B445,F$7)+F444</f>
        <v>26</v>
      </c>
      <c r="G445" s="58">
        <f t="shared" si="435"/>
        <v>24</v>
      </c>
      <c r="H445" s="58">
        <f t="shared" si="435"/>
        <v>12</v>
      </c>
      <c r="I445" s="58">
        <f t="shared" si="435"/>
        <v>-20</v>
      </c>
      <c r="J445" s="58">
        <f t="shared" si="435"/>
        <v>0</v>
      </c>
      <c r="K445" s="58">
        <f t="shared" si="435"/>
        <v>0</v>
      </c>
      <c r="L445" s="58">
        <f t="shared" si="435"/>
        <v>0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0" customHeight="1">
      <c r="A446" s="70"/>
      <c r="B446" s="71"/>
      <c r="C446" s="66"/>
      <c r="D446" s="66">
        <f t="shared" si="3"/>
        <v>0</v>
      </c>
      <c r="E446" s="67"/>
      <c r="F446" s="58">
        <f t="shared" ref="F446:L446" si="436">SUMIFS($C446,$B446,F$7)+F445</f>
        <v>26</v>
      </c>
      <c r="G446" s="58">
        <f t="shared" si="436"/>
        <v>24</v>
      </c>
      <c r="H446" s="58">
        <f t="shared" si="436"/>
        <v>12</v>
      </c>
      <c r="I446" s="58">
        <f t="shared" si="436"/>
        <v>-20</v>
      </c>
      <c r="J446" s="58">
        <f t="shared" si="436"/>
        <v>0</v>
      </c>
      <c r="K446" s="58">
        <f t="shared" si="436"/>
        <v>0</v>
      </c>
      <c r="L446" s="58">
        <f t="shared" si="436"/>
        <v>0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0" customHeight="1">
      <c r="A447" s="70"/>
      <c r="B447" s="71"/>
      <c r="C447" s="66"/>
      <c r="D447" s="66">
        <f t="shared" si="3"/>
        <v>0</v>
      </c>
      <c r="E447" s="67"/>
      <c r="F447" s="58">
        <f t="shared" ref="F447:L447" si="437">SUMIFS($C447,$B447,F$7)+F446</f>
        <v>26</v>
      </c>
      <c r="G447" s="58">
        <f t="shared" si="437"/>
        <v>24</v>
      </c>
      <c r="H447" s="58">
        <f t="shared" si="437"/>
        <v>12</v>
      </c>
      <c r="I447" s="58">
        <f t="shared" si="437"/>
        <v>-20</v>
      </c>
      <c r="J447" s="58">
        <f t="shared" si="437"/>
        <v>0</v>
      </c>
      <c r="K447" s="58">
        <f t="shared" si="437"/>
        <v>0</v>
      </c>
      <c r="L447" s="58">
        <f t="shared" si="437"/>
        <v>0</v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0" customHeight="1">
      <c r="A448" s="70"/>
      <c r="B448" s="71"/>
      <c r="C448" s="66"/>
      <c r="D448" s="66">
        <f t="shared" si="3"/>
        <v>0</v>
      </c>
      <c r="E448" s="67"/>
      <c r="F448" s="58">
        <f t="shared" ref="F448:L448" si="438">SUMIFS($C448,$B448,F$7)+F447</f>
        <v>26</v>
      </c>
      <c r="G448" s="58">
        <f t="shared" si="438"/>
        <v>24</v>
      </c>
      <c r="H448" s="58">
        <f t="shared" si="438"/>
        <v>12</v>
      </c>
      <c r="I448" s="58">
        <f t="shared" si="438"/>
        <v>-20</v>
      </c>
      <c r="J448" s="58">
        <f t="shared" si="438"/>
        <v>0</v>
      </c>
      <c r="K448" s="58">
        <f t="shared" si="438"/>
        <v>0</v>
      </c>
      <c r="L448" s="58">
        <f t="shared" si="438"/>
        <v>0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0" customHeight="1">
      <c r="A449" s="70"/>
      <c r="B449" s="71"/>
      <c r="C449" s="66"/>
      <c r="D449" s="66">
        <f t="shared" si="3"/>
        <v>0</v>
      </c>
      <c r="E449" s="67"/>
      <c r="F449" s="58">
        <f t="shared" ref="F449:L449" si="439">SUMIFS($C449,$B449,F$7)+F448</f>
        <v>26</v>
      </c>
      <c r="G449" s="58">
        <f t="shared" si="439"/>
        <v>24</v>
      </c>
      <c r="H449" s="58">
        <f t="shared" si="439"/>
        <v>12</v>
      </c>
      <c r="I449" s="58">
        <f t="shared" si="439"/>
        <v>-20</v>
      </c>
      <c r="J449" s="58">
        <f t="shared" si="439"/>
        <v>0</v>
      </c>
      <c r="K449" s="58">
        <f t="shared" si="439"/>
        <v>0</v>
      </c>
      <c r="L449" s="58">
        <f t="shared" si="439"/>
        <v>0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0" customHeight="1">
      <c r="A450" s="70"/>
      <c r="B450" s="71"/>
      <c r="C450" s="66"/>
      <c r="D450" s="66">
        <f t="shared" si="3"/>
        <v>0</v>
      </c>
      <c r="E450" s="67"/>
      <c r="F450" s="58">
        <f t="shared" ref="F450:L450" si="440">SUMIFS($C450,$B450,F$7)+F449</f>
        <v>26</v>
      </c>
      <c r="G450" s="58">
        <f t="shared" si="440"/>
        <v>24</v>
      </c>
      <c r="H450" s="58">
        <f t="shared" si="440"/>
        <v>12</v>
      </c>
      <c r="I450" s="58">
        <f t="shared" si="440"/>
        <v>-20</v>
      </c>
      <c r="J450" s="58">
        <f t="shared" si="440"/>
        <v>0</v>
      </c>
      <c r="K450" s="58">
        <f t="shared" si="440"/>
        <v>0</v>
      </c>
      <c r="L450" s="58">
        <f t="shared" si="440"/>
        <v>0</v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0" customHeight="1">
      <c r="A451" s="70"/>
      <c r="B451" s="71"/>
      <c r="C451" s="66"/>
      <c r="D451" s="66">
        <f t="shared" si="3"/>
        <v>0</v>
      </c>
      <c r="E451" s="67"/>
      <c r="F451" s="58">
        <f t="shared" ref="F451:L451" si="441">SUMIFS($C451,$B451,F$7)+F450</f>
        <v>26</v>
      </c>
      <c r="G451" s="58">
        <f t="shared" si="441"/>
        <v>24</v>
      </c>
      <c r="H451" s="58">
        <f t="shared" si="441"/>
        <v>12</v>
      </c>
      <c r="I451" s="58">
        <f t="shared" si="441"/>
        <v>-20</v>
      </c>
      <c r="J451" s="58">
        <f t="shared" si="441"/>
        <v>0</v>
      </c>
      <c r="K451" s="58">
        <f t="shared" si="441"/>
        <v>0</v>
      </c>
      <c r="L451" s="58">
        <f t="shared" si="441"/>
        <v>0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0" customHeight="1">
      <c r="A452" s="70"/>
      <c r="B452" s="71"/>
      <c r="C452" s="66"/>
      <c r="D452" s="66">
        <f t="shared" si="3"/>
        <v>0</v>
      </c>
      <c r="E452" s="67"/>
      <c r="F452" s="58">
        <f t="shared" ref="F452:L452" si="442">SUMIFS($C452,$B452,F$7)+F451</f>
        <v>26</v>
      </c>
      <c r="G452" s="58">
        <f t="shared" si="442"/>
        <v>24</v>
      </c>
      <c r="H452" s="58">
        <f t="shared" si="442"/>
        <v>12</v>
      </c>
      <c r="I452" s="58">
        <f t="shared" si="442"/>
        <v>-20</v>
      </c>
      <c r="J452" s="58">
        <f t="shared" si="442"/>
        <v>0</v>
      </c>
      <c r="K452" s="58">
        <f t="shared" si="442"/>
        <v>0</v>
      </c>
      <c r="L452" s="58">
        <f t="shared" si="442"/>
        <v>0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0" customHeight="1">
      <c r="A453" s="70"/>
      <c r="B453" s="71"/>
      <c r="C453" s="66"/>
      <c r="D453" s="66">
        <f t="shared" si="3"/>
        <v>0</v>
      </c>
      <c r="E453" s="67"/>
      <c r="F453" s="58">
        <f t="shared" ref="F453:L453" si="443">SUMIFS($C453,$B453,F$7)+F452</f>
        <v>26</v>
      </c>
      <c r="G453" s="58">
        <f t="shared" si="443"/>
        <v>24</v>
      </c>
      <c r="H453" s="58">
        <f t="shared" si="443"/>
        <v>12</v>
      </c>
      <c r="I453" s="58">
        <f t="shared" si="443"/>
        <v>-20</v>
      </c>
      <c r="J453" s="58">
        <f t="shared" si="443"/>
        <v>0</v>
      </c>
      <c r="K453" s="58">
        <f t="shared" si="443"/>
        <v>0</v>
      </c>
      <c r="L453" s="58">
        <f t="shared" si="443"/>
        <v>0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0" customHeight="1">
      <c r="A454" s="70"/>
      <c r="B454" s="71"/>
      <c r="C454" s="66"/>
      <c r="D454" s="66">
        <f t="shared" si="3"/>
        <v>0</v>
      </c>
      <c r="E454" s="67"/>
      <c r="F454" s="58">
        <f t="shared" ref="F454:L454" si="444">SUMIFS($C454,$B454,F$7)+F453</f>
        <v>26</v>
      </c>
      <c r="G454" s="58">
        <f t="shared" si="444"/>
        <v>24</v>
      </c>
      <c r="H454" s="58">
        <f t="shared" si="444"/>
        <v>12</v>
      </c>
      <c r="I454" s="58">
        <f t="shared" si="444"/>
        <v>-20</v>
      </c>
      <c r="J454" s="58">
        <f t="shared" si="444"/>
        <v>0</v>
      </c>
      <c r="K454" s="58">
        <f t="shared" si="444"/>
        <v>0</v>
      </c>
      <c r="L454" s="58">
        <f t="shared" si="444"/>
        <v>0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0" customHeight="1">
      <c r="A455" s="70"/>
      <c r="B455" s="71"/>
      <c r="C455" s="66"/>
      <c r="D455" s="66">
        <f t="shared" si="3"/>
        <v>0</v>
      </c>
      <c r="E455" s="67"/>
      <c r="F455" s="58">
        <f t="shared" ref="F455:L455" si="445">SUMIFS($C455,$B455,F$7)+F454</f>
        <v>26</v>
      </c>
      <c r="G455" s="58">
        <f t="shared" si="445"/>
        <v>24</v>
      </c>
      <c r="H455" s="58">
        <f t="shared" si="445"/>
        <v>12</v>
      </c>
      <c r="I455" s="58">
        <f t="shared" si="445"/>
        <v>-20</v>
      </c>
      <c r="J455" s="58">
        <f t="shared" si="445"/>
        <v>0</v>
      </c>
      <c r="K455" s="58">
        <f t="shared" si="445"/>
        <v>0</v>
      </c>
      <c r="L455" s="58">
        <f t="shared" si="445"/>
        <v>0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0" customHeight="1">
      <c r="A456" s="70"/>
      <c r="B456" s="71"/>
      <c r="C456" s="66"/>
      <c r="D456" s="66">
        <f t="shared" si="3"/>
        <v>0</v>
      </c>
      <c r="E456" s="67"/>
      <c r="F456" s="58">
        <f t="shared" ref="F456:L456" si="446">SUMIFS($C456,$B456,F$7)+F455</f>
        <v>26</v>
      </c>
      <c r="G456" s="58">
        <f t="shared" si="446"/>
        <v>24</v>
      </c>
      <c r="H456" s="58">
        <f t="shared" si="446"/>
        <v>12</v>
      </c>
      <c r="I456" s="58">
        <f t="shared" si="446"/>
        <v>-20</v>
      </c>
      <c r="J456" s="58">
        <f t="shared" si="446"/>
        <v>0</v>
      </c>
      <c r="K456" s="58">
        <f t="shared" si="446"/>
        <v>0</v>
      </c>
      <c r="L456" s="58">
        <f t="shared" si="446"/>
        <v>0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0" customHeight="1">
      <c r="A457" s="70"/>
      <c r="B457" s="71"/>
      <c r="C457" s="66"/>
      <c r="D457" s="66">
        <f t="shared" si="3"/>
        <v>0</v>
      </c>
      <c r="E457" s="67"/>
      <c r="F457" s="58">
        <f t="shared" ref="F457:L457" si="447">SUMIFS($C457,$B457,F$7)+F456</f>
        <v>26</v>
      </c>
      <c r="G457" s="58">
        <f t="shared" si="447"/>
        <v>24</v>
      </c>
      <c r="H457" s="58">
        <f t="shared" si="447"/>
        <v>12</v>
      </c>
      <c r="I457" s="58">
        <f t="shared" si="447"/>
        <v>-20</v>
      </c>
      <c r="J457" s="58">
        <f t="shared" si="447"/>
        <v>0</v>
      </c>
      <c r="K457" s="58">
        <f t="shared" si="447"/>
        <v>0</v>
      </c>
      <c r="L457" s="58">
        <f t="shared" si="447"/>
        <v>0</v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0" customHeight="1">
      <c r="A458" s="70"/>
      <c r="B458" s="71"/>
      <c r="C458" s="66"/>
      <c r="D458" s="66">
        <f t="shared" si="3"/>
        <v>0</v>
      </c>
      <c r="E458" s="67"/>
      <c r="F458" s="58">
        <f t="shared" ref="F458:L458" si="448">SUMIFS($C458,$B458,F$7)+F457</f>
        <v>26</v>
      </c>
      <c r="G458" s="58">
        <f t="shared" si="448"/>
        <v>24</v>
      </c>
      <c r="H458" s="58">
        <f t="shared" si="448"/>
        <v>12</v>
      </c>
      <c r="I458" s="58">
        <f t="shared" si="448"/>
        <v>-20</v>
      </c>
      <c r="J458" s="58">
        <f t="shared" si="448"/>
        <v>0</v>
      </c>
      <c r="K458" s="58">
        <f t="shared" si="448"/>
        <v>0</v>
      </c>
      <c r="L458" s="58">
        <f t="shared" si="448"/>
        <v>0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0" customHeight="1">
      <c r="A459" s="70"/>
      <c r="B459" s="71"/>
      <c r="C459" s="66"/>
      <c r="D459" s="66">
        <f t="shared" si="3"/>
        <v>0</v>
      </c>
      <c r="E459" s="67"/>
      <c r="F459" s="58">
        <f t="shared" ref="F459:L459" si="449">SUMIFS($C459,$B459,F$7)+F458</f>
        <v>26</v>
      </c>
      <c r="G459" s="58">
        <f t="shared" si="449"/>
        <v>24</v>
      </c>
      <c r="H459" s="58">
        <f t="shared" si="449"/>
        <v>12</v>
      </c>
      <c r="I459" s="58">
        <f t="shared" si="449"/>
        <v>-20</v>
      </c>
      <c r="J459" s="58">
        <f t="shared" si="449"/>
        <v>0</v>
      </c>
      <c r="K459" s="58">
        <f t="shared" si="449"/>
        <v>0</v>
      </c>
      <c r="L459" s="58">
        <f t="shared" si="449"/>
        <v>0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0" customHeight="1">
      <c r="A460" s="70"/>
      <c r="B460" s="71"/>
      <c r="C460" s="66"/>
      <c r="D460" s="66">
        <f t="shared" si="3"/>
        <v>0</v>
      </c>
      <c r="E460" s="67"/>
      <c r="F460" s="58">
        <f t="shared" ref="F460:L460" si="450">SUMIFS($C460,$B460,F$7)+F459</f>
        <v>26</v>
      </c>
      <c r="G460" s="58">
        <f t="shared" si="450"/>
        <v>24</v>
      </c>
      <c r="H460" s="58">
        <f t="shared" si="450"/>
        <v>12</v>
      </c>
      <c r="I460" s="58">
        <f t="shared" si="450"/>
        <v>-20</v>
      </c>
      <c r="J460" s="58">
        <f t="shared" si="450"/>
        <v>0</v>
      </c>
      <c r="K460" s="58">
        <f t="shared" si="450"/>
        <v>0</v>
      </c>
      <c r="L460" s="58">
        <f t="shared" si="450"/>
        <v>0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0" customHeight="1">
      <c r="A461" s="70"/>
      <c r="B461" s="71"/>
      <c r="C461" s="66"/>
      <c r="D461" s="66">
        <f t="shared" si="3"/>
        <v>0</v>
      </c>
      <c r="E461" s="67"/>
      <c r="F461" s="58">
        <f t="shared" ref="F461:L461" si="451">SUMIFS($C461,$B461,F$7)+F460</f>
        <v>26</v>
      </c>
      <c r="G461" s="58">
        <f t="shared" si="451"/>
        <v>24</v>
      </c>
      <c r="H461" s="58">
        <f t="shared" si="451"/>
        <v>12</v>
      </c>
      <c r="I461" s="58">
        <f t="shared" si="451"/>
        <v>-20</v>
      </c>
      <c r="J461" s="58">
        <f t="shared" si="451"/>
        <v>0</v>
      </c>
      <c r="K461" s="58">
        <f t="shared" si="451"/>
        <v>0</v>
      </c>
      <c r="L461" s="58">
        <f t="shared" si="451"/>
        <v>0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0" customHeight="1">
      <c r="A462" s="70"/>
      <c r="B462" s="71"/>
      <c r="C462" s="66"/>
      <c r="D462" s="66">
        <f t="shared" si="3"/>
        <v>0</v>
      </c>
      <c r="E462" s="67"/>
      <c r="F462" s="58">
        <f t="shared" ref="F462:L462" si="452">SUMIFS($C462,$B462,F$7)+F461</f>
        <v>26</v>
      </c>
      <c r="G462" s="58">
        <f t="shared" si="452"/>
        <v>24</v>
      </c>
      <c r="H462" s="58">
        <f t="shared" si="452"/>
        <v>12</v>
      </c>
      <c r="I462" s="58">
        <f t="shared" si="452"/>
        <v>-20</v>
      </c>
      <c r="J462" s="58">
        <f t="shared" si="452"/>
        <v>0</v>
      </c>
      <c r="K462" s="58">
        <f t="shared" si="452"/>
        <v>0</v>
      </c>
      <c r="L462" s="58">
        <f t="shared" si="452"/>
        <v>0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0" customHeight="1">
      <c r="A463" s="70"/>
      <c r="B463" s="71"/>
      <c r="C463" s="66"/>
      <c r="D463" s="66">
        <f t="shared" si="3"/>
        <v>0</v>
      </c>
      <c r="E463" s="67"/>
      <c r="F463" s="58">
        <f t="shared" ref="F463:L463" si="453">SUMIFS($C463,$B463,F$7)+F462</f>
        <v>26</v>
      </c>
      <c r="G463" s="58">
        <f t="shared" si="453"/>
        <v>24</v>
      </c>
      <c r="H463" s="58">
        <f t="shared" si="453"/>
        <v>12</v>
      </c>
      <c r="I463" s="58">
        <f t="shared" si="453"/>
        <v>-20</v>
      </c>
      <c r="J463" s="58">
        <f t="shared" si="453"/>
        <v>0</v>
      </c>
      <c r="K463" s="58">
        <f t="shared" si="453"/>
        <v>0</v>
      </c>
      <c r="L463" s="58">
        <f t="shared" si="453"/>
        <v>0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0" customHeight="1">
      <c r="A464" s="70"/>
      <c r="B464" s="71"/>
      <c r="C464" s="66"/>
      <c r="D464" s="66">
        <f t="shared" si="3"/>
        <v>0</v>
      </c>
      <c r="E464" s="67"/>
      <c r="F464" s="58">
        <f t="shared" ref="F464:L464" si="454">SUMIFS($C464,$B464,F$7)+F463</f>
        <v>26</v>
      </c>
      <c r="G464" s="58">
        <f t="shared" si="454"/>
        <v>24</v>
      </c>
      <c r="H464" s="58">
        <f t="shared" si="454"/>
        <v>12</v>
      </c>
      <c r="I464" s="58">
        <f t="shared" si="454"/>
        <v>-20</v>
      </c>
      <c r="J464" s="58">
        <f t="shared" si="454"/>
        <v>0</v>
      </c>
      <c r="K464" s="58">
        <f t="shared" si="454"/>
        <v>0</v>
      </c>
      <c r="L464" s="58">
        <f t="shared" si="454"/>
        <v>0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0" customHeight="1">
      <c r="A465" s="70"/>
      <c r="B465" s="71"/>
      <c r="C465" s="66"/>
      <c r="D465" s="66">
        <f t="shared" si="3"/>
        <v>0</v>
      </c>
      <c r="E465" s="67"/>
      <c r="F465" s="58">
        <f t="shared" ref="F465:L465" si="455">SUMIFS($C465,$B465,F$7)+F464</f>
        <v>26</v>
      </c>
      <c r="G465" s="58">
        <f t="shared" si="455"/>
        <v>24</v>
      </c>
      <c r="H465" s="58">
        <f t="shared" si="455"/>
        <v>12</v>
      </c>
      <c r="I465" s="58">
        <f t="shared" si="455"/>
        <v>-20</v>
      </c>
      <c r="J465" s="58">
        <f t="shared" si="455"/>
        <v>0</v>
      </c>
      <c r="K465" s="58">
        <f t="shared" si="455"/>
        <v>0</v>
      </c>
      <c r="L465" s="58">
        <f t="shared" si="455"/>
        <v>0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0" customHeight="1">
      <c r="A466" s="70"/>
      <c r="B466" s="71"/>
      <c r="C466" s="66"/>
      <c r="D466" s="66">
        <f t="shared" si="3"/>
        <v>0</v>
      </c>
      <c r="E466" s="67"/>
      <c r="F466" s="58">
        <f t="shared" ref="F466:L466" si="456">SUMIFS($C466,$B466,F$7)+F465</f>
        <v>26</v>
      </c>
      <c r="G466" s="58">
        <f t="shared" si="456"/>
        <v>24</v>
      </c>
      <c r="H466" s="58">
        <f t="shared" si="456"/>
        <v>12</v>
      </c>
      <c r="I466" s="58">
        <f t="shared" si="456"/>
        <v>-20</v>
      </c>
      <c r="J466" s="58">
        <f t="shared" si="456"/>
        <v>0</v>
      </c>
      <c r="K466" s="58">
        <f t="shared" si="456"/>
        <v>0</v>
      </c>
      <c r="L466" s="58">
        <f t="shared" si="456"/>
        <v>0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0" customHeight="1">
      <c r="A467" s="70"/>
      <c r="B467" s="71"/>
      <c r="C467" s="66"/>
      <c r="D467" s="66">
        <f t="shared" si="3"/>
        <v>0</v>
      </c>
      <c r="E467" s="67"/>
      <c r="F467" s="58">
        <f t="shared" ref="F467:L467" si="457">SUMIFS($C467,$B467,F$7)+F466</f>
        <v>26</v>
      </c>
      <c r="G467" s="58">
        <f t="shared" si="457"/>
        <v>24</v>
      </c>
      <c r="H467" s="58">
        <f t="shared" si="457"/>
        <v>12</v>
      </c>
      <c r="I467" s="58">
        <f t="shared" si="457"/>
        <v>-20</v>
      </c>
      <c r="J467" s="58">
        <f t="shared" si="457"/>
        <v>0</v>
      </c>
      <c r="K467" s="58">
        <f t="shared" si="457"/>
        <v>0</v>
      </c>
      <c r="L467" s="58">
        <f t="shared" si="457"/>
        <v>0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0" customHeight="1">
      <c r="A468" s="70"/>
      <c r="B468" s="71"/>
      <c r="C468" s="66"/>
      <c r="D468" s="66">
        <f t="shared" si="3"/>
        <v>0</v>
      </c>
      <c r="E468" s="67"/>
      <c r="F468" s="58">
        <f t="shared" ref="F468:L468" si="458">SUMIFS($C468,$B468,F$7)+F467</f>
        <v>26</v>
      </c>
      <c r="G468" s="58">
        <f t="shared" si="458"/>
        <v>24</v>
      </c>
      <c r="H468" s="58">
        <f t="shared" si="458"/>
        <v>12</v>
      </c>
      <c r="I468" s="58">
        <f t="shared" si="458"/>
        <v>-20</v>
      </c>
      <c r="J468" s="58">
        <f t="shared" si="458"/>
        <v>0</v>
      </c>
      <c r="K468" s="58">
        <f t="shared" si="458"/>
        <v>0</v>
      </c>
      <c r="L468" s="58">
        <f t="shared" si="458"/>
        <v>0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0" customHeight="1">
      <c r="A469" s="70"/>
      <c r="B469" s="71"/>
      <c r="C469" s="66"/>
      <c r="D469" s="66">
        <f t="shared" si="3"/>
        <v>0</v>
      </c>
      <c r="E469" s="67"/>
      <c r="F469" s="58">
        <f t="shared" ref="F469:L469" si="459">SUMIFS($C469,$B469,F$7)+F468</f>
        <v>26</v>
      </c>
      <c r="G469" s="58">
        <f t="shared" si="459"/>
        <v>24</v>
      </c>
      <c r="H469" s="58">
        <f t="shared" si="459"/>
        <v>12</v>
      </c>
      <c r="I469" s="58">
        <f t="shared" si="459"/>
        <v>-20</v>
      </c>
      <c r="J469" s="58">
        <f t="shared" si="459"/>
        <v>0</v>
      </c>
      <c r="K469" s="58">
        <f t="shared" si="459"/>
        <v>0</v>
      </c>
      <c r="L469" s="58">
        <f t="shared" si="459"/>
        <v>0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0" customHeight="1">
      <c r="A470" s="70"/>
      <c r="B470" s="71"/>
      <c r="C470" s="66"/>
      <c r="D470" s="66">
        <f t="shared" si="3"/>
        <v>0</v>
      </c>
      <c r="E470" s="67"/>
      <c r="F470" s="58">
        <f t="shared" ref="F470:L470" si="460">SUMIFS($C470,$B470,F$7)+F469</f>
        <v>26</v>
      </c>
      <c r="G470" s="58">
        <f t="shared" si="460"/>
        <v>24</v>
      </c>
      <c r="H470" s="58">
        <f t="shared" si="460"/>
        <v>12</v>
      </c>
      <c r="I470" s="58">
        <f t="shared" si="460"/>
        <v>-20</v>
      </c>
      <c r="J470" s="58">
        <f t="shared" si="460"/>
        <v>0</v>
      </c>
      <c r="K470" s="58">
        <f t="shared" si="460"/>
        <v>0</v>
      </c>
      <c r="L470" s="58">
        <f t="shared" si="460"/>
        <v>0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0" customHeight="1">
      <c r="A471" s="70"/>
      <c r="B471" s="71"/>
      <c r="C471" s="66"/>
      <c r="D471" s="66">
        <f t="shared" si="3"/>
        <v>0</v>
      </c>
      <c r="E471" s="67"/>
      <c r="F471" s="58">
        <f t="shared" ref="F471:L471" si="461">SUMIFS($C471,$B471,F$7)+F470</f>
        <v>26</v>
      </c>
      <c r="G471" s="58">
        <f t="shared" si="461"/>
        <v>24</v>
      </c>
      <c r="H471" s="58">
        <f t="shared" si="461"/>
        <v>12</v>
      </c>
      <c r="I471" s="58">
        <f t="shared" si="461"/>
        <v>-20</v>
      </c>
      <c r="J471" s="58">
        <f t="shared" si="461"/>
        <v>0</v>
      </c>
      <c r="K471" s="58">
        <f t="shared" si="461"/>
        <v>0</v>
      </c>
      <c r="L471" s="58">
        <f t="shared" si="461"/>
        <v>0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0" customHeight="1">
      <c r="A472" s="70"/>
      <c r="B472" s="71"/>
      <c r="C472" s="66"/>
      <c r="D472" s="66">
        <f t="shared" si="3"/>
        <v>0</v>
      </c>
      <c r="E472" s="67"/>
      <c r="F472" s="58">
        <f t="shared" ref="F472:L472" si="462">SUMIFS($C472,$B472,F$7)+F471</f>
        <v>26</v>
      </c>
      <c r="G472" s="58">
        <f t="shared" si="462"/>
        <v>24</v>
      </c>
      <c r="H472" s="58">
        <f t="shared" si="462"/>
        <v>12</v>
      </c>
      <c r="I472" s="58">
        <f t="shared" si="462"/>
        <v>-20</v>
      </c>
      <c r="J472" s="58">
        <f t="shared" si="462"/>
        <v>0</v>
      </c>
      <c r="K472" s="58">
        <f t="shared" si="462"/>
        <v>0</v>
      </c>
      <c r="L472" s="58">
        <f t="shared" si="462"/>
        <v>0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0" customHeight="1">
      <c r="A473" s="70"/>
      <c r="B473" s="71"/>
      <c r="C473" s="66"/>
      <c r="D473" s="66">
        <f t="shared" si="3"/>
        <v>0</v>
      </c>
      <c r="E473" s="67"/>
      <c r="F473" s="58">
        <f t="shared" ref="F473:L473" si="463">SUMIFS($C473,$B473,F$7)+F472</f>
        <v>26</v>
      </c>
      <c r="G473" s="58">
        <f t="shared" si="463"/>
        <v>24</v>
      </c>
      <c r="H473" s="58">
        <f t="shared" si="463"/>
        <v>12</v>
      </c>
      <c r="I473" s="58">
        <f t="shared" si="463"/>
        <v>-20</v>
      </c>
      <c r="J473" s="58">
        <f t="shared" si="463"/>
        <v>0</v>
      </c>
      <c r="K473" s="58">
        <f t="shared" si="463"/>
        <v>0</v>
      </c>
      <c r="L473" s="58">
        <f t="shared" si="463"/>
        <v>0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0" customHeight="1">
      <c r="A474" s="70"/>
      <c r="B474" s="71"/>
      <c r="C474" s="66"/>
      <c r="D474" s="66">
        <f t="shared" si="3"/>
        <v>0</v>
      </c>
      <c r="E474" s="67"/>
      <c r="F474" s="58">
        <f t="shared" ref="F474:L474" si="464">SUMIFS($C474,$B474,F$7)+F473</f>
        <v>26</v>
      </c>
      <c r="G474" s="58">
        <f t="shared" si="464"/>
        <v>24</v>
      </c>
      <c r="H474" s="58">
        <f t="shared" si="464"/>
        <v>12</v>
      </c>
      <c r="I474" s="58">
        <f t="shared" si="464"/>
        <v>-20</v>
      </c>
      <c r="J474" s="58">
        <f t="shared" si="464"/>
        <v>0</v>
      </c>
      <c r="K474" s="58">
        <f t="shared" si="464"/>
        <v>0</v>
      </c>
      <c r="L474" s="58">
        <f t="shared" si="464"/>
        <v>0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0" customHeight="1">
      <c r="A475" s="70"/>
      <c r="B475" s="71"/>
      <c r="C475" s="66"/>
      <c r="D475" s="66">
        <f t="shared" si="3"/>
        <v>0</v>
      </c>
      <c r="E475" s="67"/>
      <c r="F475" s="58">
        <f t="shared" ref="F475:L475" si="465">SUMIFS($C475,$B475,F$7)+F474</f>
        <v>26</v>
      </c>
      <c r="G475" s="58">
        <f t="shared" si="465"/>
        <v>24</v>
      </c>
      <c r="H475" s="58">
        <f t="shared" si="465"/>
        <v>12</v>
      </c>
      <c r="I475" s="58">
        <f t="shared" si="465"/>
        <v>-20</v>
      </c>
      <c r="J475" s="58">
        <f t="shared" si="465"/>
        <v>0</v>
      </c>
      <c r="K475" s="58">
        <f t="shared" si="465"/>
        <v>0</v>
      </c>
      <c r="L475" s="58">
        <f t="shared" si="465"/>
        <v>0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0" customHeight="1">
      <c r="A476" s="70"/>
      <c r="B476" s="71"/>
      <c r="C476" s="66"/>
      <c r="D476" s="66">
        <f t="shared" si="3"/>
        <v>0</v>
      </c>
      <c r="E476" s="67"/>
      <c r="F476" s="58">
        <f t="shared" ref="F476:L476" si="466">SUMIFS($C476,$B476,F$7)+F475</f>
        <v>26</v>
      </c>
      <c r="G476" s="58">
        <f t="shared" si="466"/>
        <v>24</v>
      </c>
      <c r="H476" s="58">
        <f t="shared" si="466"/>
        <v>12</v>
      </c>
      <c r="I476" s="58">
        <f t="shared" si="466"/>
        <v>-20</v>
      </c>
      <c r="J476" s="58">
        <f t="shared" si="466"/>
        <v>0</v>
      </c>
      <c r="K476" s="58">
        <f t="shared" si="466"/>
        <v>0</v>
      </c>
      <c r="L476" s="58">
        <f t="shared" si="466"/>
        <v>0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0" customHeight="1">
      <c r="A477" s="70"/>
      <c r="B477" s="71"/>
      <c r="C477" s="66"/>
      <c r="D477" s="66">
        <f t="shared" si="3"/>
        <v>0</v>
      </c>
      <c r="E477" s="67"/>
      <c r="F477" s="58">
        <f t="shared" ref="F477:L477" si="467">SUMIFS($C477,$B477,F$7)+F476</f>
        <v>26</v>
      </c>
      <c r="G477" s="58">
        <f t="shared" si="467"/>
        <v>24</v>
      </c>
      <c r="H477" s="58">
        <f t="shared" si="467"/>
        <v>12</v>
      </c>
      <c r="I477" s="58">
        <f t="shared" si="467"/>
        <v>-20</v>
      </c>
      <c r="J477" s="58">
        <f t="shared" si="467"/>
        <v>0</v>
      </c>
      <c r="K477" s="58">
        <f t="shared" si="467"/>
        <v>0</v>
      </c>
      <c r="L477" s="58">
        <f t="shared" si="467"/>
        <v>0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0" customHeight="1">
      <c r="A478" s="70"/>
      <c r="B478" s="71"/>
      <c r="C478" s="66"/>
      <c r="D478" s="66">
        <f t="shared" si="3"/>
        <v>0</v>
      </c>
      <c r="E478" s="67"/>
      <c r="F478" s="58">
        <f t="shared" ref="F478:L478" si="468">SUMIFS($C478,$B478,F$7)+F477</f>
        <v>26</v>
      </c>
      <c r="G478" s="58">
        <f t="shared" si="468"/>
        <v>24</v>
      </c>
      <c r="H478" s="58">
        <f t="shared" si="468"/>
        <v>12</v>
      </c>
      <c r="I478" s="58">
        <f t="shared" si="468"/>
        <v>-20</v>
      </c>
      <c r="J478" s="58">
        <f t="shared" si="468"/>
        <v>0</v>
      </c>
      <c r="K478" s="58">
        <f t="shared" si="468"/>
        <v>0</v>
      </c>
      <c r="L478" s="58">
        <f t="shared" si="468"/>
        <v>0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0" customHeight="1">
      <c r="A479" s="70"/>
      <c r="B479" s="71"/>
      <c r="C479" s="66"/>
      <c r="D479" s="66">
        <f t="shared" si="3"/>
        <v>0</v>
      </c>
      <c r="E479" s="67"/>
      <c r="F479" s="58">
        <f t="shared" ref="F479:L479" si="469">SUMIFS($C479,$B479,F$7)+F478</f>
        <v>26</v>
      </c>
      <c r="G479" s="58">
        <f t="shared" si="469"/>
        <v>24</v>
      </c>
      <c r="H479" s="58">
        <f t="shared" si="469"/>
        <v>12</v>
      </c>
      <c r="I479" s="58">
        <f t="shared" si="469"/>
        <v>-20</v>
      </c>
      <c r="J479" s="58">
        <f t="shared" si="469"/>
        <v>0</v>
      </c>
      <c r="K479" s="58">
        <f t="shared" si="469"/>
        <v>0</v>
      </c>
      <c r="L479" s="58">
        <f t="shared" si="469"/>
        <v>0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0" customHeight="1">
      <c r="A480" s="70"/>
      <c r="B480" s="71"/>
      <c r="C480" s="66"/>
      <c r="D480" s="66">
        <f t="shared" si="3"/>
        <v>0</v>
      </c>
      <c r="E480" s="67"/>
      <c r="F480" s="58">
        <f t="shared" ref="F480:L480" si="470">SUMIFS($C480,$B480,F$7)+F479</f>
        <v>26</v>
      </c>
      <c r="G480" s="58">
        <f t="shared" si="470"/>
        <v>24</v>
      </c>
      <c r="H480" s="58">
        <f t="shared" si="470"/>
        <v>12</v>
      </c>
      <c r="I480" s="58">
        <f t="shared" si="470"/>
        <v>-20</v>
      </c>
      <c r="J480" s="58">
        <f t="shared" si="470"/>
        <v>0</v>
      </c>
      <c r="K480" s="58">
        <f t="shared" si="470"/>
        <v>0</v>
      </c>
      <c r="L480" s="58">
        <f t="shared" si="470"/>
        <v>0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0" customHeight="1">
      <c r="A481" s="70"/>
      <c r="B481" s="71"/>
      <c r="C481" s="66"/>
      <c r="D481" s="66">
        <f t="shared" si="3"/>
        <v>0</v>
      </c>
      <c r="E481" s="67"/>
      <c r="F481" s="58">
        <f t="shared" ref="F481:L481" si="471">SUMIFS($C481,$B481,F$7)+F480</f>
        <v>26</v>
      </c>
      <c r="G481" s="58">
        <f t="shared" si="471"/>
        <v>24</v>
      </c>
      <c r="H481" s="58">
        <f t="shared" si="471"/>
        <v>12</v>
      </c>
      <c r="I481" s="58">
        <f t="shared" si="471"/>
        <v>-20</v>
      </c>
      <c r="J481" s="58">
        <f t="shared" si="471"/>
        <v>0</v>
      </c>
      <c r="K481" s="58">
        <f t="shared" si="471"/>
        <v>0</v>
      </c>
      <c r="L481" s="58">
        <f t="shared" si="471"/>
        <v>0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0" customHeight="1">
      <c r="A482" s="70"/>
      <c r="B482" s="71"/>
      <c r="C482" s="66"/>
      <c r="D482" s="66">
        <f t="shared" si="3"/>
        <v>0</v>
      </c>
      <c r="E482" s="67"/>
      <c r="F482" s="58">
        <f t="shared" ref="F482:L482" si="472">SUMIFS($C482,$B482,F$7)+F481</f>
        <v>26</v>
      </c>
      <c r="G482" s="58">
        <f t="shared" si="472"/>
        <v>24</v>
      </c>
      <c r="H482" s="58">
        <f t="shared" si="472"/>
        <v>12</v>
      </c>
      <c r="I482" s="58">
        <f t="shared" si="472"/>
        <v>-20</v>
      </c>
      <c r="J482" s="58">
        <f t="shared" si="472"/>
        <v>0</v>
      </c>
      <c r="K482" s="58">
        <f t="shared" si="472"/>
        <v>0</v>
      </c>
      <c r="L482" s="58">
        <f t="shared" si="472"/>
        <v>0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0" customHeight="1">
      <c r="A483" s="70"/>
      <c r="B483" s="71"/>
      <c r="C483" s="66"/>
      <c r="D483" s="66">
        <f t="shared" si="3"/>
        <v>0</v>
      </c>
      <c r="E483" s="67"/>
      <c r="F483" s="58">
        <f t="shared" ref="F483:L483" si="473">SUMIFS($C483,$B483,F$7)+F482</f>
        <v>26</v>
      </c>
      <c r="G483" s="58">
        <f t="shared" si="473"/>
        <v>24</v>
      </c>
      <c r="H483" s="58">
        <f t="shared" si="473"/>
        <v>12</v>
      </c>
      <c r="I483" s="58">
        <f t="shared" si="473"/>
        <v>-20</v>
      </c>
      <c r="J483" s="58">
        <f t="shared" si="473"/>
        <v>0</v>
      </c>
      <c r="K483" s="58">
        <f t="shared" si="473"/>
        <v>0</v>
      </c>
      <c r="L483" s="58">
        <f t="shared" si="473"/>
        <v>0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0" customHeight="1">
      <c r="A484" s="70"/>
      <c r="B484" s="71"/>
      <c r="C484" s="66"/>
      <c r="D484" s="66">
        <f t="shared" si="3"/>
        <v>0</v>
      </c>
      <c r="E484" s="67"/>
      <c r="F484" s="58">
        <f t="shared" ref="F484:L484" si="474">SUMIFS($C484,$B484,F$7)+F483</f>
        <v>26</v>
      </c>
      <c r="G484" s="58">
        <f t="shared" si="474"/>
        <v>24</v>
      </c>
      <c r="H484" s="58">
        <f t="shared" si="474"/>
        <v>12</v>
      </c>
      <c r="I484" s="58">
        <f t="shared" si="474"/>
        <v>-20</v>
      </c>
      <c r="J484" s="58">
        <f t="shared" si="474"/>
        <v>0</v>
      </c>
      <c r="K484" s="58">
        <f t="shared" si="474"/>
        <v>0</v>
      </c>
      <c r="L484" s="58">
        <f t="shared" si="474"/>
        <v>0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0" customHeight="1">
      <c r="A485" s="70"/>
      <c r="B485" s="71"/>
      <c r="C485" s="66"/>
      <c r="D485" s="66">
        <f t="shared" si="3"/>
        <v>0</v>
      </c>
      <c r="E485" s="67"/>
      <c r="F485" s="58">
        <f t="shared" ref="F485:L485" si="475">SUMIFS($C485,$B485,F$7)+F484</f>
        <v>26</v>
      </c>
      <c r="G485" s="58">
        <f t="shared" si="475"/>
        <v>24</v>
      </c>
      <c r="H485" s="58">
        <f t="shared" si="475"/>
        <v>12</v>
      </c>
      <c r="I485" s="58">
        <f t="shared" si="475"/>
        <v>-20</v>
      </c>
      <c r="J485" s="58">
        <f t="shared" si="475"/>
        <v>0</v>
      </c>
      <c r="K485" s="58">
        <f t="shared" si="475"/>
        <v>0</v>
      </c>
      <c r="L485" s="58">
        <f t="shared" si="475"/>
        <v>0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0" customHeight="1">
      <c r="A486" s="70"/>
      <c r="B486" s="71"/>
      <c r="C486" s="66"/>
      <c r="D486" s="66">
        <f t="shared" si="3"/>
        <v>0</v>
      </c>
      <c r="E486" s="67"/>
      <c r="F486" s="58">
        <f t="shared" ref="F486:L486" si="476">SUMIFS($C486,$B486,F$7)+F485</f>
        <v>26</v>
      </c>
      <c r="G486" s="58">
        <f t="shared" si="476"/>
        <v>24</v>
      </c>
      <c r="H486" s="58">
        <f t="shared" si="476"/>
        <v>12</v>
      </c>
      <c r="I486" s="58">
        <f t="shared" si="476"/>
        <v>-20</v>
      </c>
      <c r="J486" s="58">
        <f t="shared" si="476"/>
        <v>0</v>
      </c>
      <c r="K486" s="58">
        <f t="shared" si="476"/>
        <v>0</v>
      </c>
      <c r="L486" s="58">
        <f t="shared" si="476"/>
        <v>0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0" customHeight="1">
      <c r="A487" s="70"/>
      <c r="B487" s="71"/>
      <c r="C487" s="66"/>
      <c r="D487" s="66">
        <f t="shared" si="3"/>
        <v>0</v>
      </c>
      <c r="E487" s="67"/>
      <c r="F487" s="58">
        <f t="shared" ref="F487:L487" si="477">SUMIFS($C487,$B487,F$7)+F486</f>
        <v>26</v>
      </c>
      <c r="G487" s="58">
        <f t="shared" si="477"/>
        <v>24</v>
      </c>
      <c r="H487" s="58">
        <f t="shared" si="477"/>
        <v>12</v>
      </c>
      <c r="I487" s="58">
        <f t="shared" si="477"/>
        <v>-20</v>
      </c>
      <c r="J487" s="58">
        <f t="shared" si="477"/>
        <v>0</v>
      </c>
      <c r="K487" s="58">
        <f t="shared" si="477"/>
        <v>0</v>
      </c>
      <c r="L487" s="58">
        <f t="shared" si="477"/>
        <v>0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0" customHeight="1">
      <c r="A488" s="70"/>
      <c r="B488" s="71"/>
      <c r="C488" s="66"/>
      <c r="D488" s="66">
        <f t="shared" si="3"/>
        <v>0</v>
      </c>
      <c r="E488" s="67"/>
      <c r="F488" s="58">
        <f t="shared" ref="F488:L488" si="478">SUMIFS($C488,$B488,F$7)+F487</f>
        <v>26</v>
      </c>
      <c r="G488" s="58">
        <f t="shared" si="478"/>
        <v>24</v>
      </c>
      <c r="H488" s="58">
        <f t="shared" si="478"/>
        <v>12</v>
      </c>
      <c r="I488" s="58">
        <f t="shared" si="478"/>
        <v>-20</v>
      </c>
      <c r="J488" s="58">
        <f t="shared" si="478"/>
        <v>0</v>
      </c>
      <c r="K488" s="58">
        <f t="shared" si="478"/>
        <v>0</v>
      </c>
      <c r="L488" s="58">
        <f t="shared" si="478"/>
        <v>0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0" customHeight="1">
      <c r="A489" s="70"/>
      <c r="B489" s="71"/>
      <c r="C489" s="66"/>
      <c r="D489" s="66">
        <f t="shared" si="3"/>
        <v>0</v>
      </c>
      <c r="E489" s="67"/>
      <c r="F489" s="58">
        <f t="shared" ref="F489:L489" si="479">SUMIFS($C489,$B489,F$7)+F488</f>
        <v>26</v>
      </c>
      <c r="G489" s="58">
        <f t="shared" si="479"/>
        <v>24</v>
      </c>
      <c r="H489" s="58">
        <f t="shared" si="479"/>
        <v>12</v>
      </c>
      <c r="I489" s="58">
        <f t="shared" si="479"/>
        <v>-20</v>
      </c>
      <c r="J489" s="58">
        <f t="shared" si="479"/>
        <v>0</v>
      </c>
      <c r="K489" s="58">
        <f t="shared" si="479"/>
        <v>0</v>
      </c>
      <c r="L489" s="58">
        <f t="shared" si="479"/>
        <v>0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0" customHeight="1">
      <c r="A490" s="70"/>
      <c r="B490" s="71"/>
      <c r="C490" s="66"/>
      <c r="D490" s="66">
        <f t="shared" si="3"/>
        <v>0</v>
      </c>
      <c r="E490" s="67"/>
      <c r="F490" s="58">
        <f t="shared" ref="F490:L490" si="480">SUMIFS($C490,$B490,F$7)+F489</f>
        <v>26</v>
      </c>
      <c r="G490" s="58">
        <f t="shared" si="480"/>
        <v>24</v>
      </c>
      <c r="H490" s="58">
        <f t="shared" si="480"/>
        <v>12</v>
      </c>
      <c r="I490" s="58">
        <f t="shared" si="480"/>
        <v>-20</v>
      </c>
      <c r="J490" s="58">
        <f t="shared" si="480"/>
        <v>0</v>
      </c>
      <c r="K490" s="58">
        <f t="shared" si="480"/>
        <v>0</v>
      </c>
      <c r="L490" s="58">
        <f t="shared" si="480"/>
        <v>0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0" customHeight="1">
      <c r="A491" s="70"/>
      <c r="B491" s="71"/>
      <c r="C491" s="66"/>
      <c r="D491" s="66">
        <f t="shared" si="3"/>
        <v>0</v>
      </c>
      <c r="E491" s="67"/>
      <c r="F491" s="58">
        <f t="shared" ref="F491:L491" si="481">SUMIFS($C491,$B491,F$7)+F490</f>
        <v>26</v>
      </c>
      <c r="G491" s="58">
        <f t="shared" si="481"/>
        <v>24</v>
      </c>
      <c r="H491" s="58">
        <f t="shared" si="481"/>
        <v>12</v>
      </c>
      <c r="I491" s="58">
        <f t="shared" si="481"/>
        <v>-20</v>
      </c>
      <c r="J491" s="58">
        <f t="shared" si="481"/>
        <v>0</v>
      </c>
      <c r="K491" s="58">
        <f t="shared" si="481"/>
        <v>0</v>
      </c>
      <c r="L491" s="58">
        <f t="shared" si="481"/>
        <v>0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0" customHeight="1">
      <c r="A492" s="70"/>
      <c r="B492" s="71"/>
      <c r="C492" s="66"/>
      <c r="D492" s="66">
        <f t="shared" si="3"/>
        <v>0</v>
      </c>
      <c r="E492" s="67"/>
      <c r="F492" s="58">
        <f t="shared" ref="F492:L492" si="482">SUMIFS($C492,$B492,F$7)+F491</f>
        <v>26</v>
      </c>
      <c r="G492" s="58">
        <f t="shared" si="482"/>
        <v>24</v>
      </c>
      <c r="H492" s="58">
        <f t="shared" si="482"/>
        <v>12</v>
      </c>
      <c r="I492" s="58">
        <f t="shared" si="482"/>
        <v>-20</v>
      </c>
      <c r="J492" s="58">
        <f t="shared" si="482"/>
        <v>0</v>
      </c>
      <c r="K492" s="58">
        <f t="shared" si="482"/>
        <v>0</v>
      </c>
      <c r="L492" s="58">
        <f t="shared" si="482"/>
        <v>0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0" customHeight="1">
      <c r="A493" s="70"/>
      <c r="B493" s="71"/>
      <c r="C493" s="66"/>
      <c r="D493" s="66">
        <f t="shared" si="3"/>
        <v>0</v>
      </c>
      <c r="E493" s="67"/>
      <c r="F493" s="58">
        <f t="shared" ref="F493:L493" si="483">SUMIFS($C493,$B493,F$7)+F492</f>
        <v>26</v>
      </c>
      <c r="G493" s="58">
        <f t="shared" si="483"/>
        <v>24</v>
      </c>
      <c r="H493" s="58">
        <f t="shared" si="483"/>
        <v>12</v>
      </c>
      <c r="I493" s="58">
        <f t="shared" si="483"/>
        <v>-20</v>
      </c>
      <c r="J493" s="58">
        <f t="shared" si="483"/>
        <v>0</v>
      </c>
      <c r="K493" s="58">
        <f t="shared" si="483"/>
        <v>0</v>
      </c>
      <c r="L493" s="58">
        <f t="shared" si="483"/>
        <v>0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0" customHeight="1">
      <c r="A494" s="70"/>
      <c r="B494" s="71"/>
      <c r="C494" s="66"/>
      <c r="D494" s="66">
        <f t="shared" si="3"/>
        <v>0</v>
      </c>
      <c r="E494" s="67"/>
      <c r="F494" s="58">
        <f t="shared" ref="F494:L494" si="484">SUMIFS($C494,$B494,F$7)+F493</f>
        <v>26</v>
      </c>
      <c r="G494" s="58">
        <f t="shared" si="484"/>
        <v>24</v>
      </c>
      <c r="H494" s="58">
        <f t="shared" si="484"/>
        <v>12</v>
      </c>
      <c r="I494" s="58">
        <f t="shared" si="484"/>
        <v>-20</v>
      </c>
      <c r="J494" s="58">
        <f t="shared" si="484"/>
        <v>0</v>
      </c>
      <c r="K494" s="58">
        <f t="shared" si="484"/>
        <v>0</v>
      </c>
      <c r="L494" s="58">
        <f t="shared" si="484"/>
        <v>0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0" customHeight="1">
      <c r="A495" s="70"/>
      <c r="B495" s="71"/>
      <c r="C495" s="66"/>
      <c r="D495" s="66">
        <f t="shared" si="3"/>
        <v>0</v>
      </c>
      <c r="E495" s="67"/>
      <c r="F495" s="58">
        <f t="shared" ref="F495:L495" si="485">SUMIFS($C495,$B495,F$7)+F494</f>
        <v>26</v>
      </c>
      <c r="G495" s="58">
        <f t="shared" si="485"/>
        <v>24</v>
      </c>
      <c r="H495" s="58">
        <f t="shared" si="485"/>
        <v>12</v>
      </c>
      <c r="I495" s="58">
        <f t="shared" si="485"/>
        <v>-20</v>
      </c>
      <c r="J495" s="58">
        <f t="shared" si="485"/>
        <v>0</v>
      </c>
      <c r="K495" s="58">
        <f t="shared" si="485"/>
        <v>0</v>
      </c>
      <c r="L495" s="58">
        <f t="shared" si="485"/>
        <v>0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0" customHeight="1">
      <c r="A496" s="70"/>
      <c r="B496" s="71"/>
      <c r="C496" s="66"/>
      <c r="D496" s="66">
        <f t="shared" si="3"/>
        <v>0</v>
      </c>
      <c r="E496" s="67"/>
      <c r="F496" s="58">
        <f t="shared" ref="F496:L496" si="486">SUMIFS($C496,$B496,F$7)+F495</f>
        <v>26</v>
      </c>
      <c r="G496" s="58">
        <f t="shared" si="486"/>
        <v>24</v>
      </c>
      <c r="H496" s="58">
        <f t="shared" si="486"/>
        <v>12</v>
      </c>
      <c r="I496" s="58">
        <f t="shared" si="486"/>
        <v>-20</v>
      </c>
      <c r="J496" s="58">
        <f t="shared" si="486"/>
        <v>0</v>
      </c>
      <c r="K496" s="58">
        <f t="shared" si="486"/>
        <v>0</v>
      </c>
      <c r="L496" s="58">
        <f t="shared" si="486"/>
        <v>0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0" customHeight="1">
      <c r="A497" s="70"/>
      <c r="B497" s="71"/>
      <c r="C497" s="66"/>
      <c r="D497" s="66">
        <f t="shared" si="3"/>
        <v>0</v>
      </c>
      <c r="E497" s="67"/>
      <c r="F497" s="58">
        <f t="shared" ref="F497:L497" si="487">SUMIFS($C497,$B497,F$7)+F496</f>
        <v>26</v>
      </c>
      <c r="G497" s="58">
        <f t="shared" si="487"/>
        <v>24</v>
      </c>
      <c r="H497" s="58">
        <f t="shared" si="487"/>
        <v>12</v>
      </c>
      <c r="I497" s="58">
        <f t="shared" si="487"/>
        <v>-20</v>
      </c>
      <c r="J497" s="58">
        <f t="shared" si="487"/>
        <v>0</v>
      </c>
      <c r="K497" s="58">
        <f t="shared" si="487"/>
        <v>0</v>
      </c>
      <c r="L497" s="58">
        <f t="shared" si="487"/>
        <v>0</v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0" customHeight="1">
      <c r="A498" s="70"/>
      <c r="B498" s="71"/>
      <c r="C498" s="66"/>
      <c r="D498" s="66">
        <f t="shared" si="3"/>
        <v>0</v>
      </c>
      <c r="E498" s="67"/>
      <c r="F498" s="58">
        <f t="shared" ref="F498:L498" si="488">SUMIFS($C498,$B498,F$7)+F497</f>
        <v>26</v>
      </c>
      <c r="G498" s="58">
        <f t="shared" si="488"/>
        <v>24</v>
      </c>
      <c r="H498" s="58">
        <f t="shared" si="488"/>
        <v>12</v>
      </c>
      <c r="I498" s="58">
        <f t="shared" si="488"/>
        <v>-20</v>
      </c>
      <c r="J498" s="58">
        <f t="shared" si="488"/>
        <v>0</v>
      </c>
      <c r="K498" s="58">
        <f t="shared" si="488"/>
        <v>0</v>
      </c>
      <c r="L498" s="58">
        <f t="shared" si="488"/>
        <v>0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0" customHeight="1">
      <c r="A499" s="70"/>
      <c r="B499" s="71"/>
      <c r="C499" s="66"/>
      <c r="D499" s="66">
        <f t="shared" si="3"/>
        <v>0</v>
      </c>
      <c r="E499" s="67"/>
      <c r="F499" s="58">
        <f t="shared" ref="F499:L499" si="489">SUMIFS($C499,$B499,F$7)+F498</f>
        <v>26</v>
      </c>
      <c r="G499" s="58">
        <f t="shared" si="489"/>
        <v>24</v>
      </c>
      <c r="H499" s="58">
        <f t="shared" si="489"/>
        <v>12</v>
      </c>
      <c r="I499" s="58">
        <f t="shared" si="489"/>
        <v>-20</v>
      </c>
      <c r="J499" s="58">
        <f t="shared" si="489"/>
        <v>0</v>
      </c>
      <c r="K499" s="58">
        <f t="shared" si="489"/>
        <v>0</v>
      </c>
      <c r="L499" s="58">
        <f t="shared" si="489"/>
        <v>0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0" customHeight="1">
      <c r="A500" s="70"/>
      <c r="B500" s="71"/>
      <c r="C500" s="66"/>
      <c r="D500" s="66">
        <f t="shared" si="3"/>
        <v>0</v>
      </c>
      <c r="E500" s="67"/>
      <c r="F500" s="58">
        <f t="shared" ref="F500:L500" si="490">SUMIFS($C500,$B500,F$7)+F499</f>
        <v>26</v>
      </c>
      <c r="G500" s="58">
        <f t="shared" si="490"/>
        <v>24</v>
      </c>
      <c r="H500" s="58">
        <f t="shared" si="490"/>
        <v>12</v>
      </c>
      <c r="I500" s="58">
        <f t="shared" si="490"/>
        <v>-20</v>
      </c>
      <c r="J500" s="58">
        <f t="shared" si="490"/>
        <v>0</v>
      </c>
      <c r="K500" s="58">
        <f t="shared" si="490"/>
        <v>0</v>
      </c>
      <c r="L500" s="58">
        <f t="shared" si="490"/>
        <v>0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0" customHeight="1">
      <c r="A501" s="70"/>
      <c r="B501" s="71"/>
      <c r="C501" s="66"/>
      <c r="D501" s="66">
        <f t="shared" si="3"/>
        <v>0</v>
      </c>
      <c r="E501" s="67"/>
      <c r="F501" s="58">
        <f t="shared" ref="F501:L501" si="491">SUMIFS($C501,$B501,F$7)+F500</f>
        <v>26</v>
      </c>
      <c r="G501" s="58">
        <f t="shared" si="491"/>
        <v>24</v>
      </c>
      <c r="H501" s="58">
        <f t="shared" si="491"/>
        <v>12</v>
      </c>
      <c r="I501" s="58">
        <f t="shared" si="491"/>
        <v>-20</v>
      </c>
      <c r="J501" s="58">
        <f t="shared" si="491"/>
        <v>0</v>
      </c>
      <c r="K501" s="58">
        <f t="shared" si="491"/>
        <v>0</v>
      </c>
      <c r="L501" s="58">
        <f t="shared" si="491"/>
        <v>0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0" customHeight="1">
      <c r="A502" s="70"/>
      <c r="B502" s="71"/>
      <c r="C502" s="66"/>
      <c r="D502" s="66">
        <f t="shared" si="3"/>
        <v>0</v>
      </c>
      <c r="E502" s="67"/>
      <c r="F502" s="58">
        <f t="shared" ref="F502:L502" si="492">SUMIFS($C502,$B502,F$7)+F501</f>
        <v>26</v>
      </c>
      <c r="G502" s="58">
        <f t="shared" si="492"/>
        <v>24</v>
      </c>
      <c r="H502" s="58">
        <f t="shared" si="492"/>
        <v>12</v>
      </c>
      <c r="I502" s="58">
        <f t="shared" si="492"/>
        <v>-20</v>
      </c>
      <c r="J502" s="58">
        <f t="shared" si="492"/>
        <v>0</v>
      </c>
      <c r="K502" s="58">
        <f t="shared" si="492"/>
        <v>0</v>
      </c>
      <c r="L502" s="58">
        <f t="shared" si="492"/>
        <v>0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0" customHeight="1">
      <c r="A503" s="70"/>
      <c r="B503" s="71"/>
      <c r="C503" s="66"/>
      <c r="D503" s="66">
        <f t="shared" si="3"/>
        <v>0</v>
      </c>
      <c r="E503" s="67"/>
      <c r="F503" s="58">
        <f t="shared" ref="F503:L503" si="493">SUMIFS($C503,$B503,F$7)+F502</f>
        <v>26</v>
      </c>
      <c r="G503" s="58">
        <f t="shared" si="493"/>
        <v>24</v>
      </c>
      <c r="H503" s="58">
        <f t="shared" si="493"/>
        <v>12</v>
      </c>
      <c r="I503" s="58">
        <f t="shared" si="493"/>
        <v>-20</v>
      </c>
      <c r="J503" s="58">
        <f t="shared" si="493"/>
        <v>0</v>
      </c>
      <c r="K503" s="58">
        <f t="shared" si="493"/>
        <v>0</v>
      </c>
      <c r="L503" s="58">
        <f t="shared" si="493"/>
        <v>0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0" customHeight="1">
      <c r="A504" s="70"/>
      <c r="B504" s="71"/>
      <c r="C504" s="66"/>
      <c r="D504" s="66">
        <f t="shared" si="3"/>
        <v>0</v>
      </c>
      <c r="E504" s="67"/>
      <c r="F504" s="58">
        <f t="shared" ref="F504:L504" si="494">SUMIFS($C504,$B504,F$7)+F503</f>
        <v>26</v>
      </c>
      <c r="G504" s="58">
        <f t="shared" si="494"/>
        <v>24</v>
      </c>
      <c r="H504" s="58">
        <f t="shared" si="494"/>
        <v>12</v>
      </c>
      <c r="I504" s="58">
        <f t="shared" si="494"/>
        <v>-20</v>
      </c>
      <c r="J504" s="58">
        <f t="shared" si="494"/>
        <v>0</v>
      </c>
      <c r="K504" s="58">
        <f t="shared" si="494"/>
        <v>0</v>
      </c>
      <c r="L504" s="58">
        <f t="shared" si="494"/>
        <v>0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0" customHeight="1">
      <c r="A505" s="70"/>
      <c r="B505" s="71"/>
      <c r="C505" s="66"/>
      <c r="D505" s="66">
        <f t="shared" si="3"/>
        <v>0</v>
      </c>
      <c r="E505" s="67"/>
      <c r="F505" s="58">
        <f t="shared" ref="F505:L505" si="495">SUMIFS($C505,$B505,F$7)+F504</f>
        <v>26</v>
      </c>
      <c r="G505" s="58">
        <f t="shared" si="495"/>
        <v>24</v>
      </c>
      <c r="H505" s="58">
        <f t="shared" si="495"/>
        <v>12</v>
      </c>
      <c r="I505" s="58">
        <f t="shared" si="495"/>
        <v>-20</v>
      </c>
      <c r="J505" s="58">
        <f t="shared" si="495"/>
        <v>0</v>
      </c>
      <c r="K505" s="58">
        <f t="shared" si="495"/>
        <v>0</v>
      </c>
      <c r="L505" s="58">
        <f t="shared" si="495"/>
        <v>0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0" customHeight="1">
      <c r="A506" s="70"/>
      <c r="B506" s="71"/>
      <c r="C506" s="66"/>
      <c r="D506" s="66">
        <f t="shared" si="3"/>
        <v>0</v>
      </c>
      <c r="E506" s="67"/>
      <c r="F506" s="58">
        <f t="shared" ref="F506:L506" si="496">SUMIFS($C506,$B506,F$7)+F505</f>
        <v>26</v>
      </c>
      <c r="G506" s="58">
        <f t="shared" si="496"/>
        <v>24</v>
      </c>
      <c r="H506" s="58">
        <f t="shared" si="496"/>
        <v>12</v>
      </c>
      <c r="I506" s="58">
        <f t="shared" si="496"/>
        <v>-20</v>
      </c>
      <c r="J506" s="58">
        <f t="shared" si="496"/>
        <v>0</v>
      </c>
      <c r="K506" s="58">
        <f t="shared" si="496"/>
        <v>0</v>
      </c>
      <c r="L506" s="58">
        <f t="shared" si="496"/>
        <v>0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0" customHeight="1">
      <c r="A507" s="70"/>
      <c r="B507" s="71"/>
      <c r="C507" s="66"/>
      <c r="D507" s="66">
        <f t="shared" si="3"/>
        <v>0</v>
      </c>
      <c r="E507" s="67"/>
      <c r="F507" s="58">
        <f t="shared" ref="F507:L507" si="497">SUMIFS($C507,$B507,F$7)+F506</f>
        <v>26</v>
      </c>
      <c r="G507" s="58">
        <f t="shared" si="497"/>
        <v>24</v>
      </c>
      <c r="H507" s="58">
        <f t="shared" si="497"/>
        <v>12</v>
      </c>
      <c r="I507" s="58">
        <f t="shared" si="497"/>
        <v>-20</v>
      </c>
      <c r="J507" s="58">
        <f t="shared" si="497"/>
        <v>0</v>
      </c>
      <c r="K507" s="58">
        <f t="shared" si="497"/>
        <v>0</v>
      </c>
      <c r="L507" s="58">
        <f t="shared" si="497"/>
        <v>0</v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0" customHeight="1">
      <c r="A508" s="70"/>
      <c r="B508" s="71"/>
      <c r="C508" s="66"/>
      <c r="D508" s="66">
        <f t="shared" si="3"/>
        <v>0</v>
      </c>
      <c r="E508" s="67"/>
      <c r="F508" s="58">
        <f t="shared" ref="F508:L508" si="498">SUMIFS($C508,$B508,F$7)+F507</f>
        <v>26</v>
      </c>
      <c r="G508" s="58">
        <f t="shared" si="498"/>
        <v>24</v>
      </c>
      <c r="H508" s="58">
        <f t="shared" si="498"/>
        <v>12</v>
      </c>
      <c r="I508" s="58">
        <f t="shared" si="498"/>
        <v>-20</v>
      </c>
      <c r="J508" s="58">
        <f t="shared" si="498"/>
        <v>0</v>
      </c>
      <c r="K508" s="58">
        <f t="shared" si="498"/>
        <v>0</v>
      </c>
      <c r="L508" s="58">
        <f t="shared" si="498"/>
        <v>0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0" customHeight="1">
      <c r="A509" s="70"/>
      <c r="B509" s="71"/>
      <c r="C509" s="66"/>
      <c r="D509" s="66">
        <f t="shared" si="3"/>
        <v>0</v>
      </c>
      <c r="E509" s="67"/>
      <c r="F509" s="58">
        <f t="shared" ref="F509:L509" si="499">SUMIFS($C509,$B509,F$7)+F508</f>
        <v>26</v>
      </c>
      <c r="G509" s="58">
        <f t="shared" si="499"/>
        <v>24</v>
      </c>
      <c r="H509" s="58">
        <f t="shared" si="499"/>
        <v>12</v>
      </c>
      <c r="I509" s="58">
        <f t="shared" si="499"/>
        <v>-20</v>
      </c>
      <c r="J509" s="58">
        <f t="shared" si="499"/>
        <v>0</v>
      </c>
      <c r="K509" s="58">
        <f t="shared" si="499"/>
        <v>0</v>
      </c>
      <c r="L509" s="58">
        <f t="shared" si="499"/>
        <v>0</v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0" customHeight="1">
      <c r="A510" s="70"/>
      <c r="B510" s="71"/>
      <c r="C510" s="66"/>
      <c r="D510" s="66">
        <f t="shared" si="3"/>
        <v>0</v>
      </c>
      <c r="E510" s="67"/>
      <c r="F510" s="58">
        <f t="shared" ref="F510:L510" si="500">SUMIFS($C510,$B510,F$7)+F509</f>
        <v>26</v>
      </c>
      <c r="G510" s="58">
        <f t="shared" si="500"/>
        <v>24</v>
      </c>
      <c r="H510" s="58">
        <f t="shared" si="500"/>
        <v>12</v>
      </c>
      <c r="I510" s="58">
        <f t="shared" si="500"/>
        <v>-20</v>
      </c>
      <c r="J510" s="58">
        <f t="shared" si="500"/>
        <v>0</v>
      </c>
      <c r="K510" s="58">
        <f t="shared" si="500"/>
        <v>0</v>
      </c>
      <c r="L510" s="58">
        <f t="shared" si="500"/>
        <v>0</v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0" customHeight="1">
      <c r="A511" s="70"/>
      <c r="B511" s="71"/>
      <c r="C511" s="66"/>
      <c r="D511" s="66">
        <f t="shared" si="3"/>
        <v>0</v>
      </c>
      <c r="E511" s="67"/>
      <c r="F511" s="58">
        <f t="shared" ref="F511:L511" si="501">SUMIFS($C511,$B511,F$7)+F510</f>
        <v>26</v>
      </c>
      <c r="G511" s="58">
        <f t="shared" si="501"/>
        <v>24</v>
      </c>
      <c r="H511" s="58">
        <f t="shared" si="501"/>
        <v>12</v>
      </c>
      <c r="I511" s="58">
        <f t="shared" si="501"/>
        <v>-20</v>
      </c>
      <c r="J511" s="58">
        <f t="shared" si="501"/>
        <v>0</v>
      </c>
      <c r="K511" s="58">
        <f t="shared" si="501"/>
        <v>0</v>
      </c>
      <c r="L511" s="58">
        <f t="shared" si="501"/>
        <v>0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0" customHeight="1">
      <c r="A512" s="70"/>
      <c r="B512" s="71"/>
      <c r="C512" s="66"/>
      <c r="D512" s="66">
        <f t="shared" si="3"/>
        <v>0</v>
      </c>
      <c r="E512" s="67"/>
      <c r="F512" s="58">
        <f t="shared" ref="F512:L512" si="502">SUMIFS($C512,$B512,F$7)+F511</f>
        <v>26</v>
      </c>
      <c r="G512" s="58">
        <f t="shared" si="502"/>
        <v>24</v>
      </c>
      <c r="H512" s="58">
        <f t="shared" si="502"/>
        <v>12</v>
      </c>
      <c r="I512" s="58">
        <f t="shared" si="502"/>
        <v>-20</v>
      </c>
      <c r="J512" s="58">
        <f t="shared" si="502"/>
        <v>0</v>
      </c>
      <c r="K512" s="58">
        <f t="shared" si="502"/>
        <v>0</v>
      </c>
      <c r="L512" s="58">
        <f t="shared" si="502"/>
        <v>0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0" customHeight="1">
      <c r="A513" s="70"/>
      <c r="B513" s="71"/>
      <c r="C513" s="66"/>
      <c r="D513" s="66">
        <f t="shared" si="3"/>
        <v>0</v>
      </c>
      <c r="E513" s="67"/>
      <c r="F513" s="58">
        <f t="shared" ref="F513:L513" si="503">SUMIFS($C513,$B513,F$7)+F512</f>
        <v>26</v>
      </c>
      <c r="G513" s="58">
        <f t="shared" si="503"/>
        <v>24</v>
      </c>
      <c r="H513" s="58">
        <f t="shared" si="503"/>
        <v>12</v>
      </c>
      <c r="I513" s="58">
        <f t="shared" si="503"/>
        <v>-20</v>
      </c>
      <c r="J513" s="58">
        <f t="shared" si="503"/>
        <v>0</v>
      </c>
      <c r="K513" s="58">
        <f t="shared" si="503"/>
        <v>0</v>
      </c>
      <c r="L513" s="58">
        <f t="shared" si="503"/>
        <v>0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0" customHeight="1">
      <c r="A514" s="70"/>
      <c r="B514" s="71"/>
      <c r="C514" s="66"/>
      <c r="D514" s="66">
        <f t="shared" si="3"/>
        <v>0</v>
      </c>
      <c r="E514" s="67"/>
      <c r="F514" s="58">
        <f t="shared" ref="F514:L514" si="504">SUMIFS($C514,$B514,F$7)+F513</f>
        <v>26</v>
      </c>
      <c r="G514" s="58">
        <f t="shared" si="504"/>
        <v>24</v>
      </c>
      <c r="H514" s="58">
        <f t="shared" si="504"/>
        <v>12</v>
      </c>
      <c r="I514" s="58">
        <f t="shared" si="504"/>
        <v>-20</v>
      </c>
      <c r="J514" s="58">
        <f t="shared" si="504"/>
        <v>0</v>
      </c>
      <c r="K514" s="58">
        <f t="shared" si="504"/>
        <v>0</v>
      </c>
      <c r="L514" s="58">
        <f t="shared" si="504"/>
        <v>0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0" customHeight="1">
      <c r="A515" s="70"/>
      <c r="B515" s="71"/>
      <c r="C515" s="66"/>
      <c r="D515" s="66">
        <f t="shared" si="3"/>
        <v>0</v>
      </c>
      <c r="E515" s="67"/>
      <c r="F515" s="58">
        <f t="shared" ref="F515:L515" si="505">SUMIFS($C515,$B515,F$7)+F514</f>
        <v>26</v>
      </c>
      <c r="G515" s="58">
        <f t="shared" si="505"/>
        <v>24</v>
      </c>
      <c r="H515" s="58">
        <f t="shared" si="505"/>
        <v>12</v>
      </c>
      <c r="I515" s="58">
        <f t="shared" si="505"/>
        <v>-20</v>
      </c>
      <c r="J515" s="58">
        <f t="shared" si="505"/>
        <v>0</v>
      </c>
      <c r="K515" s="58">
        <f t="shared" si="505"/>
        <v>0</v>
      </c>
      <c r="L515" s="58">
        <f t="shared" si="505"/>
        <v>0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0" customHeight="1">
      <c r="A516" s="70"/>
      <c r="B516" s="71"/>
      <c r="C516" s="66"/>
      <c r="D516" s="66">
        <f t="shared" si="3"/>
        <v>0</v>
      </c>
      <c r="E516" s="67"/>
      <c r="F516" s="58">
        <f t="shared" ref="F516:L516" si="506">SUMIFS($C516,$B516,F$7)+F515</f>
        <v>26</v>
      </c>
      <c r="G516" s="58">
        <f t="shared" si="506"/>
        <v>24</v>
      </c>
      <c r="H516" s="58">
        <f t="shared" si="506"/>
        <v>12</v>
      </c>
      <c r="I516" s="58">
        <f t="shared" si="506"/>
        <v>-20</v>
      </c>
      <c r="J516" s="58">
        <f t="shared" si="506"/>
        <v>0</v>
      </c>
      <c r="K516" s="58">
        <f t="shared" si="506"/>
        <v>0</v>
      </c>
      <c r="L516" s="58">
        <f t="shared" si="506"/>
        <v>0</v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0" customHeight="1">
      <c r="A517" s="70"/>
      <c r="B517" s="71"/>
      <c r="C517" s="66"/>
      <c r="D517" s="66">
        <f t="shared" si="3"/>
        <v>0</v>
      </c>
      <c r="E517" s="67"/>
      <c r="F517" s="58">
        <f t="shared" ref="F517:L517" si="507">SUMIFS($C517,$B517,F$7)+F516</f>
        <v>26</v>
      </c>
      <c r="G517" s="58">
        <f t="shared" si="507"/>
        <v>24</v>
      </c>
      <c r="H517" s="58">
        <f t="shared" si="507"/>
        <v>12</v>
      </c>
      <c r="I517" s="58">
        <f t="shared" si="507"/>
        <v>-20</v>
      </c>
      <c r="J517" s="58">
        <f t="shared" si="507"/>
        <v>0</v>
      </c>
      <c r="K517" s="58">
        <f t="shared" si="507"/>
        <v>0</v>
      </c>
      <c r="L517" s="58">
        <f t="shared" si="507"/>
        <v>0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0" customHeight="1">
      <c r="A518" s="70"/>
      <c r="B518" s="71"/>
      <c r="C518" s="66"/>
      <c r="D518" s="66">
        <f t="shared" si="3"/>
        <v>0</v>
      </c>
      <c r="E518" s="67"/>
      <c r="F518" s="58">
        <f t="shared" ref="F518:L518" si="508">SUMIFS($C518,$B518,F$7)+F517</f>
        <v>26</v>
      </c>
      <c r="G518" s="58">
        <f t="shared" si="508"/>
        <v>24</v>
      </c>
      <c r="H518" s="58">
        <f t="shared" si="508"/>
        <v>12</v>
      </c>
      <c r="I518" s="58">
        <f t="shared" si="508"/>
        <v>-20</v>
      </c>
      <c r="J518" s="58">
        <f t="shared" si="508"/>
        <v>0</v>
      </c>
      <c r="K518" s="58">
        <f t="shared" si="508"/>
        <v>0</v>
      </c>
      <c r="L518" s="58">
        <f t="shared" si="508"/>
        <v>0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0" customHeight="1">
      <c r="A519" s="70"/>
      <c r="B519" s="71"/>
      <c r="C519" s="66"/>
      <c r="D519" s="66">
        <f t="shared" si="3"/>
        <v>0</v>
      </c>
      <c r="E519" s="67"/>
      <c r="F519" s="58">
        <f t="shared" ref="F519:L519" si="509">SUMIFS($C519,$B519,F$7)+F518</f>
        <v>26</v>
      </c>
      <c r="G519" s="58">
        <f t="shared" si="509"/>
        <v>24</v>
      </c>
      <c r="H519" s="58">
        <f t="shared" si="509"/>
        <v>12</v>
      </c>
      <c r="I519" s="58">
        <f t="shared" si="509"/>
        <v>-20</v>
      </c>
      <c r="J519" s="58">
        <f t="shared" si="509"/>
        <v>0</v>
      </c>
      <c r="K519" s="58">
        <f t="shared" si="509"/>
        <v>0</v>
      </c>
      <c r="L519" s="58">
        <f t="shared" si="509"/>
        <v>0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0" customHeight="1">
      <c r="A520" s="70"/>
      <c r="B520" s="71"/>
      <c r="C520" s="66"/>
      <c r="D520" s="66">
        <f t="shared" si="3"/>
        <v>0</v>
      </c>
      <c r="E520" s="67"/>
      <c r="F520" s="58">
        <f t="shared" ref="F520:L520" si="510">SUMIFS($C520,$B520,F$7)+F519</f>
        <v>26</v>
      </c>
      <c r="G520" s="58">
        <f t="shared" si="510"/>
        <v>24</v>
      </c>
      <c r="H520" s="58">
        <f t="shared" si="510"/>
        <v>12</v>
      </c>
      <c r="I520" s="58">
        <f t="shared" si="510"/>
        <v>-20</v>
      </c>
      <c r="J520" s="58">
        <f t="shared" si="510"/>
        <v>0</v>
      </c>
      <c r="K520" s="58">
        <f t="shared" si="510"/>
        <v>0</v>
      </c>
      <c r="L520" s="58">
        <f t="shared" si="510"/>
        <v>0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0" customHeight="1">
      <c r="A521" s="70"/>
      <c r="B521" s="71"/>
      <c r="C521" s="66"/>
      <c r="D521" s="66">
        <f t="shared" si="3"/>
        <v>0</v>
      </c>
      <c r="E521" s="67"/>
      <c r="F521" s="58">
        <f t="shared" ref="F521:L521" si="511">SUMIFS($C521,$B521,F$7)+F520</f>
        <v>26</v>
      </c>
      <c r="G521" s="58">
        <f t="shared" si="511"/>
        <v>24</v>
      </c>
      <c r="H521" s="58">
        <f t="shared" si="511"/>
        <v>12</v>
      </c>
      <c r="I521" s="58">
        <f t="shared" si="511"/>
        <v>-20</v>
      </c>
      <c r="J521" s="58">
        <f t="shared" si="511"/>
        <v>0</v>
      </c>
      <c r="K521" s="58">
        <f t="shared" si="511"/>
        <v>0</v>
      </c>
      <c r="L521" s="58">
        <f t="shared" si="511"/>
        <v>0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0" customHeight="1">
      <c r="A522" s="70"/>
      <c r="B522" s="71"/>
      <c r="C522" s="66"/>
      <c r="D522" s="66">
        <f t="shared" si="3"/>
        <v>0</v>
      </c>
      <c r="E522" s="67"/>
      <c r="F522" s="58">
        <f t="shared" ref="F522:L522" si="512">SUMIFS($C522,$B522,F$7)+F521</f>
        <v>26</v>
      </c>
      <c r="G522" s="58">
        <f t="shared" si="512"/>
        <v>24</v>
      </c>
      <c r="H522" s="58">
        <f t="shared" si="512"/>
        <v>12</v>
      </c>
      <c r="I522" s="58">
        <f t="shared" si="512"/>
        <v>-20</v>
      </c>
      <c r="J522" s="58">
        <f t="shared" si="512"/>
        <v>0</v>
      </c>
      <c r="K522" s="58">
        <f t="shared" si="512"/>
        <v>0</v>
      </c>
      <c r="L522" s="58">
        <f t="shared" si="512"/>
        <v>0</v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0" customHeight="1">
      <c r="A523" s="70"/>
      <c r="B523" s="71"/>
      <c r="C523" s="66"/>
      <c r="D523" s="66">
        <f t="shared" si="3"/>
        <v>0</v>
      </c>
      <c r="E523" s="67"/>
      <c r="F523" s="58">
        <f t="shared" ref="F523:L523" si="513">SUMIFS($C523,$B523,F$7)+F522</f>
        <v>26</v>
      </c>
      <c r="G523" s="58">
        <f t="shared" si="513"/>
        <v>24</v>
      </c>
      <c r="H523" s="58">
        <f t="shared" si="513"/>
        <v>12</v>
      </c>
      <c r="I523" s="58">
        <f t="shared" si="513"/>
        <v>-20</v>
      </c>
      <c r="J523" s="58">
        <f t="shared" si="513"/>
        <v>0</v>
      </c>
      <c r="K523" s="58">
        <f t="shared" si="513"/>
        <v>0</v>
      </c>
      <c r="L523" s="58">
        <f t="shared" si="513"/>
        <v>0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0" customHeight="1">
      <c r="A524" s="70"/>
      <c r="B524" s="71"/>
      <c r="C524" s="66"/>
      <c r="D524" s="66">
        <f t="shared" si="3"/>
        <v>0</v>
      </c>
      <c r="E524" s="67"/>
      <c r="F524" s="58">
        <f t="shared" ref="F524:L524" si="514">SUMIFS($C524,$B524,F$7)+F523</f>
        <v>26</v>
      </c>
      <c r="G524" s="58">
        <f t="shared" si="514"/>
        <v>24</v>
      </c>
      <c r="H524" s="58">
        <f t="shared" si="514"/>
        <v>12</v>
      </c>
      <c r="I524" s="58">
        <f t="shared" si="514"/>
        <v>-20</v>
      </c>
      <c r="J524" s="58">
        <f t="shared" si="514"/>
        <v>0</v>
      </c>
      <c r="K524" s="58">
        <f t="shared" si="514"/>
        <v>0</v>
      </c>
      <c r="L524" s="58">
        <f t="shared" si="514"/>
        <v>0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0" customHeight="1">
      <c r="A525" s="70"/>
      <c r="B525" s="71"/>
      <c r="C525" s="66"/>
      <c r="D525" s="66">
        <f t="shared" si="3"/>
        <v>0</v>
      </c>
      <c r="E525" s="67"/>
      <c r="F525" s="58">
        <f t="shared" ref="F525:L525" si="515">SUMIFS($C525,$B525,F$7)+F524</f>
        <v>26</v>
      </c>
      <c r="G525" s="58">
        <f t="shared" si="515"/>
        <v>24</v>
      </c>
      <c r="H525" s="58">
        <f t="shared" si="515"/>
        <v>12</v>
      </c>
      <c r="I525" s="58">
        <f t="shared" si="515"/>
        <v>-20</v>
      </c>
      <c r="J525" s="58">
        <f t="shared" si="515"/>
        <v>0</v>
      </c>
      <c r="K525" s="58">
        <f t="shared" si="515"/>
        <v>0</v>
      </c>
      <c r="L525" s="58">
        <f t="shared" si="515"/>
        <v>0</v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0" customHeight="1">
      <c r="A526" s="70"/>
      <c r="B526" s="71"/>
      <c r="C526" s="66"/>
      <c r="D526" s="66">
        <f t="shared" si="3"/>
        <v>0</v>
      </c>
      <c r="E526" s="67"/>
      <c r="F526" s="58">
        <f t="shared" ref="F526:L526" si="516">SUMIFS($C526,$B526,F$7)+F525</f>
        <v>26</v>
      </c>
      <c r="G526" s="58">
        <f t="shared" si="516"/>
        <v>24</v>
      </c>
      <c r="H526" s="58">
        <f t="shared" si="516"/>
        <v>12</v>
      </c>
      <c r="I526" s="58">
        <f t="shared" si="516"/>
        <v>-20</v>
      </c>
      <c r="J526" s="58">
        <f t="shared" si="516"/>
        <v>0</v>
      </c>
      <c r="K526" s="58">
        <f t="shared" si="516"/>
        <v>0</v>
      </c>
      <c r="L526" s="58">
        <f t="shared" si="516"/>
        <v>0</v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0" customHeight="1">
      <c r="A527" s="70"/>
      <c r="B527" s="71"/>
      <c r="C527" s="66"/>
      <c r="D527" s="66">
        <f t="shared" si="3"/>
        <v>0</v>
      </c>
      <c r="E527" s="67"/>
      <c r="F527" s="58">
        <f t="shared" ref="F527:L527" si="517">SUMIFS($C527,$B527,F$7)+F526</f>
        <v>26</v>
      </c>
      <c r="G527" s="58">
        <f t="shared" si="517"/>
        <v>24</v>
      </c>
      <c r="H527" s="58">
        <f t="shared" si="517"/>
        <v>12</v>
      </c>
      <c r="I527" s="58">
        <f t="shared" si="517"/>
        <v>-20</v>
      </c>
      <c r="J527" s="58">
        <f t="shared" si="517"/>
        <v>0</v>
      </c>
      <c r="K527" s="58">
        <f t="shared" si="517"/>
        <v>0</v>
      </c>
      <c r="L527" s="58">
        <f t="shared" si="517"/>
        <v>0</v>
      </c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0" customHeight="1">
      <c r="A528" s="70"/>
      <c r="B528" s="71"/>
      <c r="C528" s="66"/>
      <c r="D528" s="66">
        <f t="shared" si="3"/>
        <v>0</v>
      </c>
      <c r="E528" s="67"/>
      <c r="F528" s="58">
        <f t="shared" ref="F528:L528" si="518">SUMIFS($C528,$B528,F$7)+F527</f>
        <v>26</v>
      </c>
      <c r="G528" s="58">
        <f t="shared" si="518"/>
        <v>24</v>
      </c>
      <c r="H528" s="58">
        <f t="shared" si="518"/>
        <v>12</v>
      </c>
      <c r="I528" s="58">
        <f t="shared" si="518"/>
        <v>-20</v>
      </c>
      <c r="J528" s="58">
        <f t="shared" si="518"/>
        <v>0</v>
      </c>
      <c r="K528" s="58">
        <f t="shared" si="518"/>
        <v>0</v>
      </c>
      <c r="L528" s="58">
        <f t="shared" si="518"/>
        <v>0</v>
      </c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0" customHeight="1">
      <c r="A529" s="70"/>
      <c r="B529" s="71"/>
      <c r="C529" s="66"/>
      <c r="D529" s="66">
        <f t="shared" si="3"/>
        <v>0</v>
      </c>
      <c r="E529" s="67"/>
      <c r="F529" s="58">
        <f t="shared" ref="F529:L529" si="519">SUMIFS($C529,$B529,F$7)+F528</f>
        <v>26</v>
      </c>
      <c r="G529" s="58">
        <f t="shared" si="519"/>
        <v>24</v>
      </c>
      <c r="H529" s="58">
        <f t="shared" si="519"/>
        <v>12</v>
      </c>
      <c r="I529" s="58">
        <f t="shared" si="519"/>
        <v>-20</v>
      </c>
      <c r="J529" s="58">
        <f t="shared" si="519"/>
        <v>0</v>
      </c>
      <c r="K529" s="58">
        <f t="shared" si="519"/>
        <v>0</v>
      </c>
      <c r="L529" s="58">
        <f t="shared" si="519"/>
        <v>0</v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0" customHeight="1">
      <c r="A530" s="70"/>
      <c r="B530" s="71"/>
      <c r="C530" s="66"/>
      <c r="D530" s="66">
        <f t="shared" si="3"/>
        <v>0</v>
      </c>
      <c r="E530" s="67"/>
      <c r="F530" s="58">
        <f t="shared" ref="F530:L530" si="520">SUMIFS($C530,$B530,F$7)+F529</f>
        <v>26</v>
      </c>
      <c r="G530" s="58">
        <f t="shared" si="520"/>
        <v>24</v>
      </c>
      <c r="H530" s="58">
        <f t="shared" si="520"/>
        <v>12</v>
      </c>
      <c r="I530" s="58">
        <f t="shared" si="520"/>
        <v>-20</v>
      </c>
      <c r="J530" s="58">
        <f t="shared" si="520"/>
        <v>0</v>
      </c>
      <c r="K530" s="58">
        <f t="shared" si="520"/>
        <v>0</v>
      </c>
      <c r="L530" s="58">
        <f t="shared" si="520"/>
        <v>0</v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0" customHeight="1">
      <c r="A531" s="70"/>
      <c r="B531" s="71"/>
      <c r="C531" s="66"/>
      <c r="D531" s="66">
        <f t="shared" si="3"/>
        <v>0</v>
      </c>
      <c r="E531" s="67"/>
      <c r="F531" s="58">
        <f t="shared" ref="F531:L531" si="521">SUMIFS($C531,$B531,F$7)+F530</f>
        <v>26</v>
      </c>
      <c r="G531" s="58">
        <f t="shared" si="521"/>
        <v>24</v>
      </c>
      <c r="H531" s="58">
        <f t="shared" si="521"/>
        <v>12</v>
      </c>
      <c r="I531" s="58">
        <f t="shared" si="521"/>
        <v>-20</v>
      </c>
      <c r="J531" s="58">
        <f t="shared" si="521"/>
        <v>0</v>
      </c>
      <c r="K531" s="58">
        <f t="shared" si="521"/>
        <v>0</v>
      </c>
      <c r="L531" s="58">
        <f t="shared" si="521"/>
        <v>0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0" customHeight="1">
      <c r="A532" s="70"/>
      <c r="B532" s="71"/>
      <c r="C532" s="66"/>
      <c r="D532" s="66">
        <f t="shared" si="3"/>
        <v>0</v>
      </c>
      <c r="E532" s="67"/>
      <c r="F532" s="58">
        <f t="shared" ref="F532:L532" si="522">SUMIFS($C532,$B532,F$7)+F531</f>
        <v>26</v>
      </c>
      <c r="G532" s="58">
        <f t="shared" si="522"/>
        <v>24</v>
      </c>
      <c r="H532" s="58">
        <f t="shared" si="522"/>
        <v>12</v>
      </c>
      <c r="I532" s="58">
        <f t="shared" si="522"/>
        <v>-20</v>
      </c>
      <c r="J532" s="58">
        <f t="shared" si="522"/>
        <v>0</v>
      </c>
      <c r="K532" s="58">
        <f t="shared" si="522"/>
        <v>0</v>
      </c>
      <c r="L532" s="58">
        <f t="shared" si="522"/>
        <v>0</v>
      </c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0" customHeight="1">
      <c r="A533" s="70"/>
      <c r="B533" s="71"/>
      <c r="C533" s="66"/>
      <c r="D533" s="66">
        <f t="shared" si="3"/>
        <v>0</v>
      </c>
      <c r="E533" s="67"/>
      <c r="F533" s="58">
        <f t="shared" ref="F533:L533" si="523">SUMIFS($C533,$B533,F$7)+F532</f>
        <v>26</v>
      </c>
      <c r="G533" s="58">
        <f t="shared" si="523"/>
        <v>24</v>
      </c>
      <c r="H533" s="58">
        <f t="shared" si="523"/>
        <v>12</v>
      </c>
      <c r="I533" s="58">
        <f t="shared" si="523"/>
        <v>-20</v>
      </c>
      <c r="J533" s="58">
        <f t="shared" si="523"/>
        <v>0</v>
      </c>
      <c r="K533" s="58">
        <f t="shared" si="523"/>
        <v>0</v>
      </c>
      <c r="L533" s="58">
        <f t="shared" si="523"/>
        <v>0</v>
      </c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0" customHeight="1">
      <c r="A534" s="70"/>
      <c r="B534" s="71"/>
      <c r="C534" s="66"/>
      <c r="D534" s="66">
        <f t="shared" si="3"/>
        <v>0</v>
      </c>
      <c r="E534" s="67"/>
      <c r="F534" s="58">
        <f t="shared" ref="F534:L534" si="524">SUMIFS($C534,$B534,F$7)+F533</f>
        <v>26</v>
      </c>
      <c r="G534" s="58">
        <f t="shared" si="524"/>
        <v>24</v>
      </c>
      <c r="H534" s="58">
        <f t="shared" si="524"/>
        <v>12</v>
      </c>
      <c r="I534" s="58">
        <f t="shared" si="524"/>
        <v>-20</v>
      </c>
      <c r="J534" s="58">
        <f t="shared" si="524"/>
        <v>0</v>
      </c>
      <c r="K534" s="58">
        <f t="shared" si="524"/>
        <v>0</v>
      </c>
      <c r="L534" s="58">
        <f t="shared" si="524"/>
        <v>0</v>
      </c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0" customHeight="1">
      <c r="A535" s="70"/>
      <c r="B535" s="71"/>
      <c r="C535" s="66"/>
      <c r="D535" s="66">
        <f t="shared" si="3"/>
        <v>0</v>
      </c>
      <c r="E535" s="67"/>
      <c r="F535" s="58">
        <f t="shared" ref="F535:L535" si="525">SUMIFS($C535,$B535,F$7)+F534</f>
        <v>26</v>
      </c>
      <c r="G535" s="58">
        <f t="shared" si="525"/>
        <v>24</v>
      </c>
      <c r="H535" s="58">
        <f t="shared" si="525"/>
        <v>12</v>
      </c>
      <c r="I535" s="58">
        <f t="shared" si="525"/>
        <v>-20</v>
      </c>
      <c r="J535" s="58">
        <f t="shared" si="525"/>
        <v>0</v>
      </c>
      <c r="K535" s="58">
        <f t="shared" si="525"/>
        <v>0</v>
      </c>
      <c r="L535" s="58">
        <f t="shared" si="525"/>
        <v>0</v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0" customHeight="1">
      <c r="A536" s="70"/>
      <c r="B536" s="71"/>
      <c r="C536" s="66"/>
      <c r="D536" s="66">
        <f t="shared" si="3"/>
        <v>0</v>
      </c>
      <c r="E536" s="67"/>
      <c r="F536" s="58">
        <f t="shared" ref="F536:L536" si="526">SUMIFS($C536,$B536,F$7)+F535</f>
        <v>26</v>
      </c>
      <c r="G536" s="58">
        <f t="shared" si="526"/>
        <v>24</v>
      </c>
      <c r="H536" s="58">
        <f t="shared" si="526"/>
        <v>12</v>
      </c>
      <c r="I536" s="58">
        <f t="shared" si="526"/>
        <v>-20</v>
      </c>
      <c r="J536" s="58">
        <f t="shared" si="526"/>
        <v>0</v>
      </c>
      <c r="K536" s="58">
        <f t="shared" si="526"/>
        <v>0</v>
      </c>
      <c r="L536" s="58">
        <f t="shared" si="526"/>
        <v>0</v>
      </c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0" customHeight="1">
      <c r="A537" s="70"/>
      <c r="B537" s="71"/>
      <c r="C537" s="66"/>
      <c r="D537" s="66">
        <f t="shared" si="3"/>
        <v>0</v>
      </c>
      <c r="E537" s="67"/>
      <c r="F537" s="58">
        <f t="shared" ref="F537:L537" si="527">SUMIFS($C537,$B537,F$7)+F536</f>
        <v>26</v>
      </c>
      <c r="G537" s="58">
        <f t="shared" si="527"/>
        <v>24</v>
      </c>
      <c r="H537" s="58">
        <f t="shared" si="527"/>
        <v>12</v>
      </c>
      <c r="I537" s="58">
        <f t="shared" si="527"/>
        <v>-20</v>
      </c>
      <c r="J537" s="58">
        <f t="shared" si="527"/>
        <v>0</v>
      </c>
      <c r="K537" s="58">
        <f t="shared" si="527"/>
        <v>0</v>
      </c>
      <c r="L537" s="58">
        <f t="shared" si="527"/>
        <v>0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0" customHeight="1">
      <c r="A538" s="70"/>
      <c r="B538" s="71"/>
      <c r="C538" s="66"/>
      <c r="D538" s="66">
        <f t="shared" si="3"/>
        <v>0</v>
      </c>
      <c r="E538" s="67"/>
      <c r="F538" s="58">
        <f t="shared" ref="F538:L538" si="528">SUMIFS($C538,$B538,F$7)+F537</f>
        <v>26</v>
      </c>
      <c r="G538" s="58">
        <f t="shared" si="528"/>
        <v>24</v>
      </c>
      <c r="H538" s="58">
        <f t="shared" si="528"/>
        <v>12</v>
      </c>
      <c r="I538" s="58">
        <f t="shared" si="528"/>
        <v>-20</v>
      </c>
      <c r="J538" s="58">
        <f t="shared" si="528"/>
        <v>0</v>
      </c>
      <c r="K538" s="58">
        <f t="shared" si="528"/>
        <v>0</v>
      </c>
      <c r="L538" s="58">
        <f t="shared" si="528"/>
        <v>0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0" customHeight="1">
      <c r="A539" s="70"/>
      <c r="B539" s="71"/>
      <c r="C539" s="66"/>
      <c r="D539" s="66">
        <f t="shared" si="3"/>
        <v>0</v>
      </c>
      <c r="E539" s="67"/>
      <c r="F539" s="58">
        <f t="shared" ref="F539:L539" si="529">SUMIFS($C539,$B539,F$7)+F538</f>
        <v>26</v>
      </c>
      <c r="G539" s="58">
        <f t="shared" si="529"/>
        <v>24</v>
      </c>
      <c r="H539" s="58">
        <f t="shared" si="529"/>
        <v>12</v>
      </c>
      <c r="I539" s="58">
        <f t="shared" si="529"/>
        <v>-20</v>
      </c>
      <c r="J539" s="58">
        <f t="shared" si="529"/>
        <v>0</v>
      </c>
      <c r="K539" s="58">
        <f t="shared" si="529"/>
        <v>0</v>
      </c>
      <c r="L539" s="58">
        <f t="shared" si="529"/>
        <v>0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0" customHeight="1">
      <c r="A540" s="70"/>
      <c r="B540" s="71"/>
      <c r="C540" s="66"/>
      <c r="D540" s="66">
        <f t="shared" si="3"/>
        <v>0</v>
      </c>
      <c r="E540" s="67"/>
      <c r="F540" s="58">
        <f t="shared" ref="F540:L540" si="530">SUMIFS($C540,$B540,F$7)+F539</f>
        <v>26</v>
      </c>
      <c r="G540" s="58">
        <f t="shared" si="530"/>
        <v>24</v>
      </c>
      <c r="H540" s="58">
        <f t="shared" si="530"/>
        <v>12</v>
      </c>
      <c r="I540" s="58">
        <f t="shared" si="530"/>
        <v>-20</v>
      </c>
      <c r="J540" s="58">
        <f t="shared" si="530"/>
        <v>0</v>
      </c>
      <c r="K540" s="58">
        <f t="shared" si="530"/>
        <v>0</v>
      </c>
      <c r="L540" s="58">
        <f t="shared" si="530"/>
        <v>0</v>
      </c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0" customHeight="1">
      <c r="A541" s="70"/>
      <c r="B541" s="71"/>
      <c r="C541" s="66"/>
      <c r="D541" s="66">
        <f t="shared" si="3"/>
        <v>0</v>
      </c>
      <c r="E541" s="67"/>
      <c r="F541" s="58">
        <f t="shared" ref="F541:L541" si="531">SUMIFS($C541,$B541,F$7)+F540</f>
        <v>26</v>
      </c>
      <c r="G541" s="58">
        <f t="shared" si="531"/>
        <v>24</v>
      </c>
      <c r="H541" s="58">
        <f t="shared" si="531"/>
        <v>12</v>
      </c>
      <c r="I541" s="58">
        <f t="shared" si="531"/>
        <v>-20</v>
      </c>
      <c r="J541" s="58">
        <f t="shared" si="531"/>
        <v>0</v>
      </c>
      <c r="K541" s="58">
        <f t="shared" si="531"/>
        <v>0</v>
      </c>
      <c r="L541" s="58">
        <f t="shared" si="531"/>
        <v>0</v>
      </c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0" customHeight="1">
      <c r="A542" s="70"/>
      <c r="B542" s="71"/>
      <c r="C542" s="66"/>
      <c r="D542" s="66">
        <f t="shared" si="3"/>
        <v>0</v>
      </c>
      <c r="E542" s="67"/>
      <c r="F542" s="58">
        <f t="shared" ref="F542:L542" si="532">SUMIFS($C542,$B542,F$7)+F541</f>
        <v>26</v>
      </c>
      <c r="G542" s="58">
        <f t="shared" si="532"/>
        <v>24</v>
      </c>
      <c r="H542" s="58">
        <f t="shared" si="532"/>
        <v>12</v>
      </c>
      <c r="I542" s="58">
        <f t="shared" si="532"/>
        <v>-20</v>
      </c>
      <c r="J542" s="58">
        <f t="shared" si="532"/>
        <v>0</v>
      </c>
      <c r="K542" s="58">
        <f t="shared" si="532"/>
        <v>0</v>
      </c>
      <c r="L542" s="58">
        <f t="shared" si="532"/>
        <v>0</v>
      </c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0" customHeight="1">
      <c r="A543" s="70"/>
      <c r="B543" s="71"/>
      <c r="C543" s="66"/>
      <c r="D543" s="66">
        <f t="shared" si="3"/>
        <v>0</v>
      </c>
      <c r="E543" s="67"/>
      <c r="F543" s="58">
        <f t="shared" ref="F543:L543" si="533">SUMIFS($C543,$B543,F$7)+F542</f>
        <v>26</v>
      </c>
      <c r="G543" s="58">
        <f t="shared" si="533"/>
        <v>24</v>
      </c>
      <c r="H543" s="58">
        <f t="shared" si="533"/>
        <v>12</v>
      </c>
      <c r="I543" s="58">
        <f t="shared" si="533"/>
        <v>-20</v>
      </c>
      <c r="J543" s="58">
        <f t="shared" si="533"/>
        <v>0</v>
      </c>
      <c r="K543" s="58">
        <f t="shared" si="533"/>
        <v>0</v>
      </c>
      <c r="L543" s="58">
        <f t="shared" si="533"/>
        <v>0</v>
      </c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0" customHeight="1">
      <c r="A544" s="70"/>
      <c r="B544" s="71"/>
      <c r="C544" s="66"/>
      <c r="D544" s="66">
        <f t="shared" si="3"/>
        <v>0</v>
      </c>
      <c r="E544" s="67"/>
      <c r="F544" s="58">
        <f t="shared" ref="F544:L544" si="534">SUMIFS($C544,$B544,F$7)+F543</f>
        <v>26</v>
      </c>
      <c r="G544" s="58">
        <f t="shared" si="534"/>
        <v>24</v>
      </c>
      <c r="H544" s="58">
        <f t="shared" si="534"/>
        <v>12</v>
      </c>
      <c r="I544" s="58">
        <f t="shared" si="534"/>
        <v>-20</v>
      </c>
      <c r="J544" s="58">
        <f t="shared" si="534"/>
        <v>0</v>
      </c>
      <c r="K544" s="58">
        <f t="shared" si="534"/>
        <v>0</v>
      </c>
      <c r="L544" s="58">
        <f t="shared" si="534"/>
        <v>0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0" customHeight="1">
      <c r="A545" s="70"/>
      <c r="B545" s="71"/>
      <c r="C545" s="66"/>
      <c r="D545" s="66">
        <f t="shared" si="3"/>
        <v>0</v>
      </c>
      <c r="E545" s="67"/>
      <c r="F545" s="58">
        <f t="shared" ref="F545:L545" si="535">SUMIFS($C545,$B545,F$7)+F544</f>
        <v>26</v>
      </c>
      <c r="G545" s="58">
        <f t="shared" si="535"/>
        <v>24</v>
      </c>
      <c r="H545" s="58">
        <f t="shared" si="535"/>
        <v>12</v>
      </c>
      <c r="I545" s="58">
        <f t="shared" si="535"/>
        <v>-20</v>
      </c>
      <c r="J545" s="58">
        <f t="shared" si="535"/>
        <v>0</v>
      </c>
      <c r="K545" s="58">
        <f t="shared" si="535"/>
        <v>0</v>
      </c>
      <c r="L545" s="58">
        <f t="shared" si="535"/>
        <v>0</v>
      </c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0" customHeight="1">
      <c r="A546" s="70"/>
      <c r="B546" s="71"/>
      <c r="C546" s="66"/>
      <c r="D546" s="66">
        <f t="shared" si="3"/>
        <v>0</v>
      </c>
      <c r="E546" s="67"/>
      <c r="F546" s="58">
        <f t="shared" ref="F546:L546" si="536">SUMIFS($C546,$B546,F$7)+F545</f>
        <v>26</v>
      </c>
      <c r="G546" s="58">
        <f t="shared" si="536"/>
        <v>24</v>
      </c>
      <c r="H546" s="58">
        <f t="shared" si="536"/>
        <v>12</v>
      </c>
      <c r="I546" s="58">
        <f t="shared" si="536"/>
        <v>-20</v>
      </c>
      <c r="J546" s="58">
        <f t="shared" si="536"/>
        <v>0</v>
      </c>
      <c r="K546" s="58">
        <f t="shared" si="536"/>
        <v>0</v>
      </c>
      <c r="L546" s="58">
        <f t="shared" si="536"/>
        <v>0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0" customHeight="1">
      <c r="A547" s="70"/>
      <c r="B547" s="71"/>
      <c r="C547" s="66"/>
      <c r="D547" s="66">
        <f t="shared" si="3"/>
        <v>0</v>
      </c>
      <c r="E547" s="67"/>
      <c r="F547" s="58">
        <f t="shared" ref="F547:L547" si="537">SUMIFS($C547,$B547,F$7)+F546</f>
        <v>26</v>
      </c>
      <c r="G547" s="58">
        <f t="shared" si="537"/>
        <v>24</v>
      </c>
      <c r="H547" s="58">
        <f t="shared" si="537"/>
        <v>12</v>
      </c>
      <c r="I547" s="58">
        <f t="shared" si="537"/>
        <v>-20</v>
      </c>
      <c r="J547" s="58">
        <f t="shared" si="537"/>
        <v>0</v>
      </c>
      <c r="K547" s="58">
        <f t="shared" si="537"/>
        <v>0</v>
      </c>
      <c r="L547" s="58">
        <f t="shared" si="537"/>
        <v>0</v>
      </c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0" customHeight="1">
      <c r="A548" s="70"/>
      <c r="B548" s="71"/>
      <c r="C548" s="66"/>
      <c r="D548" s="66">
        <f t="shared" si="3"/>
        <v>0</v>
      </c>
      <c r="E548" s="67"/>
      <c r="F548" s="58">
        <f t="shared" ref="F548:L548" si="538">SUMIFS($C548,$B548,F$7)+F547</f>
        <v>26</v>
      </c>
      <c r="G548" s="58">
        <f t="shared" si="538"/>
        <v>24</v>
      </c>
      <c r="H548" s="58">
        <f t="shared" si="538"/>
        <v>12</v>
      </c>
      <c r="I548" s="58">
        <f t="shared" si="538"/>
        <v>-20</v>
      </c>
      <c r="J548" s="58">
        <f t="shared" si="538"/>
        <v>0</v>
      </c>
      <c r="K548" s="58">
        <f t="shared" si="538"/>
        <v>0</v>
      </c>
      <c r="L548" s="58">
        <f t="shared" si="538"/>
        <v>0</v>
      </c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0" customHeight="1">
      <c r="A549" s="70"/>
      <c r="B549" s="71"/>
      <c r="C549" s="66"/>
      <c r="D549" s="66">
        <f t="shared" si="3"/>
        <v>0</v>
      </c>
      <c r="E549" s="67"/>
      <c r="F549" s="58">
        <f t="shared" ref="F549:L549" si="539">SUMIFS($C549,$B549,F$7)+F548</f>
        <v>26</v>
      </c>
      <c r="G549" s="58">
        <f t="shared" si="539"/>
        <v>24</v>
      </c>
      <c r="H549" s="58">
        <f t="shared" si="539"/>
        <v>12</v>
      </c>
      <c r="I549" s="58">
        <f t="shared" si="539"/>
        <v>-20</v>
      </c>
      <c r="J549" s="58">
        <f t="shared" si="539"/>
        <v>0</v>
      </c>
      <c r="K549" s="58">
        <f t="shared" si="539"/>
        <v>0</v>
      </c>
      <c r="L549" s="58">
        <f t="shared" si="539"/>
        <v>0</v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0" customHeight="1">
      <c r="A550" s="70"/>
      <c r="B550" s="71"/>
      <c r="C550" s="66"/>
      <c r="D550" s="66">
        <f t="shared" si="3"/>
        <v>0</v>
      </c>
      <c r="E550" s="67"/>
      <c r="F550" s="58">
        <f t="shared" ref="F550:L550" si="540">SUMIFS($C550,$B550,F$7)+F549</f>
        <v>26</v>
      </c>
      <c r="G550" s="58">
        <f t="shared" si="540"/>
        <v>24</v>
      </c>
      <c r="H550" s="58">
        <f t="shared" si="540"/>
        <v>12</v>
      </c>
      <c r="I550" s="58">
        <f t="shared" si="540"/>
        <v>-20</v>
      </c>
      <c r="J550" s="58">
        <f t="shared" si="540"/>
        <v>0</v>
      </c>
      <c r="K550" s="58">
        <f t="shared" si="540"/>
        <v>0</v>
      </c>
      <c r="L550" s="58">
        <f t="shared" si="540"/>
        <v>0</v>
      </c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0" customHeight="1">
      <c r="A551" s="70"/>
      <c r="B551" s="71"/>
      <c r="C551" s="66"/>
      <c r="D551" s="66">
        <f t="shared" si="3"/>
        <v>0</v>
      </c>
      <c r="E551" s="67"/>
      <c r="F551" s="58">
        <f t="shared" ref="F551:L551" si="541">SUMIFS($C551,$B551,F$7)+F550</f>
        <v>26</v>
      </c>
      <c r="G551" s="58">
        <f t="shared" si="541"/>
        <v>24</v>
      </c>
      <c r="H551" s="58">
        <f t="shared" si="541"/>
        <v>12</v>
      </c>
      <c r="I551" s="58">
        <f t="shared" si="541"/>
        <v>-20</v>
      </c>
      <c r="J551" s="58">
        <f t="shared" si="541"/>
        <v>0</v>
      </c>
      <c r="K551" s="58">
        <f t="shared" si="541"/>
        <v>0</v>
      </c>
      <c r="L551" s="58">
        <f t="shared" si="541"/>
        <v>0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0" customHeight="1">
      <c r="A552" s="70"/>
      <c r="B552" s="71"/>
      <c r="C552" s="66"/>
      <c r="D552" s="66">
        <f t="shared" si="3"/>
        <v>0</v>
      </c>
      <c r="E552" s="67"/>
      <c r="F552" s="58">
        <f t="shared" ref="F552:L552" si="542">SUMIFS($C552,$B552,F$7)+F551</f>
        <v>26</v>
      </c>
      <c r="G552" s="58">
        <f t="shared" si="542"/>
        <v>24</v>
      </c>
      <c r="H552" s="58">
        <f t="shared" si="542"/>
        <v>12</v>
      </c>
      <c r="I552" s="58">
        <f t="shared" si="542"/>
        <v>-20</v>
      </c>
      <c r="J552" s="58">
        <f t="shared" si="542"/>
        <v>0</v>
      </c>
      <c r="K552" s="58">
        <f t="shared" si="542"/>
        <v>0</v>
      </c>
      <c r="L552" s="58">
        <f t="shared" si="542"/>
        <v>0</v>
      </c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0" customHeight="1">
      <c r="A553" s="70"/>
      <c r="B553" s="71"/>
      <c r="C553" s="66"/>
      <c r="D553" s="66">
        <f t="shared" si="3"/>
        <v>0</v>
      </c>
      <c r="E553" s="67"/>
      <c r="F553" s="58">
        <f t="shared" ref="F553:L553" si="543">SUMIFS($C553,$B553,F$7)+F552</f>
        <v>26</v>
      </c>
      <c r="G553" s="58">
        <f t="shared" si="543"/>
        <v>24</v>
      </c>
      <c r="H553" s="58">
        <f t="shared" si="543"/>
        <v>12</v>
      </c>
      <c r="I553" s="58">
        <f t="shared" si="543"/>
        <v>-20</v>
      </c>
      <c r="J553" s="58">
        <f t="shared" si="543"/>
        <v>0</v>
      </c>
      <c r="K553" s="58">
        <f t="shared" si="543"/>
        <v>0</v>
      </c>
      <c r="L553" s="58">
        <f t="shared" si="543"/>
        <v>0</v>
      </c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0" customHeight="1">
      <c r="A554" s="70"/>
      <c r="B554" s="71"/>
      <c r="C554" s="66"/>
      <c r="D554" s="66">
        <f t="shared" si="3"/>
        <v>0</v>
      </c>
      <c r="E554" s="67"/>
      <c r="F554" s="58">
        <f t="shared" ref="F554:L554" si="544">SUMIFS($C554,$B554,F$7)+F553</f>
        <v>26</v>
      </c>
      <c r="G554" s="58">
        <f t="shared" si="544"/>
        <v>24</v>
      </c>
      <c r="H554" s="58">
        <f t="shared" si="544"/>
        <v>12</v>
      </c>
      <c r="I554" s="58">
        <f t="shared" si="544"/>
        <v>-20</v>
      </c>
      <c r="J554" s="58">
        <f t="shared" si="544"/>
        <v>0</v>
      </c>
      <c r="K554" s="58">
        <f t="shared" si="544"/>
        <v>0</v>
      </c>
      <c r="L554" s="58">
        <f t="shared" si="544"/>
        <v>0</v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0" customHeight="1">
      <c r="A555" s="70"/>
      <c r="B555" s="71"/>
      <c r="C555" s="66"/>
      <c r="D555" s="66">
        <f t="shared" si="3"/>
        <v>0</v>
      </c>
      <c r="E555" s="67"/>
      <c r="F555" s="58">
        <f t="shared" ref="F555:L555" si="545">SUMIFS($C555,$B555,F$7)+F554</f>
        <v>26</v>
      </c>
      <c r="G555" s="58">
        <f t="shared" si="545"/>
        <v>24</v>
      </c>
      <c r="H555" s="58">
        <f t="shared" si="545"/>
        <v>12</v>
      </c>
      <c r="I555" s="58">
        <f t="shared" si="545"/>
        <v>-20</v>
      </c>
      <c r="J555" s="58">
        <f t="shared" si="545"/>
        <v>0</v>
      </c>
      <c r="K555" s="58">
        <f t="shared" si="545"/>
        <v>0</v>
      </c>
      <c r="L555" s="58">
        <f t="shared" si="545"/>
        <v>0</v>
      </c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0" customHeight="1">
      <c r="A556" s="70"/>
      <c r="B556" s="71"/>
      <c r="C556" s="66"/>
      <c r="D556" s="66">
        <f t="shared" si="3"/>
        <v>0</v>
      </c>
      <c r="E556" s="67"/>
      <c r="F556" s="58">
        <f t="shared" ref="F556:L556" si="546">SUMIFS($C556,$B556,F$7)+F555</f>
        <v>26</v>
      </c>
      <c r="G556" s="58">
        <f t="shared" si="546"/>
        <v>24</v>
      </c>
      <c r="H556" s="58">
        <f t="shared" si="546"/>
        <v>12</v>
      </c>
      <c r="I556" s="58">
        <f t="shared" si="546"/>
        <v>-20</v>
      </c>
      <c r="J556" s="58">
        <f t="shared" si="546"/>
        <v>0</v>
      </c>
      <c r="K556" s="58">
        <f t="shared" si="546"/>
        <v>0</v>
      </c>
      <c r="L556" s="58">
        <f t="shared" si="546"/>
        <v>0</v>
      </c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0" customHeight="1">
      <c r="A557" s="70"/>
      <c r="B557" s="71"/>
      <c r="C557" s="66"/>
      <c r="D557" s="66">
        <f t="shared" si="3"/>
        <v>0</v>
      </c>
      <c r="E557" s="67"/>
      <c r="F557" s="58">
        <f t="shared" ref="F557:L557" si="547">SUMIFS($C557,$B557,F$7)+F556</f>
        <v>26</v>
      </c>
      <c r="G557" s="58">
        <f t="shared" si="547"/>
        <v>24</v>
      </c>
      <c r="H557" s="58">
        <f t="shared" si="547"/>
        <v>12</v>
      </c>
      <c r="I557" s="58">
        <f t="shared" si="547"/>
        <v>-20</v>
      </c>
      <c r="J557" s="58">
        <f t="shared" si="547"/>
        <v>0</v>
      </c>
      <c r="K557" s="58">
        <f t="shared" si="547"/>
        <v>0</v>
      </c>
      <c r="L557" s="58">
        <f t="shared" si="547"/>
        <v>0</v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0" customHeight="1">
      <c r="A558" s="70"/>
      <c r="B558" s="71"/>
      <c r="C558" s="66"/>
      <c r="D558" s="66">
        <f t="shared" si="3"/>
        <v>0</v>
      </c>
      <c r="E558" s="67"/>
      <c r="F558" s="58">
        <f t="shared" ref="F558:L558" si="548">SUMIFS($C558,$B558,F$7)+F557</f>
        <v>26</v>
      </c>
      <c r="G558" s="58">
        <f t="shared" si="548"/>
        <v>24</v>
      </c>
      <c r="H558" s="58">
        <f t="shared" si="548"/>
        <v>12</v>
      </c>
      <c r="I558" s="58">
        <f t="shared" si="548"/>
        <v>-20</v>
      </c>
      <c r="J558" s="58">
        <f t="shared" si="548"/>
        <v>0</v>
      </c>
      <c r="K558" s="58">
        <f t="shared" si="548"/>
        <v>0</v>
      </c>
      <c r="L558" s="58">
        <f t="shared" si="548"/>
        <v>0</v>
      </c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0" customHeight="1">
      <c r="A559" s="70"/>
      <c r="B559" s="71"/>
      <c r="C559" s="66"/>
      <c r="D559" s="66">
        <f t="shared" si="3"/>
        <v>0</v>
      </c>
      <c r="E559" s="67"/>
      <c r="F559" s="58">
        <f t="shared" ref="F559:L559" si="549">SUMIFS($C559,$B559,F$7)+F558</f>
        <v>26</v>
      </c>
      <c r="G559" s="58">
        <f t="shared" si="549"/>
        <v>24</v>
      </c>
      <c r="H559" s="58">
        <f t="shared" si="549"/>
        <v>12</v>
      </c>
      <c r="I559" s="58">
        <f t="shared" si="549"/>
        <v>-20</v>
      </c>
      <c r="J559" s="58">
        <f t="shared" si="549"/>
        <v>0</v>
      </c>
      <c r="K559" s="58">
        <f t="shared" si="549"/>
        <v>0</v>
      </c>
      <c r="L559" s="58">
        <f t="shared" si="549"/>
        <v>0</v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0" customHeight="1">
      <c r="A560" s="70"/>
      <c r="B560" s="71"/>
      <c r="C560" s="66"/>
      <c r="D560" s="66">
        <f t="shared" si="3"/>
        <v>0</v>
      </c>
      <c r="E560" s="67"/>
      <c r="F560" s="58">
        <f t="shared" ref="F560:L560" si="550">SUMIFS($C560,$B560,F$7)+F559</f>
        <v>26</v>
      </c>
      <c r="G560" s="58">
        <f t="shared" si="550"/>
        <v>24</v>
      </c>
      <c r="H560" s="58">
        <f t="shared" si="550"/>
        <v>12</v>
      </c>
      <c r="I560" s="58">
        <f t="shared" si="550"/>
        <v>-20</v>
      </c>
      <c r="J560" s="58">
        <f t="shared" si="550"/>
        <v>0</v>
      </c>
      <c r="K560" s="58">
        <f t="shared" si="550"/>
        <v>0</v>
      </c>
      <c r="L560" s="58">
        <f t="shared" si="550"/>
        <v>0</v>
      </c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0" customHeight="1">
      <c r="A561" s="70"/>
      <c r="B561" s="71"/>
      <c r="C561" s="66"/>
      <c r="D561" s="66">
        <f t="shared" si="3"/>
        <v>0</v>
      </c>
      <c r="E561" s="67"/>
      <c r="F561" s="58">
        <f t="shared" ref="F561:L561" si="551">SUMIFS($C561,$B561,F$7)+F560</f>
        <v>26</v>
      </c>
      <c r="G561" s="58">
        <f t="shared" si="551"/>
        <v>24</v>
      </c>
      <c r="H561" s="58">
        <f t="shared" si="551"/>
        <v>12</v>
      </c>
      <c r="I561" s="58">
        <f t="shared" si="551"/>
        <v>-20</v>
      </c>
      <c r="J561" s="58">
        <f t="shared" si="551"/>
        <v>0</v>
      </c>
      <c r="K561" s="58">
        <f t="shared" si="551"/>
        <v>0</v>
      </c>
      <c r="L561" s="58">
        <f t="shared" si="551"/>
        <v>0</v>
      </c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0" customHeight="1">
      <c r="A562" s="70"/>
      <c r="B562" s="71"/>
      <c r="C562" s="66"/>
      <c r="D562" s="66">
        <f t="shared" si="3"/>
        <v>0</v>
      </c>
      <c r="E562" s="67"/>
      <c r="F562" s="58">
        <f t="shared" ref="F562:L562" si="552">SUMIFS($C562,$B562,F$7)+F561</f>
        <v>26</v>
      </c>
      <c r="G562" s="58">
        <f t="shared" si="552"/>
        <v>24</v>
      </c>
      <c r="H562" s="58">
        <f t="shared" si="552"/>
        <v>12</v>
      </c>
      <c r="I562" s="58">
        <f t="shared" si="552"/>
        <v>-20</v>
      </c>
      <c r="J562" s="58">
        <f t="shared" si="552"/>
        <v>0</v>
      </c>
      <c r="K562" s="58">
        <f t="shared" si="552"/>
        <v>0</v>
      </c>
      <c r="L562" s="58">
        <f t="shared" si="552"/>
        <v>0</v>
      </c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0" customHeight="1">
      <c r="A563" s="70"/>
      <c r="B563" s="71"/>
      <c r="C563" s="66"/>
      <c r="D563" s="66">
        <f t="shared" si="3"/>
        <v>0</v>
      </c>
      <c r="E563" s="67"/>
      <c r="F563" s="58">
        <f t="shared" ref="F563:L563" si="553">SUMIFS($C563,$B563,F$7)+F562</f>
        <v>26</v>
      </c>
      <c r="G563" s="58">
        <f t="shared" si="553"/>
        <v>24</v>
      </c>
      <c r="H563" s="58">
        <f t="shared" si="553"/>
        <v>12</v>
      </c>
      <c r="I563" s="58">
        <f t="shared" si="553"/>
        <v>-20</v>
      </c>
      <c r="J563" s="58">
        <f t="shared" si="553"/>
        <v>0</v>
      </c>
      <c r="K563" s="58">
        <f t="shared" si="553"/>
        <v>0</v>
      </c>
      <c r="L563" s="58">
        <f t="shared" si="553"/>
        <v>0</v>
      </c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0" customHeight="1">
      <c r="A564" s="70"/>
      <c r="B564" s="71"/>
      <c r="C564" s="66"/>
      <c r="D564" s="66">
        <f t="shared" si="3"/>
        <v>0</v>
      </c>
      <c r="E564" s="67"/>
      <c r="F564" s="58">
        <f t="shared" ref="F564:L564" si="554">SUMIFS($C564,$B564,F$7)+F563</f>
        <v>26</v>
      </c>
      <c r="G564" s="58">
        <f t="shared" si="554"/>
        <v>24</v>
      </c>
      <c r="H564" s="58">
        <f t="shared" si="554"/>
        <v>12</v>
      </c>
      <c r="I564" s="58">
        <f t="shared" si="554"/>
        <v>-20</v>
      </c>
      <c r="J564" s="58">
        <f t="shared" si="554"/>
        <v>0</v>
      </c>
      <c r="K564" s="58">
        <f t="shared" si="554"/>
        <v>0</v>
      </c>
      <c r="L564" s="58">
        <f t="shared" si="554"/>
        <v>0</v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0" customHeight="1">
      <c r="A565" s="70"/>
      <c r="B565" s="71"/>
      <c r="C565" s="66"/>
      <c r="D565" s="66">
        <f t="shared" si="3"/>
        <v>0</v>
      </c>
      <c r="E565" s="67"/>
      <c r="F565" s="58">
        <f t="shared" ref="F565:L565" si="555">SUMIFS($C565,$B565,F$7)+F564</f>
        <v>26</v>
      </c>
      <c r="G565" s="58">
        <f t="shared" si="555"/>
        <v>24</v>
      </c>
      <c r="H565" s="58">
        <f t="shared" si="555"/>
        <v>12</v>
      </c>
      <c r="I565" s="58">
        <f t="shared" si="555"/>
        <v>-20</v>
      </c>
      <c r="J565" s="58">
        <f t="shared" si="555"/>
        <v>0</v>
      </c>
      <c r="K565" s="58">
        <f t="shared" si="555"/>
        <v>0</v>
      </c>
      <c r="L565" s="58">
        <f t="shared" si="555"/>
        <v>0</v>
      </c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0" customHeight="1">
      <c r="A566" s="70"/>
      <c r="B566" s="71"/>
      <c r="C566" s="66"/>
      <c r="D566" s="66">
        <f t="shared" si="3"/>
        <v>0</v>
      </c>
      <c r="E566" s="67"/>
      <c r="F566" s="58">
        <f t="shared" ref="F566:L566" si="556">SUMIFS($C566,$B566,F$7)+F565</f>
        <v>26</v>
      </c>
      <c r="G566" s="58">
        <f t="shared" si="556"/>
        <v>24</v>
      </c>
      <c r="H566" s="58">
        <f t="shared" si="556"/>
        <v>12</v>
      </c>
      <c r="I566" s="58">
        <f t="shared" si="556"/>
        <v>-20</v>
      </c>
      <c r="J566" s="58">
        <f t="shared" si="556"/>
        <v>0</v>
      </c>
      <c r="K566" s="58">
        <f t="shared" si="556"/>
        <v>0</v>
      </c>
      <c r="L566" s="58">
        <f t="shared" si="556"/>
        <v>0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0" customHeight="1">
      <c r="A567" s="70"/>
      <c r="B567" s="71"/>
      <c r="C567" s="66"/>
      <c r="D567" s="66">
        <f t="shared" si="3"/>
        <v>0</v>
      </c>
      <c r="E567" s="67"/>
      <c r="F567" s="58">
        <f t="shared" ref="F567:L567" si="557">SUMIFS($C567,$B567,F$7)+F566</f>
        <v>26</v>
      </c>
      <c r="G567" s="58">
        <f t="shared" si="557"/>
        <v>24</v>
      </c>
      <c r="H567" s="58">
        <f t="shared" si="557"/>
        <v>12</v>
      </c>
      <c r="I567" s="58">
        <f t="shared" si="557"/>
        <v>-20</v>
      </c>
      <c r="J567" s="58">
        <f t="shared" si="557"/>
        <v>0</v>
      </c>
      <c r="K567" s="58">
        <f t="shared" si="557"/>
        <v>0</v>
      </c>
      <c r="L567" s="58">
        <f t="shared" si="557"/>
        <v>0</v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0" customHeight="1">
      <c r="A568" s="70"/>
      <c r="B568" s="71"/>
      <c r="C568" s="66"/>
      <c r="D568" s="66">
        <f t="shared" si="3"/>
        <v>0</v>
      </c>
      <c r="E568" s="67"/>
      <c r="F568" s="58">
        <f t="shared" ref="F568:L568" si="558">SUMIFS($C568,$B568,F$7)+F567</f>
        <v>26</v>
      </c>
      <c r="G568" s="58">
        <f t="shared" si="558"/>
        <v>24</v>
      </c>
      <c r="H568" s="58">
        <f t="shared" si="558"/>
        <v>12</v>
      </c>
      <c r="I568" s="58">
        <f t="shared" si="558"/>
        <v>-20</v>
      </c>
      <c r="J568" s="58">
        <f t="shared" si="558"/>
        <v>0</v>
      </c>
      <c r="K568" s="58">
        <f t="shared" si="558"/>
        <v>0</v>
      </c>
      <c r="L568" s="58">
        <f t="shared" si="558"/>
        <v>0</v>
      </c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0" customHeight="1">
      <c r="A569" s="70"/>
      <c r="B569" s="71"/>
      <c r="C569" s="66"/>
      <c r="D569" s="66">
        <f t="shared" si="3"/>
        <v>0</v>
      </c>
      <c r="E569" s="67"/>
      <c r="F569" s="58">
        <f t="shared" ref="F569:L569" si="559">SUMIFS($C569,$B569,F$7)+F568</f>
        <v>26</v>
      </c>
      <c r="G569" s="58">
        <f t="shared" si="559"/>
        <v>24</v>
      </c>
      <c r="H569" s="58">
        <f t="shared" si="559"/>
        <v>12</v>
      </c>
      <c r="I569" s="58">
        <f t="shared" si="559"/>
        <v>-20</v>
      </c>
      <c r="J569" s="58">
        <f t="shared" si="559"/>
        <v>0</v>
      </c>
      <c r="K569" s="58">
        <f t="shared" si="559"/>
        <v>0</v>
      </c>
      <c r="L569" s="58">
        <f t="shared" si="559"/>
        <v>0</v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0" customHeight="1">
      <c r="A570" s="70"/>
      <c r="B570" s="71"/>
      <c r="C570" s="66"/>
      <c r="D570" s="66">
        <f t="shared" si="3"/>
        <v>0</v>
      </c>
      <c r="E570" s="67"/>
      <c r="F570" s="58">
        <f t="shared" ref="F570:L570" si="560">SUMIFS($C570,$B570,F$7)+F569</f>
        <v>26</v>
      </c>
      <c r="G570" s="58">
        <f t="shared" si="560"/>
        <v>24</v>
      </c>
      <c r="H570" s="58">
        <f t="shared" si="560"/>
        <v>12</v>
      </c>
      <c r="I570" s="58">
        <f t="shared" si="560"/>
        <v>-20</v>
      </c>
      <c r="J570" s="58">
        <f t="shared" si="560"/>
        <v>0</v>
      </c>
      <c r="K570" s="58">
        <f t="shared" si="560"/>
        <v>0</v>
      </c>
      <c r="L570" s="58">
        <f t="shared" si="560"/>
        <v>0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0" customHeight="1">
      <c r="A571" s="70"/>
      <c r="B571" s="71"/>
      <c r="C571" s="66"/>
      <c r="D571" s="66">
        <f t="shared" si="3"/>
        <v>0</v>
      </c>
      <c r="E571" s="67"/>
      <c r="F571" s="58">
        <f t="shared" ref="F571:L571" si="561">SUMIFS($C571,$B571,F$7)+F570</f>
        <v>26</v>
      </c>
      <c r="G571" s="58">
        <f t="shared" si="561"/>
        <v>24</v>
      </c>
      <c r="H571" s="58">
        <f t="shared" si="561"/>
        <v>12</v>
      </c>
      <c r="I571" s="58">
        <f t="shared" si="561"/>
        <v>-20</v>
      </c>
      <c r="J571" s="58">
        <f t="shared" si="561"/>
        <v>0</v>
      </c>
      <c r="K571" s="58">
        <f t="shared" si="561"/>
        <v>0</v>
      </c>
      <c r="L571" s="58">
        <f t="shared" si="561"/>
        <v>0</v>
      </c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0" customHeight="1">
      <c r="A572" s="70"/>
      <c r="B572" s="71"/>
      <c r="C572" s="66"/>
      <c r="D572" s="66">
        <f t="shared" si="3"/>
        <v>0</v>
      </c>
      <c r="E572" s="67"/>
      <c r="F572" s="58">
        <f t="shared" ref="F572:L572" si="562">SUMIFS($C572,$B572,F$7)+F571</f>
        <v>26</v>
      </c>
      <c r="G572" s="58">
        <f t="shared" si="562"/>
        <v>24</v>
      </c>
      <c r="H572" s="58">
        <f t="shared" si="562"/>
        <v>12</v>
      </c>
      <c r="I572" s="58">
        <f t="shared" si="562"/>
        <v>-20</v>
      </c>
      <c r="J572" s="58">
        <f t="shared" si="562"/>
        <v>0</v>
      </c>
      <c r="K572" s="58">
        <f t="shared" si="562"/>
        <v>0</v>
      </c>
      <c r="L572" s="58">
        <f t="shared" si="562"/>
        <v>0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0" customHeight="1">
      <c r="A573" s="70"/>
      <c r="B573" s="71"/>
      <c r="C573" s="66"/>
      <c r="D573" s="66">
        <f t="shared" si="3"/>
        <v>0</v>
      </c>
      <c r="E573" s="67"/>
      <c r="F573" s="58">
        <f t="shared" ref="F573:L573" si="563">SUMIFS($C573,$B573,F$7)+F572</f>
        <v>26</v>
      </c>
      <c r="G573" s="58">
        <f t="shared" si="563"/>
        <v>24</v>
      </c>
      <c r="H573" s="58">
        <f t="shared" si="563"/>
        <v>12</v>
      </c>
      <c r="I573" s="58">
        <f t="shared" si="563"/>
        <v>-20</v>
      </c>
      <c r="J573" s="58">
        <f t="shared" si="563"/>
        <v>0</v>
      </c>
      <c r="K573" s="58">
        <f t="shared" si="563"/>
        <v>0</v>
      </c>
      <c r="L573" s="58">
        <f t="shared" si="563"/>
        <v>0</v>
      </c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0" customHeight="1">
      <c r="A574" s="70"/>
      <c r="B574" s="71"/>
      <c r="C574" s="66"/>
      <c r="D574" s="66">
        <f t="shared" si="3"/>
        <v>0</v>
      </c>
      <c r="E574" s="67"/>
      <c r="F574" s="58">
        <f t="shared" ref="F574:L574" si="564">SUMIFS($C574,$B574,F$7)+F573</f>
        <v>26</v>
      </c>
      <c r="G574" s="58">
        <f t="shared" si="564"/>
        <v>24</v>
      </c>
      <c r="H574" s="58">
        <f t="shared" si="564"/>
        <v>12</v>
      </c>
      <c r="I574" s="58">
        <f t="shared" si="564"/>
        <v>-20</v>
      </c>
      <c r="J574" s="58">
        <f t="shared" si="564"/>
        <v>0</v>
      </c>
      <c r="K574" s="58">
        <f t="shared" si="564"/>
        <v>0</v>
      </c>
      <c r="L574" s="58">
        <f t="shared" si="564"/>
        <v>0</v>
      </c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0" customHeight="1">
      <c r="A575" s="70"/>
      <c r="B575" s="71"/>
      <c r="C575" s="66"/>
      <c r="D575" s="66">
        <f t="shared" si="3"/>
        <v>0</v>
      </c>
      <c r="E575" s="67"/>
      <c r="F575" s="58">
        <f t="shared" ref="F575:L575" si="565">SUMIFS($C575,$B575,F$7)+F574</f>
        <v>26</v>
      </c>
      <c r="G575" s="58">
        <f t="shared" si="565"/>
        <v>24</v>
      </c>
      <c r="H575" s="58">
        <f t="shared" si="565"/>
        <v>12</v>
      </c>
      <c r="I575" s="58">
        <f t="shared" si="565"/>
        <v>-20</v>
      </c>
      <c r="J575" s="58">
        <f t="shared" si="565"/>
        <v>0</v>
      </c>
      <c r="K575" s="58">
        <f t="shared" si="565"/>
        <v>0</v>
      </c>
      <c r="L575" s="58">
        <f t="shared" si="565"/>
        <v>0</v>
      </c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0" customHeight="1">
      <c r="A576" s="70"/>
      <c r="B576" s="71"/>
      <c r="C576" s="66"/>
      <c r="D576" s="66">
        <f t="shared" si="3"/>
        <v>0</v>
      </c>
      <c r="E576" s="67"/>
      <c r="F576" s="58">
        <f t="shared" ref="F576:L576" si="566">SUMIFS($C576,$B576,F$7)+F575</f>
        <v>26</v>
      </c>
      <c r="G576" s="58">
        <f t="shared" si="566"/>
        <v>24</v>
      </c>
      <c r="H576" s="58">
        <f t="shared" si="566"/>
        <v>12</v>
      </c>
      <c r="I576" s="58">
        <f t="shared" si="566"/>
        <v>-20</v>
      </c>
      <c r="J576" s="58">
        <f t="shared" si="566"/>
        <v>0</v>
      </c>
      <c r="K576" s="58">
        <f t="shared" si="566"/>
        <v>0</v>
      </c>
      <c r="L576" s="58">
        <f t="shared" si="566"/>
        <v>0</v>
      </c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0" customHeight="1">
      <c r="A577" s="70"/>
      <c r="B577" s="71"/>
      <c r="C577" s="66"/>
      <c r="D577" s="66">
        <f t="shared" si="3"/>
        <v>0</v>
      </c>
      <c r="E577" s="67"/>
      <c r="F577" s="58">
        <f t="shared" ref="F577:L577" si="567">SUMIFS($C577,$B577,F$7)+F576</f>
        <v>26</v>
      </c>
      <c r="G577" s="58">
        <f t="shared" si="567"/>
        <v>24</v>
      </c>
      <c r="H577" s="58">
        <f t="shared" si="567"/>
        <v>12</v>
      </c>
      <c r="I577" s="58">
        <f t="shared" si="567"/>
        <v>-20</v>
      </c>
      <c r="J577" s="58">
        <f t="shared" si="567"/>
        <v>0</v>
      </c>
      <c r="K577" s="58">
        <f t="shared" si="567"/>
        <v>0</v>
      </c>
      <c r="L577" s="58">
        <f t="shared" si="567"/>
        <v>0</v>
      </c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0" customHeight="1">
      <c r="A578" s="70"/>
      <c r="B578" s="71"/>
      <c r="C578" s="66"/>
      <c r="D578" s="66">
        <f t="shared" si="3"/>
        <v>0</v>
      </c>
      <c r="E578" s="67"/>
      <c r="F578" s="58">
        <f t="shared" ref="F578:L578" si="568">SUMIFS($C578,$B578,F$7)+F577</f>
        <v>26</v>
      </c>
      <c r="G578" s="58">
        <f t="shared" si="568"/>
        <v>24</v>
      </c>
      <c r="H578" s="58">
        <f t="shared" si="568"/>
        <v>12</v>
      </c>
      <c r="I578" s="58">
        <f t="shared" si="568"/>
        <v>-20</v>
      </c>
      <c r="J578" s="58">
        <f t="shared" si="568"/>
        <v>0</v>
      </c>
      <c r="K578" s="58">
        <f t="shared" si="568"/>
        <v>0</v>
      </c>
      <c r="L578" s="58">
        <f t="shared" si="568"/>
        <v>0</v>
      </c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0" customHeight="1">
      <c r="A579" s="70"/>
      <c r="B579" s="71"/>
      <c r="C579" s="66"/>
      <c r="D579" s="66">
        <f t="shared" si="3"/>
        <v>0</v>
      </c>
      <c r="E579" s="67"/>
      <c r="F579" s="58">
        <f t="shared" ref="F579:L579" si="569">SUMIFS($C579,$B579,F$7)+F578</f>
        <v>26</v>
      </c>
      <c r="G579" s="58">
        <f t="shared" si="569"/>
        <v>24</v>
      </c>
      <c r="H579" s="58">
        <f t="shared" si="569"/>
        <v>12</v>
      </c>
      <c r="I579" s="58">
        <f t="shared" si="569"/>
        <v>-20</v>
      </c>
      <c r="J579" s="58">
        <f t="shared" si="569"/>
        <v>0</v>
      </c>
      <c r="K579" s="58">
        <f t="shared" si="569"/>
        <v>0</v>
      </c>
      <c r="L579" s="58">
        <f t="shared" si="569"/>
        <v>0</v>
      </c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0" customHeight="1">
      <c r="A580" s="70"/>
      <c r="B580" s="71"/>
      <c r="C580" s="66"/>
      <c r="D580" s="66">
        <f t="shared" si="3"/>
        <v>0</v>
      </c>
      <c r="E580" s="67"/>
      <c r="F580" s="58">
        <f t="shared" ref="F580:L580" si="570">SUMIFS($C580,$B580,F$7)+F579</f>
        <v>26</v>
      </c>
      <c r="G580" s="58">
        <f t="shared" si="570"/>
        <v>24</v>
      </c>
      <c r="H580" s="58">
        <f t="shared" si="570"/>
        <v>12</v>
      </c>
      <c r="I580" s="58">
        <f t="shared" si="570"/>
        <v>-20</v>
      </c>
      <c r="J580" s="58">
        <f t="shared" si="570"/>
        <v>0</v>
      </c>
      <c r="K580" s="58">
        <f t="shared" si="570"/>
        <v>0</v>
      </c>
      <c r="L580" s="58">
        <f t="shared" si="570"/>
        <v>0</v>
      </c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0" customHeight="1">
      <c r="A581" s="70"/>
      <c r="B581" s="71"/>
      <c r="C581" s="66"/>
      <c r="D581" s="66">
        <f t="shared" si="3"/>
        <v>0</v>
      </c>
      <c r="E581" s="67"/>
      <c r="F581" s="58">
        <f t="shared" ref="F581:L581" si="571">SUMIFS($C581,$B581,F$7)+F580</f>
        <v>26</v>
      </c>
      <c r="G581" s="58">
        <f t="shared" si="571"/>
        <v>24</v>
      </c>
      <c r="H581" s="58">
        <f t="shared" si="571"/>
        <v>12</v>
      </c>
      <c r="I581" s="58">
        <f t="shared" si="571"/>
        <v>-20</v>
      </c>
      <c r="J581" s="58">
        <f t="shared" si="571"/>
        <v>0</v>
      </c>
      <c r="K581" s="58">
        <f t="shared" si="571"/>
        <v>0</v>
      </c>
      <c r="L581" s="58">
        <f t="shared" si="571"/>
        <v>0</v>
      </c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0" customHeight="1">
      <c r="A582" s="70"/>
      <c r="B582" s="71"/>
      <c r="C582" s="66"/>
      <c r="D582" s="66">
        <f t="shared" si="3"/>
        <v>0</v>
      </c>
      <c r="E582" s="67"/>
      <c r="F582" s="58">
        <f t="shared" ref="F582:L582" si="572">SUMIFS($C582,$B582,F$7)+F581</f>
        <v>26</v>
      </c>
      <c r="G582" s="58">
        <f t="shared" si="572"/>
        <v>24</v>
      </c>
      <c r="H582" s="58">
        <f t="shared" si="572"/>
        <v>12</v>
      </c>
      <c r="I582" s="58">
        <f t="shared" si="572"/>
        <v>-20</v>
      </c>
      <c r="J582" s="58">
        <f t="shared" si="572"/>
        <v>0</v>
      </c>
      <c r="K582" s="58">
        <f t="shared" si="572"/>
        <v>0</v>
      </c>
      <c r="L582" s="58">
        <f t="shared" si="572"/>
        <v>0</v>
      </c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0" customHeight="1">
      <c r="A583" s="70"/>
      <c r="B583" s="71"/>
      <c r="C583" s="66"/>
      <c r="D583" s="66">
        <f t="shared" si="3"/>
        <v>0</v>
      </c>
      <c r="E583" s="67"/>
      <c r="F583" s="58">
        <f t="shared" ref="F583:L583" si="573">SUMIFS($C583,$B583,F$7)+F582</f>
        <v>26</v>
      </c>
      <c r="G583" s="58">
        <f t="shared" si="573"/>
        <v>24</v>
      </c>
      <c r="H583" s="58">
        <f t="shared" si="573"/>
        <v>12</v>
      </c>
      <c r="I583" s="58">
        <f t="shared" si="573"/>
        <v>-20</v>
      </c>
      <c r="J583" s="58">
        <f t="shared" si="573"/>
        <v>0</v>
      </c>
      <c r="K583" s="58">
        <f t="shared" si="573"/>
        <v>0</v>
      </c>
      <c r="L583" s="58">
        <f t="shared" si="573"/>
        <v>0</v>
      </c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0" customHeight="1">
      <c r="A584" s="70"/>
      <c r="B584" s="71"/>
      <c r="C584" s="66"/>
      <c r="D584" s="66">
        <f t="shared" si="3"/>
        <v>0</v>
      </c>
      <c r="E584" s="67"/>
      <c r="F584" s="58">
        <f t="shared" ref="F584:L584" si="574">SUMIFS($C584,$B584,F$7)+F583</f>
        <v>26</v>
      </c>
      <c r="G584" s="58">
        <f t="shared" si="574"/>
        <v>24</v>
      </c>
      <c r="H584" s="58">
        <f t="shared" si="574"/>
        <v>12</v>
      </c>
      <c r="I584" s="58">
        <f t="shared" si="574"/>
        <v>-20</v>
      </c>
      <c r="J584" s="58">
        <f t="shared" si="574"/>
        <v>0</v>
      </c>
      <c r="K584" s="58">
        <f t="shared" si="574"/>
        <v>0</v>
      </c>
      <c r="L584" s="58">
        <f t="shared" si="574"/>
        <v>0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0" customHeight="1">
      <c r="A585" s="70"/>
      <c r="B585" s="71"/>
      <c r="C585" s="66"/>
      <c r="D585" s="66">
        <f t="shared" si="3"/>
        <v>0</v>
      </c>
      <c r="E585" s="67"/>
      <c r="F585" s="58">
        <f t="shared" ref="F585:L585" si="575">SUMIFS($C585,$B585,F$7)+F584</f>
        <v>26</v>
      </c>
      <c r="G585" s="58">
        <f t="shared" si="575"/>
        <v>24</v>
      </c>
      <c r="H585" s="58">
        <f t="shared" si="575"/>
        <v>12</v>
      </c>
      <c r="I585" s="58">
        <f t="shared" si="575"/>
        <v>-20</v>
      </c>
      <c r="J585" s="58">
        <f t="shared" si="575"/>
        <v>0</v>
      </c>
      <c r="K585" s="58">
        <f t="shared" si="575"/>
        <v>0</v>
      </c>
      <c r="L585" s="58">
        <f t="shared" si="575"/>
        <v>0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0" customHeight="1">
      <c r="A586" s="70"/>
      <c r="B586" s="71"/>
      <c r="C586" s="66"/>
      <c r="D586" s="66">
        <f t="shared" si="3"/>
        <v>0</v>
      </c>
      <c r="E586" s="67"/>
      <c r="F586" s="58">
        <f t="shared" ref="F586:L586" si="576">SUMIFS($C586,$B586,F$7)+F585</f>
        <v>26</v>
      </c>
      <c r="G586" s="58">
        <f t="shared" si="576"/>
        <v>24</v>
      </c>
      <c r="H586" s="58">
        <f t="shared" si="576"/>
        <v>12</v>
      </c>
      <c r="I586" s="58">
        <f t="shared" si="576"/>
        <v>-20</v>
      </c>
      <c r="J586" s="58">
        <f t="shared" si="576"/>
        <v>0</v>
      </c>
      <c r="K586" s="58">
        <f t="shared" si="576"/>
        <v>0</v>
      </c>
      <c r="L586" s="58">
        <f t="shared" si="576"/>
        <v>0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0" customHeight="1">
      <c r="A587" s="70"/>
      <c r="B587" s="71"/>
      <c r="C587" s="66"/>
      <c r="D587" s="66">
        <f t="shared" si="3"/>
        <v>0</v>
      </c>
      <c r="E587" s="67"/>
      <c r="F587" s="58">
        <f t="shared" ref="F587:L587" si="577">SUMIFS($C587,$B587,F$7)+F586</f>
        <v>26</v>
      </c>
      <c r="G587" s="58">
        <f t="shared" si="577"/>
        <v>24</v>
      </c>
      <c r="H587" s="58">
        <f t="shared" si="577"/>
        <v>12</v>
      </c>
      <c r="I587" s="58">
        <f t="shared" si="577"/>
        <v>-20</v>
      </c>
      <c r="J587" s="58">
        <f t="shared" si="577"/>
        <v>0</v>
      </c>
      <c r="K587" s="58">
        <f t="shared" si="577"/>
        <v>0</v>
      </c>
      <c r="L587" s="58">
        <f t="shared" si="577"/>
        <v>0</v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0" customHeight="1">
      <c r="A588" s="70"/>
      <c r="B588" s="71"/>
      <c r="C588" s="66"/>
      <c r="D588" s="66">
        <f t="shared" si="3"/>
        <v>0</v>
      </c>
      <c r="E588" s="67"/>
      <c r="F588" s="58">
        <f t="shared" ref="F588:L588" si="578">SUMIFS($C588,$B588,F$7)+F587</f>
        <v>26</v>
      </c>
      <c r="G588" s="58">
        <f t="shared" si="578"/>
        <v>24</v>
      </c>
      <c r="H588" s="58">
        <f t="shared" si="578"/>
        <v>12</v>
      </c>
      <c r="I588" s="58">
        <f t="shared" si="578"/>
        <v>-20</v>
      </c>
      <c r="J588" s="58">
        <f t="shared" si="578"/>
        <v>0</v>
      </c>
      <c r="K588" s="58">
        <f t="shared" si="578"/>
        <v>0</v>
      </c>
      <c r="L588" s="58">
        <f t="shared" si="578"/>
        <v>0</v>
      </c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0" customHeight="1">
      <c r="A589" s="70"/>
      <c r="B589" s="71"/>
      <c r="C589" s="66"/>
      <c r="D589" s="66">
        <f t="shared" si="3"/>
        <v>0</v>
      </c>
      <c r="E589" s="67"/>
      <c r="F589" s="58">
        <f t="shared" ref="F589:L589" si="579">SUMIFS($C589,$B589,F$7)+F588</f>
        <v>26</v>
      </c>
      <c r="G589" s="58">
        <f t="shared" si="579"/>
        <v>24</v>
      </c>
      <c r="H589" s="58">
        <f t="shared" si="579"/>
        <v>12</v>
      </c>
      <c r="I589" s="58">
        <f t="shared" si="579"/>
        <v>-20</v>
      </c>
      <c r="J589" s="58">
        <f t="shared" si="579"/>
        <v>0</v>
      </c>
      <c r="K589" s="58">
        <f t="shared" si="579"/>
        <v>0</v>
      </c>
      <c r="L589" s="58">
        <f t="shared" si="579"/>
        <v>0</v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0" customHeight="1">
      <c r="A590" s="70"/>
      <c r="B590" s="71"/>
      <c r="C590" s="66"/>
      <c r="D590" s="66">
        <f t="shared" si="3"/>
        <v>0</v>
      </c>
      <c r="E590" s="67"/>
      <c r="F590" s="58">
        <f t="shared" ref="F590:L590" si="580">SUMIFS($C590,$B590,F$7)+F589</f>
        <v>26</v>
      </c>
      <c r="G590" s="58">
        <f t="shared" si="580"/>
        <v>24</v>
      </c>
      <c r="H590" s="58">
        <f t="shared" si="580"/>
        <v>12</v>
      </c>
      <c r="I590" s="58">
        <f t="shared" si="580"/>
        <v>-20</v>
      </c>
      <c r="J590" s="58">
        <f t="shared" si="580"/>
        <v>0</v>
      </c>
      <c r="K590" s="58">
        <f t="shared" si="580"/>
        <v>0</v>
      </c>
      <c r="L590" s="58">
        <f t="shared" si="580"/>
        <v>0</v>
      </c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0" customHeight="1">
      <c r="A591" s="70"/>
      <c r="B591" s="71"/>
      <c r="C591" s="66"/>
      <c r="D591" s="66">
        <f t="shared" si="3"/>
        <v>0</v>
      </c>
      <c r="E591" s="67"/>
      <c r="F591" s="58">
        <f t="shared" ref="F591:L591" si="581">SUMIFS($C591,$B591,F$7)+F590</f>
        <v>26</v>
      </c>
      <c r="G591" s="58">
        <f t="shared" si="581"/>
        <v>24</v>
      </c>
      <c r="H591" s="58">
        <f t="shared" si="581"/>
        <v>12</v>
      </c>
      <c r="I591" s="58">
        <f t="shared" si="581"/>
        <v>-20</v>
      </c>
      <c r="J591" s="58">
        <f t="shared" si="581"/>
        <v>0</v>
      </c>
      <c r="K591" s="58">
        <f t="shared" si="581"/>
        <v>0</v>
      </c>
      <c r="L591" s="58">
        <f t="shared" si="581"/>
        <v>0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0" customHeight="1">
      <c r="A592" s="70"/>
      <c r="B592" s="71"/>
      <c r="C592" s="66"/>
      <c r="D592" s="66">
        <f t="shared" si="3"/>
        <v>0</v>
      </c>
      <c r="E592" s="67"/>
      <c r="F592" s="58">
        <f t="shared" ref="F592:L592" si="582">SUMIFS($C592,$B592,F$7)+F591</f>
        <v>26</v>
      </c>
      <c r="G592" s="58">
        <f t="shared" si="582"/>
        <v>24</v>
      </c>
      <c r="H592" s="58">
        <f t="shared" si="582"/>
        <v>12</v>
      </c>
      <c r="I592" s="58">
        <f t="shared" si="582"/>
        <v>-20</v>
      </c>
      <c r="J592" s="58">
        <f t="shared" si="582"/>
        <v>0</v>
      </c>
      <c r="K592" s="58">
        <f t="shared" si="582"/>
        <v>0</v>
      </c>
      <c r="L592" s="58">
        <f t="shared" si="582"/>
        <v>0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0" customHeight="1">
      <c r="A593" s="70"/>
      <c r="B593" s="71"/>
      <c r="C593" s="66"/>
      <c r="D593" s="66">
        <f t="shared" si="3"/>
        <v>0</v>
      </c>
      <c r="E593" s="67"/>
      <c r="F593" s="58">
        <f t="shared" ref="F593:L593" si="583">SUMIFS($C593,$B593,F$7)+F592</f>
        <v>26</v>
      </c>
      <c r="G593" s="58">
        <f t="shared" si="583"/>
        <v>24</v>
      </c>
      <c r="H593" s="58">
        <f t="shared" si="583"/>
        <v>12</v>
      </c>
      <c r="I593" s="58">
        <f t="shared" si="583"/>
        <v>-20</v>
      </c>
      <c r="J593" s="58">
        <f t="shared" si="583"/>
        <v>0</v>
      </c>
      <c r="K593" s="58">
        <f t="shared" si="583"/>
        <v>0</v>
      </c>
      <c r="L593" s="58">
        <f t="shared" si="583"/>
        <v>0</v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0" customHeight="1">
      <c r="A594" s="70"/>
      <c r="B594" s="71"/>
      <c r="C594" s="66"/>
      <c r="D594" s="66">
        <f t="shared" si="3"/>
        <v>0</v>
      </c>
      <c r="E594" s="67"/>
      <c r="F594" s="58">
        <f t="shared" ref="F594:L594" si="584">SUMIFS($C594,$B594,F$7)+F593</f>
        <v>26</v>
      </c>
      <c r="G594" s="58">
        <f t="shared" si="584"/>
        <v>24</v>
      </c>
      <c r="H594" s="58">
        <f t="shared" si="584"/>
        <v>12</v>
      </c>
      <c r="I594" s="58">
        <f t="shared" si="584"/>
        <v>-20</v>
      </c>
      <c r="J594" s="58">
        <f t="shared" si="584"/>
        <v>0</v>
      </c>
      <c r="K594" s="58">
        <f t="shared" si="584"/>
        <v>0</v>
      </c>
      <c r="L594" s="58">
        <f t="shared" si="584"/>
        <v>0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0" customHeight="1">
      <c r="A595" s="70"/>
      <c r="B595" s="71"/>
      <c r="C595" s="66"/>
      <c r="D595" s="66">
        <f t="shared" si="3"/>
        <v>0</v>
      </c>
      <c r="E595" s="67"/>
      <c r="F595" s="58">
        <f t="shared" ref="F595:L595" si="585">SUMIFS($C595,$B595,F$7)+F594</f>
        <v>26</v>
      </c>
      <c r="G595" s="58">
        <f t="shared" si="585"/>
        <v>24</v>
      </c>
      <c r="H595" s="58">
        <f t="shared" si="585"/>
        <v>12</v>
      </c>
      <c r="I595" s="58">
        <f t="shared" si="585"/>
        <v>-20</v>
      </c>
      <c r="J595" s="58">
        <f t="shared" si="585"/>
        <v>0</v>
      </c>
      <c r="K595" s="58">
        <f t="shared" si="585"/>
        <v>0</v>
      </c>
      <c r="L595" s="58">
        <f t="shared" si="585"/>
        <v>0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0" customHeight="1">
      <c r="A596" s="70"/>
      <c r="B596" s="71"/>
      <c r="C596" s="66"/>
      <c r="D596" s="66">
        <f t="shared" si="3"/>
        <v>0</v>
      </c>
      <c r="E596" s="67"/>
      <c r="F596" s="58">
        <f t="shared" ref="F596:L596" si="586">SUMIFS($C596,$B596,F$7)+F595</f>
        <v>26</v>
      </c>
      <c r="G596" s="58">
        <f t="shared" si="586"/>
        <v>24</v>
      </c>
      <c r="H596" s="58">
        <f t="shared" si="586"/>
        <v>12</v>
      </c>
      <c r="I596" s="58">
        <f t="shared" si="586"/>
        <v>-20</v>
      </c>
      <c r="J596" s="58">
        <f t="shared" si="586"/>
        <v>0</v>
      </c>
      <c r="K596" s="58">
        <f t="shared" si="586"/>
        <v>0</v>
      </c>
      <c r="L596" s="58">
        <f t="shared" si="586"/>
        <v>0</v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0" customHeight="1">
      <c r="A597" s="70"/>
      <c r="B597" s="71"/>
      <c r="C597" s="66"/>
      <c r="D597" s="66">
        <f t="shared" si="3"/>
        <v>0</v>
      </c>
      <c r="E597" s="67"/>
      <c r="F597" s="58">
        <f t="shared" ref="F597:L597" si="587">SUMIFS($C597,$B597,F$7)+F596</f>
        <v>26</v>
      </c>
      <c r="G597" s="58">
        <f t="shared" si="587"/>
        <v>24</v>
      </c>
      <c r="H597" s="58">
        <f t="shared" si="587"/>
        <v>12</v>
      </c>
      <c r="I597" s="58">
        <f t="shared" si="587"/>
        <v>-20</v>
      </c>
      <c r="J597" s="58">
        <f t="shared" si="587"/>
        <v>0</v>
      </c>
      <c r="K597" s="58">
        <f t="shared" si="587"/>
        <v>0</v>
      </c>
      <c r="L597" s="58">
        <f t="shared" si="587"/>
        <v>0</v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0" customHeight="1">
      <c r="A598" s="70"/>
      <c r="B598" s="71"/>
      <c r="C598" s="66"/>
      <c r="D598" s="66">
        <f t="shared" si="3"/>
        <v>0</v>
      </c>
      <c r="E598" s="67"/>
      <c r="F598" s="58">
        <f t="shared" ref="F598:L598" si="588">SUMIFS($C598,$B598,F$7)+F597</f>
        <v>26</v>
      </c>
      <c r="G598" s="58">
        <f t="shared" si="588"/>
        <v>24</v>
      </c>
      <c r="H598" s="58">
        <f t="shared" si="588"/>
        <v>12</v>
      </c>
      <c r="I598" s="58">
        <f t="shared" si="588"/>
        <v>-20</v>
      </c>
      <c r="J598" s="58">
        <f t="shared" si="588"/>
        <v>0</v>
      </c>
      <c r="K598" s="58">
        <f t="shared" si="588"/>
        <v>0</v>
      </c>
      <c r="L598" s="58">
        <f t="shared" si="588"/>
        <v>0</v>
      </c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0" customHeight="1">
      <c r="A599" s="70"/>
      <c r="B599" s="71"/>
      <c r="C599" s="66"/>
      <c r="D599" s="66">
        <f t="shared" si="3"/>
        <v>0</v>
      </c>
      <c r="E599" s="67"/>
      <c r="F599" s="58">
        <f t="shared" ref="F599:L599" si="589">SUMIFS($C599,$B599,F$7)+F598</f>
        <v>26</v>
      </c>
      <c r="G599" s="58">
        <f t="shared" si="589"/>
        <v>24</v>
      </c>
      <c r="H599" s="58">
        <f t="shared" si="589"/>
        <v>12</v>
      </c>
      <c r="I599" s="58">
        <f t="shared" si="589"/>
        <v>-20</v>
      </c>
      <c r="J599" s="58">
        <f t="shared" si="589"/>
        <v>0</v>
      </c>
      <c r="K599" s="58">
        <f t="shared" si="589"/>
        <v>0</v>
      </c>
      <c r="L599" s="58">
        <f t="shared" si="589"/>
        <v>0</v>
      </c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0" customHeight="1">
      <c r="A600" s="70"/>
      <c r="B600" s="71"/>
      <c r="C600" s="66"/>
      <c r="D600" s="66">
        <f t="shared" si="3"/>
        <v>0</v>
      </c>
      <c r="E600" s="67"/>
      <c r="F600" s="58">
        <f t="shared" ref="F600:L600" si="590">SUMIFS($C600,$B600,F$7)+F599</f>
        <v>26</v>
      </c>
      <c r="G600" s="58">
        <f t="shared" si="590"/>
        <v>24</v>
      </c>
      <c r="H600" s="58">
        <f t="shared" si="590"/>
        <v>12</v>
      </c>
      <c r="I600" s="58">
        <f t="shared" si="590"/>
        <v>-20</v>
      </c>
      <c r="J600" s="58">
        <f t="shared" si="590"/>
        <v>0</v>
      </c>
      <c r="K600" s="58">
        <f t="shared" si="590"/>
        <v>0</v>
      </c>
      <c r="L600" s="58">
        <f t="shared" si="590"/>
        <v>0</v>
      </c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0" customHeight="1">
      <c r="A601" s="70"/>
      <c r="B601" s="71"/>
      <c r="C601" s="66"/>
      <c r="D601" s="66">
        <f t="shared" si="3"/>
        <v>0</v>
      </c>
      <c r="E601" s="67"/>
      <c r="F601" s="58">
        <f t="shared" ref="F601:L601" si="591">SUMIFS($C601,$B601,F$7)+F600</f>
        <v>26</v>
      </c>
      <c r="G601" s="58">
        <f t="shared" si="591"/>
        <v>24</v>
      </c>
      <c r="H601" s="58">
        <f t="shared" si="591"/>
        <v>12</v>
      </c>
      <c r="I601" s="58">
        <f t="shared" si="591"/>
        <v>-20</v>
      </c>
      <c r="J601" s="58">
        <f t="shared" si="591"/>
        <v>0</v>
      </c>
      <c r="K601" s="58">
        <f t="shared" si="591"/>
        <v>0</v>
      </c>
      <c r="L601" s="58">
        <f t="shared" si="591"/>
        <v>0</v>
      </c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0" customHeight="1">
      <c r="A602" s="70"/>
      <c r="B602" s="71"/>
      <c r="C602" s="66"/>
      <c r="D602" s="66">
        <f t="shared" si="3"/>
        <v>0</v>
      </c>
      <c r="E602" s="67"/>
      <c r="F602" s="58">
        <f t="shared" ref="F602:L602" si="592">SUMIFS($C602,$B602,F$7)+F601</f>
        <v>26</v>
      </c>
      <c r="G602" s="58">
        <f t="shared" si="592"/>
        <v>24</v>
      </c>
      <c r="H602" s="58">
        <f t="shared" si="592"/>
        <v>12</v>
      </c>
      <c r="I602" s="58">
        <f t="shared" si="592"/>
        <v>-20</v>
      </c>
      <c r="J602" s="58">
        <f t="shared" si="592"/>
        <v>0</v>
      </c>
      <c r="K602" s="58">
        <f t="shared" si="592"/>
        <v>0</v>
      </c>
      <c r="L602" s="58">
        <f t="shared" si="592"/>
        <v>0</v>
      </c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0" customHeight="1">
      <c r="A603" s="70"/>
      <c r="B603" s="71"/>
      <c r="C603" s="66"/>
      <c r="D603" s="66">
        <f t="shared" si="3"/>
        <v>0</v>
      </c>
      <c r="E603" s="67"/>
      <c r="F603" s="58">
        <f t="shared" ref="F603:L603" si="593">SUMIFS($C603,$B603,F$7)+F602</f>
        <v>26</v>
      </c>
      <c r="G603" s="58">
        <f t="shared" si="593"/>
        <v>24</v>
      </c>
      <c r="H603" s="58">
        <f t="shared" si="593"/>
        <v>12</v>
      </c>
      <c r="I603" s="58">
        <f t="shared" si="593"/>
        <v>-20</v>
      </c>
      <c r="J603" s="58">
        <f t="shared" si="593"/>
        <v>0</v>
      </c>
      <c r="K603" s="58">
        <f t="shared" si="593"/>
        <v>0</v>
      </c>
      <c r="L603" s="58">
        <f t="shared" si="593"/>
        <v>0</v>
      </c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0" customHeight="1">
      <c r="A604" s="70"/>
      <c r="B604" s="71"/>
      <c r="C604" s="66"/>
      <c r="D604" s="66">
        <f t="shared" si="3"/>
        <v>0</v>
      </c>
      <c r="E604" s="67"/>
      <c r="F604" s="58">
        <f t="shared" ref="F604:L604" si="594">SUMIFS($C604,$B604,F$7)+F603</f>
        <v>26</v>
      </c>
      <c r="G604" s="58">
        <f t="shared" si="594"/>
        <v>24</v>
      </c>
      <c r="H604" s="58">
        <f t="shared" si="594"/>
        <v>12</v>
      </c>
      <c r="I604" s="58">
        <f t="shared" si="594"/>
        <v>-20</v>
      </c>
      <c r="J604" s="58">
        <f t="shared" si="594"/>
        <v>0</v>
      </c>
      <c r="K604" s="58">
        <f t="shared" si="594"/>
        <v>0</v>
      </c>
      <c r="L604" s="58">
        <f t="shared" si="594"/>
        <v>0</v>
      </c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0" customHeight="1">
      <c r="A605" s="70"/>
      <c r="B605" s="71"/>
      <c r="C605" s="66"/>
      <c r="D605" s="66">
        <f t="shared" si="3"/>
        <v>0</v>
      </c>
      <c r="E605" s="67"/>
      <c r="F605" s="58">
        <f t="shared" ref="F605:L605" si="595">SUMIFS($C605,$B605,F$7)+F604</f>
        <v>26</v>
      </c>
      <c r="G605" s="58">
        <f t="shared" si="595"/>
        <v>24</v>
      </c>
      <c r="H605" s="58">
        <f t="shared" si="595"/>
        <v>12</v>
      </c>
      <c r="I605" s="58">
        <f t="shared" si="595"/>
        <v>-20</v>
      </c>
      <c r="J605" s="58">
        <f t="shared" si="595"/>
        <v>0</v>
      </c>
      <c r="K605" s="58">
        <f t="shared" si="595"/>
        <v>0</v>
      </c>
      <c r="L605" s="58">
        <f t="shared" si="595"/>
        <v>0</v>
      </c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0" customHeight="1">
      <c r="A606" s="70"/>
      <c r="B606" s="71"/>
      <c r="C606" s="66"/>
      <c r="D606" s="66">
        <f t="shared" si="3"/>
        <v>0</v>
      </c>
      <c r="E606" s="67"/>
      <c r="F606" s="58">
        <f t="shared" ref="F606:L606" si="596">SUMIFS($C606,$B606,F$7)+F605</f>
        <v>26</v>
      </c>
      <c r="G606" s="58">
        <f t="shared" si="596"/>
        <v>24</v>
      </c>
      <c r="H606" s="58">
        <f t="shared" si="596"/>
        <v>12</v>
      </c>
      <c r="I606" s="58">
        <f t="shared" si="596"/>
        <v>-20</v>
      </c>
      <c r="J606" s="58">
        <f t="shared" si="596"/>
        <v>0</v>
      </c>
      <c r="K606" s="58">
        <f t="shared" si="596"/>
        <v>0</v>
      </c>
      <c r="L606" s="58">
        <f t="shared" si="596"/>
        <v>0</v>
      </c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0" customHeight="1">
      <c r="A607" s="70"/>
      <c r="B607" s="71"/>
      <c r="C607" s="66"/>
      <c r="D607" s="66">
        <f t="shared" si="3"/>
        <v>0</v>
      </c>
      <c r="E607" s="67"/>
      <c r="F607" s="58">
        <f t="shared" ref="F607:L607" si="597">SUMIFS($C607,$B607,F$7)+F606</f>
        <v>26</v>
      </c>
      <c r="G607" s="58">
        <f t="shared" si="597"/>
        <v>24</v>
      </c>
      <c r="H607" s="58">
        <f t="shared" si="597"/>
        <v>12</v>
      </c>
      <c r="I607" s="58">
        <f t="shared" si="597"/>
        <v>-20</v>
      </c>
      <c r="J607" s="58">
        <f t="shared" si="597"/>
        <v>0</v>
      </c>
      <c r="K607" s="58">
        <f t="shared" si="597"/>
        <v>0</v>
      </c>
      <c r="L607" s="58">
        <f t="shared" si="597"/>
        <v>0</v>
      </c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0" customHeight="1">
      <c r="A608" s="70"/>
      <c r="B608" s="71"/>
      <c r="C608" s="66"/>
      <c r="D608" s="66">
        <f t="shared" si="3"/>
        <v>0</v>
      </c>
      <c r="E608" s="67"/>
      <c r="F608" s="58">
        <f t="shared" ref="F608:L608" si="598">SUMIFS($C608,$B608,F$7)+F607</f>
        <v>26</v>
      </c>
      <c r="G608" s="58">
        <f t="shared" si="598"/>
        <v>24</v>
      </c>
      <c r="H608" s="58">
        <f t="shared" si="598"/>
        <v>12</v>
      </c>
      <c r="I608" s="58">
        <f t="shared" si="598"/>
        <v>-20</v>
      </c>
      <c r="J608" s="58">
        <f t="shared" si="598"/>
        <v>0</v>
      </c>
      <c r="K608" s="58">
        <f t="shared" si="598"/>
        <v>0</v>
      </c>
      <c r="L608" s="58">
        <f t="shared" si="598"/>
        <v>0</v>
      </c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0" customHeight="1">
      <c r="A609" s="70"/>
      <c r="B609" s="71"/>
      <c r="C609" s="66"/>
      <c r="D609" s="66">
        <f t="shared" si="3"/>
        <v>0</v>
      </c>
      <c r="E609" s="67"/>
      <c r="F609" s="58">
        <f t="shared" ref="F609:L609" si="599">SUMIFS($C609,$B609,F$7)+F608</f>
        <v>26</v>
      </c>
      <c r="G609" s="58">
        <f t="shared" si="599"/>
        <v>24</v>
      </c>
      <c r="H609" s="58">
        <f t="shared" si="599"/>
        <v>12</v>
      </c>
      <c r="I609" s="58">
        <f t="shared" si="599"/>
        <v>-20</v>
      </c>
      <c r="J609" s="58">
        <f t="shared" si="599"/>
        <v>0</v>
      </c>
      <c r="K609" s="58">
        <f t="shared" si="599"/>
        <v>0</v>
      </c>
      <c r="L609" s="58">
        <f t="shared" si="599"/>
        <v>0</v>
      </c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0" customHeight="1">
      <c r="A610" s="70"/>
      <c r="B610" s="71"/>
      <c r="C610" s="66"/>
      <c r="D610" s="66">
        <f t="shared" si="3"/>
        <v>0</v>
      </c>
      <c r="E610" s="67"/>
      <c r="F610" s="58">
        <f t="shared" ref="F610:L610" si="600">SUMIFS($C610,$B610,F$7)+F609</f>
        <v>26</v>
      </c>
      <c r="G610" s="58">
        <f t="shared" si="600"/>
        <v>24</v>
      </c>
      <c r="H610" s="58">
        <f t="shared" si="600"/>
        <v>12</v>
      </c>
      <c r="I610" s="58">
        <f t="shared" si="600"/>
        <v>-20</v>
      </c>
      <c r="J610" s="58">
        <f t="shared" si="600"/>
        <v>0</v>
      </c>
      <c r="K610" s="58">
        <f t="shared" si="600"/>
        <v>0</v>
      </c>
      <c r="L610" s="58">
        <f t="shared" si="600"/>
        <v>0</v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0" customHeight="1">
      <c r="A611" s="70"/>
      <c r="B611" s="71"/>
      <c r="C611" s="66"/>
      <c r="D611" s="66">
        <f t="shared" si="3"/>
        <v>0</v>
      </c>
      <c r="E611" s="67"/>
      <c r="F611" s="58">
        <f t="shared" ref="F611:L611" si="601">SUMIFS($C611,$B611,F$7)+F610</f>
        <v>26</v>
      </c>
      <c r="G611" s="58">
        <f t="shared" si="601"/>
        <v>24</v>
      </c>
      <c r="H611" s="58">
        <f t="shared" si="601"/>
        <v>12</v>
      </c>
      <c r="I611" s="58">
        <f t="shared" si="601"/>
        <v>-20</v>
      </c>
      <c r="J611" s="58">
        <f t="shared" si="601"/>
        <v>0</v>
      </c>
      <c r="K611" s="58">
        <f t="shared" si="601"/>
        <v>0</v>
      </c>
      <c r="L611" s="58">
        <f t="shared" si="601"/>
        <v>0</v>
      </c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0" customHeight="1">
      <c r="A612" s="70"/>
      <c r="B612" s="71"/>
      <c r="C612" s="66"/>
      <c r="D612" s="66">
        <f t="shared" si="3"/>
        <v>0</v>
      </c>
      <c r="E612" s="67"/>
      <c r="F612" s="58">
        <f t="shared" ref="F612:L612" si="602">SUMIFS($C612,$B612,F$7)+F611</f>
        <v>26</v>
      </c>
      <c r="G612" s="58">
        <f t="shared" si="602"/>
        <v>24</v>
      </c>
      <c r="H612" s="58">
        <f t="shared" si="602"/>
        <v>12</v>
      </c>
      <c r="I612" s="58">
        <f t="shared" si="602"/>
        <v>-20</v>
      </c>
      <c r="J612" s="58">
        <f t="shared" si="602"/>
        <v>0</v>
      </c>
      <c r="K612" s="58">
        <f t="shared" si="602"/>
        <v>0</v>
      </c>
      <c r="L612" s="58">
        <f t="shared" si="602"/>
        <v>0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0" customHeight="1">
      <c r="A613" s="70"/>
      <c r="B613" s="71"/>
      <c r="C613" s="66"/>
      <c r="D613" s="66">
        <f t="shared" si="3"/>
        <v>0</v>
      </c>
      <c r="E613" s="67"/>
      <c r="F613" s="58">
        <f t="shared" ref="F613:L613" si="603">SUMIFS($C613,$B613,F$7)+F612</f>
        <v>26</v>
      </c>
      <c r="G613" s="58">
        <f t="shared" si="603"/>
        <v>24</v>
      </c>
      <c r="H613" s="58">
        <f t="shared" si="603"/>
        <v>12</v>
      </c>
      <c r="I613" s="58">
        <f t="shared" si="603"/>
        <v>-20</v>
      </c>
      <c r="J613" s="58">
        <f t="shared" si="603"/>
        <v>0</v>
      </c>
      <c r="K613" s="58">
        <f t="shared" si="603"/>
        <v>0</v>
      </c>
      <c r="L613" s="58">
        <f t="shared" si="603"/>
        <v>0</v>
      </c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0" customHeight="1">
      <c r="A614" s="70"/>
      <c r="B614" s="71"/>
      <c r="C614" s="66"/>
      <c r="D614" s="66">
        <f t="shared" si="3"/>
        <v>0</v>
      </c>
      <c r="E614" s="67"/>
      <c r="F614" s="58">
        <f t="shared" ref="F614:L614" si="604">SUMIFS($C614,$B614,F$7)+F613</f>
        <v>26</v>
      </c>
      <c r="G614" s="58">
        <f t="shared" si="604"/>
        <v>24</v>
      </c>
      <c r="H614" s="58">
        <f t="shared" si="604"/>
        <v>12</v>
      </c>
      <c r="I614" s="58">
        <f t="shared" si="604"/>
        <v>-20</v>
      </c>
      <c r="J614" s="58">
        <f t="shared" si="604"/>
        <v>0</v>
      </c>
      <c r="K614" s="58">
        <f t="shared" si="604"/>
        <v>0</v>
      </c>
      <c r="L614" s="58">
        <f t="shared" si="604"/>
        <v>0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0" customHeight="1">
      <c r="A615" s="70"/>
      <c r="B615" s="71"/>
      <c r="C615" s="66"/>
      <c r="D615" s="66">
        <f t="shared" si="3"/>
        <v>0</v>
      </c>
      <c r="E615" s="67"/>
      <c r="F615" s="58">
        <f t="shared" ref="F615:L615" si="605">SUMIFS($C615,$B615,F$7)+F614</f>
        <v>26</v>
      </c>
      <c r="G615" s="58">
        <f t="shared" si="605"/>
        <v>24</v>
      </c>
      <c r="H615" s="58">
        <f t="shared" si="605"/>
        <v>12</v>
      </c>
      <c r="I615" s="58">
        <f t="shared" si="605"/>
        <v>-20</v>
      </c>
      <c r="J615" s="58">
        <f t="shared" si="605"/>
        <v>0</v>
      </c>
      <c r="K615" s="58">
        <f t="shared" si="605"/>
        <v>0</v>
      </c>
      <c r="L615" s="58">
        <f t="shared" si="605"/>
        <v>0</v>
      </c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0" customHeight="1">
      <c r="A616" s="70"/>
      <c r="B616" s="71"/>
      <c r="C616" s="66"/>
      <c r="D616" s="66">
        <f t="shared" si="3"/>
        <v>0</v>
      </c>
      <c r="E616" s="67"/>
      <c r="F616" s="58">
        <f t="shared" ref="F616:L616" si="606">SUMIFS($C616,$B616,F$7)+F615</f>
        <v>26</v>
      </c>
      <c r="G616" s="58">
        <f t="shared" si="606"/>
        <v>24</v>
      </c>
      <c r="H616" s="58">
        <f t="shared" si="606"/>
        <v>12</v>
      </c>
      <c r="I616" s="58">
        <f t="shared" si="606"/>
        <v>-20</v>
      </c>
      <c r="J616" s="58">
        <f t="shared" si="606"/>
        <v>0</v>
      </c>
      <c r="K616" s="58">
        <f t="shared" si="606"/>
        <v>0</v>
      </c>
      <c r="L616" s="58">
        <f t="shared" si="606"/>
        <v>0</v>
      </c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0" customHeight="1">
      <c r="A617" s="70"/>
      <c r="B617" s="71"/>
      <c r="C617" s="66"/>
      <c r="D617" s="66">
        <f t="shared" si="3"/>
        <v>0</v>
      </c>
      <c r="E617" s="67"/>
      <c r="F617" s="58">
        <f t="shared" ref="F617:L617" si="607">SUMIFS($C617,$B617,F$7)+F616</f>
        <v>26</v>
      </c>
      <c r="G617" s="58">
        <f t="shared" si="607"/>
        <v>24</v>
      </c>
      <c r="H617" s="58">
        <f t="shared" si="607"/>
        <v>12</v>
      </c>
      <c r="I617" s="58">
        <f t="shared" si="607"/>
        <v>-20</v>
      </c>
      <c r="J617" s="58">
        <f t="shared" si="607"/>
        <v>0</v>
      </c>
      <c r="K617" s="58">
        <f t="shared" si="607"/>
        <v>0</v>
      </c>
      <c r="L617" s="58">
        <f t="shared" si="607"/>
        <v>0</v>
      </c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0" customHeight="1">
      <c r="A618" s="70"/>
      <c r="B618" s="71"/>
      <c r="C618" s="66"/>
      <c r="D618" s="66">
        <f t="shared" si="3"/>
        <v>0</v>
      </c>
      <c r="E618" s="67"/>
      <c r="F618" s="58">
        <f t="shared" ref="F618:L618" si="608">SUMIFS($C618,$B618,F$7)+F617</f>
        <v>26</v>
      </c>
      <c r="G618" s="58">
        <f t="shared" si="608"/>
        <v>24</v>
      </c>
      <c r="H618" s="58">
        <f t="shared" si="608"/>
        <v>12</v>
      </c>
      <c r="I618" s="58">
        <f t="shared" si="608"/>
        <v>-20</v>
      </c>
      <c r="J618" s="58">
        <f t="shared" si="608"/>
        <v>0</v>
      </c>
      <c r="K618" s="58">
        <f t="shared" si="608"/>
        <v>0</v>
      </c>
      <c r="L618" s="58">
        <f t="shared" si="608"/>
        <v>0</v>
      </c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0" customHeight="1">
      <c r="A619" s="70"/>
      <c r="B619" s="71"/>
      <c r="C619" s="66"/>
      <c r="D619" s="66">
        <f t="shared" si="3"/>
        <v>0</v>
      </c>
      <c r="E619" s="67"/>
      <c r="F619" s="58">
        <f t="shared" ref="F619:L619" si="609">SUMIFS($C619,$B619,F$7)+F618</f>
        <v>26</v>
      </c>
      <c r="G619" s="58">
        <f t="shared" si="609"/>
        <v>24</v>
      </c>
      <c r="H619" s="58">
        <f t="shared" si="609"/>
        <v>12</v>
      </c>
      <c r="I619" s="58">
        <f t="shared" si="609"/>
        <v>-20</v>
      </c>
      <c r="J619" s="58">
        <f t="shared" si="609"/>
        <v>0</v>
      </c>
      <c r="K619" s="58">
        <f t="shared" si="609"/>
        <v>0</v>
      </c>
      <c r="L619" s="58">
        <f t="shared" si="609"/>
        <v>0</v>
      </c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0" customHeight="1">
      <c r="A620" s="70"/>
      <c r="B620" s="71"/>
      <c r="C620" s="66"/>
      <c r="D620" s="66">
        <f t="shared" si="3"/>
        <v>0</v>
      </c>
      <c r="E620" s="67"/>
      <c r="F620" s="58">
        <f t="shared" ref="F620:L620" si="610">SUMIFS($C620,$B620,F$7)+F619</f>
        <v>26</v>
      </c>
      <c r="G620" s="58">
        <f t="shared" si="610"/>
        <v>24</v>
      </c>
      <c r="H620" s="58">
        <f t="shared" si="610"/>
        <v>12</v>
      </c>
      <c r="I620" s="58">
        <f t="shared" si="610"/>
        <v>-20</v>
      </c>
      <c r="J620" s="58">
        <f t="shared" si="610"/>
        <v>0</v>
      </c>
      <c r="K620" s="58">
        <f t="shared" si="610"/>
        <v>0</v>
      </c>
      <c r="L620" s="58">
        <f t="shared" si="610"/>
        <v>0</v>
      </c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0" customHeight="1">
      <c r="A621" s="70"/>
      <c r="B621" s="71"/>
      <c r="C621" s="66"/>
      <c r="D621" s="66">
        <f t="shared" si="3"/>
        <v>0</v>
      </c>
      <c r="E621" s="67"/>
      <c r="F621" s="58">
        <f t="shared" ref="F621:L621" si="611">SUMIFS($C621,$B621,F$7)+F620</f>
        <v>26</v>
      </c>
      <c r="G621" s="58">
        <f t="shared" si="611"/>
        <v>24</v>
      </c>
      <c r="H621" s="58">
        <f t="shared" si="611"/>
        <v>12</v>
      </c>
      <c r="I621" s="58">
        <f t="shared" si="611"/>
        <v>-20</v>
      </c>
      <c r="J621" s="58">
        <f t="shared" si="611"/>
        <v>0</v>
      </c>
      <c r="K621" s="58">
        <f t="shared" si="611"/>
        <v>0</v>
      </c>
      <c r="L621" s="58">
        <f t="shared" si="611"/>
        <v>0</v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0" customHeight="1">
      <c r="A622" s="70"/>
      <c r="B622" s="71"/>
      <c r="C622" s="66"/>
      <c r="D622" s="66">
        <f t="shared" si="3"/>
        <v>0</v>
      </c>
      <c r="E622" s="67"/>
      <c r="F622" s="58">
        <f t="shared" ref="F622:L622" si="612">SUMIFS($C622,$B622,F$7)+F621</f>
        <v>26</v>
      </c>
      <c r="G622" s="58">
        <f t="shared" si="612"/>
        <v>24</v>
      </c>
      <c r="H622" s="58">
        <f t="shared" si="612"/>
        <v>12</v>
      </c>
      <c r="I622" s="58">
        <f t="shared" si="612"/>
        <v>-20</v>
      </c>
      <c r="J622" s="58">
        <f t="shared" si="612"/>
        <v>0</v>
      </c>
      <c r="K622" s="58">
        <f t="shared" si="612"/>
        <v>0</v>
      </c>
      <c r="L622" s="58">
        <f t="shared" si="612"/>
        <v>0</v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0" customHeight="1">
      <c r="A623" s="70"/>
      <c r="B623" s="71"/>
      <c r="C623" s="66"/>
      <c r="D623" s="66">
        <f t="shared" si="3"/>
        <v>0</v>
      </c>
      <c r="E623" s="67"/>
      <c r="F623" s="58">
        <f t="shared" ref="F623:L623" si="613">SUMIFS($C623,$B623,F$7)+F622</f>
        <v>26</v>
      </c>
      <c r="G623" s="58">
        <f t="shared" si="613"/>
        <v>24</v>
      </c>
      <c r="H623" s="58">
        <f t="shared" si="613"/>
        <v>12</v>
      </c>
      <c r="I623" s="58">
        <f t="shared" si="613"/>
        <v>-20</v>
      </c>
      <c r="J623" s="58">
        <f t="shared" si="613"/>
        <v>0</v>
      </c>
      <c r="K623" s="58">
        <f t="shared" si="613"/>
        <v>0</v>
      </c>
      <c r="L623" s="58">
        <f t="shared" si="613"/>
        <v>0</v>
      </c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0" customHeight="1">
      <c r="A624" s="70"/>
      <c r="B624" s="71"/>
      <c r="C624" s="66"/>
      <c r="D624" s="66">
        <f t="shared" si="3"/>
        <v>0</v>
      </c>
      <c r="E624" s="67"/>
      <c r="F624" s="58">
        <f t="shared" ref="F624:L624" si="614">SUMIFS($C624,$B624,F$7)+F623</f>
        <v>26</v>
      </c>
      <c r="G624" s="58">
        <f t="shared" si="614"/>
        <v>24</v>
      </c>
      <c r="H624" s="58">
        <f t="shared" si="614"/>
        <v>12</v>
      </c>
      <c r="I624" s="58">
        <f t="shared" si="614"/>
        <v>-20</v>
      </c>
      <c r="J624" s="58">
        <f t="shared" si="614"/>
        <v>0</v>
      </c>
      <c r="K624" s="58">
        <f t="shared" si="614"/>
        <v>0</v>
      </c>
      <c r="L624" s="58">
        <f t="shared" si="614"/>
        <v>0</v>
      </c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0" customHeight="1">
      <c r="A625" s="70"/>
      <c r="B625" s="71"/>
      <c r="C625" s="66"/>
      <c r="D625" s="66">
        <f t="shared" si="3"/>
        <v>0</v>
      </c>
      <c r="E625" s="67"/>
      <c r="F625" s="58">
        <f t="shared" ref="F625:L625" si="615">SUMIFS($C625,$B625,F$7)+F624</f>
        <v>26</v>
      </c>
      <c r="G625" s="58">
        <f t="shared" si="615"/>
        <v>24</v>
      </c>
      <c r="H625" s="58">
        <f t="shared" si="615"/>
        <v>12</v>
      </c>
      <c r="I625" s="58">
        <f t="shared" si="615"/>
        <v>-20</v>
      </c>
      <c r="J625" s="58">
        <f t="shared" si="615"/>
        <v>0</v>
      </c>
      <c r="K625" s="58">
        <f t="shared" si="615"/>
        <v>0</v>
      </c>
      <c r="L625" s="58">
        <f t="shared" si="615"/>
        <v>0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0" customHeight="1">
      <c r="A626" s="70"/>
      <c r="B626" s="71"/>
      <c r="C626" s="66"/>
      <c r="D626" s="66">
        <f t="shared" si="3"/>
        <v>0</v>
      </c>
      <c r="E626" s="67"/>
      <c r="F626" s="58">
        <f t="shared" ref="F626:L626" si="616">SUMIFS($C626,$B626,F$7)+F625</f>
        <v>26</v>
      </c>
      <c r="G626" s="58">
        <f t="shared" si="616"/>
        <v>24</v>
      </c>
      <c r="H626" s="58">
        <f t="shared" si="616"/>
        <v>12</v>
      </c>
      <c r="I626" s="58">
        <f t="shared" si="616"/>
        <v>-20</v>
      </c>
      <c r="J626" s="58">
        <f t="shared" si="616"/>
        <v>0</v>
      </c>
      <c r="K626" s="58">
        <f t="shared" si="616"/>
        <v>0</v>
      </c>
      <c r="L626" s="58">
        <f t="shared" si="616"/>
        <v>0</v>
      </c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0" customHeight="1">
      <c r="A627" s="70"/>
      <c r="B627" s="71"/>
      <c r="C627" s="66"/>
      <c r="D627" s="66">
        <f t="shared" si="3"/>
        <v>0</v>
      </c>
      <c r="E627" s="67"/>
      <c r="F627" s="58">
        <f t="shared" ref="F627:L627" si="617">SUMIFS($C627,$B627,F$7)+F626</f>
        <v>26</v>
      </c>
      <c r="G627" s="58">
        <f t="shared" si="617"/>
        <v>24</v>
      </c>
      <c r="H627" s="58">
        <f t="shared" si="617"/>
        <v>12</v>
      </c>
      <c r="I627" s="58">
        <f t="shared" si="617"/>
        <v>-20</v>
      </c>
      <c r="J627" s="58">
        <f t="shared" si="617"/>
        <v>0</v>
      </c>
      <c r="K627" s="58">
        <f t="shared" si="617"/>
        <v>0</v>
      </c>
      <c r="L627" s="58">
        <f t="shared" si="617"/>
        <v>0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0" customHeight="1">
      <c r="A628" s="70"/>
      <c r="B628" s="71"/>
      <c r="C628" s="66"/>
      <c r="D628" s="66">
        <f t="shared" si="3"/>
        <v>0</v>
      </c>
      <c r="E628" s="67"/>
      <c r="F628" s="58">
        <f t="shared" ref="F628:L628" si="618">SUMIFS($C628,$B628,F$7)+F627</f>
        <v>26</v>
      </c>
      <c r="G628" s="58">
        <f t="shared" si="618"/>
        <v>24</v>
      </c>
      <c r="H628" s="58">
        <f t="shared" si="618"/>
        <v>12</v>
      </c>
      <c r="I628" s="58">
        <f t="shared" si="618"/>
        <v>-20</v>
      </c>
      <c r="J628" s="58">
        <f t="shared" si="618"/>
        <v>0</v>
      </c>
      <c r="K628" s="58">
        <f t="shared" si="618"/>
        <v>0</v>
      </c>
      <c r="L628" s="58">
        <f t="shared" si="618"/>
        <v>0</v>
      </c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0" customHeight="1">
      <c r="A629" s="70"/>
      <c r="B629" s="71"/>
      <c r="C629" s="66"/>
      <c r="D629" s="66">
        <f t="shared" si="3"/>
        <v>0</v>
      </c>
      <c r="E629" s="67"/>
      <c r="F629" s="58">
        <f t="shared" ref="F629:L629" si="619">SUMIFS($C629,$B629,F$7)+F628</f>
        <v>26</v>
      </c>
      <c r="G629" s="58">
        <f t="shared" si="619"/>
        <v>24</v>
      </c>
      <c r="H629" s="58">
        <f t="shared" si="619"/>
        <v>12</v>
      </c>
      <c r="I629" s="58">
        <f t="shared" si="619"/>
        <v>-20</v>
      </c>
      <c r="J629" s="58">
        <f t="shared" si="619"/>
        <v>0</v>
      </c>
      <c r="K629" s="58">
        <f t="shared" si="619"/>
        <v>0</v>
      </c>
      <c r="L629" s="58">
        <f t="shared" si="619"/>
        <v>0</v>
      </c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0" customHeight="1">
      <c r="A630" s="70"/>
      <c r="B630" s="71"/>
      <c r="C630" s="66"/>
      <c r="D630" s="66">
        <f t="shared" si="3"/>
        <v>0</v>
      </c>
      <c r="E630" s="67"/>
      <c r="F630" s="58">
        <f t="shared" ref="F630:L630" si="620">SUMIFS($C630,$B630,F$7)+F629</f>
        <v>26</v>
      </c>
      <c r="G630" s="58">
        <f t="shared" si="620"/>
        <v>24</v>
      </c>
      <c r="H630" s="58">
        <f t="shared" si="620"/>
        <v>12</v>
      </c>
      <c r="I630" s="58">
        <f t="shared" si="620"/>
        <v>-20</v>
      </c>
      <c r="J630" s="58">
        <f t="shared" si="620"/>
        <v>0</v>
      </c>
      <c r="K630" s="58">
        <f t="shared" si="620"/>
        <v>0</v>
      </c>
      <c r="L630" s="58">
        <f t="shared" si="620"/>
        <v>0</v>
      </c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0" customHeight="1">
      <c r="A631" s="70"/>
      <c r="B631" s="71"/>
      <c r="C631" s="66"/>
      <c r="D631" s="66">
        <f t="shared" si="3"/>
        <v>0</v>
      </c>
      <c r="E631" s="67"/>
      <c r="F631" s="58">
        <f t="shared" ref="F631:L631" si="621">SUMIFS($C631,$B631,F$7)+F630</f>
        <v>26</v>
      </c>
      <c r="G631" s="58">
        <f t="shared" si="621"/>
        <v>24</v>
      </c>
      <c r="H631" s="58">
        <f t="shared" si="621"/>
        <v>12</v>
      </c>
      <c r="I631" s="58">
        <f t="shared" si="621"/>
        <v>-20</v>
      </c>
      <c r="J631" s="58">
        <f t="shared" si="621"/>
        <v>0</v>
      </c>
      <c r="K631" s="58">
        <f t="shared" si="621"/>
        <v>0</v>
      </c>
      <c r="L631" s="58">
        <f t="shared" si="621"/>
        <v>0</v>
      </c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0" customHeight="1">
      <c r="A632" s="70"/>
      <c r="B632" s="71"/>
      <c r="C632" s="66"/>
      <c r="D632" s="66">
        <f t="shared" si="3"/>
        <v>0</v>
      </c>
      <c r="E632" s="67"/>
      <c r="F632" s="58">
        <f t="shared" ref="F632:L632" si="622">SUMIFS($C632,$B632,F$7)+F631</f>
        <v>26</v>
      </c>
      <c r="G632" s="58">
        <f t="shared" si="622"/>
        <v>24</v>
      </c>
      <c r="H632" s="58">
        <f t="shared" si="622"/>
        <v>12</v>
      </c>
      <c r="I632" s="58">
        <f t="shared" si="622"/>
        <v>-20</v>
      </c>
      <c r="J632" s="58">
        <f t="shared" si="622"/>
        <v>0</v>
      </c>
      <c r="K632" s="58">
        <f t="shared" si="622"/>
        <v>0</v>
      </c>
      <c r="L632" s="58">
        <f t="shared" si="622"/>
        <v>0</v>
      </c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0" customHeight="1">
      <c r="A633" s="70"/>
      <c r="B633" s="71"/>
      <c r="C633" s="66"/>
      <c r="D633" s="66">
        <f t="shared" si="3"/>
        <v>0</v>
      </c>
      <c r="E633" s="67"/>
      <c r="F633" s="58">
        <f t="shared" ref="F633:L633" si="623">SUMIFS($C633,$B633,F$7)+F632</f>
        <v>26</v>
      </c>
      <c r="G633" s="58">
        <f t="shared" si="623"/>
        <v>24</v>
      </c>
      <c r="H633" s="58">
        <f t="shared" si="623"/>
        <v>12</v>
      </c>
      <c r="I633" s="58">
        <f t="shared" si="623"/>
        <v>-20</v>
      </c>
      <c r="J633" s="58">
        <f t="shared" si="623"/>
        <v>0</v>
      </c>
      <c r="K633" s="58">
        <f t="shared" si="623"/>
        <v>0</v>
      </c>
      <c r="L633" s="58">
        <f t="shared" si="623"/>
        <v>0</v>
      </c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0" customHeight="1">
      <c r="A634" s="70"/>
      <c r="B634" s="71"/>
      <c r="C634" s="66"/>
      <c r="D634" s="66">
        <f t="shared" si="3"/>
        <v>0</v>
      </c>
      <c r="E634" s="67"/>
      <c r="F634" s="58">
        <f t="shared" ref="F634:L634" si="624">SUMIFS($C634,$B634,F$7)+F633</f>
        <v>26</v>
      </c>
      <c r="G634" s="58">
        <f t="shared" si="624"/>
        <v>24</v>
      </c>
      <c r="H634" s="58">
        <f t="shared" si="624"/>
        <v>12</v>
      </c>
      <c r="I634" s="58">
        <f t="shared" si="624"/>
        <v>-20</v>
      </c>
      <c r="J634" s="58">
        <f t="shared" si="624"/>
        <v>0</v>
      </c>
      <c r="K634" s="58">
        <f t="shared" si="624"/>
        <v>0</v>
      </c>
      <c r="L634" s="58">
        <f t="shared" si="624"/>
        <v>0</v>
      </c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0" customHeight="1">
      <c r="A635" s="70"/>
      <c r="B635" s="71"/>
      <c r="C635" s="66"/>
      <c r="D635" s="66">
        <f t="shared" si="3"/>
        <v>0</v>
      </c>
      <c r="E635" s="67"/>
      <c r="F635" s="58">
        <f t="shared" ref="F635:L635" si="625">SUMIFS($C635,$B635,F$7)+F634</f>
        <v>26</v>
      </c>
      <c r="G635" s="58">
        <f t="shared" si="625"/>
        <v>24</v>
      </c>
      <c r="H635" s="58">
        <f t="shared" si="625"/>
        <v>12</v>
      </c>
      <c r="I635" s="58">
        <f t="shared" si="625"/>
        <v>-20</v>
      </c>
      <c r="J635" s="58">
        <f t="shared" si="625"/>
        <v>0</v>
      </c>
      <c r="K635" s="58">
        <f t="shared" si="625"/>
        <v>0</v>
      </c>
      <c r="L635" s="58">
        <f t="shared" si="625"/>
        <v>0</v>
      </c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0" customHeight="1">
      <c r="A636" s="70"/>
      <c r="B636" s="71"/>
      <c r="C636" s="66"/>
      <c r="D636" s="66">
        <f t="shared" si="3"/>
        <v>0</v>
      </c>
      <c r="E636" s="67"/>
      <c r="F636" s="58">
        <f t="shared" ref="F636:L636" si="626">SUMIFS($C636,$B636,F$7)+F635</f>
        <v>26</v>
      </c>
      <c r="G636" s="58">
        <f t="shared" si="626"/>
        <v>24</v>
      </c>
      <c r="H636" s="58">
        <f t="shared" si="626"/>
        <v>12</v>
      </c>
      <c r="I636" s="58">
        <f t="shared" si="626"/>
        <v>-20</v>
      </c>
      <c r="J636" s="58">
        <f t="shared" si="626"/>
        <v>0</v>
      </c>
      <c r="K636" s="58">
        <f t="shared" si="626"/>
        <v>0</v>
      </c>
      <c r="L636" s="58">
        <f t="shared" si="626"/>
        <v>0</v>
      </c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0" customHeight="1">
      <c r="A637" s="70"/>
      <c r="B637" s="71"/>
      <c r="C637" s="66"/>
      <c r="D637" s="66">
        <f t="shared" si="3"/>
        <v>0</v>
      </c>
      <c r="E637" s="67"/>
      <c r="F637" s="58">
        <f t="shared" ref="F637:L637" si="627">SUMIFS($C637,$B637,F$7)+F636</f>
        <v>26</v>
      </c>
      <c r="G637" s="58">
        <f t="shared" si="627"/>
        <v>24</v>
      </c>
      <c r="H637" s="58">
        <f t="shared" si="627"/>
        <v>12</v>
      </c>
      <c r="I637" s="58">
        <f t="shared" si="627"/>
        <v>-20</v>
      </c>
      <c r="J637" s="58">
        <f t="shared" si="627"/>
        <v>0</v>
      </c>
      <c r="K637" s="58">
        <f t="shared" si="627"/>
        <v>0</v>
      </c>
      <c r="L637" s="58">
        <f t="shared" si="627"/>
        <v>0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0" customHeight="1">
      <c r="A638" s="70"/>
      <c r="B638" s="71"/>
      <c r="C638" s="66"/>
      <c r="D638" s="66">
        <f t="shared" si="3"/>
        <v>0</v>
      </c>
      <c r="E638" s="67"/>
      <c r="F638" s="58">
        <f t="shared" ref="F638:L638" si="628">SUMIFS($C638,$B638,F$7)+F637</f>
        <v>26</v>
      </c>
      <c r="G638" s="58">
        <f t="shared" si="628"/>
        <v>24</v>
      </c>
      <c r="H638" s="58">
        <f t="shared" si="628"/>
        <v>12</v>
      </c>
      <c r="I638" s="58">
        <f t="shared" si="628"/>
        <v>-20</v>
      </c>
      <c r="J638" s="58">
        <f t="shared" si="628"/>
        <v>0</v>
      </c>
      <c r="K638" s="58">
        <f t="shared" si="628"/>
        <v>0</v>
      </c>
      <c r="L638" s="58">
        <f t="shared" si="628"/>
        <v>0</v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0" customHeight="1">
      <c r="A639" s="70"/>
      <c r="B639" s="71"/>
      <c r="C639" s="66"/>
      <c r="D639" s="66">
        <f t="shared" si="3"/>
        <v>0</v>
      </c>
      <c r="E639" s="67"/>
      <c r="F639" s="58">
        <f t="shared" ref="F639:L639" si="629">SUMIFS($C639,$B639,F$7)+F638</f>
        <v>26</v>
      </c>
      <c r="G639" s="58">
        <f t="shared" si="629"/>
        <v>24</v>
      </c>
      <c r="H639" s="58">
        <f t="shared" si="629"/>
        <v>12</v>
      </c>
      <c r="I639" s="58">
        <f t="shared" si="629"/>
        <v>-20</v>
      </c>
      <c r="J639" s="58">
        <f t="shared" si="629"/>
        <v>0</v>
      </c>
      <c r="K639" s="58">
        <f t="shared" si="629"/>
        <v>0</v>
      </c>
      <c r="L639" s="58">
        <f t="shared" si="629"/>
        <v>0</v>
      </c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0" customHeight="1">
      <c r="A640" s="70"/>
      <c r="B640" s="71"/>
      <c r="C640" s="66"/>
      <c r="D640" s="66">
        <f t="shared" si="3"/>
        <v>0</v>
      </c>
      <c r="E640" s="67"/>
      <c r="F640" s="58">
        <f t="shared" ref="F640:L640" si="630">SUMIFS($C640,$B640,F$7)+F639</f>
        <v>26</v>
      </c>
      <c r="G640" s="58">
        <f t="shared" si="630"/>
        <v>24</v>
      </c>
      <c r="H640" s="58">
        <f t="shared" si="630"/>
        <v>12</v>
      </c>
      <c r="I640" s="58">
        <f t="shared" si="630"/>
        <v>-20</v>
      </c>
      <c r="J640" s="58">
        <f t="shared" si="630"/>
        <v>0</v>
      </c>
      <c r="K640" s="58">
        <f t="shared" si="630"/>
        <v>0</v>
      </c>
      <c r="L640" s="58">
        <f t="shared" si="630"/>
        <v>0</v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0" customHeight="1">
      <c r="A641" s="70"/>
      <c r="B641" s="71"/>
      <c r="C641" s="66"/>
      <c r="D641" s="66">
        <f t="shared" si="3"/>
        <v>0</v>
      </c>
      <c r="E641" s="67"/>
      <c r="F641" s="58">
        <f t="shared" ref="F641:L641" si="631">SUMIFS($C641,$B641,F$7)+F640</f>
        <v>26</v>
      </c>
      <c r="G641" s="58">
        <f t="shared" si="631"/>
        <v>24</v>
      </c>
      <c r="H641" s="58">
        <f t="shared" si="631"/>
        <v>12</v>
      </c>
      <c r="I641" s="58">
        <f t="shared" si="631"/>
        <v>-20</v>
      </c>
      <c r="J641" s="58">
        <f t="shared" si="631"/>
        <v>0</v>
      </c>
      <c r="K641" s="58">
        <f t="shared" si="631"/>
        <v>0</v>
      </c>
      <c r="L641" s="58">
        <f t="shared" si="631"/>
        <v>0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0" customHeight="1">
      <c r="A642" s="70"/>
      <c r="B642" s="71"/>
      <c r="C642" s="66"/>
      <c r="D642" s="66">
        <f t="shared" si="3"/>
        <v>0</v>
      </c>
      <c r="E642" s="67"/>
      <c r="F642" s="58">
        <f t="shared" ref="F642:L642" si="632">SUMIFS($C642,$B642,F$7)+F641</f>
        <v>26</v>
      </c>
      <c r="G642" s="58">
        <f t="shared" si="632"/>
        <v>24</v>
      </c>
      <c r="H642" s="58">
        <f t="shared" si="632"/>
        <v>12</v>
      </c>
      <c r="I642" s="58">
        <f t="shared" si="632"/>
        <v>-20</v>
      </c>
      <c r="J642" s="58">
        <f t="shared" si="632"/>
        <v>0</v>
      </c>
      <c r="K642" s="58">
        <f t="shared" si="632"/>
        <v>0</v>
      </c>
      <c r="L642" s="58">
        <f t="shared" si="632"/>
        <v>0</v>
      </c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0" customHeight="1">
      <c r="A643" s="70"/>
      <c r="B643" s="71"/>
      <c r="C643" s="66"/>
      <c r="D643" s="66">
        <f t="shared" si="3"/>
        <v>0</v>
      </c>
      <c r="E643" s="67"/>
      <c r="F643" s="58">
        <f t="shared" ref="F643:L643" si="633">SUMIFS($C643,$B643,F$7)+F642</f>
        <v>26</v>
      </c>
      <c r="G643" s="58">
        <f t="shared" si="633"/>
        <v>24</v>
      </c>
      <c r="H643" s="58">
        <f t="shared" si="633"/>
        <v>12</v>
      </c>
      <c r="I643" s="58">
        <f t="shared" si="633"/>
        <v>-20</v>
      </c>
      <c r="J643" s="58">
        <f t="shared" si="633"/>
        <v>0</v>
      </c>
      <c r="K643" s="58">
        <f t="shared" si="633"/>
        <v>0</v>
      </c>
      <c r="L643" s="58">
        <f t="shared" si="633"/>
        <v>0</v>
      </c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0" customHeight="1">
      <c r="A644" s="70"/>
      <c r="B644" s="71"/>
      <c r="C644" s="66"/>
      <c r="D644" s="66">
        <f t="shared" si="3"/>
        <v>0</v>
      </c>
      <c r="E644" s="67"/>
      <c r="F644" s="58">
        <f t="shared" ref="F644:L644" si="634">SUMIFS($C644,$B644,F$7)+F643</f>
        <v>26</v>
      </c>
      <c r="G644" s="58">
        <f t="shared" si="634"/>
        <v>24</v>
      </c>
      <c r="H644" s="58">
        <f t="shared" si="634"/>
        <v>12</v>
      </c>
      <c r="I644" s="58">
        <f t="shared" si="634"/>
        <v>-20</v>
      </c>
      <c r="J644" s="58">
        <f t="shared" si="634"/>
        <v>0</v>
      </c>
      <c r="K644" s="58">
        <f t="shared" si="634"/>
        <v>0</v>
      </c>
      <c r="L644" s="58">
        <f t="shared" si="634"/>
        <v>0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0" customHeight="1">
      <c r="A645" s="70"/>
      <c r="B645" s="71"/>
      <c r="C645" s="66"/>
      <c r="D645" s="66">
        <f t="shared" si="3"/>
        <v>0</v>
      </c>
      <c r="E645" s="67"/>
      <c r="F645" s="58">
        <f t="shared" ref="F645:L645" si="635">SUMIFS($C645,$B645,F$7)+F644</f>
        <v>26</v>
      </c>
      <c r="G645" s="58">
        <f t="shared" si="635"/>
        <v>24</v>
      </c>
      <c r="H645" s="58">
        <f t="shared" si="635"/>
        <v>12</v>
      </c>
      <c r="I645" s="58">
        <f t="shared" si="635"/>
        <v>-20</v>
      </c>
      <c r="J645" s="58">
        <f t="shared" si="635"/>
        <v>0</v>
      </c>
      <c r="K645" s="58">
        <f t="shared" si="635"/>
        <v>0</v>
      </c>
      <c r="L645" s="58">
        <f t="shared" si="635"/>
        <v>0</v>
      </c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0" customHeight="1">
      <c r="A646" s="70"/>
      <c r="B646" s="71"/>
      <c r="C646" s="66"/>
      <c r="D646" s="66">
        <f t="shared" si="3"/>
        <v>0</v>
      </c>
      <c r="E646" s="67"/>
      <c r="F646" s="58">
        <f t="shared" ref="F646:L646" si="636">SUMIFS($C646,$B646,F$7)+F645</f>
        <v>26</v>
      </c>
      <c r="G646" s="58">
        <f t="shared" si="636"/>
        <v>24</v>
      </c>
      <c r="H646" s="58">
        <f t="shared" si="636"/>
        <v>12</v>
      </c>
      <c r="I646" s="58">
        <f t="shared" si="636"/>
        <v>-20</v>
      </c>
      <c r="J646" s="58">
        <f t="shared" si="636"/>
        <v>0</v>
      </c>
      <c r="K646" s="58">
        <f t="shared" si="636"/>
        <v>0</v>
      </c>
      <c r="L646" s="58">
        <f t="shared" si="636"/>
        <v>0</v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0" customHeight="1">
      <c r="A647" s="70"/>
      <c r="B647" s="71"/>
      <c r="C647" s="66"/>
      <c r="D647" s="66">
        <f t="shared" si="3"/>
        <v>0</v>
      </c>
      <c r="E647" s="67"/>
      <c r="F647" s="58">
        <f t="shared" ref="F647:L647" si="637">SUMIFS($C647,$B647,F$7)+F646</f>
        <v>26</v>
      </c>
      <c r="G647" s="58">
        <f t="shared" si="637"/>
        <v>24</v>
      </c>
      <c r="H647" s="58">
        <f t="shared" si="637"/>
        <v>12</v>
      </c>
      <c r="I647" s="58">
        <f t="shared" si="637"/>
        <v>-20</v>
      </c>
      <c r="J647" s="58">
        <f t="shared" si="637"/>
        <v>0</v>
      </c>
      <c r="K647" s="58">
        <f t="shared" si="637"/>
        <v>0</v>
      </c>
      <c r="L647" s="58">
        <f t="shared" si="637"/>
        <v>0</v>
      </c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0" customHeight="1">
      <c r="A648" s="70"/>
      <c r="B648" s="71"/>
      <c r="C648" s="66"/>
      <c r="D648" s="66">
        <f t="shared" si="3"/>
        <v>0</v>
      </c>
      <c r="E648" s="67"/>
      <c r="F648" s="58">
        <f t="shared" ref="F648:L648" si="638">SUMIFS($C648,$B648,F$7)+F647</f>
        <v>26</v>
      </c>
      <c r="G648" s="58">
        <f t="shared" si="638"/>
        <v>24</v>
      </c>
      <c r="H648" s="58">
        <f t="shared" si="638"/>
        <v>12</v>
      </c>
      <c r="I648" s="58">
        <f t="shared" si="638"/>
        <v>-20</v>
      </c>
      <c r="J648" s="58">
        <f t="shared" si="638"/>
        <v>0</v>
      </c>
      <c r="K648" s="58">
        <f t="shared" si="638"/>
        <v>0</v>
      </c>
      <c r="L648" s="58">
        <f t="shared" si="638"/>
        <v>0</v>
      </c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0" customHeight="1">
      <c r="A649" s="70"/>
      <c r="B649" s="71"/>
      <c r="C649" s="66"/>
      <c r="D649" s="66">
        <f t="shared" si="3"/>
        <v>0</v>
      </c>
      <c r="E649" s="67"/>
      <c r="F649" s="58">
        <f t="shared" ref="F649:L649" si="639">SUMIFS($C649,$B649,F$7)+F648</f>
        <v>26</v>
      </c>
      <c r="G649" s="58">
        <f t="shared" si="639"/>
        <v>24</v>
      </c>
      <c r="H649" s="58">
        <f t="shared" si="639"/>
        <v>12</v>
      </c>
      <c r="I649" s="58">
        <f t="shared" si="639"/>
        <v>-20</v>
      </c>
      <c r="J649" s="58">
        <f t="shared" si="639"/>
        <v>0</v>
      </c>
      <c r="K649" s="58">
        <f t="shared" si="639"/>
        <v>0</v>
      </c>
      <c r="L649" s="58">
        <f t="shared" si="639"/>
        <v>0</v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0" customHeight="1">
      <c r="A650" s="70"/>
      <c r="B650" s="71"/>
      <c r="C650" s="66"/>
      <c r="D650" s="66">
        <f t="shared" si="3"/>
        <v>0</v>
      </c>
      <c r="E650" s="67"/>
      <c r="F650" s="58">
        <f t="shared" ref="F650:L650" si="640">SUMIFS($C650,$B650,F$7)+F649</f>
        <v>26</v>
      </c>
      <c r="G650" s="58">
        <f t="shared" si="640"/>
        <v>24</v>
      </c>
      <c r="H650" s="58">
        <f t="shared" si="640"/>
        <v>12</v>
      </c>
      <c r="I650" s="58">
        <f t="shared" si="640"/>
        <v>-20</v>
      </c>
      <c r="J650" s="58">
        <f t="shared" si="640"/>
        <v>0</v>
      </c>
      <c r="K650" s="58">
        <f t="shared" si="640"/>
        <v>0</v>
      </c>
      <c r="L650" s="58">
        <f t="shared" si="640"/>
        <v>0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0" customHeight="1">
      <c r="A651" s="70"/>
      <c r="B651" s="71"/>
      <c r="C651" s="66"/>
      <c r="D651" s="66">
        <f t="shared" si="3"/>
        <v>0</v>
      </c>
      <c r="E651" s="67"/>
      <c r="F651" s="58">
        <f t="shared" ref="F651:L651" si="641">SUMIFS($C651,$B651,F$7)+F650</f>
        <v>26</v>
      </c>
      <c r="G651" s="58">
        <f t="shared" si="641"/>
        <v>24</v>
      </c>
      <c r="H651" s="58">
        <f t="shared" si="641"/>
        <v>12</v>
      </c>
      <c r="I651" s="58">
        <f t="shared" si="641"/>
        <v>-20</v>
      </c>
      <c r="J651" s="58">
        <f t="shared" si="641"/>
        <v>0</v>
      </c>
      <c r="K651" s="58">
        <f t="shared" si="641"/>
        <v>0</v>
      </c>
      <c r="L651" s="58">
        <f t="shared" si="641"/>
        <v>0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0" customHeight="1">
      <c r="A652" s="70"/>
      <c r="B652" s="71"/>
      <c r="C652" s="66"/>
      <c r="D652" s="66">
        <f t="shared" si="3"/>
        <v>0</v>
      </c>
      <c r="E652" s="67"/>
      <c r="F652" s="58">
        <f t="shared" ref="F652:L652" si="642">SUMIFS($C652,$B652,F$7)+F651</f>
        <v>26</v>
      </c>
      <c r="G652" s="58">
        <f t="shared" si="642"/>
        <v>24</v>
      </c>
      <c r="H652" s="58">
        <f t="shared" si="642"/>
        <v>12</v>
      </c>
      <c r="I652" s="58">
        <f t="shared" si="642"/>
        <v>-20</v>
      </c>
      <c r="J652" s="58">
        <f t="shared" si="642"/>
        <v>0</v>
      </c>
      <c r="K652" s="58">
        <f t="shared" si="642"/>
        <v>0</v>
      </c>
      <c r="L652" s="58">
        <f t="shared" si="642"/>
        <v>0</v>
      </c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0" customHeight="1">
      <c r="A653" s="70"/>
      <c r="B653" s="71"/>
      <c r="C653" s="66"/>
      <c r="D653" s="66">
        <f t="shared" si="3"/>
        <v>0</v>
      </c>
      <c r="E653" s="67"/>
      <c r="F653" s="58">
        <f t="shared" ref="F653:L653" si="643">SUMIFS($C653,$B653,F$7)+F652</f>
        <v>26</v>
      </c>
      <c r="G653" s="58">
        <f t="shared" si="643"/>
        <v>24</v>
      </c>
      <c r="H653" s="58">
        <f t="shared" si="643"/>
        <v>12</v>
      </c>
      <c r="I653" s="58">
        <f t="shared" si="643"/>
        <v>-20</v>
      </c>
      <c r="J653" s="58">
        <f t="shared" si="643"/>
        <v>0</v>
      </c>
      <c r="K653" s="58">
        <f t="shared" si="643"/>
        <v>0</v>
      </c>
      <c r="L653" s="58">
        <f t="shared" si="643"/>
        <v>0</v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0" customHeight="1">
      <c r="A654" s="70"/>
      <c r="B654" s="71"/>
      <c r="C654" s="66"/>
      <c r="D654" s="66">
        <f t="shared" si="3"/>
        <v>0</v>
      </c>
      <c r="E654" s="67"/>
      <c r="F654" s="58">
        <f t="shared" ref="F654:L654" si="644">SUMIFS($C654,$B654,F$7)+F653</f>
        <v>26</v>
      </c>
      <c r="G654" s="58">
        <f t="shared" si="644"/>
        <v>24</v>
      </c>
      <c r="H654" s="58">
        <f t="shared" si="644"/>
        <v>12</v>
      </c>
      <c r="I654" s="58">
        <f t="shared" si="644"/>
        <v>-20</v>
      </c>
      <c r="J654" s="58">
        <f t="shared" si="644"/>
        <v>0</v>
      </c>
      <c r="K654" s="58">
        <f t="shared" si="644"/>
        <v>0</v>
      </c>
      <c r="L654" s="58">
        <f t="shared" si="644"/>
        <v>0</v>
      </c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0" customHeight="1">
      <c r="A655" s="70"/>
      <c r="B655" s="71"/>
      <c r="C655" s="66"/>
      <c r="D655" s="66">
        <f t="shared" si="3"/>
        <v>0</v>
      </c>
      <c r="E655" s="67"/>
      <c r="F655" s="58">
        <f t="shared" ref="F655:L655" si="645">SUMIFS($C655,$B655,F$7)+F654</f>
        <v>26</v>
      </c>
      <c r="G655" s="58">
        <f t="shared" si="645"/>
        <v>24</v>
      </c>
      <c r="H655" s="58">
        <f t="shared" si="645"/>
        <v>12</v>
      </c>
      <c r="I655" s="58">
        <f t="shared" si="645"/>
        <v>-20</v>
      </c>
      <c r="J655" s="58">
        <f t="shared" si="645"/>
        <v>0</v>
      </c>
      <c r="K655" s="58">
        <f t="shared" si="645"/>
        <v>0</v>
      </c>
      <c r="L655" s="58">
        <f t="shared" si="645"/>
        <v>0</v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0" customHeight="1">
      <c r="A656" s="70"/>
      <c r="B656" s="71"/>
      <c r="C656" s="66"/>
      <c r="D656" s="66">
        <f t="shared" si="3"/>
        <v>0</v>
      </c>
      <c r="E656" s="67"/>
      <c r="F656" s="58">
        <f t="shared" ref="F656:L656" si="646">SUMIFS($C656,$B656,F$7)+F655</f>
        <v>26</v>
      </c>
      <c r="G656" s="58">
        <f t="shared" si="646"/>
        <v>24</v>
      </c>
      <c r="H656" s="58">
        <f t="shared" si="646"/>
        <v>12</v>
      </c>
      <c r="I656" s="58">
        <f t="shared" si="646"/>
        <v>-20</v>
      </c>
      <c r="J656" s="58">
        <f t="shared" si="646"/>
        <v>0</v>
      </c>
      <c r="K656" s="58">
        <f t="shared" si="646"/>
        <v>0</v>
      </c>
      <c r="L656" s="58">
        <f t="shared" si="646"/>
        <v>0</v>
      </c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0" customHeight="1">
      <c r="A657" s="70"/>
      <c r="B657" s="71"/>
      <c r="C657" s="66"/>
      <c r="D657" s="66">
        <f t="shared" si="3"/>
        <v>0</v>
      </c>
      <c r="E657" s="67"/>
      <c r="F657" s="58">
        <f t="shared" ref="F657:L657" si="647">SUMIFS($C657,$B657,F$7)+F656</f>
        <v>26</v>
      </c>
      <c r="G657" s="58">
        <f t="shared" si="647"/>
        <v>24</v>
      </c>
      <c r="H657" s="58">
        <f t="shared" si="647"/>
        <v>12</v>
      </c>
      <c r="I657" s="58">
        <f t="shared" si="647"/>
        <v>-20</v>
      </c>
      <c r="J657" s="58">
        <f t="shared" si="647"/>
        <v>0</v>
      </c>
      <c r="K657" s="58">
        <f t="shared" si="647"/>
        <v>0</v>
      </c>
      <c r="L657" s="58">
        <f t="shared" si="647"/>
        <v>0</v>
      </c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0" customHeight="1">
      <c r="A658" s="70"/>
      <c r="B658" s="71"/>
      <c r="C658" s="66"/>
      <c r="D658" s="66">
        <f t="shared" si="3"/>
        <v>0</v>
      </c>
      <c r="E658" s="67"/>
      <c r="F658" s="58">
        <f t="shared" ref="F658:L658" si="648">SUMIFS($C658,$B658,F$7)+F657</f>
        <v>26</v>
      </c>
      <c r="G658" s="58">
        <f t="shared" si="648"/>
        <v>24</v>
      </c>
      <c r="H658" s="58">
        <f t="shared" si="648"/>
        <v>12</v>
      </c>
      <c r="I658" s="58">
        <f t="shared" si="648"/>
        <v>-20</v>
      </c>
      <c r="J658" s="58">
        <f t="shared" si="648"/>
        <v>0</v>
      </c>
      <c r="K658" s="58">
        <f t="shared" si="648"/>
        <v>0</v>
      </c>
      <c r="L658" s="58">
        <f t="shared" si="648"/>
        <v>0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0" customHeight="1">
      <c r="A659" s="70"/>
      <c r="B659" s="71"/>
      <c r="C659" s="66"/>
      <c r="D659" s="66">
        <f t="shared" si="3"/>
        <v>0</v>
      </c>
      <c r="E659" s="67"/>
      <c r="F659" s="58">
        <f t="shared" ref="F659:L659" si="649">SUMIFS($C659,$B659,F$7)+F658</f>
        <v>26</v>
      </c>
      <c r="G659" s="58">
        <f t="shared" si="649"/>
        <v>24</v>
      </c>
      <c r="H659" s="58">
        <f t="shared" si="649"/>
        <v>12</v>
      </c>
      <c r="I659" s="58">
        <f t="shared" si="649"/>
        <v>-20</v>
      </c>
      <c r="J659" s="58">
        <f t="shared" si="649"/>
        <v>0</v>
      </c>
      <c r="K659" s="58">
        <f t="shared" si="649"/>
        <v>0</v>
      </c>
      <c r="L659" s="58">
        <f t="shared" si="649"/>
        <v>0</v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0" customHeight="1">
      <c r="A660" s="70"/>
      <c r="B660" s="71"/>
      <c r="C660" s="66"/>
      <c r="D660" s="66">
        <f t="shared" si="3"/>
        <v>0</v>
      </c>
      <c r="E660" s="67"/>
      <c r="F660" s="58">
        <f t="shared" ref="F660:L660" si="650">SUMIFS($C660,$B660,F$7)+F659</f>
        <v>26</v>
      </c>
      <c r="G660" s="58">
        <f t="shared" si="650"/>
        <v>24</v>
      </c>
      <c r="H660" s="58">
        <f t="shared" si="650"/>
        <v>12</v>
      </c>
      <c r="I660" s="58">
        <f t="shared" si="650"/>
        <v>-20</v>
      </c>
      <c r="J660" s="58">
        <f t="shared" si="650"/>
        <v>0</v>
      </c>
      <c r="K660" s="58">
        <f t="shared" si="650"/>
        <v>0</v>
      </c>
      <c r="L660" s="58">
        <f t="shared" si="650"/>
        <v>0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0" customHeight="1">
      <c r="A661" s="70"/>
      <c r="B661" s="71"/>
      <c r="C661" s="66"/>
      <c r="D661" s="66">
        <f t="shared" si="3"/>
        <v>0</v>
      </c>
      <c r="E661" s="67"/>
      <c r="F661" s="58">
        <f t="shared" ref="F661:L661" si="651">SUMIFS($C661,$B661,F$7)+F660</f>
        <v>26</v>
      </c>
      <c r="G661" s="58">
        <f t="shared" si="651"/>
        <v>24</v>
      </c>
      <c r="H661" s="58">
        <f t="shared" si="651"/>
        <v>12</v>
      </c>
      <c r="I661" s="58">
        <f t="shared" si="651"/>
        <v>-20</v>
      </c>
      <c r="J661" s="58">
        <f t="shared" si="651"/>
        <v>0</v>
      </c>
      <c r="K661" s="58">
        <f t="shared" si="651"/>
        <v>0</v>
      </c>
      <c r="L661" s="58">
        <f t="shared" si="651"/>
        <v>0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0" customHeight="1">
      <c r="A662" s="70"/>
      <c r="B662" s="71"/>
      <c r="C662" s="66"/>
      <c r="D662" s="66">
        <f t="shared" si="3"/>
        <v>0</v>
      </c>
      <c r="E662" s="67"/>
      <c r="F662" s="58">
        <f t="shared" ref="F662:L662" si="652">SUMIFS($C662,$B662,F$7)+F661</f>
        <v>26</v>
      </c>
      <c r="G662" s="58">
        <f t="shared" si="652"/>
        <v>24</v>
      </c>
      <c r="H662" s="58">
        <f t="shared" si="652"/>
        <v>12</v>
      </c>
      <c r="I662" s="58">
        <f t="shared" si="652"/>
        <v>-20</v>
      </c>
      <c r="J662" s="58">
        <f t="shared" si="652"/>
        <v>0</v>
      </c>
      <c r="K662" s="58">
        <f t="shared" si="652"/>
        <v>0</v>
      </c>
      <c r="L662" s="58">
        <f t="shared" si="652"/>
        <v>0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0" customHeight="1">
      <c r="A663" s="70"/>
      <c r="B663" s="71"/>
      <c r="C663" s="66"/>
      <c r="D663" s="66">
        <f t="shared" si="3"/>
        <v>0</v>
      </c>
      <c r="E663" s="67"/>
      <c r="F663" s="58">
        <f t="shared" ref="F663:L663" si="653">SUMIFS($C663,$B663,F$7)+F662</f>
        <v>26</v>
      </c>
      <c r="G663" s="58">
        <f t="shared" si="653"/>
        <v>24</v>
      </c>
      <c r="H663" s="58">
        <f t="shared" si="653"/>
        <v>12</v>
      </c>
      <c r="I663" s="58">
        <f t="shared" si="653"/>
        <v>-20</v>
      </c>
      <c r="J663" s="58">
        <f t="shared" si="653"/>
        <v>0</v>
      </c>
      <c r="K663" s="58">
        <f t="shared" si="653"/>
        <v>0</v>
      </c>
      <c r="L663" s="58">
        <f t="shared" si="653"/>
        <v>0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0" customHeight="1">
      <c r="A664" s="70"/>
      <c r="B664" s="71"/>
      <c r="C664" s="66"/>
      <c r="D664" s="66">
        <f t="shared" si="3"/>
        <v>0</v>
      </c>
      <c r="E664" s="67"/>
      <c r="F664" s="58">
        <f t="shared" ref="F664:L664" si="654">SUMIFS($C664,$B664,F$7)+F663</f>
        <v>26</v>
      </c>
      <c r="G664" s="58">
        <f t="shared" si="654"/>
        <v>24</v>
      </c>
      <c r="H664" s="58">
        <f t="shared" si="654"/>
        <v>12</v>
      </c>
      <c r="I664" s="58">
        <f t="shared" si="654"/>
        <v>-20</v>
      </c>
      <c r="J664" s="58">
        <f t="shared" si="654"/>
        <v>0</v>
      </c>
      <c r="K664" s="58">
        <f t="shared" si="654"/>
        <v>0</v>
      </c>
      <c r="L664" s="58">
        <f t="shared" si="654"/>
        <v>0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0" customHeight="1">
      <c r="A665" s="70"/>
      <c r="B665" s="71"/>
      <c r="C665" s="66"/>
      <c r="D665" s="66">
        <f t="shared" si="3"/>
        <v>0</v>
      </c>
      <c r="E665" s="67"/>
      <c r="F665" s="58">
        <f t="shared" ref="F665:L665" si="655">SUMIFS($C665,$B665,F$7)+F664</f>
        <v>26</v>
      </c>
      <c r="G665" s="58">
        <f t="shared" si="655"/>
        <v>24</v>
      </c>
      <c r="H665" s="58">
        <f t="shared" si="655"/>
        <v>12</v>
      </c>
      <c r="I665" s="58">
        <f t="shared" si="655"/>
        <v>-20</v>
      </c>
      <c r="J665" s="58">
        <f t="shared" si="655"/>
        <v>0</v>
      </c>
      <c r="K665" s="58">
        <f t="shared" si="655"/>
        <v>0</v>
      </c>
      <c r="L665" s="58">
        <f t="shared" si="655"/>
        <v>0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0" customHeight="1">
      <c r="A666" s="70"/>
      <c r="B666" s="71"/>
      <c r="C666" s="66"/>
      <c r="D666" s="66">
        <f t="shared" si="3"/>
        <v>0</v>
      </c>
      <c r="E666" s="67"/>
      <c r="F666" s="58">
        <f t="shared" ref="F666:L666" si="656">SUMIFS($C666,$B666,F$7)+F665</f>
        <v>26</v>
      </c>
      <c r="G666" s="58">
        <f t="shared" si="656"/>
        <v>24</v>
      </c>
      <c r="H666" s="58">
        <f t="shared" si="656"/>
        <v>12</v>
      </c>
      <c r="I666" s="58">
        <f t="shared" si="656"/>
        <v>-20</v>
      </c>
      <c r="J666" s="58">
        <f t="shared" si="656"/>
        <v>0</v>
      </c>
      <c r="K666" s="58">
        <f t="shared" si="656"/>
        <v>0</v>
      </c>
      <c r="L666" s="58">
        <f t="shared" si="656"/>
        <v>0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0" customHeight="1">
      <c r="A667" s="70"/>
      <c r="B667" s="71"/>
      <c r="C667" s="66"/>
      <c r="D667" s="66">
        <f t="shared" si="3"/>
        <v>0</v>
      </c>
      <c r="E667" s="67"/>
      <c r="F667" s="58">
        <f t="shared" ref="F667:L667" si="657">SUMIFS($C667,$B667,F$7)+F666</f>
        <v>26</v>
      </c>
      <c r="G667" s="58">
        <f t="shared" si="657"/>
        <v>24</v>
      </c>
      <c r="H667" s="58">
        <f t="shared" si="657"/>
        <v>12</v>
      </c>
      <c r="I667" s="58">
        <f t="shared" si="657"/>
        <v>-20</v>
      </c>
      <c r="J667" s="58">
        <f t="shared" si="657"/>
        <v>0</v>
      </c>
      <c r="K667" s="58">
        <f t="shared" si="657"/>
        <v>0</v>
      </c>
      <c r="L667" s="58">
        <f t="shared" si="657"/>
        <v>0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0" customHeight="1">
      <c r="A668" s="70"/>
      <c r="B668" s="71"/>
      <c r="C668" s="66"/>
      <c r="D668" s="66">
        <f t="shared" si="3"/>
        <v>0</v>
      </c>
      <c r="E668" s="67"/>
      <c r="F668" s="58">
        <f t="shared" ref="F668:L668" si="658">SUMIFS($C668,$B668,F$7)+F667</f>
        <v>26</v>
      </c>
      <c r="G668" s="58">
        <f t="shared" si="658"/>
        <v>24</v>
      </c>
      <c r="H668" s="58">
        <f t="shared" si="658"/>
        <v>12</v>
      </c>
      <c r="I668" s="58">
        <f t="shared" si="658"/>
        <v>-20</v>
      </c>
      <c r="J668" s="58">
        <f t="shared" si="658"/>
        <v>0</v>
      </c>
      <c r="K668" s="58">
        <f t="shared" si="658"/>
        <v>0</v>
      </c>
      <c r="L668" s="58">
        <f t="shared" si="658"/>
        <v>0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0" customHeight="1">
      <c r="A669" s="70"/>
      <c r="B669" s="71"/>
      <c r="C669" s="66"/>
      <c r="D669" s="66">
        <f t="shared" si="3"/>
        <v>0</v>
      </c>
      <c r="E669" s="67"/>
      <c r="F669" s="58">
        <f t="shared" ref="F669:L669" si="659">SUMIFS($C669,$B669,F$7)+F668</f>
        <v>26</v>
      </c>
      <c r="G669" s="58">
        <f t="shared" si="659"/>
        <v>24</v>
      </c>
      <c r="H669" s="58">
        <f t="shared" si="659"/>
        <v>12</v>
      </c>
      <c r="I669" s="58">
        <f t="shared" si="659"/>
        <v>-20</v>
      </c>
      <c r="J669" s="58">
        <f t="shared" si="659"/>
        <v>0</v>
      </c>
      <c r="K669" s="58">
        <f t="shared" si="659"/>
        <v>0</v>
      </c>
      <c r="L669" s="58">
        <f t="shared" si="659"/>
        <v>0</v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0" customHeight="1">
      <c r="A670" s="70"/>
      <c r="B670" s="71"/>
      <c r="C670" s="66"/>
      <c r="D670" s="66">
        <f t="shared" si="3"/>
        <v>0</v>
      </c>
      <c r="E670" s="67"/>
      <c r="F670" s="58">
        <f t="shared" ref="F670:L670" si="660">SUMIFS($C670,$B670,F$7)+F669</f>
        <v>26</v>
      </c>
      <c r="G670" s="58">
        <f t="shared" si="660"/>
        <v>24</v>
      </c>
      <c r="H670" s="58">
        <f t="shared" si="660"/>
        <v>12</v>
      </c>
      <c r="I670" s="58">
        <f t="shared" si="660"/>
        <v>-20</v>
      </c>
      <c r="J670" s="58">
        <f t="shared" si="660"/>
        <v>0</v>
      </c>
      <c r="K670" s="58">
        <f t="shared" si="660"/>
        <v>0</v>
      </c>
      <c r="L670" s="58">
        <f t="shared" si="660"/>
        <v>0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0" customHeight="1">
      <c r="A671" s="70"/>
      <c r="B671" s="71"/>
      <c r="C671" s="66"/>
      <c r="D671" s="66">
        <f t="shared" si="3"/>
        <v>0</v>
      </c>
      <c r="E671" s="67"/>
      <c r="F671" s="58">
        <f t="shared" ref="F671:L671" si="661">SUMIFS($C671,$B671,F$7)+F670</f>
        <v>26</v>
      </c>
      <c r="G671" s="58">
        <f t="shared" si="661"/>
        <v>24</v>
      </c>
      <c r="H671" s="58">
        <f t="shared" si="661"/>
        <v>12</v>
      </c>
      <c r="I671" s="58">
        <f t="shared" si="661"/>
        <v>-20</v>
      </c>
      <c r="J671" s="58">
        <f t="shared" si="661"/>
        <v>0</v>
      </c>
      <c r="K671" s="58">
        <f t="shared" si="661"/>
        <v>0</v>
      </c>
      <c r="L671" s="58">
        <f t="shared" si="661"/>
        <v>0</v>
      </c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0" customHeight="1">
      <c r="A672" s="70"/>
      <c r="B672" s="71"/>
      <c r="C672" s="66"/>
      <c r="D672" s="66">
        <f t="shared" si="3"/>
        <v>0</v>
      </c>
      <c r="E672" s="67"/>
      <c r="F672" s="58">
        <f t="shared" ref="F672:L672" si="662">SUMIFS($C672,$B672,F$7)+F671</f>
        <v>26</v>
      </c>
      <c r="G672" s="58">
        <f t="shared" si="662"/>
        <v>24</v>
      </c>
      <c r="H672" s="58">
        <f t="shared" si="662"/>
        <v>12</v>
      </c>
      <c r="I672" s="58">
        <f t="shared" si="662"/>
        <v>-20</v>
      </c>
      <c r="J672" s="58">
        <f t="shared" si="662"/>
        <v>0</v>
      </c>
      <c r="K672" s="58">
        <f t="shared" si="662"/>
        <v>0</v>
      </c>
      <c r="L672" s="58">
        <f t="shared" si="662"/>
        <v>0</v>
      </c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0" customHeight="1">
      <c r="A673" s="70"/>
      <c r="B673" s="71"/>
      <c r="C673" s="66"/>
      <c r="D673" s="66">
        <f t="shared" si="3"/>
        <v>0</v>
      </c>
      <c r="E673" s="67"/>
      <c r="F673" s="58">
        <f t="shared" ref="F673:L673" si="663">SUMIFS($C673,$B673,F$7)+F672</f>
        <v>26</v>
      </c>
      <c r="G673" s="58">
        <f t="shared" si="663"/>
        <v>24</v>
      </c>
      <c r="H673" s="58">
        <f t="shared" si="663"/>
        <v>12</v>
      </c>
      <c r="I673" s="58">
        <f t="shared" si="663"/>
        <v>-20</v>
      </c>
      <c r="J673" s="58">
        <f t="shared" si="663"/>
        <v>0</v>
      </c>
      <c r="K673" s="58">
        <f t="shared" si="663"/>
        <v>0</v>
      </c>
      <c r="L673" s="58">
        <f t="shared" si="663"/>
        <v>0</v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0" customHeight="1">
      <c r="A674" s="70"/>
      <c r="B674" s="71"/>
      <c r="C674" s="66"/>
      <c r="D674" s="66">
        <f t="shared" si="3"/>
        <v>0</v>
      </c>
      <c r="E674" s="67"/>
      <c r="F674" s="58">
        <f t="shared" ref="F674:L674" si="664">SUMIFS($C674,$B674,F$7)+F673</f>
        <v>26</v>
      </c>
      <c r="G674" s="58">
        <f t="shared" si="664"/>
        <v>24</v>
      </c>
      <c r="H674" s="58">
        <f t="shared" si="664"/>
        <v>12</v>
      </c>
      <c r="I674" s="58">
        <f t="shared" si="664"/>
        <v>-20</v>
      </c>
      <c r="J674" s="58">
        <f t="shared" si="664"/>
        <v>0</v>
      </c>
      <c r="K674" s="58">
        <f t="shared" si="664"/>
        <v>0</v>
      </c>
      <c r="L674" s="58">
        <f t="shared" si="664"/>
        <v>0</v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0" customHeight="1">
      <c r="A675" s="70"/>
      <c r="B675" s="71"/>
      <c r="C675" s="66"/>
      <c r="D675" s="66">
        <f t="shared" si="3"/>
        <v>0</v>
      </c>
      <c r="E675" s="67"/>
      <c r="F675" s="58">
        <f t="shared" ref="F675:L675" si="665">SUMIFS($C675,$B675,F$7)+F674</f>
        <v>26</v>
      </c>
      <c r="G675" s="58">
        <f t="shared" si="665"/>
        <v>24</v>
      </c>
      <c r="H675" s="58">
        <f t="shared" si="665"/>
        <v>12</v>
      </c>
      <c r="I675" s="58">
        <f t="shared" si="665"/>
        <v>-20</v>
      </c>
      <c r="J675" s="58">
        <f t="shared" si="665"/>
        <v>0</v>
      </c>
      <c r="K675" s="58">
        <f t="shared" si="665"/>
        <v>0</v>
      </c>
      <c r="L675" s="58">
        <f t="shared" si="665"/>
        <v>0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0" customHeight="1">
      <c r="A676" s="70"/>
      <c r="B676" s="71"/>
      <c r="C676" s="66"/>
      <c r="D676" s="66">
        <f t="shared" si="3"/>
        <v>0</v>
      </c>
      <c r="E676" s="67"/>
      <c r="F676" s="58">
        <f t="shared" ref="F676:L676" si="666">SUMIFS($C676,$B676,F$7)+F675</f>
        <v>26</v>
      </c>
      <c r="G676" s="58">
        <f t="shared" si="666"/>
        <v>24</v>
      </c>
      <c r="H676" s="58">
        <f t="shared" si="666"/>
        <v>12</v>
      </c>
      <c r="I676" s="58">
        <f t="shared" si="666"/>
        <v>-20</v>
      </c>
      <c r="J676" s="58">
        <f t="shared" si="666"/>
        <v>0</v>
      </c>
      <c r="K676" s="58">
        <f t="shared" si="666"/>
        <v>0</v>
      </c>
      <c r="L676" s="58">
        <f t="shared" si="666"/>
        <v>0</v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0" customHeight="1">
      <c r="A677" s="70"/>
      <c r="B677" s="71"/>
      <c r="C677" s="66"/>
      <c r="D677" s="66">
        <f t="shared" si="3"/>
        <v>0</v>
      </c>
      <c r="E677" s="67"/>
      <c r="F677" s="58">
        <f t="shared" ref="F677:L677" si="667">SUMIFS($C677,$B677,F$7)+F676</f>
        <v>26</v>
      </c>
      <c r="G677" s="58">
        <f t="shared" si="667"/>
        <v>24</v>
      </c>
      <c r="H677" s="58">
        <f t="shared" si="667"/>
        <v>12</v>
      </c>
      <c r="I677" s="58">
        <f t="shared" si="667"/>
        <v>-20</v>
      </c>
      <c r="J677" s="58">
        <f t="shared" si="667"/>
        <v>0</v>
      </c>
      <c r="K677" s="58">
        <f t="shared" si="667"/>
        <v>0</v>
      </c>
      <c r="L677" s="58">
        <f t="shared" si="667"/>
        <v>0</v>
      </c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0" customHeight="1">
      <c r="A678" s="70"/>
      <c r="B678" s="71"/>
      <c r="C678" s="66"/>
      <c r="D678" s="66">
        <f t="shared" si="3"/>
        <v>0</v>
      </c>
      <c r="E678" s="67"/>
      <c r="F678" s="58">
        <f t="shared" ref="F678:L678" si="668">SUMIFS($C678,$B678,F$7)+F677</f>
        <v>26</v>
      </c>
      <c r="G678" s="58">
        <f t="shared" si="668"/>
        <v>24</v>
      </c>
      <c r="H678" s="58">
        <f t="shared" si="668"/>
        <v>12</v>
      </c>
      <c r="I678" s="58">
        <f t="shared" si="668"/>
        <v>-20</v>
      </c>
      <c r="J678" s="58">
        <f t="shared" si="668"/>
        <v>0</v>
      </c>
      <c r="K678" s="58">
        <f t="shared" si="668"/>
        <v>0</v>
      </c>
      <c r="L678" s="58">
        <f t="shared" si="668"/>
        <v>0</v>
      </c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0" customHeight="1">
      <c r="A679" s="70"/>
      <c r="B679" s="71"/>
      <c r="C679" s="66"/>
      <c r="D679" s="66">
        <f t="shared" si="3"/>
        <v>0</v>
      </c>
      <c r="E679" s="67"/>
      <c r="F679" s="58">
        <f t="shared" ref="F679:L679" si="669">SUMIFS($C679,$B679,F$7)+F678</f>
        <v>26</v>
      </c>
      <c r="G679" s="58">
        <f t="shared" si="669"/>
        <v>24</v>
      </c>
      <c r="H679" s="58">
        <f t="shared" si="669"/>
        <v>12</v>
      </c>
      <c r="I679" s="58">
        <f t="shared" si="669"/>
        <v>-20</v>
      </c>
      <c r="J679" s="58">
        <f t="shared" si="669"/>
        <v>0</v>
      </c>
      <c r="K679" s="58">
        <f t="shared" si="669"/>
        <v>0</v>
      </c>
      <c r="L679" s="58">
        <f t="shared" si="669"/>
        <v>0</v>
      </c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0" customHeight="1">
      <c r="A680" s="70"/>
      <c r="B680" s="71"/>
      <c r="C680" s="66"/>
      <c r="D680" s="66">
        <f t="shared" si="3"/>
        <v>0</v>
      </c>
      <c r="E680" s="67"/>
      <c r="F680" s="58">
        <f t="shared" ref="F680:L680" si="670">SUMIFS($C680,$B680,F$7)+F679</f>
        <v>26</v>
      </c>
      <c r="G680" s="58">
        <f t="shared" si="670"/>
        <v>24</v>
      </c>
      <c r="H680" s="58">
        <f t="shared" si="670"/>
        <v>12</v>
      </c>
      <c r="I680" s="58">
        <f t="shared" si="670"/>
        <v>-20</v>
      </c>
      <c r="J680" s="58">
        <f t="shared" si="670"/>
        <v>0</v>
      </c>
      <c r="K680" s="58">
        <f t="shared" si="670"/>
        <v>0</v>
      </c>
      <c r="L680" s="58">
        <f t="shared" si="670"/>
        <v>0</v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0" customHeight="1">
      <c r="A681" s="70"/>
      <c r="B681" s="71"/>
      <c r="C681" s="66"/>
      <c r="D681" s="66">
        <f t="shared" si="3"/>
        <v>0</v>
      </c>
      <c r="E681" s="67"/>
      <c r="F681" s="58">
        <f t="shared" ref="F681:L681" si="671">SUMIFS($C681,$B681,F$7)+F680</f>
        <v>26</v>
      </c>
      <c r="G681" s="58">
        <f t="shared" si="671"/>
        <v>24</v>
      </c>
      <c r="H681" s="58">
        <f t="shared" si="671"/>
        <v>12</v>
      </c>
      <c r="I681" s="58">
        <f t="shared" si="671"/>
        <v>-20</v>
      </c>
      <c r="J681" s="58">
        <f t="shared" si="671"/>
        <v>0</v>
      </c>
      <c r="K681" s="58">
        <f t="shared" si="671"/>
        <v>0</v>
      </c>
      <c r="L681" s="58">
        <f t="shared" si="671"/>
        <v>0</v>
      </c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0" customHeight="1">
      <c r="A682" s="70"/>
      <c r="B682" s="71"/>
      <c r="C682" s="66"/>
      <c r="D682" s="66">
        <f t="shared" si="3"/>
        <v>0</v>
      </c>
      <c r="E682" s="67"/>
      <c r="F682" s="58">
        <f t="shared" ref="F682:L682" si="672">SUMIFS($C682,$B682,F$7)+F681</f>
        <v>26</v>
      </c>
      <c r="G682" s="58">
        <f t="shared" si="672"/>
        <v>24</v>
      </c>
      <c r="H682" s="58">
        <f t="shared" si="672"/>
        <v>12</v>
      </c>
      <c r="I682" s="58">
        <f t="shared" si="672"/>
        <v>-20</v>
      </c>
      <c r="J682" s="58">
        <f t="shared" si="672"/>
        <v>0</v>
      </c>
      <c r="K682" s="58">
        <f t="shared" si="672"/>
        <v>0</v>
      </c>
      <c r="L682" s="58">
        <f t="shared" si="672"/>
        <v>0</v>
      </c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0" customHeight="1">
      <c r="A683" s="70"/>
      <c r="B683" s="71"/>
      <c r="C683" s="66"/>
      <c r="D683" s="66">
        <f t="shared" si="3"/>
        <v>0</v>
      </c>
      <c r="E683" s="67"/>
      <c r="F683" s="58">
        <f t="shared" ref="F683:L683" si="673">SUMIFS($C683,$B683,F$7)+F682</f>
        <v>26</v>
      </c>
      <c r="G683" s="58">
        <f t="shared" si="673"/>
        <v>24</v>
      </c>
      <c r="H683" s="58">
        <f t="shared" si="673"/>
        <v>12</v>
      </c>
      <c r="I683" s="58">
        <f t="shared" si="673"/>
        <v>-20</v>
      </c>
      <c r="J683" s="58">
        <f t="shared" si="673"/>
        <v>0</v>
      </c>
      <c r="K683" s="58">
        <f t="shared" si="673"/>
        <v>0</v>
      </c>
      <c r="L683" s="58">
        <f t="shared" si="673"/>
        <v>0</v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0" customHeight="1">
      <c r="A684" s="70"/>
      <c r="B684" s="71"/>
      <c r="C684" s="66"/>
      <c r="D684" s="66">
        <f t="shared" si="3"/>
        <v>0</v>
      </c>
      <c r="E684" s="67"/>
      <c r="F684" s="58">
        <f t="shared" ref="F684:L684" si="674">SUMIFS($C684,$B684,F$7)+F683</f>
        <v>26</v>
      </c>
      <c r="G684" s="58">
        <f t="shared" si="674"/>
        <v>24</v>
      </c>
      <c r="H684" s="58">
        <f t="shared" si="674"/>
        <v>12</v>
      </c>
      <c r="I684" s="58">
        <f t="shared" si="674"/>
        <v>-20</v>
      </c>
      <c r="J684" s="58">
        <f t="shared" si="674"/>
        <v>0</v>
      </c>
      <c r="K684" s="58">
        <f t="shared" si="674"/>
        <v>0</v>
      </c>
      <c r="L684" s="58">
        <f t="shared" si="674"/>
        <v>0</v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0" customHeight="1">
      <c r="A685" s="70"/>
      <c r="B685" s="71"/>
      <c r="C685" s="66"/>
      <c r="D685" s="66">
        <f t="shared" si="3"/>
        <v>0</v>
      </c>
      <c r="E685" s="67"/>
      <c r="F685" s="58">
        <f t="shared" ref="F685:L685" si="675">SUMIFS($C685,$B685,F$7)+F684</f>
        <v>26</v>
      </c>
      <c r="G685" s="58">
        <f t="shared" si="675"/>
        <v>24</v>
      </c>
      <c r="H685" s="58">
        <f t="shared" si="675"/>
        <v>12</v>
      </c>
      <c r="I685" s="58">
        <f t="shared" si="675"/>
        <v>-20</v>
      </c>
      <c r="J685" s="58">
        <f t="shared" si="675"/>
        <v>0</v>
      </c>
      <c r="K685" s="58">
        <f t="shared" si="675"/>
        <v>0</v>
      </c>
      <c r="L685" s="58">
        <f t="shared" si="675"/>
        <v>0</v>
      </c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0" customHeight="1">
      <c r="A686" s="70"/>
      <c r="B686" s="71"/>
      <c r="C686" s="66"/>
      <c r="D686" s="66">
        <f t="shared" si="3"/>
        <v>0</v>
      </c>
      <c r="E686" s="67"/>
      <c r="F686" s="58">
        <f t="shared" ref="F686:L686" si="676">SUMIFS($C686,$B686,F$7)+F685</f>
        <v>26</v>
      </c>
      <c r="G686" s="58">
        <f t="shared" si="676"/>
        <v>24</v>
      </c>
      <c r="H686" s="58">
        <f t="shared" si="676"/>
        <v>12</v>
      </c>
      <c r="I686" s="58">
        <f t="shared" si="676"/>
        <v>-20</v>
      </c>
      <c r="J686" s="58">
        <f t="shared" si="676"/>
        <v>0</v>
      </c>
      <c r="K686" s="58">
        <f t="shared" si="676"/>
        <v>0</v>
      </c>
      <c r="L686" s="58">
        <f t="shared" si="676"/>
        <v>0</v>
      </c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0" customHeight="1">
      <c r="A687" s="70"/>
      <c r="B687" s="71"/>
      <c r="C687" s="66"/>
      <c r="D687" s="66">
        <f t="shared" si="3"/>
        <v>0</v>
      </c>
      <c r="E687" s="67"/>
      <c r="F687" s="58">
        <f t="shared" ref="F687:L687" si="677">SUMIFS($C687,$B687,F$7)+F686</f>
        <v>26</v>
      </c>
      <c r="G687" s="58">
        <f t="shared" si="677"/>
        <v>24</v>
      </c>
      <c r="H687" s="58">
        <f t="shared" si="677"/>
        <v>12</v>
      </c>
      <c r="I687" s="58">
        <f t="shared" si="677"/>
        <v>-20</v>
      </c>
      <c r="J687" s="58">
        <f t="shared" si="677"/>
        <v>0</v>
      </c>
      <c r="K687" s="58">
        <f t="shared" si="677"/>
        <v>0</v>
      </c>
      <c r="L687" s="58">
        <f t="shared" si="677"/>
        <v>0</v>
      </c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0" customHeight="1">
      <c r="A688" s="70"/>
      <c r="B688" s="71"/>
      <c r="C688" s="66"/>
      <c r="D688" s="66">
        <f t="shared" si="3"/>
        <v>0</v>
      </c>
      <c r="E688" s="67"/>
      <c r="F688" s="58">
        <f t="shared" ref="F688:L688" si="678">SUMIFS($C688,$B688,F$7)+F687</f>
        <v>26</v>
      </c>
      <c r="G688" s="58">
        <f t="shared" si="678"/>
        <v>24</v>
      </c>
      <c r="H688" s="58">
        <f t="shared" si="678"/>
        <v>12</v>
      </c>
      <c r="I688" s="58">
        <f t="shared" si="678"/>
        <v>-20</v>
      </c>
      <c r="J688" s="58">
        <f t="shared" si="678"/>
        <v>0</v>
      </c>
      <c r="K688" s="58">
        <f t="shared" si="678"/>
        <v>0</v>
      </c>
      <c r="L688" s="58">
        <f t="shared" si="678"/>
        <v>0</v>
      </c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0" customHeight="1">
      <c r="A689" s="70"/>
      <c r="B689" s="71"/>
      <c r="C689" s="66"/>
      <c r="D689" s="66">
        <f t="shared" si="3"/>
        <v>0</v>
      </c>
      <c r="E689" s="67"/>
      <c r="F689" s="58">
        <f t="shared" ref="F689:L689" si="679">SUMIFS($C689,$B689,F$7)+F688</f>
        <v>26</v>
      </c>
      <c r="G689" s="58">
        <f t="shared" si="679"/>
        <v>24</v>
      </c>
      <c r="H689" s="58">
        <f t="shared" si="679"/>
        <v>12</v>
      </c>
      <c r="I689" s="58">
        <f t="shared" si="679"/>
        <v>-20</v>
      </c>
      <c r="J689" s="58">
        <f t="shared" si="679"/>
        <v>0</v>
      </c>
      <c r="K689" s="58">
        <f t="shared" si="679"/>
        <v>0</v>
      </c>
      <c r="L689" s="58">
        <f t="shared" si="679"/>
        <v>0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0" customHeight="1">
      <c r="A690" s="70"/>
      <c r="B690" s="71"/>
      <c r="C690" s="66"/>
      <c r="D690" s="66">
        <f t="shared" si="3"/>
        <v>0</v>
      </c>
      <c r="E690" s="67"/>
      <c r="F690" s="58">
        <f t="shared" ref="F690:L690" si="680">SUMIFS($C690,$B690,F$7)+F689</f>
        <v>26</v>
      </c>
      <c r="G690" s="58">
        <f t="shared" si="680"/>
        <v>24</v>
      </c>
      <c r="H690" s="58">
        <f t="shared" si="680"/>
        <v>12</v>
      </c>
      <c r="I690" s="58">
        <f t="shared" si="680"/>
        <v>-20</v>
      </c>
      <c r="J690" s="58">
        <f t="shared" si="680"/>
        <v>0</v>
      </c>
      <c r="K690" s="58">
        <f t="shared" si="680"/>
        <v>0</v>
      </c>
      <c r="L690" s="58">
        <f t="shared" si="680"/>
        <v>0</v>
      </c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0" customHeight="1">
      <c r="A691" s="70"/>
      <c r="B691" s="71"/>
      <c r="C691" s="66"/>
      <c r="D691" s="66">
        <f t="shared" si="3"/>
        <v>0</v>
      </c>
      <c r="E691" s="67"/>
      <c r="F691" s="58">
        <f t="shared" ref="F691:L691" si="681">SUMIFS($C691,$B691,F$7)+F690</f>
        <v>26</v>
      </c>
      <c r="G691" s="58">
        <f t="shared" si="681"/>
        <v>24</v>
      </c>
      <c r="H691" s="58">
        <f t="shared" si="681"/>
        <v>12</v>
      </c>
      <c r="I691" s="58">
        <f t="shared" si="681"/>
        <v>-20</v>
      </c>
      <c r="J691" s="58">
        <f t="shared" si="681"/>
        <v>0</v>
      </c>
      <c r="K691" s="58">
        <f t="shared" si="681"/>
        <v>0</v>
      </c>
      <c r="L691" s="58">
        <f t="shared" si="681"/>
        <v>0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0" customHeight="1">
      <c r="A692" s="70"/>
      <c r="B692" s="71"/>
      <c r="C692" s="66"/>
      <c r="D692" s="66">
        <f t="shared" si="3"/>
        <v>0</v>
      </c>
      <c r="E692" s="67"/>
      <c r="F692" s="58">
        <f t="shared" ref="F692:L692" si="682">SUMIFS($C692,$B692,F$7)+F691</f>
        <v>26</v>
      </c>
      <c r="G692" s="58">
        <f t="shared" si="682"/>
        <v>24</v>
      </c>
      <c r="H692" s="58">
        <f t="shared" si="682"/>
        <v>12</v>
      </c>
      <c r="I692" s="58">
        <f t="shared" si="682"/>
        <v>-20</v>
      </c>
      <c r="J692" s="58">
        <f t="shared" si="682"/>
        <v>0</v>
      </c>
      <c r="K692" s="58">
        <f t="shared" si="682"/>
        <v>0</v>
      </c>
      <c r="L692" s="58">
        <f t="shared" si="682"/>
        <v>0</v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0" customHeight="1">
      <c r="A693" s="70"/>
      <c r="B693" s="71"/>
      <c r="C693" s="66"/>
      <c r="D693" s="66">
        <f t="shared" si="3"/>
        <v>0</v>
      </c>
      <c r="E693" s="67"/>
      <c r="F693" s="58">
        <f t="shared" ref="F693:L693" si="683">SUMIFS($C693,$B693,F$7)+F692</f>
        <v>26</v>
      </c>
      <c r="G693" s="58">
        <f t="shared" si="683"/>
        <v>24</v>
      </c>
      <c r="H693" s="58">
        <f t="shared" si="683"/>
        <v>12</v>
      </c>
      <c r="I693" s="58">
        <f t="shared" si="683"/>
        <v>-20</v>
      </c>
      <c r="J693" s="58">
        <f t="shared" si="683"/>
        <v>0</v>
      </c>
      <c r="K693" s="58">
        <f t="shared" si="683"/>
        <v>0</v>
      </c>
      <c r="L693" s="58">
        <f t="shared" si="683"/>
        <v>0</v>
      </c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0" customHeight="1">
      <c r="A694" s="70"/>
      <c r="B694" s="71"/>
      <c r="C694" s="66"/>
      <c r="D694" s="66">
        <f t="shared" si="3"/>
        <v>0</v>
      </c>
      <c r="E694" s="67"/>
      <c r="F694" s="58">
        <f t="shared" ref="F694:L694" si="684">SUMIFS($C694,$B694,F$7)+F693</f>
        <v>26</v>
      </c>
      <c r="G694" s="58">
        <f t="shared" si="684"/>
        <v>24</v>
      </c>
      <c r="H694" s="58">
        <f t="shared" si="684"/>
        <v>12</v>
      </c>
      <c r="I694" s="58">
        <f t="shared" si="684"/>
        <v>-20</v>
      </c>
      <c r="J694" s="58">
        <f t="shared" si="684"/>
        <v>0</v>
      </c>
      <c r="K694" s="58">
        <f t="shared" si="684"/>
        <v>0</v>
      </c>
      <c r="L694" s="58">
        <f t="shared" si="684"/>
        <v>0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0" customHeight="1">
      <c r="A695" s="70"/>
      <c r="B695" s="71"/>
      <c r="C695" s="66"/>
      <c r="D695" s="66">
        <f t="shared" si="3"/>
        <v>0</v>
      </c>
      <c r="E695" s="67"/>
      <c r="F695" s="58">
        <f t="shared" ref="F695:L695" si="685">SUMIFS($C695,$B695,F$7)+F694</f>
        <v>26</v>
      </c>
      <c r="G695" s="58">
        <f t="shared" si="685"/>
        <v>24</v>
      </c>
      <c r="H695" s="58">
        <f t="shared" si="685"/>
        <v>12</v>
      </c>
      <c r="I695" s="58">
        <f t="shared" si="685"/>
        <v>-20</v>
      </c>
      <c r="J695" s="58">
        <f t="shared" si="685"/>
        <v>0</v>
      </c>
      <c r="K695" s="58">
        <f t="shared" si="685"/>
        <v>0</v>
      </c>
      <c r="L695" s="58">
        <f t="shared" si="685"/>
        <v>0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0" customHeight="1">
      <c r="A696" s="70"/>
      <c r="B696" s="71"/>
      <c r="C696" s="66"/>
      <c r="D696" s="66">
        <f t="shared" si="3"/>
        <v>0</v>
      </c>
      <c r="E696" s="67"/>
      <c r="F696" s="58">
        <f t="shared" ref="F696:L696" si="686">SUMIFS($C696,$B696,F$7)+F695</f>
        <v>26</v>
      </c>
      <c r="G696" s="58">
        <f t="shared" si="686"/>
        <v>24</v>
      </c>
      <c r="H696" s="58">
        <f t="shared" si="686"/>
        <v>12</v>
      </c>
      <c r="I696" s="58">
        <f t="shared" si="686"/>
        <v>-20</v>
      </c>
      <c r="J696" s="58">
        <f t="shared" si="686"/>
        <v>0</v>
      </c>
      <c r="K696" s="58">
        <f t="shared" si="686"/>
        <v>0</v>
      </c>
      <c r="L696" s="58">
        <f t="shared" si="686"/>
        <v>0</v>
      </c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0" customHeight="1">
      <c r="A697" s="70"/>
      <c r="B697" s="71"/>
      <c r="C697" s="66"/>
      <c r="D697" s="66">
        <f t="shared" si="3"/>
        <v>0</v>
      </c>
      <c r="E697" s="67"/>
      <c r="F697" s="58">
        <f t="shared" ref="F697:L697" si="687">SUMIFS($C697,$B697,F$7)+F696</f>
        <v>26</v>
      </c>
      <c r="G697" s="58">
        <f t="shared" si="687"/>
        <v>24</v>
      </c>
      <c r="H697" s="58">
        <f t="shared" si="687"/>
        <v>12</v>
      </c>
      <c r="I697" s="58">
        <f t="shared" si="687"/>
        <v>-20</v>
      </c>
      <c r="J697" s="58">
        <f t="shared" si="687"/>
        <v>0</v>
      </c>
      <c r="K697" s="58">
        <f t="shared" si="687"/>
        <v>0</v>
      </c>
      <c r="L697" s="58">
        <f t="shared" si="687"/>
        <v>0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0" customHeight="1">
      <c r="A698" s="70"/>
      <c r="B698" s="71"/>
      <c r="C698" s="66"/>
      <c r="D698" s="66">
        <f t="shared" si="3"/>
        <v>0</v>
      </c>
      <c r="E698" s="67"/>
      <c r="F698" s="58">
        <f t="shared" ref="F698:L698" si="688">SUMIFS($C698,$B698,F$7)+F697</f>
        <v>26</v>
      </c>
      <c r="G698" s="58">
        <f t="shared" si="688"/>
        <v>24</v>
      </c>
      <c r="H698" s="58">
        <f t="shared" si="688"/>
        <v>12</v>
      </c>
      <c r="I698" s="58">
        <f t="shared" si="688"/>
        <v>-20</v>
      </c>
      <c r="J698" s="58">
        <f t="shared" si="688"/>
        <v>0</v>
      </c>
      <c r="K698" s="58">
        <f t="shared" si="688"/>
        <v>0</v>
      </c>
      <c r="L698" s="58">
        <f t="shared" si="688"/>
        <v>0</v>
      </c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0" customHeight="1">
      <c r="A699" s="70"/>
      <c r="B699" s="71"/>
      <c r="C699" s="66"/>
      <c r="D699" s="66">
        <f t="shared" si="3"/>
        <v>0</v>
      </c>
      <c r="E699" s="67"/>
      <c r="F699" s="58">
        <f t="shared" ref="F699:L699" si="689">SUMIFS($C699,$B699,F$7)+F698</f>
        <v>26</v>
      </c>
      <c r="G699" s="58">
        <f t="shared" si="689"/>
        <v>24</v>
      </c>
      <c r="H699" s="58">
        <f t="shared" si="689"/>
        <v>12</v>
      </c>
      <c r="I699" s="58">
        <f t="shared" si="689"/>
        <v>-20</v>
      </c>
      <c r="J699" s="58">
        <f t="shared" si="689"/>
        <v>0</v>
      </c>
      <c r="K699" s="58">
        <f t="shared" si="689"/>
        <v>0</v>
      </c>
      <c r="L699" s="58">
        <f t="shared" si="689"/>
        <v>0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0" customHeight="1">
      <c r="A700" s="70"/>
      <c r="B700" s="71"/>
      <c r="C700" s="66"/>
      <c r="D700" s="66">
        <f t="shared" si="3"/>
        <v>0</v>
      </c>
      <c r="E700" s="67"/>
      <c r="F700" s="58">
        <f t="shared" ref="F700:L700" si="690">SUMIFS($C700,$B700,F$7)+F699</f>
        <v>26</v>
      </c>
      <c r="G700" s="58">
        <f t="shared" si="690"/>
        <v>24</v>
      </c>
      <c r="H700" s="58">
        <f t="shared" si="690"/>
        <v>12</v>
      </c>
      <c r="I700" s="58">
        <f t="shared" si="690"/>
        <v>-20</v>
      </c>
      <c r="J700" s="58">
        <f t="shared" si="690"/>
        <v>0</v>
      </c>
      <c r="K700" s="58">
        <f t="shared" si="690"/>
        <v>0</v>
      </c>
      <c r="L700" s="58">
        <f t="shared" si="690"/>
        <v>0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0" customHeight="1">
      <c r="A701" s="70"/>
      <c r="B701" s="71"/>
      <c r="C701" s="66"/>
      <c r="D701" s="66">
        <f t="shared" si="3"/>
        <v>0</v>
      </c>
      <c r="E701" s="67"/>
      <c r="F701" s="58">
        <f t="shared" ref="F701:L701" si="691">SUMIFS($C701,$B701,F$7)+F700</f>
        <v>26</v>
      </c>
      <c r="G701" s="58">
        <f t="shared" si="691"/>
        <v>24</v>
      </c>
      <c r="H701" s="58">
        <f t="shared" si="691"/>
        <v>12</v>
      </c>
      <c r="I701" s="58">
        <f t="shared" si="691"/>
        <v>-20</v>
      </c>
      <c r="J701" s="58">
        <f t="shared" si="691"/>
        <v>0</v>
      </c>
      <c r="K701" s="58">
        <f t="shared" si="691"/>
        <v>0</v>
      </c>
      <c r="L701" s="58">
        <f t="shared" si="691"/>
        <v>0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0" customHeight="1">
      <c r="A702" s="70"/>
      <c r="B702" s="71"/>
      <c r="C702" s="66"/>
      <c r="D702" s="66">
        <f t="shared" si="3"/>
        <v>0</v>
      </c>
      <c r="E702" s="67"/>
      <c r="F702" s="58">
        <f t="shared" ref="F702:L702" si="692">SUMIFS($C702,$B702,F$7)+F701</f>
        <v>26</v>
      </c>
      <c r="G702" s="58">
        <f t="shared" si="692"/>
        <v>24</v>
      </c>
      <c r="H702" s="58">
        <f t="shared" si="692"/>
        <v>12</v>
      </c>
      <c r="I702" s="58">
        <f t="shared" si="692"/>
        <v>-20</v>
      </c>
      <c r="J702" s="58">
        <f t="shared" si="692"/>
        <v>0</v>
      </c>
      <c r="K702" s="58">
        <f t="shared" si="692"/>
        <v>0</v>
      </c>
      <c r="L702" s="58">
        <f t="shared" si="692"/>
        <v>0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0" customHeight="1">
      <c r="A703" s="70"/>
      <c r="B703" s="71"/>
      <c r="C703" s="66"/>
      <c r="D703" s="66">
        <f t="shared" si="3"/>
        <v>0</v>
      </c>
      <c r="E703" s="67"/>
      <c r="F703" s="58">
        <f t="shared" ref="F703:L703" si="693">SUMIFS($C703,$B703,F$7)+F702</f>
        <v>26</v>
      </c>
      <c r="G703" s="58">
        <f t="shared" si="693"/>
        <v>24</v>
      </c>
      <c r="H703" s="58">
        <f t="shared" si="693"/>
        <v>12</v>
      </c>
      <c r="I703" s="58">
        <f t="shared" si="693"/>
        <v>-20</v>
      </c>
      <c r="J703" s="58">
        <f t="shared" si="693"/>
        <v>0</v>
      </c>
      <c r="K703" s="58">
        <f t="shared" si="693"/>
        <v>0</v>
      </c>
      <c r="L703" s="58">
        <f t="shared" si="693"/>
        <v>0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0" customHeight="1">
      <c r="A704" s="70"/>
      <c r="B704" s="71"/>
      <c r="C704" s="66"/>
      <c r="D704" s="66">
        <f t="shared" si="3"/>
        <v>0</v>
      </c>
      <c r="E704" s="67"/>
      <c r="F704" s="58">
        <f t="shared" ref="F704:L704" si="694">SUMIFS($C704,$B704,F$7)+F703</f>
        <v>26</v>
      </c>
      <c r="G704" s="58">
        <f t="shared" si="694"/>
        <v>24</v>
      </c>
      <c r="H704" s="58">
        <f t="shared" si="694"/>
        <v>12</v>
      </c>
      <c r="I704" s="58">
        <f t="shared" si="694"/>
        <v>-20</v>
      </c>
      <c r="J704" s="58">
        <f t="shared" si="694"/>
        <v>0</v>
      </c>
      <c r="K704" s="58">
        <f t="shared" si="694"/>
        <v>0</v>
      </c>
      <c r="L704" s="58">
        <f t="shared" si="694"/>
        <v>0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0" customHeight="1">
      <c r="A705" s="70"/>
      <c r="B705" s="71"/>
      <c r="C705" s="66"/>
      <c r="D705" s="66">
        <f t="shared" si="3"/>
        <v>0</v>
      </c>
      <c r="E705" s="67"/>
      <c r="F705" s="58">
        <f t="shared" ref="F705:L705" si="695">SUMIFS($C705,$B705,F$7)+F704</f>
        <v>26</v>
      </c>
      <c r="G705" s="58">
        <f t="shared" si="695"/>
        <v>24</v>
      </c>
      <c r="H705" s="58">
        <f t="shared" si="695"/>
        <v>12</v>
      </c>
      <c r="I705" s="58">
        <f t="shared" si="695"/>
        <v>-20</v>
      </c>
      <c r="J705" s="58">
        <f t="shared" si="695"/>
        <v>0</v>
      </c>
      <c r="K705" s="58">
        <f t="shared" si="695"/>
        <v>0</v>
      </c>
      <c r="L705" s="58">
        <f t="shared" si="695"/>
        <v>0</v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0" customHeight="1">
      <c r="A706" s="70"/>
      <c r="B706" s="71"/>
      <c r="C706" s="66"/>
      <c r="D706" s="66">
        <f t="shared" si="3"/>
        <v>0</v>
      </c>
      <c r="E706" s="67"/>
      <c r="F706" s="58">
        <f t="shared" ref="F706:L706" si="696">SUMIFS($C706,$B706,F$7)+F705</f>
        <v>26</v>
      </c>
      <c r="G706" s="58">
        <f t="shared" si="696"/>
        <v>24</v>
      </c>
      <c r="H706" s="58">
        <f t="shared" si="696"/>
        <v>12</v>
      </c>
      <c r="I706" s="58">
        <f t="shared" si="696"/>
        <v>-20</v>
      </c>
      <c r="J706" s="58">
        <f t="shared" si="696"/>
        <v>0</v>
      </c>
      <c r="K706" s="58">
        <f t="shared" si="696"/>
        <v>0</v>
      </c>
      <c r="L706" s="58">
        <f t="shared" si="696"/>
        <v>0</v>
      </c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0" customHeight="1">
      <c r="A707" s="70"/>
      <c r="B707" s="71"/>
      <c r="C707" s="66"/>
      <c r="D707" s="66">
        <f t="shared" si="3"/>
        <v>0</v>
      </c>
      <c r="E707" s="67"/>
      <c r="F707" s="58">
        <f t="shared" ref="F707:L707" si="697">SUMIFS($C707,$B707,F$7)+F706</f>
        <v>26</v>
      </c>
      <c r="G707" s="58">
        <f t="shared" si="697"/>
        <v>24</v>
      </c>
      <c r="H707" s="58">
        <f t="shared" si="697"/>
        <v>12</v>
      </c>
      <c r="I707" s="58">
        <f t="shared" si="697"/>
        <v>-20</v>
      </c>
      <c r="J707" s="58">
        <f t="shared" si="697"/>
        <v>0</v>
      </c>
      <c r="K707" s="58">
        <f t="shared" si="697"/>
        <v>0</v>
      </c>
      <c r="L707" s="58">
        <f t="shared" si="697"/>
        <v>0</v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0" customHeight="1">
      <c r="A708" s="70"/>
      <c r="B708" s="71"/>
      <c r="C708" s="66"/>
      <c r="D708" s="66">
        <f t="shared" si="3"/>
        <v>0</v>
      </c>
      <c r="E708" s="67"/>
      <c r="F708" s="58">
        <f t="shared" ref="F708:L708" si="698">SUMIFS($C708,$B708,F$7)+F707</f>
        <v>26</v>
      </c>
      <c r="G708" s="58">
        <f t="shared" si="698"/>
        <v>24</v>
      </c>
      <c r="H708" s="58">
        <f t="shared" si="698"/>
        <v>12</v>
      </c>
      <c r="I708" s="58">
        <f t="shared" si="698"/>
        <v>-20</v>
      </c>
      <c r="J708" s="58">
        <f t="shared" si="698"/>
        <v>0</v>
      </c>
      <c r="K708" s="58">
        <f t="shared" si="698"/>
        <v>0</v>
      </c>
      <c r="L708" s="58">
        <f t="shared" si="698"/>
        <v>0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0" customHeight="1">
      <c r="A709" s="70"/>
      <c r="B709" s="71"/>
      <c r="C709" s="66"/>
      <c r="D709" s="66">
        <f t="shared" si="3"/>
        <v>0</v>
      </c>
      <c r="E709" s="67"/>
      <c r="F709" s="58">
        <f t="shared" ref="F709:L709" si="699">SUMIFS($C709,$B709,F$7)+F708</f>
        <v>26</v>
      </c>
      <c r="G709" s="58">
        <f t="shared" si="699"/>
        <v>24</v>
      </c>
      <c r="H709" s="58">
        <f t="shared" si="699"/>
        <v>12</v>
      </c>
      <c r="I709" s="58">
        <f t="shared" si="699"/>
        <v>-20</v>
      </c>
      <c r="J709" s="58">
        <f t="shared" si="699"/>
        <v>0</v>
      </c>
      <c r="K709" s="58">
        <f t="shared" si="699"/>
        <v>0</v>
      </c>
      <c r="L709" s="58">
        <f t="shared" si="699"/>
        <v>0</v>
      </c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0" customHeight="1">
      <c r="A710" s="70"/>
      <c r="B710" s="71"/>
      <c r="C710" s="66"/>
      <c r="D710" s="66">
        <f t="shared" si="3"/>
        <v>0</v>
      </c>
      <c r="E710" s="67"/>
      <c r="F710" s="58">
        <f t="shared" ref="F710:L710" si="700">SUMIFS($C710,$B710,F$7)+F709</f>
        <v>26</v>
      </c>
      <c r="G710" s="58">
        <f t="shared" si="700"/>
        <v>24</v>
      </c>
      <c r="H710" s="58">
        <f t="shared" si="700"/>
        <v>12</v>
      </c>
      <c r="I710" s="58">
        <f t="shared" si="700"/>
        <v>-20</v>
      </c>
      <c r="J710" s="58">
        <f t="shared" si="700"/>
        <v>0</v>
      </c>
      <c r="K710" s="58">
        <f t="shared" si="700"/>
        <v>0</v>
      </c>
      <c r="L710" s="58">
        <f t="shared" si="700"/>
        <v>0</v>
      </c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0" customHeight="1">
      <c r="A711" s="70"/>
      <c r="B711" s="71"/>
      <c r="C711" s="66"/>
      <c r="D711" s="66">
        <f t="shared" si="3"/>
        <v>0</v>
      </c>
      <c r="E711" s="67"/>
      <c r="F711" s="58">
        <f t="shared" ref="F711:L711" si="701">SUMIFS($C711,$B711,F$7)+F710</f>
        <v>26</v>
      </c>
      <c r="G711" s="58">
        <f t="shared" si="701"/>
        <v>24</v>
      </c>
      <c r="H711" s="58">
        <f t="shared" si="701"/>
        <v>12</v>
      </c>
      <c r="I711" s="58">
        <f t="shared" si="701"/>
        <v>-20</v>
      </c>
      <c r="J711" s="58">
        <f t="shared" si="701"/>
        <v>0</v>
      </c>
      <c r="K711" s="58">
        <f t="shared" si="701"/>
        <v>0</v>
      </c>
      <c r="L711" s="58">
        <f t="shared" si="701"/>
        <v>0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0" customHeight="1">
      <c r="A712" s="70"/>
      <c r="B712" s="71"/>
      <c r="C712" s="66"/>
      <c r="D712" s="66">
        <f t="shared" si="3"/>
        <v>0</v>
      </c>
      <c r="E712" s="67"/>
      <c r="F712" s="58">
        <f t="shared" ref="F712:L712" si="702">SUMIFS($C712,$B712,F$7)+F711</f>
        <v>26</v>
      </c>
      <c r="G712" s="58">
        <f t="shared" si="702"/>
        <v>24</v>
      </c>
      <c r="H712" s="58">
        <f t="shared" si="702"/>
        <v>12</v>
      </c>
      <c r="I712" s="58">
        <f t="shared" si="702"/>
        <v>-20</v>
      </c>
      <c r="J712" s="58">
        <f t="shared" si="702"/>
        <v>0</v>
      </c>
      <c r="K712" s="58">
        <f t="shared" si="702"/>
        <v>0</v>
      </c>
      <c r="L712" s="58">
        <f t="shared" si="702"/>
        <v>0</v>
      </c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0" customHeight="1">
      <c r="A713" s="70"/>
      <c r="B713" s="71"/>
      <c r="C713" s="66"/>
      <c r="D713" s="66">
        <f t="shared" si="3"/>
        <v>0</v>
      </c>
      <c r="E713" s="67"/>
      <c r="F713" s="58">
        <f t="shared" ref="F713:L713" si="703">SUMIFS($C713,$B713,F$7)+F712</f>
        <v>26</v>
      </c>
      <c r="G713" s="58">
        <f t="shared" si="703"/>
        <v>24</v>
      </c>
      <c r="H713" s="58">
        <f t="shared" si="703"/>
        <v>12</v>
      </c>
      <c r="I713" s="58">
        <f t="shared" si="703"/>
        <v>-20</v>
      </c>
      <c r="J713" s="58">
        <f t="shared" si="703"/>
        <v>0</v>
      </c>
      <c r="K713" s="58">
        <f t="shared" si="703"/>
        <v>0</v>
      </c>
      <c r="L713" s="58">
        <f t="shared" si="703"/>
        <v>0</v>
      </c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0" customHeight="1">
      <c r="A714" s="70"/>
      <c r="B714" s="71"/>
      <c r="C714" s="66"/>
      <c r="D714" s="66">
        <f t="shared" si="3"/>
        <v>0</v>
      </c>
      <c r="E714" s="67"/>
      <c r="F714" s="58">
        <f t="shared" ref="F714:L714" si="704">SUMIFS($C714,$B714,F$7)+F713</f>
        <v>26</v>
      </c>
      <c r="G714" s="58">
        <f t="shared" si="704"/>
        <v>24</v>
      </c>
      <c r="H714" s="58">
        <f t="shared" si="704"/>
        <v>12</v>
      </c>
      <c r="I714" s="58">
        <f t="shared" si="704"/>
        <v>-20</v>
      </c>
      <c r="J714" s="58">
        <f t="shared" si="704"/>
        <v>0</v>
      </c>
      <c r="K714" s="58">
        <f t="shared" si="704"/>
        <v>0</v>
      </c>
      <c r="L714" s="58">
        <f t="shared" si="704"/>
        <v>0</v>
      </c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0" customHeight="1">
      <c r="A715" s="70"/>
      <c r="B715" s="71"/>
      <c r="C715" s="66"/>
      <c r="D715" s="66">
        <f t="shared" si="3"/>
        <v>0</v>
      </c>
      <c r="E715" s="67"/>
      <c r="F715" s="58">
        <f t="shared" ref="F715:L715" si="705">SUMIFS($C715,$B715,F$7)+F714</f>
        <v>26</v>
      </c>
      <c r="G715" s="58">
        <f t="shared" si="705"/>
        <v>24</v>
      </c>
      <c r="H715" s="58">
        <f t="shared" si="705"/>
        <v>12</v>
      </c>
      <c r="I715" s="58">
        <f t="shared" si="705"/>
        <v>-20</v>
      </c>
      <c r="J715" s="58">
        <f t="shared" si="705"/>
        <v>0</v>
      </c>
      <c r="K715" s="58">
        <f t="shared" si="705"/>
        <v>0</v>
      </c>
      <c r="L715" s="58">
        <f t="shared" si="705"/>
        <v>0</v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0" customHeight="1">
      <c r="A716" s="70"/>
      <c r="B716" s="71"/>
      <c r="C716" s="66"/>
      <c r="D716" s="66">
        <f t="shared" si="3"/>
        <v>0</v>
      </c>
      <c r="E716" s="67"/>
      <c r="F716" s="58">
        <f t="shared" ref="F716:L716" si="706">SUMIFS($C716,$B716,F$7)+F715</f>
        <v>26</v>
      </c>
      <c r="G716" s="58">
        <f t="shared" si="706"/>
        <v>24</v>
      </c>
      <c r="H716" s="58">
        <f t="shared" si="706"/>
        <v>12</v>
      </c>
      <c r="I716" s="58">
        <f t="shared" si="706"/>
        <v>-20</v>
      </c>
      <c r="J716" s="58">
        <f t="shared" si="706"/>
        <v>0</v>
      </c>
      <c r="K716" s="58">
        <f t="shared" si="706"/>
        <v>0</v>
      </c>
      <c r="L716" s="58">
        <f t="shared" si="706"/>
        <v>0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0" customHeight="1">
      <c r="A717" s="70"/>
      <c r="B717" s="71"/>
      <c r="C717" s="66"/>
      <c r="D717" s="66">
        <f t="shared" si="3"/>
        <v>0</v>
      </c>
      <c r="E717" s="67"/>
      <c r="F717" s="58">
        <f t="shared" ref="F717:L717" si="707">SUMIFS($C717,$B717,F$7)+F716</f>
        <v>26</v>
      </c>
      <c r="G717" s="58">
        <f t="shared" si="707"/>
        <v>24</v>
      </c>
      <c r="H717" s="58">
        <f t="shared" si="707"/>
        <v>12</v>
      </c>
      <c r="I717" s="58">
        <f t="shared" si="707"/>
        <v>-20</v>
      </c>
      <c r="J717" s="58">
        <f t="shared" si="707"/>
        <v>0</v>
      </c>
      <c r="K717" s="58">
        <f t="shared" si="707"/>
        <v>0</v>
      </c>
      <c r="L717" s="58">
        <f t="shared" si="707"/>
        <v>0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0" customHeight="1">
      <c r="A718" s="70"/>
      <c r="B718" s="71"/>
      <c r="C718" s="66"/>
      <c r="D718" s="66">
        <f t="shared" si="3"/>
        <v>0</v>
      </c>
      <c r="E718" s="67"/>
      <c r="F718" s="58">
        <f t="shared" ref="F718:L718" si="708">SUMIFS($C718,$B718,F$7)+F717</f>
        <v>26</v>
      </c>
      <c r="G718" s="58">
        <f t="shared" si="708"/>
        <v>24</v>
      </c>
      <c r="H718" s="58">
        <f t="shared" si="708"/>
        <v>12</v>
      </c>
      <c r="I718" s="58">
        <f t="shared" si="708"/>
        <v>-20</v>
      </c>
      <c r="J718" s="58">
        <f t="shared" si="708"/>
        <v>0</v>
      </c>
      <c r="K718" s="58">
        <f t="shared" si="708"/>
        <v>0</v>
      </c>
      <c r="L718" s="58">
        <f t="shared" si="708"/>
        <v>0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0" customHeight="1">
      <c r="A719" s="70"/>
      <c r="B719" s="71"/>
      <c r="C719" s="66"/>
      <c r="D719" s="66">
        <f t="shared" si="3"/>
        <v>0</v>
      </c>
      <c r="E719" s="67"/>
      <c r="F719" s="58">
        <f t="shared" ref="F719:L719" si="709">SUMIFS($C719,$B719,F$7)+F718</f>
        <v>26</v>
      </c>
      <c r="G719" s="58">
        <f t="shared" si="709"/>
        <v>24</v>
      </c>
      <c r="H719" s="58">
        <f t="shared" si="709"/>
        <v>12</v>
      </c>
      <c r="I719" s="58">
        <f t="shared" si="709"/>
        <v>-20</v>
      </c>
      <c r="J719" s="58">
        <f t="shared" si="709"/>
        <v>0</v>
      </c>
      <c r="K719" s="58">
        <f t="shared" si="709"/>
        <v>0</v>
      </c>
      <c r="L719" s="58">
        <f t="shared" si="709"/>
        <v>0</v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0" customHeight="1">
      <c r="A720" s="70"/>
      <c r="B720" s="71"/>
      <c r="C720" s="66"/>
      <c r="D720" s="66">
        <f t="shared" si="3"/>
        <v>0</v>
      </c>
      <c r="E720" s="67"/>
      <c r="F720" s="58">
        <f t="shared" ref="F720:L720" si="710">SUMIFS($C720,$B720,F$7)+F719</f>
        <v>26</v>
      </c>
      <c r="G720" s="58">
        <f t="shared" si="710"/>
        <v>24</v>
      </c>
      <c r="H720" s="58">
        <f t="shared" si="710"/>
        <v>12</v>
      </c>
      <c r="I720" s="58">
        <f t="shared" si="710"/>
        <v>-20</v>
      </c>
      <c r="J720" s="58">
        <f t="shared" si="710"/>
        <v>0</v>
      </c>
      <c r="K720" s="58">
        <f t="shared" si="710"/>
        <v>0</v>
      </c>
      <c r="L720" s="58">
        <f t="shared" si="710"/>
        <v>0</v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0" customHeight="1">
      <c r="A721" s="70"/>
      <c r="B721" s="71"/>
      <c r="C721" s="66"/>
      <c r="D721" s="66">
        <f t="shared" si="3"/>
        <v>0</v>
      </c>
      <c r="E721" s="67"/>
      <c r="F721" s="58">
        <f t="shared" ref="F721:L721" si="711">SUMIFS($C721,$B721,F$7)+F720</f>
        <v>26</v>
      </c>
      <c r="G721" s="58">
        <f t="shared" si="711"/>
        <v>24</v>
      </c>
      <c r="H721" s="58">
        <f t="shared" si="711"/>
        <v>12</v>
      </c>
      <c r="I721" s="58">
        <f t="shared" si="711"/>
        <v>-20</v>
      </c>
      <c r="J721" s="58">
        <f t="shared" si="711"/>
        <v>0</v>
      </c>
      <c r="K721" s="58">
        <f t="shared" si="711"/>
        <v>0</v>
      </c>
      <c r="L721" s="58">
        <f t="shared" si="711"/>
        <v>0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0" customHeight="1">
      <c r="A722" s="70"/>
      <c r="B722" s="71"/>
      <c r="C722" s="66"/>
      <c r="D722" s="66">
        <f t="shared" si="3"/>
        <v>0</v>
      </c>
      <c r="E722" s="67"/>
      <c r="F722" s="58">
        <f t="shared" ref="F722:L722" si="712">SUMIFS($C722,$B722,F$7)+F721</f>
        <v>26</v>
      </c>
      <c r="G722" s="58">
        <f t="shared" si="712"/>
        <v>24</v>
      </c>
      <c r="H722" s="58">
        <f t="shared" si="712"/>
        <v>12</v>
      </c>
      <c r="I722" s="58">
        <f t="shared" si="712"/>
        <v>-20</v>
      </c>
      <c r="J722" s="58">
        <f t="shared" si="712"/>
        <v>0</v>
      </c>
      <c r="K722" s="58">
        <f t="shared" si="712"/>
        <v>0</v>
      </c>
      <c r="L722" s="58">
        <f t="shared" si="712"/>
        <v>0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0" customHeight="1">
      <c r="A723" s="70"/>
      <c r="B723" s="71"/>
      <c r="C723" s="66"/>
      <c r="D723" s="66">
        <f t="shared" si="3"/>
        <v>0</v>
      </c>
      <c r="E723" s="67"/>
      <c r="F723" s="58">
        <f t="shared" ref="F723:L723" si="713">SUMIFS($C723,$B723,F$7)+F722</f>
        <v>26</v>
      </c>
      <c r="G723" s="58">
        <f t="shared" si="713"/>
        <v>24</v>
      </c>
      <c r="H723" s="58">
        <f t="shared" si="713"/>
        <v>12</v>
      </c>
      <c r="I723" s="58">
        <f t="shared" si="713"/>
        <v>-20</v>
      </c>
      <c r="J723" s="58">
        <f t="shared" si="713"/>
        <v>0</v>
      </c>
      <c r="K723" s="58">
        <f t="shared" si="713"/>
        <v>0</v>
      </c>
      <c r="L723" s="58">
        <f t="shared" si="713"/>
        <v>0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0" customHeight="1">
      <c r="A724" s="70"/>
      <c r="B724" s="71"/>
      <c r="C724" s="66"/>
      <c r="D724" s="66">
        <f t="shared" si="3"/>
        <v>0</v>
      </c>
      <c r="E724" s="67"/>
      <c r="F724" s="58">
        <f t="shared" ref="F724:L724" si="714">SUMIFS($C724,$B724,F$7)+F723</f>
        <v>26</v>
      </c>
      <c r="G724" s="58">
        <f t="shared" si="714"/>
        <v>24</v>
      </c>
      <c r="H724" s="58">
        <f t="shared" si="714"/>
        <v>12</v>
      </c>
      <c r="I724" s="58">
        <f t="shared" si="714"/>
        <v>-20</v>
      </c>
      <c r="J724" s="58">
        <f t="shared" si="714"/>
        <v>0</v>
      </c>
      <c r="K724" s="58">
        <f t="shared" si="714"/>
        <v>0</v>
      </c>
      <c r="L724" s="58">
        <f t="shared" si="714"/>
        <v>0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0" customHeight="1">
      <c r="A725" s="70"/>
      <c r="B725" s="71"/>
      <c r="C725" s="66"/>
      <c r="D725" s="66">
        <f t="shared" si="3"/>
        <v>0</v>
      </c>
      <c r="E725" s="67"/>
      <c r="F725" s="58">
        <f t="shared" ref="F725:L725" si="715">SUMIFS($C725,$B725,F$7)+F724</f>
        <v>26</v>
      </c>
      <c r="G725" s="58">
        <f t="shared" si="715"/>
        <v>24</v>
      </c>
      <c r="H725" s="58">
        <f t="shared" si="715"/>
        <v>12</v>
      </c>
      <c r="I725" s="58">
        <f t="shared" si="715"/>
        <v>-20</v>
      </c>
      <c r="J725" s="58">
        <f t="shared" si="715"/>
        <v>0</v>
      </c>
      <c r="K725" s="58">
        <f t="shared" si="715"/>
        <v>0</v>
      </c>
      <c r="L725" s="58">
        <f t="shared" si="715"/>
        <v>0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0" customHeight="1">
      <c r="A726" s="70"/>
      <c r="B726" s="71"/>
      <c r="C726" s="66"/>
      <c r="D726" s="66">
        <f t="shared" si="3"/>
        <v>0</v>
      </c>
      <c r="E726" s="67"/>
      <c r="F726" s="58">
        <f t="shared" ref="F726:L726" si="716">SUMIFS($C726,$B726,F$7)+F725</f>
        <v>26</v>
      </c>
      <c r="G726" s="58">
        <f t="shared" si="716"/>
        <v>24</v>
      </c>
      <c r="H726" s="58">
        <f t="shared" si="716"/>
        <v>12</v>
      </c>
      <c r="I726" s="58">
        <f t="shared" si="716"/>
        <v>-20</v>
      </c>
      <c r="J726" s="58">
        <f t="shared" si="716"/>
        <v>0</v>
      </c>
      <c r="K726" s="58">
        <f t="shared" si="716"/>
        <v>0</v>
      </c>
      <c r="L726" s="58">
        <f t="shared" si="716"/>
        <v>0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0" customHeight="1">
      <c r="A727" s="70"/>
      <c r="B727" s="71"/>
      <c r="C727" s="66"/>
      <c r="D727" s="66">
        <f t="shared" si="3"/>
        <v>0</v>
      </c>
      <c r="E727" s="67"/>
      <c r="F727" s="58">
        <f t="shared" ref="F727:L727" si="717">SUMIFS($C727,$B727,F$7)+F726</f>
        <v>26</v>
      </c>
      <c r="G727" s="58">
        <f t="shared" si="717"/>
        <v>24</v>
      </c>
      <c r="H727" s="58">
        <f t="shared" si="717"/>
        <v>12</v>
      </c>
      <c r="I727" s="58">
        <f t="shared" si="717"/>
        <v>-20</v>
      </c>
      <c r="J727" s="58">
        <f t="shared" si="717"/>
        <v>0</v>
      </c>
      <c r="K727" s="58">
        <f t="shared" si="717"/>
        <v>0</v>
      </c>
      <c r="L727" s="58">
        <f t="shared" si="717"/>
        <v>0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0" customHeight="1">
      <c r="A728" s="70"/>
      <c r="B728" s="71"/>
      <c r="C728" s="66"/>
      <c r="D728" s="66">
        <f t="shared" si="3"/>
        <v>0</v>
      </c>
      <c r="E728" s="67"/>
      <c r="F728" s="58">
        <f t="shared" ref="F728:L728" si="718">SUMIFS($C728,$B728,F$7)+F727</f>
        <v>26</v>
      </c>
      <c r="G728" s="58">
        <f t="shared" si="718"/>
        <v>24</v>
      </c>
      <c r="H728" s="58">
        <f t="shared" si="718"/>
        <v>12</v>
      </c>
      <c r="I728" s="58">
        <f t="shared" si="718"/>
        <v>-20</v>
      </c>
      <c r="J728" s="58">
        <f t="shared" si="718"/>
        <v>0</v>
      </c>
      <c r="K728" s="58">
        <f t="shared" si="718"/>
        <v>0</v>
      </c>
      <c r="L728" s="58">
        <f t="shared" si="718"/>
        <v>0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0" customHeight="1">
      <c r="A729" s="70"/>
      <c r="B729" s="71"/>
      <c r="C729" s="66"/>
      <c r="D729" s="66">
        <f t="shared" si="3"/>
        <v>0</v>
      </c>
      <c r="E729" s="67"/>
      <c r="F729" s="58">
        <f t="shared" ref="F729:L729" si="719">SUMIFS($C729,$B729,F$7)+F728</f>
        <v>26</v>
      </c>
      <c r="G729" s="58">
        <f t="shared" si="719"/>
        <v>24</v>
      </c>
      <c r="H729" s="58">
        <f t="shared" si="719"/>
        <v>12</v>
      </c>
      <c r="I729" s="58">
        <f t="shared" si="719"/>
        <v>-20</v>
      </c>
      <c r="J729" s="58">
        <f t="shared" si="719"/>
        <v>0</v>
      </c>
      <c r="K729" s="58">
        <f t="shared" si="719"/>
        <v>0</v>
      </c>
      <c r="L729" s="58">
        <f t="shared" si="719"/>
        <v>0</v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0" customHeight="1">
      <c r="A730" s="70"/>
      <c r="B730" s="71"/>
      <c r="C730" s="66"/>
      <c r="D730" s="66">
        <f t="shared" si="3"/>
        <v>0</v>
      </c>
      <c r="E730" s="67"/>
      <c r="F730" s="58">
        <f t="shared" ref="F730:L730" si="720">SUMIFS($C730,$B730,F$7)+F729</f>
        <v>26</v>
      </c>
      <c r="G730" s="58">
        <f t="shared" si="720"/>
        <v>24</v>
      </c>
      <c r="H730" s="58">
        <f t="shared" si="720"/>
        <v>12</v>
      </c>
      <c r="I730" s="58">
        <f t="shared" si="720"/>
        <v>-20</v>
      </c>
      <c r="J730" s="58">
        <f t="shared" si="720"/>
        <v>0</v>
      </c>
      <c r="K730" s="58">
        <f t="shared" si="720"/>
        <v>0</v>
      </c>
      <c r="L730" s="58">
        <f t="shared" si="720"/>
        <v>0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0" customHeight="1">
      <c r="A731" s="70"/>
      <c r="B731" s="71"/>
      <c r="C731" s="66"/>
      <c r="D731" s="66">
        <f t="shared" si="3"/>
        <v>0</v>
      </c>
      <c r="E731" s="67"/>
      <c r="F731" s="58">
        <f t="shared" ref="F731:L731" si="721">SUMIFS($C731,$B731,F$7)+F730</f>
        <v>26</v>
      </c>
      <c r="G731" s="58">
        <f t="shared" si="721"/>
        <v>24</v>
      </c>
      <c r="H731" s="58">
        <f t="shared" si="721"/>
        <v>12</v>
      </c>
      <c r="I731" s="58">
        <f t="shared" si="721"/>
        <v>-20</v>
      </c>
      <c r="J731" s="58">
        <f t="shared" si="721"/>
        <v>0</v>
      </c>
      <c r="K731" s="58">
        <f t="shared" si="721"/>
        <v>0</v>
      </c>
      <c r="L731" s="58">
        <f t="shared" si="721"/>
        <v>0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0" customHeight="1">
      <c r="A732" s="70"/>
      <c r="B732" s="71"/>
      <c r="C732" s="66"/>
      <c r="D732" s="66">
        <f t="shared" si="3"/>
        <v>0</v>
      </c>
      <c r="E732" s="67"/>
      <c r="F732" s="58">
        <f t="shared" ref="F732:L732" si="722">SUMIFS($C732,$B732,F$7)+F731</f>
        <v>26</v>
      </c>
      <c r="G732" s="58">
        <f t="shared" si="722"/>
        <v>24</v>
      </c>
      <c r="H732" s="58">
        <f t="shared" si="722"/>
        <v>12</v>
      </c>
      <c r="I732" s="58">
        <f t="shared" si="722"/>
        <v>-20</v>
      </c>
      <c r="J732" s="58">
        <f t="shared" si="722"/>
        <v>0</v>
      </c>
      <c r="K732" s="58">
        <f t="shared" si="722"/>
        <v>0</v>
      </c>
      <c r="L732" s="58">
        <f t="shared" si="722"/>
        <v>0</v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0" customHeight="1">
      <c r="A733" s="70"/>
      <c r="B733" s="71"/>
      <c r="C733" s="66"/>
      <c r="D733" s="66">
        <f t="shared" si="3"/>
        <v>0</v>
      </c>
      <c r="E733" s="67"/>
      <c r="F733" s="58">
        <f t="shared" ref="F733:L733" si="723">SUMIFS($C733,$B733,F$7)+F732</f>
        <v>26</v>
      </c>
      <c r="G733" s="58">
        <f t="shared" si="723"/>
        <v>24</v>
      </c>
      <c r="H733" s="58">
        <f t="shared" si="723"/>
        <v>12</v>
      </c>
      <c r="I733" s="58">
        <f t="shared" si="723"/>
        <v>-20</v>
      </c>
      <c r="J733" s="58">
        <f t="shared" si="723"/>
        <v>0</v>
      </c>
      <c r="K733" s="58">
        <f t="shared" si="723"/>
        <v>0</v>
      </c>
      <c r="L733" s="58">
        <f t="shared" si="723"/>
        <v>0</v>
      </c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0" customHeight="1">
      <c r="A734" s="70"/>
      <c r="B734" s="71"/>
      <c r="C734" s="66"/>
      <c r="D734" s="66">
        <f t="shared" si="3"/>
        <v>0</v>
      </c>
      <c r="E734" s="67"/>
      <c r="F734" s="58">
        <f t="shared" ref="F734:L734" si="724">SUMIFS($C734,$B734,F$7)+F733</f>
        <v>26</v>
      </c>
      <c r="G734" s="58">
        <f t="shared" si="724"/>
        <v>24</v>
      </c>
      <c r="H734" s="58">
        <f t="shared" si="724"/>
        <v>12</v>
      </c>
      <c r="I734" s="58">
        <f t="shared" si="724"/>
        <v>-20</v>
      </c>
      <c r="J734" s="58">
        <f t="shared" si="724"/>
        <v>0</v>
      </c>
      <c r="K734" s="58">
        <f t="shared" si="724"/>
        <v>0</v>
      </c>
      <c r="L734" s="58">
        <f t="shared" si="724"/>
        <v>0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0" customHeight="1">
      <c r="A735" s="70"/>
      <c r="B735" s="71"/>
      <c r="C735" s="66"/>
      <c r="D735" s="66">
        <f t="shared" si="3"/>
        <v>0</v>
      </c>
      <c r="E735" s="67"/>
      <c r="F735" s="58">
        <f t="shared" ref="F735:L735" si="725">SUMIFS($C735,$B735,F$7)+F734</f>
        <v>26</v>
      </c>
      <c r="G735" s="58">
        <f t="shared" si="725"/>
        <v>24</v>
      </c>
      <c r="H735" s="58">
        <f t="shared" si="725"/>
        <v>12</v>
      </c>
      <c r="I735" s="58">
        <f t="shared" si="725"/>
        <v>-20</v>
      </c>
      <c r="J735" s="58">
        <f t="shared" si="725"/>
        <v>0</v>
      </c>
      <c r="K735" s="58">
        <f t="shared" si="725"/>
        <v>0</v>
      </c>
      <c r="L735" s="58">
        <f t="shared" si="725"/>
        <v>0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0" customHeight="1">
      <c r="A736" s="70"/>
      <c r="B736" s="71"/>
      <c r="C736" s="66"/>
      <c r="D736" s="66">
        <f t="shared" si="3"/>
        <v>0</v>
      </c>
      <c r="E736" s="67"/>
      <c r="F736" s="58">
        <f t="shared" ref="F736:L736" si="726">SUMIFS($C736,$B736,F$7)+F735</f>
        <v>26</v>
      </c>
      <c r="G736" s="58">
        <f t="shared" si="726"/>
        <v>24</v>
      </c>
      <c r="H736" s="58">
        <f t="shared" si="726"/>
        <v>12</v>
      </c>
      <c r="I736" s="58">
        <f t="shared" si="726"/>
        <v>-20</v>
      </c>
      <c r="J736" s="58">
        <f t="shared" si="726"/>
        <v>0</v>
      </c>
      <c r="K736" s="58">
        <f t="shared" si="726"/>
        <v>0</v>
      </c>
      <c r="L736" s="58">
        <f t="shared" si="726"/>
        <v>0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0" customHeight="1">
      <c r="A737" s="70"/>
      <c r="B737" s="71"/>
      <c r="C737" s="66"/>
      <c r="D737" s="66">
        <f t="shared" si="3"/>
        <v>0</v>
      </c>
      <c r="E737" s="67"/>
      <c r="F737" s="58">
        <f t="shared" ref="F737:L737" si="727">SUMIFS($C737,$B737,F$7)+F736</f>
        <v>26</v>
      </c>
      <c r="G737" s="58">
        <f t="shared" si="727"/>
        <v>24</v>
      </c>
      <c r="H737" s="58">
        <f t="shared" si="727"/>
        <v>12</v>
      </c>
      <c r="I737" s="58">
        <f t="shared" si="727"/>
        <v>-20</v>
      </c>
      <c r="J737" s="58">
        <f t="shared" si="727"/>
        <v>0</v>
      </c>
      <c r="K737" s="58">
        <f t="shared" si="727"/>
        <v>0</v>
      </c>
      <c r="L737" s="58">
        <f t="shared" si="727"/>
        <v>0</v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0" customHeight="1">
      <c r="A738" s="70"/>
      <c r="B738" s="71"/>
      <c r="C738" s="66"/>
      <c r="D738" s="66">
        <f t="shared" si="3"/>
        <v>0</v>
      </c>
      <c r="E738" s="67"/>
      <c r="F738" s="58">
        <f t="shared" ref="F738:L738" si="728">SUMIFS($C738,$B738,F$7)+F737</f>
        <v>26</v>
      </c>
      <c r="G738" s="58">
        <f t="shared" si="728"/>
        <v>24</v>
      </c>
      <c r="H738" s="58">
        <f t="shared" si="728"/>
        <v>12</v>
      </c>
      <c r="I738" s="58">
        <f t="shared" si="728"/>
        <v>-20</v>
      </c>
      <c r="J738" s="58">
        <f t="shared" si="728"/>
        <v>0</v>
      </c>
      <c r="K738" s="58">
        <f t="shared" si="728"/>
        <v>0</v>
      </c>
      <c r="L738" s="58">
        <f t="shared" si="728"/>
        <v>0</v>
      </c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0" customHeight="1">
      <c r="A739" s="70"/>
      <c r="B739" s="71"/>
      <c r="C739" s="66"/>
      <c r="D739" s="66">
        <f t="shared" si="3"/>
        <v>0</v>
      </c>
      <c r="E739" s="67"/>
      <c r="F739" s="58">
        <f t="shared" ref="F739:L739" si="729">SUMIFS($C739,$B739,F$7)+F738</f>
        <v>26</v>
      </c>
      <c r="G739" s="58">
        <f t="shared" si="729"/>
        <v>24</v>
      </c>
      <c r="H739" s="58">
        <f t="shared" si="729"/>
        <v>12</v>
      </c>
      <c r="I739" s="58">
        <f t="shared" si="729"/>
        <v>-20</v>
      </c>
      <c r="J739" s="58">
        <f t="shared" si="729"/>
        <v>0</v>
      </c>
      <c r="K739" s="58">
        <f t="shared" si="729"/>
        <v>0</v>
      </c>
      <c r="L739" s="58">
        <f t="shared" si="729"/>
        <v>0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0" customHeight="1">
      <c r="A740" s="70"/>
      <c r="B740" s="71"/>
      <c r="C740" s="66"/>
      <c r="D740" s="66">
        <f t="shared" si="3"/>
        <v>0</v>
      </c>
      <c r="E740" s="67"/>
      <c r="F740" s="58">
        <f t="shared" ref="F740:L740" si="730">SUMIFS($C740,$B740,F$7)+F739</f>
        <v>26</v>
      </c>
      <c r="G740" s="58">
        <f t="shared" si="730"/>
        <v>24</v>
      </c>
      <c r="H740" s="58">
        <f t="shared" si="730"/>
        <v>12</v>
      </c>
      <c r="I740" s="58">
        <f t="shared" si="730"/>
        <v>-20</v>
      </c>
      <c r="J740" s="58">
        <f t="shared" si="730"/>
        <v>0</v>
      </c>
      <c r="K740" s="58">
        <f t="shared" si="730"/>
        <v>0</v>
      </c>
      <c r="L740" s="58">
        <f t="shared" si="730"/>
        <v>0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0" customHeight="1">
      <c r="A741" s="70"/>
      <c r="B741" s="71"/>
      <c r="C741" s="66"/>
      <c r="D741" s="66">
        <f t="shared" si="3"/>
        <v>0</v>
      </c>
      <c r="E741" s="67"/>
      <c r="F741" s="58">
        <f t="shared" ref="F741:L741" si="731">SUMIFS($C741,$B741,F$7)+F740</f>
        <v>26</v>
      </c>
      <c r="G741" s="58">
        <f t="shared" si="731"/>
        <v>24</v>
      </c>
      <c r="H741" s="58">
        <f t="shared" si="731"/>
        <v>12</v>
      </c>
      <c r="I741" s="58">
        <f t="shared" si="731"/>
        <v>-20</v>
      </c>
      <c r="J741" s="58">
        <f t="shared" si="731"/>
        <v>0</v>
      </c>
      <c r="K741" s="58">
        <f t="shared" si="731"/>
        <v>0</v>
      </c>
      <c r="L741" s="58">
        <f t="shared" si="731"/>
        <v>0</v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0" customHeight="1">
      <c r="A742" s="70"/>
      <c r="B742" s="71"/>
      <c r="C742" s="66"/>
      <c r="D742" s="66">
        <f t="shared" si="3"/>
        <v>0</v>
      </c>
      <c r="E742" s="67"/>
      <c r="F742" s="58">
        <f t="shared" ref="F742:L742" si="732">SUMIFS($C742,$B742,F$7)+F741</f>
        <v>26</v>
      </c>
      <c r="G742" s="58">
        <f t="shared" si="732"/>
        <v>24</v>
      </c>
      <c r="H742" s="58">
        <f t="shared" si="732"/>
        <v>12</v>
      </c>
      <c r="I742" s="58">
        <f t="shared" si="732"/>
        <v>-20</v>
      </c>
      <c r="J742" s="58">
        <f t="shared" si="732"/>
        <v>0</v>
      </c>
      <c r="K742" s="58">
        <f t="shared" si="732"/>
        <v>0</v>
      </c>
      <c r="L742" s="58">
        <f t="shared" si="732"/>
        <v>0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0" customHeight="1">
      <c r="A743" s="70"/>
      <c r="B743" s="71"/>
      <c r="C743" s="66"/>
      <c r="D743" s="66">
        <f t="shared" si="3"/>
        <v>0</v>
      </c>
      <c r="E743" s="67"/>
      <c r="F743" s="58">
        <f t="shared" ref="F743:L743" si="733">SUMIFS($C743,$B743,F$7)+F742</f>
        <v>26</v>
      </c>
      <c r="G743" s="58">
        <f t="shared" si="733"/>
        <v>24</v>
      </c>
      <c r="H743" s="58">
        <f t="shared" si="733"/>
        <v>12</v>
      </c>
      <c r="I743" s="58">
        <f t="shared" si="733"/>
        <v>-20</v>
      </c>
      <c r="J743" s="58">
        <f t="shared" si="733"/>
        <v>0</v>
      </c>
      <c r="K743" s="58">
        <f t="shared" si="733"/>
        <v>0</v>
      </c>
      <c r="L743" s="58">
        <f t="shared" si="733"/>
        <v>0</v>
      </c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0" customHeight="1">
      <c r="A744" s="70"/>
      <c r="B744" s="71"/>
      <c r="C744" s="66"/>
      <c r="D744" s="66">
        <f t="shared" si="3"/>
        <v>0</v>
      </c>
      <c r="E744" s="67"/>
      <c r="F744" s="58">
        <f t="shared" ref="F744:L744" si="734">SUMIFS($C744,$B744,F$7)+F743</f>
        <v>26</v>
      </c>
      <c r="G744" s="58">
        <f t="shared" si="734"/>
        <v>24</v>
      </c>
      <c r="H744" s="58">
        <f t="shared" si="734"/>
        <v>12</v>
      </c>
      <c r="I744" s="58">
        <f t="shared" si="734"/>
        <v>-20</v>
      </c>
      <c r="J744" s="58">
        <f t="shared" si="734"/>
        <v>0</v>
      </c>
      <c r="K744" s="58">
        <f t="shared" si="734"/>
        <v>0</v>
      </c>
      <c r="L744" s="58">
        <f t="shared" si="734"/>
        <v>0</v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0" customHeight="1">
      <c r="A745" s="70"/>
      <c r="B745" s="71"/>
      <c r="C745" s="66"/>
      <c r="D745" s="66">
        <f t="shared" si="3"/>
        <v>0</v>
      </c>
      <c r="E745" s="67"/>
      <c r="F745" s="58">
        <f t="shared" ref="F745:L745" si="735">SUMIFS($C745,$B745,F$7)+F744</f>
        <v>26</v>
      </c>
      <c r="G745" s="58">
        <f t="shared" si="735"/>
        <v>24</v>
      </c>
      <c r="H745" s="58">
        <f t="shared" si="735"/>
        <v>12</v>
      </c>
      <c r="I745" s="58">
        <f t="shared" si="735"/>
        <v>-20</v>
      </c>
      <c r="J745" s="58">
        <f t="shared" si="735"/>
        <v>0</v>
      </c>
      <c r="K745" s="58">
        <f t="shared" si="735"/>
        <v>0</v>
      </c>
      <c r="L745" s="58">
        <f t="shared" si="735"/>
        <v>0</v>
      </c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0" customHeight="1">
      <c r="A746" s="70"/>
      <c r="B746" s="71"/>
      <c r="C746" s="66"/>
      <c r="D746" s="66">
        <f t="shared" si="3"/>
        <v>0</v>
      </c>
      <c r="E746" s="67"/>
      <c r="F746" s="58">
        <f t="shared" ref="F746:L746" si="736">SUMIFS($C746,$B746,F$7)+F745</f>
        <v>26</v>
      </c>
      <c r="G746" s="58">
        <f t="shared" si="736"/>
        <v>24</v>
      </c>
      <c r="H746" s="58">
        <f t="shared" si="736"/>
        <v>12</v>
      </c>
      <c r="I746" s="58">
        <f t="shared" si="736"/>
        <v>-20</v>
      </c>
      <c r="J746" s="58">
        <f t="shared" si="736"/>
        <v>0</v>
      </c>
      <c r="K746" s="58">
        <f t="shared" si="736"/>
        <v>0</v>
      </c>
      <c r="L746" s="58">
        <f t="shared" si="736"/>
        <v>0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0" customHeight="1">
      <c r="A747" s="70"/>
      <c r="B747" s="71"/>
      <c r="C747" s="66"/>
      <c r="D747" s="66">
        <f t="shared" si="3"/>
        <v>0</v>
      </c>
      <c r="E747" s="67"/>
      <c r="F747" s="58">
        <f t="shared" ref="F747:L747" si="737">SUMIFS($C747,$B747,F$7)+F746</f>
        <v>26</v>
      </c>
      <c r="G747" s="58">
        <f t="shared" si="737"/>
        <v>24</v>
      </c>
      <c r="H747" s="58">
        <f t="shared" si="737"/>
        <v>12</v>
      </c>
      <c r="I747" s="58">
        <f t="shared" si="737"/>
        <v>-20</v>
      </c>
      <c r="J747" s="58">
        <f t="shared" si="737"/>
        <v>0</v>
      </c>
      <c r="K747" s="58">
        <f t="shared" si="737"/>
        <v>0</v>
      </c>
      <c r="L747" s="58">
        <f t="shared" si="737"/>
        <v>0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0" customHeight="1">
      <c r="A748" s="70"/>
      <c r="B748" s="71"/>
      <c r="C748" s="66"/>
      <c r="D748" s="66">
        <f t="shared" si="3"/>
        <v>0</v>
      </c>
      <c r="E748" s="67"/>
      <c r="F748" s="58">
        <f t="shared" ref="F748:L748" si="738">SUMIFS($C748,$B748,F$7)+F747</f>
        <v>26</v>
      </c>
      <c r="G748" s="58">
        <f t="shared" si="738"/>
        <v>24</v>
      </c>
      <c r="H748" s="58">
        <f t="shared" si="738"/>
        <v>12</v>
      </c>
      <c r="I748" s="58">
        <f t="shared" si="738"/>
        <v>-20</v>
      </c>
      <c r="J748" s="58">
        <f t="shared" si="738"/>
        <v>0</v>
      </c>
      <c r="K748" s="58">
        <f t="shared" si="738"/>
        <v>0</v>
      </c>
      <c r="L748" s="58">
        <f t="shared" si="738"/>
        <v>0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0" customHeight="1">
      <c r="A749" s="70"/>
      <c r="B749" s="71"/>
      <c r="C749" s="66"/>
      <c r="D749" s="66">
        <f t="shared" si="3"/>
        <v>0</v>
      </c>
      <c r="E749" s="67"/>
      <c r="F749" s="58">
        <f t="shared" ref="F749:L749" si="739">SUMIFS($C749,$B749,F$7)+F748</f>
        <v>26</v>
      </c>
      <c r="G749" s="58">
        <f t="shared" si="739"/>
        <v>24</v>
      </c>
      <c r="H749" s="58">
        <f t="shared" si="739"/>
        <v>12</v>
      </c>
      <c r="I749" s="58">
        <f t="shared" si="739"/>
        <v>-20</v>
      </c>
      <c r="J749" s="58">
        <f t="shared" si="739"/>
        <v>0</v>
      </c>
      <c r="K749" s="58">
        <f t="shared" si="739"/>
        <v>0</v>
      </c>
      <c r="L749" s="58">
        <f t="shared" si="739"/>
        <v>0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0" customHeight="1">
      <c r="A750" s="70"/>
      <c r="B750" s="71"/>
      <c r="C750" s="66"/>
      <c r="D750" s="66">
        <f t="shared" si="3"/>
        <v>0</v>
      </c>
      <c r="E750" s="67"/>
      <c r="F750" s="58">
        <f t="shared" ref="F750:L750" si="740">SUMIFS($C750,$B750,F$7)+F749</f>
        <v>26</v>
      </c>
      <c r="G750" s="58">
        <f t="shared" si="740"/>
        <v>24</v>
      </c>
      <c r="H750" s="58">
        <f t="shared" si="740"/>
        <v>12</v>
      </c>
      <c r="I750" s="58">
        <f t="shared" si="740"/>
        <v>-20</v>
      </c>
      <c r="J750" s="58">
        <f t="shared" si="740"/>
        <v>0</v>
      </c>
      <c r="K750" s="58">
        <f t="shared" si="740"/>
        <v>0</v>
      </c>
      <c r="L750" s="58">
        <f t="shared" si="740"/>
        <v>0</v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0" customHeight="1">
      <c r="A751" s="70"/>
      <c r="B751" s="71"/>
      <c r="C751" s="66"/>
      <c r="D751" s="66">
        <f t="shared" si="3"/>
        <v>0</v>
      </c>
      <c r="E751" s="67"/>
      <c r="F751" s="58">
        <f t="shared" ref="F751:L751" si="741">SUMIFS($C751,$B751,F$7)+F750</f>
        <v>26</v>
      </c>
      <c r="G751" s="58">
        <f t="shared" si="741"/>
        <v>24</v>
      </c>
      <c r="H751" s="58">
        <f t="shared" si="741"/>
        <v>12</v>
      </c>
      <c r="I751" s="58">
        <f t="shared" si="741"/>
        <v>-20</v>
      </c>
      <c r="J751" s="58">
        <f t="shared" si="741"/>
        <v>0</v>
      </c>
      <c r="K751" s="58">
        <f t="shared" si="741"/>
        <v>0</v>
      </c>
      <c r="L751" s="58">
        <f t="shared" si="741"/>
        <v>0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0" customHeight="1">
      <c r="A752" s="70"/>
      <c r="B752" s="71"/>
      <c r="C752" s="66"/>
      <c r="D752" s="66">
        <f t="shared" si="3"/>
        <v>0</v>
      </c>
      <c r="E752" s="67"/>
      <c r="F752" s="58">
        <f t="shared" ref="F752:L752" si="742">SUMIFS($C752,$B752,F$7)+F751</f>
        <v>26</v>
      </c>
      <c r="G752" s="58">
        <f t="shared" si="742"/>
        <v>24</v>
      </c>
      <c r="H752" s="58">
        <f t="shared" si="742"/>
        <v>12</v>
      </c>
      <c r="I752" s="58">
        <f t="shared" si="742"/>
        <v>-20</v>
      </c>
      <c r="J752" s="58">
        <f t="shared" si="742"/>
        <v>0</v>
      </c>
      <c r="K752" s="58">
        <f t="shared" si="742"/>
        <v>0</v>
      </c>
      <c r="L752" s="58">
        <f t="shared" si="742"/>
        <v>0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0" customHeight="1">
      <c r="A753" s="70"/>
      <c r="B753" s="71"/>
      <c r="C753" s="66"/>
      <c r="D753" s="66">
        <f t="shared" si="3"/>
        <v>0</v>
      </c>
      <c r="E753" s="67"/>
      <c r="F753" s="58">
        <f t="shared" ref="F753:L753" si="743">SUMIFS($C753,$B753,F$7)+F752</f>
        <v>26</v>
      </c>
      <c r="G753" s="58">
        <f t="shared" si="743"/>
        <v>24</v>
      </c>
      <c r="H753" s="58">
        <f t="shared" si="743"/>
        <v>12</v>
      </c>
      <c r="I753" s="58">
        <f t="shared" si="743"/>
        <v>-20</v>
      </c>
      <c r="J753" s="58">
        <f t="shared" si="743"/>
        <v>0</v>
      </c>
      <c r="K753" s="58">
        <f t="shared" si="743"/>
        <v>0</v>
      </c>
      <c r="L753" s="58">
        <f t="shared" si="743"/>
        <v>0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0" customHeight="1">
      <c r="A754" s="70"/>
      <c r="B754" s="71"/>
      <c r="C754" s="66"/>
      <c r="D754" s="66">
        <f t="shared" si="3"/>
        <v>0</v>
      </c>
      <c r="E754" s="67"/>
      <c r="F754" s="58">
        <f t="shared" ref="F754:L754" si="744">SUMIFS($C754,$B754,F$7)+F753</f>
        <v>26</v>
      </c>
      <c r="G754" s="58">
        <f t="shared" si="744"/>
        <v>24</v>
      </c>
      <c r="H754" s="58">
        <f t="shared" si="744"/>
        <v>12</v>
      </c>
      <c r="I754" s="58">
        <f t="shared" si="744"/>
        <v>-20</v>
      </c>
      <c r="J754" s="58">
        <f t="shared" si="744"/>
        <v>0</v>
      </c>
      <c r="K754" s="58">
        <f t="shared" si="744"/>
        <v>0</v>
      </c>
      <c r="L754" s="58">
        <f t="shared" si="744"/>
        <v>0</v>
      </c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0" customHeight="1">
      <c r="A755" s="70"/>
      <c r="B755" s="71"/>
      <c r="C755" s="66"/>
      <c r="D755" s="66">
        <f t="shared" si="3"/>
        <v>0</v>
      </c>
      <c r="E755" s="67"/>
      <c r="F755" s="58">
        <f t="shared" ref="F755:L755" si="745">SUMIFS($C755,$B755,F$7)+F754</f>
        <v>26</v>
      </c>
      <c r="G755" s="58">
        <f t="shared" si="745"/>
        <v>24</v>
      </c>
      <c r="H755" s="58">
        <f t="shared" si="745"/>
        <v>12</v>
      </c>
      <c r="I755" s="58">
        <f t="shared" si="745"/>
        <v>-20</v>
      </c>
      <c r="J755" s="58">
        <f t="shared" si="745"/>
        <v>0</v>
      </c>
      <c r="K755" s="58">
        <f t="shared" si="745"/>
        <v>0</v>
      </c>
      <c r="L755" s="58">
        <f t="shared" si="745"/>
        <v>0</v>
      </c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0" customHeight="1">
      <c r="A756" s="70"/>
      <c r="B756" s="71"/>
      <c r="C756" s="66"/>
      <c r="D756" s="66">
        <f t="shared" si="3"/>
        <v>0</v>
      </c>
      <c r="E756" s="67"/>
      <c r="F756" s="58">
        <f t="shared" ref="F756:L756" si="746">SUMIFS($C756,$B756,F$7)+F755</f>
        <v>26</v>
      </c>
      <c r="G756" s="58">
        <f t="shared" si="746"/>
        <v>24</v>
      </c>
      <c r="H756" s="58">
        <f t="shared" si="746"/>
        <v>12</v>
      </c>
      <c r="I756" s="58">
        <f t="shared" si="746"/>
        <v>-20</v>
      </c>
      <c r="J756" s="58">
        <f t="shared" si="746"/>
        <v>0</v>
      </c>
      <c r="K756" s="58">
        <f t="shared" si="746"/>
        <v>0</v>
      </c>
      <c r="L756" s="58">
        <f t="shared" si="746"/>
        <v>0</v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0" customHeight="1">
      <c r="A757" s="70"/>
      <c r="B757" s="71"/>
      <c r="C757" s="66"/>
      <c r="D757" s="66">
        <f t="shared" si="3"/>
        <v>0</v>
      </c>
      <c r="E757" s="67"/>
      <c r="F757" s="58">
        <f t="shared" ref="F757:L757" si="747">SUMIFS($C757,$B757,F$7)+F756</f>
        <v>26</v>
      </c>
      <c r="G757" s="58">
        <f t="shared" si="747"/>
        <v>24</v>
      </c>
      <c r="H757" s="58">
        <f t="shared" si="747"/>
        <v>12</v>
      </c>
      <c r="I757" s="58">
        <f t="shared" si="747"/>
        <v>-20</v>
      </c>
      <c r="J757" s="58">
        <f t="shared" si="747"/>
        <v>0</v>
      </c>
      <c r="K757" s="58">
        <f t="shared" si="747"/>
        <v>0</v>
      </c>
      <c r="L757" s="58">
        <f t="shared" si="747"/>
        <v>0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0" customHeight="1">
      <c r="A758" s="70"/>
      <c r="B758" s="71"/>
      <c r="C758" s="66"/>
      <c r="D758" s="66">
        <f t="shared" si="3"/>
        <v>0</v>
      </c>
      <c r="E758" s="67"/>
      <c r="F758" s="58">
        <f t="shared" ref="F758:L758" si="748">SUMIFS($C758,$B758,F$7)+F757</f>
        <v>26</v>
      </c>
      <c r="G758" s="58">
        <f t="shared" si="748"/>
        <v>24</v>
      </c>
      <c r="H758" s="58">
        <f t="shared" si="748"/>
        <v>12</v>
      </c>
      <c r="I758" s="58">
        <f t="shared" si="748"/>
        <v>-20</v>
      </c>
      <c r="J758" s="58">
        <f t="shared" si="748"/>
        <v>0</v>
      </c>
      <c r="K758" s="58">
        <f t="shared" si="748"/>
        <v>0</v>
      </c>
      <c r="L758" s="58">
        <f t="shared" si="748"/>
        <v>0</v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0" customHeight="1">
      <c r="A759" s="70"/>
      <c r="B759" s="71"/>
      <c r="C759" s="66"/>
      <c r="D759" s="66">
        <f t="shared" si="3"/>
        <v>0</v>
      </c>
      <c r="E759" s="67"/>
      <c r="F759" s="58">
        <f t="shared" ref="F759:L759" si="749">SUMIFS($C759,$B759,F$7)+F758</f>
        <v>26</v>
      </c>
      <c r="G759" s="58">
        <f t="shared" si="749"/>
        <v>24</v>
      </c>
      <c r="H759" s="58">
        <f t="shared" si="749"/>
        <v>12</v>
      </c>
      <c r="I759" s="58">
        <f t="shared" si="749"/>
        <v>-20</v>
      </c>
      <c r="J759" s="58">
        <f t="shared" si="749"/>
        <v>0</v>
      </c>
      <c r="K759" s="58">
        <f t="shared" si="749"/>
        <v>0</v>
      </c>
      <c r="L759" s="58">
        <f t="shared" si="749"/>
        <v>0</v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0" customHeight="1">
      <c r="A760" s="70"/>
      <c r="B760" s="71"/>
      <c r="C760" s="66"/>
      <c r="D760" s="66">
        <f t="shared" si="3"/>
        <v>0</v>
      </c>
      <c r="E760" s="67"/>
      <c r="F760" s="58">
        <f t="shared" ref="F760:L760" si="750">SUMIFS($C760,$B760,F$7)+F759</f>
        <v>26</v>
      </c>
      <c r="G760" s="58">
        <f t="shared" si="750"/>
        <v>24</v>
      </c>
      <c r="H760" s="58">
        <f t="shared" si="750"/>
        <v>12</v>
      </c>
      <c r="I760" s="58">
        <f t="shared" si="750"/>
        <v>-20</v>
      </c>
      <c r="J760" s="58">
        <f t="shared" si="750"/>
        <v>0</v>
      </c>
      <c r="K760" s="58">
        <f t="shared" si="750"/>
        <v>0</v>
      </c>
      <c r="L760" s="58">
        <f t="shared" si="750"/>
        <v>0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0" customHeight="1">
      <c r="A761" s="70"/>
      <c r="B761" s="71"/>
      <c r="C761" s="66"/>
      <c r="D761" s="66">
        <f t="shared" si="3"/>
        <v>0</v>
      </c>
      <c r="E761" s="67"/>
      <c r="F761" s="58">
        <f t="shared" ref="F761:L761" si="751">SUMIFS($C761,$B761,F$7)+F760</f>
        <v>26</v>
      </c>
      <c r="G761" s="58">
        <f t="shared" si="751"/>
        <v>24</v>
      </c>
      <c r="H761" s="58">
        <f t="shared" si="751"/>
        <v>12</v>
      </c>
      <c r="I761" s="58">
        <f t="shared" si="751"/>
        <v>-20</v>
      </c>
      <c r="J761" s="58">
        <f t="shared" si="751"/>
        <v>0</v>
      </c>
      <c r="K761" s="58">
        <f t="shared" si="751"/>
        <v>0</v>
      </c>
      <c r="L761" s="58">
        <f t="shared" si="751"/>
        <v>0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0" customHeight="1">
      <c r="A762" s="70"/>
      <c r="B762" s="71"/>
      <c r="C762" s="66"/>
      <c r="D762" s="66">
        <f t="shared" si="3"/>
        <v>0</v>
      </c>
      <c r="E762" s="67"/>
      <c r="F762" s="58">
        <f t="shared" ref="F762:L762" si="752">SUMIFS($C762,$B762,F$7)+F761</f>
        <v>26</v>
      </c>
      <c r="G762" s="58">
        <f t="shared" si="752"/>
        <v>24</v>
      </c>
      <c r="H762" s="58">
        <f t="shared" si="752"/>
        <v>12</v>
      </c>
      <c r="I762" s="58">
        <f t="shared" si="752"/>
        <v>-20</v>
      </c>
      <c r="J762" s="58">
        <f t="shared" si="752"/>
        <v>0</v>
      </c>
      <c r="K762" s="58">
        <f t="shared" si="752"/>
        <v>0</v>
      </c>
      <c r="L762" s="58">
        <f t="shared" si="752"/>
        <v>0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0" customHeight="1">
      <c r="A763" s="70"/>
      <c r="B763" s="71"/>
      <c r="C763" s="66"/>
      <c r="D763" s="66">
        <f t="shared" si="3"/>
        <v>0</v>
      </c>
      <c r="E763" s="67"/>
      <c r="F763" s="58">
        <f t="shared" ref="F763:L763" si="753">SUMIFS($C763,$B763,F$7)+F762</f>
        <v>26</v>
      </c>
      <c r="G763" s="58">
        <f t="shared" si="753"/>
        <v>24</v>
      </c>
      <c r="H763" s="58">
        <f t="shared" si="753"/>
        <v>12</v>
      </c>
      <c r="I763" s="58">
        <f t="shared" si="753"/>
        <v>-20</v>
      </c>
      <c r="J763" s="58">
        <f t="shared" si="753"/>
        <v>0</v>
      </c>
      <c r="K763" s="58">
        <f t="shared" si="753"/>
        <v>0</v>
      </c>
      <c r="L763" s="58">
        <f t="shared" si="753"/>
        <v>0</v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0" customHeight="1">
      <c r="A764" s="70"/>
      <c r="B764" s="71"/>
      <c r="C764" s="66"/>
      <c r="D764" s="66">
        <f t="shared" si="3"/>
        <v>0</v>
      </c>
      <c r="E764" s="67"/>
      <c r="F764" s="58">
        <f t="shared" ref="F764:L764" si="754">SUMIFS($C764,$B764,F$7)+F763</f>
        <v>26</v>
      </c>
      <c r="G764" s="58">
        <f t="shared" si="754"/>
        <v>24</v>
      </c>
      <c r="H764" s="58">
        <f t="shared" si="754"/>
        <v>12</v>
      </c>
      <c r="I764" s="58">
        <f t="shared" si="754"/>
        <v>-20</v>
      </c>
      <c r="J764" s="58">
        <f t="shared" si="754"/>
        <v>0</v>
      </c>
      <c r="K764" s="58">
        <f t="shared" si="754"/>
        <v>0</v>
      </c>
      <c r="L764" s="58">
        <f t="shared" si="754"/>
        <v>0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0" customHeight="1">
      <c r="A765" s="70"/>
      <c r="B765" s="71"/>
      <c r="C765" s="66"/>
      <c r="D765" s="66">
        <f t="shared" si="3"/>
        <v>0</v>
      </c>
      <c r="E765" s="67"/>
      <c r="F765" s="58">
        <f t="shared" ref="F765:L765" si="755">SUMIFS($C765,$B765,F$7)+F764</f>
        <v>26</v>
      </c>
      <c r="G765" s="58">
        <f t="shared" si="755"/>
        <v>24</v>
      </c>
      <c r="H765" s="58">
        <f t="shared" si="755"/>
        <v>12</v>
      </c>
      <c r="I765" s="58">
        <f t="shared" si="755"/>
        <v>-20</v>
      </c>
      <c r="J765" s="58">
        <f t="shared" si="755"/>
        <v>0</v>
      </c>
      <c r="K765" s="58">
        <f t="shared" si="755"/>
        <v>0</v>
      </c>
      <c r="L765" s="58">
        <f t="shared" si="755"/>
        <v>0</v>
      </c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0" customHeight="1">
      <c r="A766" s="70"/>
      <c r="B766" s="71"/>
      <c r="C766" s="66"/>
      <c r="D766" s="66">
        <f t="shared" si="3"/>
        <v>0</v>
      </c>
      <c r="E766" s="67"/>
      <c r="F766" s="58">
        <f t="shared" ref="F766:L766" si="756">SUMIFS($C766,$B766,F$7)+F765</f>
        <v>26</v>
      </c>
      <c r="G766" s="58">
        <f t="shared" si="756"/>
        <v>24</v>
      </c>
      <c r="H766" s="58">
        <f t="shared" si="756"/>
        <v>12</v>
      </c>
      <c r="I766" s="58">
        <f t="shared" si="756"/>
        <v>-20</v>
      </c>
      <c r="J766" s="58">
        <f t="shared" si="756"/>
        <v>0</v>
      </c>
      <c r="K766" s="58">
        <f t="shared" si="756"/>
        <v>0</v>
      </c>
      <c r="L766" s="58">
        <f t="shared" si="756"/>
        <v>0</v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0" customHeight="1">
      <c r="A767" s="70"/>
      <c r="B767" s="71"/>
      <c r="C767" s="66"/>
      <c r="D767" s="66">
        <f t="shared" si="3"/>
        <v>0</v>
      </c>
      <c r="E767" s="67"/>
      <c r="F767" s="58">
        <f t="shared" ref="F767:L767" si="757">SUMIFS($C767,$B767,F$7)+F766</f>
        <v>26</v>
      </c>
      <c r="G767" s="58">
        <f t="shared" si="757"/>
        <v>24</v>
      </c>
      <c r="H767" s="58">
        <f t="shared" si="757"/>
        <v>12</v>
      </c>
      <c r="I767" s="58">
        <f t="shared" si="757"/>
        <v>-20</v>
      </c>
      <c r="J767" s="58">
        <f t="shared" si="757"/>
        <v>0</v>
      </c>
      <c r="K767" s="58">
        <f t="shared" si="757"/>
        <v>0</v>
      </c>
      <c r="L767" s="58">
        <f t="shared" si="757"/>
        <v>0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0" customHeight="1">
      <c r="A768" s="70"/>
      <c r="B768" s="71"/>
      <c r="C768" s="66"/>
      <c r="D768" s="66">
        <f t="shared" si="3"/>
        <v>0</v>
      </c>
      <c r="E768" s="67"/>
      <c r="F768" s="58">
        <f t="shared" ref="F768:L768" si="758">SUMIFS($C768,$B768,F$7)+F767</f>
        <v>26</v>
      </c>
      <c r="G768" s="58">
        <f t="shared" si="758"/>
        <v>24</v>
      </c>
      <c r="H768" s="58">
        <f t="shared" si="758"/>
        <v>12</v>
      </c>
      <c r="I768" s="58">
        <f t="shared" si="758"/>
        <v>-20</v>
      </c>
      <c r="J768" s="58">
        <f t="shared" si="758"/>
        <v>0</v>
      </c>
      <c r="K768" s="58">
        <f t="shared" si="758"/>
        <v>0</v>
      </c>
      <c r="L768" s="58">
        <f t="shared" si="758"/>
        <v>0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0" customHeight="1">
      <c r="A769" s="70"/>
      <c r="B769" s="71"/>
      <c r="C769" s="66"/>
      <c r="D769" s="66">
        <f t="shared" si="3"/>
        <v>0</v>
      </c>
      <c r="E769" s="67"/>
      <c r="F769" s="58">
        <f t="shared" ref="F769:L769" si="759">SUMIFS($C769,$B769,F$7)+F768</f>
        <v>26</v>
      </c>
      <c r="G769" s="58">
        <f t="shared" si="759"/>
        <v>24</v>
      </c>
      <c r="H769" s="58">
        <f t="shared" si="759"/>
        <v>12</v>
      </c>
      <c r="I769" s="58">
        <f t="shared" si="759"/>
        <v>-20</v>
      </c>
      <c r="J769" s="58">
        <f t="shared" si="759"/>
        <v>0</v>
      </c>
      <c r="K769" s="58">
        <f t="shared" si="759"/>
        <v>0</v>
      </c>
      <c r="L769" s="58">
        <f t="shared" si="759"/>
        <v>0</v>
      </c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0" customHeight="1">
      <c r="A770" s="70"/>
      <c r="B770" s="71"/>
      <c r="C770" s="66"/>
      <c r="D770" s="66">
        <f t="shared" si="3"/>
        <v>0</v>
      </c>
      <c r="E770" s="67"/>
      <c r="F770" s="58">
        <f t="shared" ref="F770:L770" si="760">SUMIFS($C770,$B770,F$7)+F769</f>
        <v>26</v>
      </c>
      <c r="G770" s="58">
        <f t="shared" si="760"/>
        <v>24</v>
      </c>
      <c r="H770" s="58">
        <f t="shared" si="760"/>
        <v>12</v>
      </c>
      <c r="I770" s="58">
        <f t="shared" si="760"/>
        <v>-20</v>
      </c>
      <c r="J770" s="58">
        <f t="shared" si="760"/>
        <v>0</v>
      </c>
      <c r="K770" s="58">
        <f t="shared" si="760"/>
        <v>0</v>
      </c>
      <c r="L770" s="58">
        <f t="shared" si="760"/>
        <v>0</v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0" customHeight="1">
      <c r="A771" s="70"/>
      <c r="B771" s="71"/>
      <c r="C771" s="66"/>
      <c r="D771" s="66">
        <f t="shared" si="3"/>
        <v>0</v>
      </c>
      <c r="E771" s="67"/>
      <c r="F771" s="58">
        <f t="shared" ref="F771:L771" si="761">SUMIFS($C771,$B771,F$7)+F770</f>
        <v>26</v>
      </c>
      <c r="G771" s="58">
        <f t="shared" si="761"/>
        <v>24</v>
      </c>
      <c r="H771" s="58">
        <f t="shared" si="761"/>
        <v>12</v>
      </c>
      <c r="I771" s="58">
        <f t="shared" si="761"/>
        <v>-20</v>
      </c>
      <c r="J771" s="58">
        <f t="shared" si="761"/>
        <v>0</v>
      </c>
      <c r="K771" s="58">
        <f t="shared" si="761"/>
        <v>0</v>
      </c>
      <c r="L771" s="58">
        <f t="shared" si="761"/>
        <v>0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0" customHeight="1">
      <c r="A772" s="70"/>
      <c r="B772" s="71"/>
      <c r="C772" s="66"/>
      <c r="D772" s="66">
        <f t="shared" si="3"/>
        <v>0</v>
      </c>
      <c r="E772" s="67"/>
      <c r="F772" s="58">
        <f t="shared" ref="F772:L772" si="762">SUMIFS($C772,$B772,F$7)+F771</f>
        <v>26</v>
      </c>
      <c r="G772" s="58">
        <f t="shared" si="762"/>
        <v>24</v>
      </c>
      <c r="H772" s="58">
        <f t="shared" si="762"/>
        <v>12</v>
      </c>
      <c r="I772" s="58">
        <f t="shared" si="762"/>
        <v>-20</v>
      </c>
      <c r="J772" s="58">
        <f t="shared" si="762"/>
        <v>0</v>
      </c>
      <c r="K772" s="58">
        <f t="shared" si="762"/>
        <v>0</v>
      </c>
      <c r="L772" s="58">
        <f t="shared" si="762"/>
        <v>0</v>
      </c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0" customHeight="1">
      <c r="A773" s="70"/>
      <c r="B773" s="71"/>
      <c r="C773" s="66"/>
      <c r="D773" s="66">
        <f t="shared" si="3"/>
        <v>0</v>
      </c>
      <c r="E773" s="67"/>
      <c r="F773" s="58">
        <f t="shared" ref="F773:L773" si="763">SUMIFS($C773,$B773,F$7)+F772</f>
        <v>26</v>
      </c>
      <c r="G773" s="58">
        <f t="shared" si="763"/>
        <v>24</v>
      </c>
      <c r="H773" s="58">
        <f t="shared" si="763"/>
        <v>12</v>
      </c>
      <c r="I773" s="58">
        <f t="shared" si="763"/>
        <v>-20</v>
      </c>
      <c r="J773" s="58">
        <f t="shared" si="763"/>
        <v>0</v>
      </c>
      <c r="K773" s="58">
        <f t="shared" si="763"/>
        <v>0</v>
      </c>
      <c r="L773" s="58">
        <f t="shared" si="763"/>
        <v>0</v>
      </c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0" customHeight="1">
      <c r="A774" s="70"/>
      <c r="B774" s="71"/>
      <c r="C774" s="66"/>
      <c r="D774" s="66">
        <f t="shared" si="3"/>
        <v>0</v>
      </c>
      <c r="E774" s="67"/>
      <c r="F774" s="58">
        <f t="shared" ref="F774:L774" si="764">SUMIFS($C774,$B774,F$7)+F773</f>
        <v>26</v>
      </c>
      <c r="G774" s="58">
        <f t="shared" si="764"/>
        <v>24</v>
      </c>
      <c r="H774" s="58">
        <f t="shared" si="764"/>
        <v>12</v>
      </c>
      <c r="I774" s="58">
        <f t="shared" si="764"/>
        <v>-20</v>
      </c>
      <c r="J774" s="58">
        <f t="shared" si="764"/>
        <v>0</v>
      </c>
      <c r="K774" s="58">
        <f t="shared" si="764"/>
        <v>0</v>
      </c>
      <c r="L774" s="58">
        <f t="shared" si="764"/>
        <v>0</v>
      </c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0" customHeight="1">
      <c r="A775" s="70"/>
      <c r="B775" s="71"/>
      <c r="C775" s="66"/>
      <c r="D775" s="66">
        <f t="shared" si="3"/>
        <v>0</v>
      </c>
      <c r="E775" s="67"/>
      <c r="F775" s="58">
        <f t="shared" ref="F775:L775" si="765">SUMIFS($C775,$B775,F$7)+F774</f>
        <v>26</v>
      </c>
      <c r="G775" s="58">
        <f t="shared" si="765"/>
        <v>24</v>
      </c>
      <c r="H775" s="58">
        <f t="shared" si="765"/>
        <v>12</v>
      </c>
      <c r="I775" s="58">
        <f t="shared" si="765"/>
        <v>-20</v>
      </c>
      <c r="J775" s="58">
        <f t="shared" si="765"/>
        <v>0</v>
      </c>
      <c r="K775" s="58">
        <f t="shared" si="765"/>
        <v>0</v>
      </c>
      <c r="L775" s="58">
        <f t="shared" si="765"/>
        <v>0</v>
      </c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0" customHeight="1">
      <c r="A776" s="70"/>
      <c r="B776" s="71"/>
      <c r="C776" s="66"/>
      <c r="D776" s="66">
        <f t="shared" si="3"/>
        <v>0</v>
      </c>
      <c r="E776" s="67"/>
      <c r="F776" s="58">
        <f t="shared" ref="F776:L776" si="766">SUMIFS($C776,$B776,F$7)+F775</f>
        <v>26</v>
      </c>
      <c r="G776" s="58">
        <f t="shared" si="766"/>
        <v>24</v>
      </c>
      <c r="H776" s="58">
        <f t="shared" si="766"/>
        <v>12</v>
      </c>
      <c r="I776" s="58">
        <f t="shared" si="766"/>
        <v>-20</v>
      </c>
      <c r="J776" s="58">
        <f t="shared" si="766"/>
        <v>0</v>
      </c>
      <c r="K776" s="58">
        <f t="shared" si="766"/>
        <v>0</v>
      </c>
      <c r="L776" s="58">
        <f t="shared" si="766"/>
        <v>0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0" customHeight="1">
      <c r="A777" s="70"/>
      <c r="B777" s="71"/>
      <c r="C777" s="66"/>
      <c r="D777" s="66">
        <f t="shared" si="3"/>
        <v>0</v>
      </c>
      <c r="E777" s="67"/>
      <c r="F777" s="58">
        <f t="shared" ref="F777:L777" si="767">SUMIFS($C777,$B777,F$7)+F776</f>
        <v>26</v>
      </c>
      <c r="G777" s="58">
        <f t="shared" si="767"/>
        <v>24</v>
      </c>
      <c r="H777" s="58">
        <f t="shared" si="767"/>
        <v>12</v>
      </c>
      <c r="I777" s="58">
        <f t="shared" si="767"/>
        <v>-20</v>
      </c>
      <c r="J777" s="58">
        <f t="shared" si="767"/>
        <v>0</v>
      </c>
      <c r="K777" s="58">
        <f t="shared" si="767"/>
        <v>0</v>
      </c>
      <c r="L777" s="58">
        <f t="shared" si="767"/>
        <v>0</v>
      </c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0" customHeight="1">
      <c r="A778" s="70"/>
      <c r="B778" s="71"/>
      <c r="C778" s="66"/>
      <c r="D778" s="66">
        <f t="shared" si="3"/>
        <v>0</v>
      </c>
      <c r="E778" s="67"/>
      <c r="F778" s="58">
        <f t="shared" ref="F778:L778" si="768">SUMIFS($C778,$B778,F$7)+F777</f>
        <v>26</v>
      </c>
      <c r="G778" s="58">
        <f t="shared" si="768"/>
        <v>24</v>
      </c>
      <c r="H778" s="58">
        <f t="shared" si="768"/>
        <v>12</v>
      </c>
      <c r="I778" s="58">
        <f t="shared" si="768"/>
        <v>-20</v>
      </c>
      <c r="J778" s="58">
        <f t="shared" si="768"/>
        <v>0</v>
      </c>
      <c r="K778" s="58">
        <f t="shared" si="768"/>
        <v>0</v>
      </c>
      <c r="L778" s="58">
        <f t="shared" si="768"/>
        <v>0</v>
      </c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0" customHeight="1">
      <c r="A779" s="70"/>
      <c r="B779" s="71"/>
      <c r="C779" s="66"/>
      <c r="D779" s="66">
        <f t="shared" si="3"/>
        <v>0</v>
      </c>
      <c r="E779" s="67"/>
      <c r="F779" s="58">
        <f t="shared" ref="F779:L779" si="769">SUMIFS($C779,$B779,F$7)+F778</f>
        <v>26</v>
      </c>
      <c r="G779" s="58">
        <f t="shared" si="769"/>
        <v>24</v>
      </c>
      <c r="H779" s="58">
        <f t="shared" si="769"/>
        <v>12</v>
      </c>
      <c r="I779" s="58">
        <f t="shared" si="769"/>
        <v>-20</v>
      </c>
      <c r="J779" s="58">
        <f t="shared" si="769"/>
        <v>0</v>
      </c>
      <c r="K779" s="58">
        <f t="shared" si="769"/>
        <v>0</v>
      </c>
      <c r="L779" s="58">
        <f t="shared" si="769"/>
        <v>0</v>
      </c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0" customHeight="1">
      <c r="A780" s="70"/>
      <c r="B780" s="71"/>
      <c r="C780" s="66"/>
      <c r="D780" s="66">
        <f t="shared" si="3"/>
        <v>0</v>
      </c>
      <c r="E780" s="67"/>
      <c r="F780" s="58">
        <f t="shared" ref="F780:L780" si="770">SUMIFS($C780,$B780,F$7)+F779</f>
        <v>26</v>
      </c>
      <c r="G780" s="58">
        <f t="shared" si="770"/>
        <v>24</v>
      </c>
      <c r="H780" s="58">
        <f t="shared" si="770"/>
        <v>12</v>
      </c>
      <c r="I780" s="58">
        <f t="shared" si="770"/>
        <v>-20</v>
      </c>
      <c r="J780" s="58">
        <f t="shared" si="770"/>
        <v>0</v>
      </c>
      <c r="K780" s="58">
        <f t="shared" si="770"/>
        <v>0</v>
      </c>
      <c r="L780" s="58">
        <f t="shared" si="770"/>
        <v>0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0" customHeight="1">
      <c r="A781" s="70"/>
      <c r="B781" s="71"/>
      <c r="C781" s="66"/>
      <c r="D781" s="66">
        <f t="shared" si="3"/>
        <v>0</v>
      </c>
      <c r="E781" s="67"/>
      <c r="F781" s="58">
        <f t="shared" ref="F781:L781" si="771">SUMIFS($C781,$B781,F$7)+F780</f>
        <v>26</v>
      </c>
      <c r="G781" s="58">
        <f t="shared" si="771"/>
        <v>24</v>
      </c>
      <c r="H781" s="58">
        <f t="shared" si="771"/>
        <v>12</v>
      </c>
      <c r="I781" s="58">
        <f t="shared" si="771"/>
        <v>-20</v>
      </c>
      <c r="J781" s="58">
        <f t="shared" si="771"/>
        <v>0</v>
      </c>
      <c r="K781" s="58">
        <f t="shared" si="771"/>
        <v>0</v>
      </c>
      <c r="L781" s="58">
        <f t="shared" si="771"/>
        <v>0</v>
      </c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0" customHeight="1">
      <c r="A782" s="70"/>
      <c r="B782" s="71"/>
      <c r="C782" s="66"/>
      <c r="D782" s="66">
        <f t="shared" si="3"/>
        <v>0</v>
      </c>
      <c r="E782" s="67"/>
      <c r="F782" s="58">
        <f t="shared" ref="F782:L782" si="772">SUMIFS($C782,$B782,F$7)+F781</f>
        <v>26</v>
      </c>
      <c r="G782" s="58">
        <f t="shared" si="772"/>
        <v>24</v>
      </c>
      <c r="H782" s="58">
        <f t="shared" si="772"/>
        <v>12</v>
      </c>
      <c r="I782" s="58">
        <f t="shared" si="772"/>
        <v>-20</v>
      </c>
      <c r="J782" s="58">
        <f t="shared" si="772"/>
        <v>0</v>
      </c>
      <c r="K782" s="58">
        <f t="shared" si="772"/>
        <v>0</v>
      </c>
      <c r="L782" s="58">
        <f t="shared" si="772"/>
        <v>0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0" customHeight="1">
      <c r="A783" s="70"/>
      <c r="B783" s="71"/>
      <c r="C783" s="66"/>
      <c r="D783" s="66">
        <f t="shared" si="3"/>
        <v>0</v>
      </c>
      <c r="E783" s="67"/>
      <c r="F783" s="58">
        <f t="shared" ref="F783:L783" si="773">SUMIFS($C783,$B783,F$7)+F782</f>
        <v>26</v>
      </c>
      <c r="G783" s="58">
        <f t="shared" si="773"/>
        <v>24</v>
      </c>
      <c r="H783" s="58">
        <f t="shared" si="773"/>
        <v>12</v>
      </c>
      <c r="I783" s="58">
        <f t="shared" si="773"/>
        <v>-20</v>
      </c>
      <c r="J783" s="58">
        <f t="shared" si="773"/>
        <v>0</v>
      </c>
      <c r="K783" s="58">
        <f t="shared" si="773"/>
        <v>0</v>
      </c>
      <c r="L783" s="58">
        <f t="shared" si="773"/>
        <v>0</v>
      </c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0" customHeight="1">
      <c r="A784" s="70"/>
      <c r="B784" s="71"/>
      <c r="C784" s="66"/>
      <c r="D784" s="66">
        <f t="shared" si="3"/>
        <v>0</v>
      </c>
      <c r="E784" s="67"/>
      <c r="F784" s="58">
        <f t="shared" ref="F784:L784" si="774">SUMIFS($C784,$B784,F$7)+F783</f>
        <v>26</v>
      </c>
      <c r="G784" s="58">
        <f t="shared" si="774"/>
        <v>24</v>
      </c>
      <c r="H784" s="58">
        <f t="shared" si="774"/>
        <v>12</v>
      </c>
      <c r="I784" s="58">
        <f t="shared" si="774"/>
        <v>-20</v>
      </c>
      <c r="J784" s="58">
        <f t="shared" si="774"/>
        <v>0</v>
      </c>
      <c r="K784" s="58">
        <f t="shared" si="774"/>
        <v>0</v>
      </c>
      <c r="L784" s="58">
        <f t="shared" si="774"/>
        <v>0</v>
      </c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0" customHeight="1">
      <c r="A785" s="70"/>
      <c r="B785" s="71"/>
      <c r="C785" s="66"/>
      <c r="D785" s="66">
        <f t="shared" si="3"/>
        <v>0</v>
      </c>
      <c r="E785" s="67"/>
      <c r="F785" s="58">
        <f t="shared" ref="F785:L785" si="775">SUMIFS($C785,$B785,F$7)+F784</f>
        <v>26</v>
      </c>
      <c r="G785" s="58">
        <f t="shared" si="775"/>
        <v>24</v>
      </c>
      <c r="H785" s="58">
        <f t="shared" si="775"/>
        <v>12</v>
      </c>
      <c r="I785" s="58">
        <f t="shared" si="775"/>
        <v>-20</v>
      </c>
      <c r="J785" s="58">
        <f t="shared" si="775"/>
        <v>0</v>
      </c>
      <c r="K785" s="58">
        <f t="shared" si="775"/>
        <v>0</v>
      </c>
      <c r="L785" s="58">
        <f t="shared" si="775"/>
        <v>0</v>
      </c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0" customHeight="1">
      <c r="A786" s="70"/>
      <c r="B786" s="71"/>
      <c r="C786" s="66"/>
      <c r="D786" s="66">
        <f t="shared" si="3"/>
        <v>0</v>
      </c>
      <c r="E786" s="67"/>
      <c r="F786" s="58">
        <f t="shared" ref="F786:L786" si="776">SUMIFS($C786,$B786,F$7)+F785</f>
        <v>26</v>
      </c>
      <c r="G786" s="58">
        <f t="shared" si="776"/>
        <v>24</v>
      </c>
      <c r="H786" s="58">
        <f t="shared" si="776"/>
        <v>12</v>
      </c>
      <c r="I786" s="58">
        <f t="shared" si="776"/>
        <v>-20</v>
      </c>
      <c r="J786" s="58">
        <f t="shared" si="776"/>
        <v>0</v>
      </c>
      <c r="K786" s="58">
        <f t="shared" si="776"/>
        <v>0</v>
      </c>
      <c r="L786" s="58">
        <f t="shared" si="776"/>
        <v>0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0" customHeight="1">
      <c r="A787" s="70"/>
      <c r="B787" s="71"/>
      <c r="C787" s="66"/>
      <c r="D787" s="66">
        <f t="shared" si="3"/>
        <v>0</v>
      </c>
      <c r="E787" s="67"/>
      <c r="F787" s="58">
        <f t="shared" ref="F787:L787" si="777">SUMIFS($C787,$B787,F$7)+F786</f>
        <v>26</v>
      </c>
      <c r="G787" s="58">
        <f t="shared" si="777"/>
        <v>24</v>
      </c>
      <c r="H787" s="58">
        <f t="shared" si="777"/>
        <v>12</v>
      </c>
      <c r="I787" s="58">
        <f t="shared" si="777"/>
        <v>-20</v>
      </c>
      <c r="J787" s="58">
        <f t="shared" si="777"/>
        <v>0</v>
      </c>
      <c r="K787" s="58">
        <f t="shared" si="777"/>
        <v>0</v>
      </c>
      <c r="L787" s="58">
        <f t="shared" si="777"/>
        <v>0</v>
      </c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0" customHeight="1">
      <c r="A788" s="70"/>
      <c r="B788" s="71"/>
      <c r="C788" s="66"/>
      <c r="D788" s="66">
        <f t="shared" si="3"/>
        <v>0</v>
      </c>
      <c r="E788" s="67"/>
      <c r="F788" s="58">
        <f t="shared" ref="F788:L788" si="778">SUMIFS($C788,$B788,F$7)+F787</f>
        <v>26</v>
      </c>
      <c r="G788" s="58">
        <f t="shared" si="778"/>
        <v>24</v>
      </c>
      <c r="H788" s="58">
        <f t="shared" si="778"/>
        <v>12</v>
      </c>
      <c r="I788" s="58">
        <f t="shared" si="778"/>
        <v>-20</v>
      </c>
      <c r="J788" s="58">
        <f t="shared" si="778"/>
        <v>0</v>
      </c>
      <c r="K788" s="58">
        <f t="shared" si="778"/>
        <v>0</v>
      </c>
      <c r="L788" s="58">
        <f t="shared" si="778"/>
        <v>0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0" customHeight="1">
      <c r="A789" s="70"/>
      <c r="B789" s="71"/>
      <c r="C789" s="66"/>
      <c r="D789" s="66">
        <f t="shared" si="3"/>
        <v>0</v>
      </c>
      <c r="E789" s="67"/>
      <c r="F789" s="58">
        <f t="shared" ref="F789:L789" si="779">SUMIFS($C789,$B789,F$7)+F788</f>
        <v>26</v>
      </c>
      <c r="G789" s="58">
        <f t="shared" si="779"/>
        <v>24</v>
      </c>
      <c r="H789" s="58">
        <f t="shared" si="779"/>
        <v>12</v>
      </c>
      <c r="I789" s="58">
        <f t="shared" si="779"/>
        <v>-20</v>
      </c>
      <c r="J789" s="58">
        <f t="shared" si="779"/>
        <v>0</v>
      </c>
      <c r="K789" s="58">
        <f t="shared" si="779"/>
        <v>0</v>
      </c>
      <c r="L789" s="58">
        <f t="shared" si="779"/>
        <v>0</v>
      </c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0" customHeight="1">
      <c r="A790" s="70"/>
      <c r="B790" s="71"/>
      <c r="C790" s="66"/>
      <c r="D790" s="66">
        <f t="shared" si="3"/>
        <v>0</v>
      </c>
      <c r="E790" s="67"/>
      <c r="F790" s="58">
        <f t="shared" ref="F790:L790" si="780">SUMIFS($C790,$B790,F$7)+F789</f>
        <v>26</v>
      </c>
      <c r="G790" s="58">
        <f t="shared" si="780"/>
        <v>24</v>
      </c>
      <c r="H790" s="58">
        <f t="shared" si="780"/>
        <v>12</v>
      </c>
      <c r="I790" s="58">
        <f t="shared" si="780"/>
        <v>-20</v>
      </c>
      <c r="J790" s="58">
        <f t="shared" si="780"/>
        <v>0</v>
      </c>
      <c r="K790" s="58">
        <f t="shared" si="780"/>
        <v>0</v>
      </c>
      <c r="L790" s="58">
        <f t="shared" si="780"/>
        <v>0</v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0" customHeight="1">
      <c r="A791" s="70"/>
      <c r="B791" s="71"/>
      <c r="C791" s="66"/>
      <c r="D791" s="66">
        <f t="shared" si="3"/>
        <v>0</v>
      </c>
      <c r="E791" s="67"/>
      <c r="F791" s="58">
        <f t="shared" ref="F791:L791" si="781">SUMIFS($C791,$B791,F$7)+F790</f>
        <v>26</v>
      </c>
      <c r="G791" s="58">
        <f t="shared" si="781"/>
        <v>24</v>
      </c>
      <c r="H791" s="58">
        <f t="shared" si="781"/>
        <v>12</v>
      </c>
      <c r="I791" s="58">
        <f t="shared" si="781"/>
        <v>-20</v>
      </c>
      <c r="J791" s="58">
        <f t="shared" si="781"/>
        <v>0</v>
      </c>
      <c r="K791" s="58">
        <f t="shared" si="781"/>
        <v>0</v>
      </c>
      <c r="L791" s="58">
        <f t="shared" si="781"/>
        <v>0</v>
      </c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0" customHeight="1">
      <c r="A792" s="70"/>
      <c r="B792" s="71"/>
      <c r="C792" s="66"/>
      <c r="D792" s="66">
        <f t="shared" si="3"/>
        <v>0</v>
      </c>
      <c r="E792" s="67"/>
      <c r="F792" s="58">
        <f t="shared" ref="F792:L792" si="782">SUMIFS($C792,$B792,F$7)+F791</f>
        <v>26</v>
      </c>
      <c r="G792" s="58">
        <f t="shared" si="782"/>
        <v>24</v>
      </c>
      <c r="H792" s="58">
        <f t="shared" si="782"/>
        <v>12</v>
      </c>
      <c r="I792" s="58">
        <f t="shared" si="782"/>
        <v>-20</v>
      </c>
      <c r="J792" s="58">
        <f t="shared" si="782"/>
        <v>0</v>
      </c>
      <c r="K792" s="58">
        <f t="shared" si="782"/>
        <v>0</v>
      </c>
      <c r="L792" s="58">
        <f t="shared" si="782"/>
        <v>0</v>
      </c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0" customHeight="1">
      <c r="A793" s="70"/>
      <c r="B793" s="71"/>
      <c r="C793" s="66"/>
      <c r="D793" s="66">
        <f t="shared" si="3"/>
        <v>0</v>
      </c>
      <c r="E793" s="67"/>
      <c r="F793" s="58">
        <f t="shared" ref="F793:L793" si="783">SUMIFS($C793,$B793,F$7)+F792</f>
        <v>26</v>
      </c>
      <c r="G793" s="58">
        <f t="shared" si="783"/>
        <v>24</v>
      </c>
      <c r="H793" s="58">
        <f t="shared" si="783"/>
        <v>12</v>
      </c>
      <c r="I793" s="58">
        <f t="shared" si="783"/>
        <v>-20</v>
      </c>
      <c r="J793" s="58">
        <f t="shared" si="783"/>
        <v>0</v>
      </c>
      <c r="K793" s="58">
        <f t="shared" si="783"/>
        <v>0</v>
      </c>
      <c r="L793" s="58">
        <f t="shared" si="783"/>
        <v>0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0" customHeight="1">
      <c r="A794" s="70"/>
      <c r="B794" s="71"/>
      <c r="C794" s="66"/>
      <c r="D794" s="66">
        <f t="shared" si="3"/>
        <v>0</v>
      </c>
      <c r="E794" s="67"/>
      <c r="F794" s="58">
        <f t="shared" ref="F794:L794" si="784">SUMIFS($C794,$B794,F$7)+F793</f>
        <v>26</v>
      </c>
      <c r="G794" s="58">
        <f t="shared" si="784"/>
        <v>24</v>
      </c>
      <c r="H794" s="58">
        <f t="shared" si="784"/>
        <v>12</v>
      </c>
      <c r="I794" s="58">
        <f t="shared" si="784"/>
        <v>-20</v>
      </c>
      <c r="J794" s="58">
        <f t="shared" si="784"/>
        <v>0</v>
      </c>
      <c r="K794" s="58">
        <f t="shared" si="784"/>
        <v>0</v>
      </c>
      <c r="L794" s="58">
        <f t="shared" si="784"/>
        <v>0</v>
      </c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0" customHeight="1">
      <c r="A795" s="70"/>
      <c r="B795" s="71"/>
      <c r="C795" s="66"/>
      <c r="D795" s="66">
        <f t="shared" si="3"/>
        <v>0</v>
      </c>
      <c r="E795" s="67"/>
      <c r="F795" s="58">
        <f t="shared" ref="F795:L795" si="785">SUMIFS($C795,$B795,F$7)+F794</f>
        <v>26</v>
      </c>
      <c r="G795" s="58">
        <f t="shared" si="785"/>
        <v>24</v>
      </c>
      <c r="H795" s="58">
        <f t="shared" si="785"/>
        <v>12</v>
      </c>
      <c r="I795" s="58">
        <f t="shared" si="785"/>
        <v>-20</v>
      </c>
      <c r="J795" s="58">
        <f t="shared" si="785"/>
        <v>0</v>
      </c>
      <c r="K795" s="58">
        <f t="shared" si="785"/>
        <v>0</v>
      </c>
      <c r="L795" s="58">
        <f t="shared" si="785"/>
        <v>0</v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0" customHeight="1">
      <c r="A796" s="70"/>
      <c r="B796" s="71"/>
      <c r="C796" s="66"/>
      <c r="D796" s="66">
        <f t="shared" si="3"/>
        <v>0</v>
      </c>
      <c r="E796" s="67"/>
      <c r="F796" s="58">
        <f t="shared" ref="F796:L796" si="786">SUMIFS($C796,$B796,F$7)+F795</f>
        <v>26</v>
      </c>
      <c r="G796" s="58">
        <f t="shared" si="786"/>
        <v>24</v>
      </c>
      <c r="H796" s="58">
        <f t="shared" si="786"/>
        <v>12</v>
      </c>
      <c r="I796" s="58">
        <f t="shared" si="786"/>
        <v>-20</v>
      </c>
      <c r="J796" s="58">
        <f t="shared" si="786"/>
        <v>0</v>
      </c>
      <c r="K796" s="58">
        <f t="shared" si="786"/>
        <v>0</v>
      </c>
      <c r="L796" s="58">
        <f t="shared" si="786"/>
        <v>0</v>
      </c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0" customHeight="1">
      <c r="A797" s="70"/>
      <c r="B797" s="71"/>
      <c r="C797" s="66"/>
      <c r="D797" s="66">
        <f t="shared" si="3"/>
        <v>0</v>
      </c>
      <c r="E797" s="67"/>
      <c r="F797" s="58">
        <f t="shared" ref="F797:L797" si="787">SUMIFS($C797,$B797,F$7)+F796</f>
        <v>26</v>
      </c>
      <c r="G797" s="58">
        <f t="shared" si="787"/>
        <v>24</v>
      </c>
      <c r="H797" s="58">
        <f t="shared" si="787"/>
        <v>12</v>
      </c>
      <c r="I797" s="58">
        <f t="shared" si="787"/>
        <v>-20</v>
      </c>
      <c r="J797" s="58">
        <f t="shared" si="787"/>
        <v>0</v>
      </c>
      <c r="K797" s="58">
        <f t="shared" si="787"/>
        <v>0</v>
      </c>
      <c r="L797" s="58">
        <f t="shared" si="787"/>
        <v>0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0" customHeight="1">
      <c r="A798" s="70"/>
      <c r="B798" s="71"/>
      <c r="C798" s="66"/>
      <c r="D798" s="66">
        <f t="shared" si="3"/>
        <v>0</v>
      </c>
      <c r="E798" s="67"/>
      <c r="F798" s="58">
        <f t="shared" ref="F798:L798" si="788">SUMIFS($C798,$B798,F$7)+F797</f>
        <v>26</v>
      </c>
      <c r="G798" s="58">
        <f t="shared" si="788"/>
        <v>24</v>
      </c>
      <c r="H798" s="58">
        <f t="shared" si="788"/>
        <v>12</v>
      </c>
      <c r="I798" s="58">
        <f t="shared" si="788"/>
        <v>-20</v>
      </c>
      <c r="J798" s="58">
        <f t="shared" si="788"/>
        <v>0</v>
      </c>
      <c r="K798" s="58">
        <f t="shared" si="788"/>
        <v>0</v>
      </c>
      <c r="L798" s="58">
        <f t="shared" si="788"/>
        <v>0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0" customHeight="1">
      <c r="A799" s="70"/>
      <c r="B799" s="71"/>
      <c r="C799" s="66"/>
      <c r="D799" s="66">
        <f t="shared" si="3"/>
        <v>0</v>
      </c>
      <c r="E799" s="67"/>
      <c r="F799" s="58">
        <f t="shared" ref="F799:L799" si="789">SUMIFS($C799,$B799,F$7)+F798</f>
        <v>26</v>
      </c>
      <c r="G799" s="58">
        <f t="shared" si="789"/>
        <v>24</v>
      </c>
      <c r="H799" s="58">
        <f t="shared" si="789"/>
        <v>12</v>
      </c>
      <c r="I799" s="58">
        <f t="shared" si="789"/>
        <v>-20</v>
      </c>
      <c r="J799" s="58">
        <f t="shared" si="789"/>
        <v>0</v>
      </c>
      <c r="K799" s="58">
        <f t="shared" si="789"/>
        <v>0</v>
      </c>
      <c r="L799" s="58">
        <f t="shared" si="789"/>
        <v>0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0" customHeight="1">
      <c r="A800" s="70"/>
      <c r="B800" s="71"/>
      <c r="C800" s="66"/>
      <c r="D800" s="66">
        <f t="shared" si="3"/>
        <v>0</v>
      </c>
      <c r="E800" s="67"/>
      <c r="F800" s="58">
        <f t="shared" ref="F800:L800" si="790">SUMIFS($C800,$B800,F$7)+F799</f>
        <v>26</v>
      </c>
      <c r="G800" s="58">
        <f t="shared" si="790"/>
        <v>24</v>
      </c>
      <c r="H800" s="58">
        <f t="shared" si="790"/>
        <v>12</v>
      </c>
      <c r="I800" s="58">
        <f t="shared" si="790"/>
        <v>-20</v>
      </c>
      <c r="J800" s="58">
        <f t="shared" si="790"/>
        <v>0</v>
      </c>
      <c r="K800" s="58">
        <f t="shared" si="790"/>
        <v>0</v>
      </c>
      <c r="L800" s="58">
        <f t="shared" si="790"/>
        <v>0</v>
      </c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0" customHeight="1">
      <c r="A801" s="70"/>
      <c r="B801" s="71"/>
      <c r="C801" s="66"/>
      <c r="D801" s="66">
        <f t="shared" si="3"/>
        <v>0</v>
      </c>
      <c r="E801" s="67"/>
      <c r="F801" s="58">
        <f t="shared" ref="F801:L801" si="791">SUMIFS($C801,$B801,F$7)+F800</f>
        <v>26</v>
      </c>
      <c r="G801" s="58">
        <f t="shared" si="791"/>
        <v>24</v>
      </c>
      <c r="H801" s="58">
        <f t="shared" si="791"/>
        <v>12</v>
      </c>
      <c r="I801" s="58">
        <f t="shared" si="791"/>
        <v>-20</v>
      </c>
      <c r="J801" s="58">
        <f t="shared" si="791"/>
        <v>0</v>
      </c>
      <c r="K801" s="58">
        <f t="shared" si="791"/>
        <v>0</v>
      </c>
      <c r="L801" s="58">
        <f t="shared" si="791"/>
        <v>0</v>
      </c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0" customHeight="1">
      <c r="A802" s="70"/>
      <c r="B802" s="71"/>
      <c r="C802" s="66"/>
      <c r="D802" s="66">
        <f t="shared" si="3"/>
        <v>0</v>
      </c>
      <c r="E802" s="67"/>
      <c r="F802" s="58">
        <f t="shared" ref="F802:L802" si="792">SUMIFS($C802,$B802,F$7)+F801</f>
        <v>26</v>
      </c>
      <c r="G802" s="58">
        <f t="shared" si="792"/>
        <v>24</v>
      </c>
      <c r="H802" s="58">
        <f t="shared" si="792"/>
        <v>12</v>
      </c>
      <c r="I802" s="58">
        <f t="shared" si="792"/>
        <v>-20</v>
      </c>
      <c r="J802" s="58">
        <f t="shared" si="792"/>
        <v>0</v>
      </c>
      <c r="K802" s="58">
        <f t="shared" si="792"/>
        <v>0</v>
      </c>
      <c r="L802" s="58">
        <f t="shared" si="792"/>
        <v>0</v>
      </c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0" customHeight="1">
      <c r="A803" s="70"/>
      <c r="B803" s="71"/>
      <c r="C803" s="66"/>
      <c r="D803" s="66">
        <f t="shared" si="3"/>
        <v>0</v>
      </c>
      <c r="E803" s="67"/>
      <c r="F803" s="58">
        <f t="shared" ref="F803:L803" si="793">SUMIFS($C803,$B803,F$7)+F802</f>
        <v>26</v>
      </c>
      <c r="G803" s="58">
        <f t="shared" si="793"/>
        <v>24</v>
      </c>
      <c r="H803" s="58">
        <f t="shared" si="793"/>
        <v>12</v>
      </c>
      <c r="I803" s="58">
        <f t="shared" si="793"/>
        <v>-20</v>
      </c>
      <c r="J803" s="58">
        <f t="shared" si="793"/>
        <v>0</v>
      </c>
      <c r="K803" s="58">
        <f t="shared" si="793"/>
        <v>0</v>
      </c>
      <c r="L803" s="58">
        <f t="shared" si="793"/>
        <v>0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0" customHeight="1">
      <c r="A804" s="70"/>
      <c r="B804" s="71"/>
      <c r="C804" s="66"/>
      <c r="D804" s="66">
        <f t="shared" si="3"/>
        <v>0</v>
      </c>
      <c r="E804" s="67"/>
      <c r="F804" s="58">
        <f t="shared" ref="F804:L804" si="794">SUMIFS($C804,$B804,F$7)+F803</f>
        <v>26</v>
      </c>
      <c r="G804" s="58">
        <f t="shared" si="794"/>
        <v>24</v>
      </c>
      <c r="H804" s="58">
        <f t="shared" si="794"/>
        <v>12</v>
      </c>
      <c r="I804" s="58">
        <f t="shared" si="794"/>
        <v>-20</v>
      </c>
      <c r="J804" s="58">
        <f t="shared" si="794"/>
        <v>0</v>
      </c>
      <c r="K804" s="58">
        <f t="shared" si="794"/>
        <v>0</v>
      </c>
      <c r="L804" s="58">
        <f t="shared" si="794"/>
        <v>0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0" customHeight="1">
      <c r="A805" s="70"/>
      <c r="B805" s="71"/>
      <c r="C805" s="66"/>
      <c r="D805" s="66">
        <f t="shared" si="3"/>
        <v>0</v>
      </c>
      <c r="E805" s="67"/>
      <c r="F805" s="58">
        <f t="shared" ref="F805:L805" si="795">SUMIFS($C805,$B805,F$7)+F804</f>
        <v>26</v>
      </c>
      <c r="G805" s="58">
        <f t="shared" si="795"/>
        <v>24</v>
      </c>
      <c r="H805" s="58">
        <f t="shared" si="795"/>
        <v>12</v>
      </c>
      <c r="I805" s="58">
        <f t="shared" si="795"/>
        <v>-20</v>
      </c>
      <c r="J805" s="58">
        <f t="shared" si="795"/>
        <v>0</v>
      </c>
      <c r="K805" s="58">
        <f t="shared" si="795"/>
        <v>0</v>
      </c>
      <c r="L805" s="58">
        <f t="shared" si="795"/>
        <v>0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0" customHeight="1">
      <c r="A806" s="70"/>
      <c r="B806" s="71"/>
      <c r="C806" s="66"/>
      <c r="D806" s="66">
        <f t="shared" si="3"/>
        <v>0</v>
      </c>
      <c r="E806" s="67"/>
      <c r="F806" s="58">
        <f t="shared" ref="F806:L806" si="796">SUMIFS($C806,$B806,F$7)+F805</f>
        <v>26</v>
      </c>
      <c r="G806" s="58">
        <f t="shared" si="796"/>
        <v>24</v>
      </c>
      <c r="H806" s="58">
        <f t="shared" si="796"/>
        <v>12</v>
      </c>
      <c r="I806" s="58">
        <f t="shared" si="796"/>
        <v>-20</v>
      </c>
      <c r="J806" s="58">
        <f t="shared" si="796"/>
        <v>0</v>
      </c>
      <c r="K806" s="58">
        <f t="shared" si="796"/>
        <v>0</v>
      </c>
      <c r="L806" s="58">
        <f t="shared" si="796"/>
        <v>0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0" customHeight="1">
      <c r="A807" s="70"/>
      <c r="B807" s="71"/>
      <c r="C807" s="66"/>
      <c r="D807" s="66">
        <f t="shared" si="3"/>
        <v>0</v>
      </c>
      <c r="E807" s="67"/>
      <c r="F807" s="58">
        <f t="shared" ref="F807:L807" si="797">SUMIFS($C807,$B807,F$7)+F806</f>
        <v>26</v>
      </c>
      <c r="G807" s="58">
        <f t="shared" si="797"/>
        <v>24</v>
      </c>
      <c r="H807" s="58">
        <f t="shared" si="797"/>
        <v>12</v>
      </c>
      <c r="I807" s="58">
        <f t="shared" si="797"/>
        <v>-20</v>
      </c>
      <c r="J807" s="58">
        <f t="shared" si="797"/>
        <v>0</v>
      </c>
      <c r="K807" s="58">
        <f t="shared" si="797"/>
        <v>0</v>
      </c>
      <c r="L807" s="58">
        <f t="shared" si="797"/>
        <v>0</v>
      </c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0" customHeight="1">
      <c r="A808" s="70"/>
      <c r="B808" s="71"/>
      <c r="C808" s="66"/>
      <c r="D808" s="66">
        <f t="shared" si="3"/>
        <v>0</v>
      </c>
      <c r="E808" s="67"/>
      <c r="F808" s="58">
        <f t="shared" ref="F808:L808" si="798">SUMIFS($C808,$B808,F$7)+F807</f>
        <v>26</v>
      </c>
      <c r="G808" s="58">
        <f t="shared" si="798"/>
        <v>24</v>
      </c>
      <c r="H808" s="58">
        <f t="shared" si="798"/>
        <v>12</v>
      </c>
      <c r="I808" s="58">
        <f t="shared" si="798"/>
        <v>-20</v>
      </c>
      <c r="J808" s="58">
        <f t="shared" si="798"/>
        <v>0</v>
      </c>
      <c r="K808" s="58">
        <f t="shared" si="798"/>
        <v>0</v>
      </c>
      <c r="L808" s="58">
        <f t="shared" si="798"/>
        <v>0</v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0" customHeight="1">
      <c r="A809" s="70"/>
      <c r="B809" s="71"/>
      <c r="C809" s="66"/>
      <c r="D809" s="66">
        <f t="shared" si="3"/>
        <v>0</v>
      </c>
      <c r="E809" s="67"/>
      <c r="F809" s="58">
        <f t="shared" ref="F809:L809" si="799">SUMIFS($C809,$B809,F$7)+F808</f>
        <v>26</v>
      </c>
      <c r="G809" s="58">
        <f t="shared" si="799"/>
        <v>24</v>
      </c>
      <c r="H809" s="58">
        <f t="shared" si="799"/>
        <v>12</v>
      </c>
      <c r="I809" s="58">
        <f t="shared" si="799"/>
        <v>-20</v>
      </c>
      <c r="J809" s="58">
        <f t="shared" si="799"/>
        <v>0</v>
      </c>
      <c r="K809" s="58">
        <f t="shared" si="799"/>
        <v>0</v>
      </c>
      <c r="L809" s="58">
        <f t="shared" si="799"/>
        <v>0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0" customHeight="1">
      <c r="A810" s="70"/>
      <c r="B810" s="71"/>
      <c r="C810" s="66"/>
      <c r="D810" s="66">
        <f t="shared" si="3"/>
        <v>0</v>
      </c>
      <c r="E810" s="67"/>
      <c r="F810" s="58">
        <f t="shared" ref="F810:L810" si="800">SUMIFS($C810,$B810,F$7)+F809</f>
        <v>26</v>
      </c>
      <c r="G810" s="58">
        <f t="shared" si="800"/>
        <v>24</v>
      </c>
      <c r="H810" s="58">
        <f t="shared" si="800"/>
        <v>12</v>
      </c>
      <c r="I810" s="58">
        <f t="shared" si="800"/>
        <v>-20</v>
      </c>
      <c r="J810" s="58">
        <f t="shared" si="800"/>
        <v>0</v>
      </c>
      <c r="K810" s="58">
        <f t="shared" si="800"/>
        <v>0</v>
      </c>
      <c r="L810" s="58">
        <f t="shared" si="800"/>
        <v>0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0" customHeight="1">
      <c r="A811" s="70"/>
      <c r="B811" s="71"/>
      <c r="C811" s="66"/>
      <c r="D811" s="66">
        <f t="shared" si="3"/>
        <v>0</v>
      </c>
      <c r="E811" s="67"/>
      <c r="F811" s="58">
        <f t="shared" ref="F811:L811" si="801">SUMIFS($C811,$B811,F$7)+F810</f>
        <v>26</v>
      </c>
      <c r="G811" s="58">
        <f t="shared" si="801"/>
        <v>24</v>
      </c>
      <c r="H811" s="58">
        <f t="shared" si="801"/>
        <v>12</v>
      </c>
      <c r="I811" s="58">
        <f t="shared" si="801"/>
        <v>-20</v>
      </c>
      <c r="J811" s="58">
        <f t="shared" si="801"/>
        <v>0</v>
      </c>
      <c r="K811" s="58">
        <f t="shared" si="801"/>
        <v>0</v>
      </c>
      <c r="L811" s="58">
        <f t="shared" si="801"/>
        <v>0</v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0" customHeight="1">
      <c r="A812" s="70"/>
      <c r="B812" s="71"/>
      <c r="C812" s="66"/>
      <c r="D812" s="66">
        <f t="shared" si="3"/>
        <v>0</v>
      </c>
      <c r="E812" s="67"/>
      <c r="F812" s="58">
        <f t="shared" ref="F812:L812" si="802">SUMIFS($C812,$B812,F$7)+F811</f>
        <v>26</v>
      </c>
      <c r="G812" s="58">
        <f t="shared" si="802"/>
        <v>24</v>
      </c>
      <c r="H812" s="58">
        <f t="shared" si="802"/>
        <v>12</v>
      </c>
      <c r="I812" s="58">
        <f t="shared" si="802"/>
        <v>-20</v>
      </c>
      <c r="J812" s="58">
        <f t="shared" si="802"/>
        <v>0</v>
      </c>
      <c r="K812" s="58">
        <f t="shared" si="802"/>
        <v>0</v>
      </c>
      <c r="L812" s="58">
        <f t="shared" si="802"/>
        <v>0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0" customHeight="1">
      <c r="A813" s="70"/>
      <c r="B813" s="71"/>
      <c r="C813" s="66"/>
      <c r="D813" s="66">
        <f t="shared" si="3"/>
        <v>0</v>
      </c>
      <c r="E813" s="67"/>
      <c r="F813" s="58">
        <f t="shared" ref="F813:L813" si="803">SUMIFS($C813,$B813,F$7)+F812</f>
        <v>26</v>
      </c>
      <c r="G813" s="58">
        <f t="shared" si="803"/>
        <v>24</v>
      </c>
      <c r="H813" s="58">
        <f t="shared" si="803"/>
        <v>12</v>
      </c>
      <c r="I813" s="58">
        <f t="shared" si="803"/>
        <v>-20</v>
      </c>
      <c r="J813" s="58">
        <f t="shared" si="803"/>
        <v>0</v>
      </c>
      <c r="K813" s="58">
        <f t="shared" si="803"/>
        <v>0</v>
      </c>
      <c r="L813" s="58">
        <f t="shared" si="803"/>
        <v>0</v>
      </c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0" customHeight="1">
      <c r="A814" s="70"/>
      <c r="B814" s="71"/>
      <c r="C814" s="66"/>
      <c r="D814" s="66">
        <f t="shared" si="3"/>
        <v>0</v>
      </c>
      <c r="E814" s="67"/>
      <c r="F814" s="58">
        <f t="shared" ref="F814:L814" si="804">SUMIFS($C814,$B814,F$7)+F813</f>
        <v>26</v>
      </c>
      <c r="G814" s="58">
        <f t="shared" si="804"/>
        <v>24</v>
      </c>
      <c r="H814" s="58">
        <f t="shared" si="804"/>
        <v>12</v>
      </c>
      <c r="I814" s="58">
        <f t="shared" si="804"/>
        <v>-20</v>
      </c>
      <c r="J814" s="58">
        <f t="shared" si="804"/>
        <v>0</v>
      </c>
      <c r="K814" s="58">
        <f t="shared" si="804"/>
        <v>0</v>
      </c>
      <c r="L814" s="58">
        <f t="shared" si="804"/>
        <v>0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0" customHeight="1">
      <c r="A815" s="70"/>
      <c r="B815" s="71"/>
      <c r="C815" s="66"/>
      <c r="D815" s="66">
        <f t="shared" si="3"/>
        <v>0</v>
      </c>
      <c r="E815" s="67"/>
      <c r="F815" s="58">
        <f t="shared" ref="F815:L815" si="805">SUMIFS($C815,$B815,F$7)+F814</f>
        <v>26</v>
      </c>
      <c r="G815" s="58">
        <f t="shared" si="805"/>
        <v>24</v>
      </c>
      <c r="H815" s="58">
        <f t="shared" si="805"/>
        <v>12</v>
      </c>
      <c r="I815" s="58">
        <f t="shared" si="805"/>
        <v>-20</v>
      </c>
      <c r="J815" s="58">
        <f t="shared" si="805"/>
        <v>0</v>
      </c>
      <c r="K815" s="58">
        <f t="shared" si="805"/>
        <v>0</v>
      </c>
      <c r="L815" s="58">
        <f t="shared" si="805"/>
        <v>0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0" customHeight="1">
      <c r="A816" s="70"/>
      <c r="B816" s="71"/>
      <c r="C816" s="66"/>
      <c r="D816" s="66">
        <f t="shared" si="3"/>
        <v>0</v>
      </c>
      <c r="E816" s="67"/>
      <c r="F816" s="58">
        <f t="shared" ref="F816:L816" si="806">SUMIFS($C816,$B816,F$7)+F815</f>
        <v>26</v>
      </c>
      <c r="G816" s="58">
        <f t="shared" si="806"/>
        <v>24</v>
      </c>
      <c r="H816" s="58">
        <f t="shared" si="806"/>
        <v>12</v>
      </c>
      <c r="I816" s="58">
        <f t="shared" si="806"/>
        <v>-20</v>
      </c>
      <c r="J816" s="58">
        <f t="shared" si="806"/>
        <v>0</v>
      </c>
      <c r="K816" s="58">
        <f t="shared" si="806"/>
        <v>0</v>
      </c>
      <c r="L816" s="58">
        <f t="shared" si="806"/>
        <v>0</v>
      </c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0" customHeight="1">
      <c r="A817" s="70"/>
      <c r="B817" s="71"/>
      <c r="C817" s="66"/>
      <c r="D817" s="66">
        <f t="shared" si="3"/>
        <v>0</v>
      </c>
      <c r="E817" s="67"/>
      <c r="F817" s="58">
        <f t="shared" ref="F817:L817" si="807">SUMIFS($C817,$B817,F$7)+F816</f>
        <v>26</v>
      </c>
      <c r="G817" s="58">
        <f t="shared" si="807"/>
        <v>24</v>
      </c>
      <c r="H817" s="58">
        <f t="shared" si="807"/>
        <v>12</v>
      </c>
      <c r="I817" s="58">
        <f t="shared" si="807"/>
        <v>-20</v>
      </c>
      <c r="J817" s="58">
        <f t="shared" si="807"/>
        <v>0</v>
      </c>
      <c r="K817" s="58">
        <f t="shared" si="807"/>
        <v>0</v>
      </c>
      <c r="L817" s="58">
        <f t="shared" si="807"/>
        <v>0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0" customHeight="1">
      <c r="A818" s="70"/>
      <c r="B818" s="71"/>
      <c r="C818" s="66"/>
      <c r="D818" s="66">
        <f t="shared" si="3"/>
        <v>0</v>
      </c>
      <c r="E818" s="67"/>
      <c r="F818" s="58">
        <f t="shared" ref="F818:L818" si="808">SUMIFS($C818,$B818,F$7)+F817</f>
        <v>26</v>
      </c>
      <c r="G818" s="58">
        <f t="shared" si="808"/>
        <v>24</v>
      </c>
      <c r="H818" s="58">
        <f t="shared" si="808"/>
        <v>12</v>
      </c>
      <c r="I818" s="58">
        <f t="shared" si="808"/>
        <v>-20</v>
      </c>
      <c r="J818" s="58">
        <f t="shared" si="808"/>
        <v>0</v>
      </c>
      <c r="K818" s="58">
        <f t="shared" si="808"/>
        <v>0</v>
      </c>
      <c r="L818" s="58">
        <f t="shared" si="808"/>
        <v>0</v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0" customHeight="1">
      <c r="A819" s="70"/>
      <c r="B819" s="71"/>
      <c r="C819" s="66"/>
      <c r="D819" s="66">
        <f t="shared" si="3"/>
        <v>0</v>
      </c>
      <c r="E819" s="67"/>
      <c r="F819" s="58">
        <f t="shared" ref="F819:L819" si="809">SUMIFS($C819,$B819,F$7)+F818</f>
        <v>26</v>
      </c>
      <c r="G819" s="58">
        <f t="shared" si="809"/>
        <v>24</v>
      </c>
      <c r="H819" s="58">
        <f t="shared" si="809"/>
        <v>12</v>
      </c>
      <c r="I819" s="58">
        <f t="shared" si="809"/>
        <v>-20</v>
      </c>
      <c r="J819" s="58">
        <f t="shared" si="809"/>
        <v>0</v>
      </c>
      <c r="K819" s="58">
        <f t="shared" si="809"/>
        <v>0</v>
      </c>
      <c r="L819" s="58">
        <f t="shared" si="809"/>
        <v>0</v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0" customHeight="1">
      <c r="A820" s="70"/>
      <c r="B820" s="71"/>
      <c r="C820" s="66"/>
      <c r="D820" s="66">
        <f t="shared" si="3"/>
        <v>0</v>
      </c>
      <c r="E820" s="67"/>
      <c r="F820" s="58">
        <f t="shared" ref="F820:L820" si="810">SUMIFS($C820,$B820,F$7)+F819</f>
        <v>26</v>
      </c>
      <c r="G820" s="58">
        <f t="shared" si="810"/>
        <v>24</v>
      </c>
      <c r="H820" s="58">
        <f t="shared" si="810"/>
        <v>12</v>
      </c>
      <c r="I820" s="58">
        <f t="shared" si="810"/>
        <v>-20</v>
      </c>
      <c r="J820" s="58">
        <f t="shared" si="810"/>
        <v>0</v>
      </c>
      <c r="K820" s="58">
        <f t="shared" si="810"/>
        <v>0</v>
      </c>
      <c r="L820" s="58">
        <f t="shared" si="810"/>
        <v>0</v>
      </c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0" customHeight="1">
      <c r="A821" s="70"/>
      <c r="B821" s="71"/>
      <c r="C821" s="66"/>
      <c r="D821" s="66">
        <f t="shared" si="3"/>
        <v>0</v>
      </c>
      <c r="E821" s="67"/>
      <c r="F821" s="58">
        <f t="shared" ref="F821:L821" si="811">SUMIFS($C821,$B821,F$7)+F820</f>
        <v>26</v>
      </c>
      <c r="G821" s="58">
        <f t="shared" si="811"/>
        <v>24</v>
      </c>
      <c r="H821" s="58">
        <f t="shared" si="811"/>
        <v>12</v>
      </c>
      <c r="I821" s="58">
        <f t="shared" si="811"/>
        <v>-20</v>
      </c>
      <c r="J821" s="58">
        <f t="shared" si="811"/>
        <v>0</v>
      </c>
      <c r="K821" s="58">
        <f t="shared" si="811"/>
        <v>0</v>
      </c>
      <c r="L821" s="58">
        <f t="shared" si="811"/>
        <v>0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0" customHeight="1">
      <c r="A822" s="70"/>
      <c r="B822" s="71"/>
      <c r="C822" s="66"/>
      <c r="D822" s="66">
        <f t="shared" si="3"/>
        <v>0</v>
      </c>
      <c r="E822" s="67"/>
      <c r="F822" s="58">
        <f t="shared" ref="F822:L822" si="812">SUMIFS($C822,$B822,F$7)+F821</f>
        <v>26</v>
      </c>
      <c r="G822" s="58">
        <f t="shared" si="812"/>
        <v>24</v>
      </c>
      <c r="H822" s="58">
        <f t="shared" si="812"/>
        <v>12</v>
      </c>
      <c r="I822" s="58">
        <f t="shared" si="812"/>
        <v>-20</v>
      </c>
      <c r="J822" s="58">
        <f t="shared" si="812"/>
        <v>0</v>
      </c>
      <c r="K822" s="58">
        <f t="shared" si="812"/>
        <v>0</v>
      </c>
      <c r="L822" s="58">
        <f t="shared" si="812"/>
        <v>0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0" customHeight="1">
      <c r="A823" s="70"/>
      <c r="B823" s="71"/>
      <c r="C823" s="66"/>
      <c r="D823" s="66">
        <f t="shared" si="3"/>
        <v>0</v>
      </c>
      <c r="E823" s="67"/>
      <c r="F823" s="58">
        <f t="shared" ref="F823:L823" si="813">SUMIFS($C823,$B823,F$7)+F822</f>
        <v>26</v>
      </c>
      <c r="G823" s="58">
        <f t="shared" si="813"/>
        <v>24</v>
      </c>
      <c r="H823" s="58">
        <f t="shared" si="813"/>
        <v>12</v>
      </c>
      <c r="I823" s="58">
        <f t="shared" si="813"/>
        <v>-20</v>
      </c>
      <c r="J823" s="58">
        <f t="shared" si="813"/>
        <v>0</v>
      </c>
      <c r="K823" s="58">
        <f t="shared" si="813"/>
        <v>0</v>
      </c>
      <c r="L823" s="58">
        <f t="shared" si="813"/>
        <v>0</v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0" customHeight="1">
      <c r="A824" s="70"/>
      <c r="B824" s="71"/>
      <c r="C824" s="66"/>
      <c r="D824" s="66">
        <f t="shared" si="3"/>
        <v>0</v>
      </c>
      <c r="E824" s="67"/>
      <c r="F824" s="58">
        <f t="shared" ref="F824:L824" si="814">SUMIFS($C824,$B824,F$7)+F823</f>
        <v>26</v>
      </c>
      <c r="G824" s="58">
        <f t="shared" si="814"/>
        <v>24</v>
      </c>
      <c r="H824" s="58">
        <f t="shared" si="814"/>
        <v>12</v>
      </c>
      <c r="I824" s="58">
        <f t="shared" si="814"/>
        <v>-20</v>
      </c>
      <c r="J824" s="58">
        <f t="shared" si="814"/>
        <v>0</v>
      </c>
      <c r="K824" s="58">
        <f t="shared" si="814"/>
        <v>0</v>
      </c>
      <c r="L824" s="58">
        <f t="shared" si="814"/>
        <v>0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0" customHeight="1">
      <c r="A825" s="70"/>
      <c r="B825" s="71"/>
      <c r="C825" s="66"/>
      <c r="D825" s="66">
        <f t="shared" si="3"/>
        <v>0</v>
      </c>
      <c r="E825" s="67"/>
      <c r="F825" s="58">
        <f t="shared" ref="F825:L825" si="815">SUMIFS($C825,$B825,F$7)+F824</f>
        <v>26</v>
      </c>
      <c r="G825" s="58">
        <f t="shared" si="815"/>
        <v>24</v>
      </c>
      <c r="H825" s="58">
        <f t="shared" si="815"/>
        <v>12</v>
      </c>
      <c r="I825" s="58">
        <f t="shared" si="815"/>
        <v>-20</v>
      </c>
      <c r="J825" s="58">
        <f t="shared" si="815"/>
        <v>0</v>
      </c>
      <c r="K825" s="58">
        <f t="shared" si="815"/>
        <v>0</v>
      </c>
      <c r="L825" s="58">
        <f t="shared" si="815"/>
        <v>0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0" customHeight="1">
      <c r="A826" s="70"/>
      <c r="B826" s="71"/>
      <c r="C826" s="66"/>
      <c r="D826" s="66">
        <f t="shared" si="3"/>
        <v>0</v>
      </c>
      <c r="E826" s="67"/>
      <c r="F826" s="58">
        <f t="shared" ref="F826:L826" si="816">SUMIFS($C826,$B826,F$7)+F825</f>
        <v>26</v>
      </c>
      <c r="G826" s="58">
        <f t="shared" si="816"/>
        <v>24</v>
      </c>
      <c r="H826" s="58">
        <f t="shared" si="816"/>
        <v>12</v>
      </c>
      <c r="I826" s="58">
        <f t="shared" si="816"/>
        <v>-20</v>
      </c>
      <c r="J826" s="58">
        <f t="shared" si="816"/>
        <v>0</v>
      </c>
      <c r="K826" s="58">
        <f t="shared" si="816"/>
        <v>0</v>
      </c>
      <c r="L826" s="58">
        <f t="shared" si="816"/>
        <v>0</v>
      </c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0" customHeight="1">
      <c r="A827" s="70"/>
      <c r="B827" s="71"/>
      <c r="C827" s="66"/>
      <c r="D827" s="66">
        <f t="shared" si="3"/>
        <v>0</v>
      </c>
      <c r="E827" s="67"/>
      <c r="F827" s="58">
        <f t="shared" ref="F827:L827" si="817">SUMIFS($C827,$B827,F$7)+F826</f>
        <v>26</v>
      </c>
      <c r="G827" s="58">
        <f t="shared" si="817"/>
        <v>24</v>
      </c>
      <c r="H827" s="58">
        <f t="shared" si="817"/>
        <v>12</v>
      </c>
      <c r="I827" s="58">
        <f t="shared" si="817"/>
        <v>-20</v>
      </c>
      <c r="J827" s="58">
        <f t="shared" si="817"/>
        <v>0</v>
      </c>
      <c r="K827" s="58">
        <f t="shared" si="817"/>
        <v>0</v>
      </c>
      <c r="L827" s="58">
        <f t="shared" si="817"/>
        <v>0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0" customHeight="1">
      <c r="A828" s="70"/>
      <c r="B828" s="71"/>
      <c r="C828" s="66"/>
      <c r="D828" s="66">
        <f t="shared" si="3"/>
        <v>0</v>
      </c>
      <c r="E828" s="67"/>
      <c r="F828" s="58">
        <f t="shared" ref="F828:L828" si="818">SUMIFS($C828,$B828,F$7)+F827</f>
        <v>26</v>
      </c>
      <c r="G828" s="58">
        <f t="shared" si="818"/>
        <v>24</v>
      </c>
      <c r="H828" s="58">
        <f t="shared" si="818"/>
        <v>12</v>
      </c>
      <c r="I828" s="58">
        <f t="shared" si="818"/>
        <v>-20</v>
      </c>
      <c r="J828" s="58">
        <f t="shared" si="818"/>
        <v>0</v>
      </c>
      <c r="K828" s="58">
        <f t="shared" si="818"/>
        <v>0</v>
      </c>
      <c r="L828" s="58">
        <f t="shared" si="818"/>
        <v>0</v>
      </c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0" customHeight="1">
      <c r="A829" s="70"/>
      <c r="B829" s="71"/>
      <c r="C829" s="66"/>
      <c r="D829" s="66">
        <f t="shared" si="3"/>
        <v>0</v>
      </c>
      <c r="E829" s="67"/>
      <c r="F829" s="58">
        <f t="shared" ref="F829:L829" si="819">SUMIFS($C829,$B829,F$7)+F828</f>
        <v>26</v>
      </c>
      <c r="G829" s="58">
        <f t="shared" si="819"/>
        <v>24</v>
      </c>
      <c r="H829" s="58">
        <f t="shared" si="819"/>
        <v>12</v>
      </c>
      <c r="I829" s="58">
        <f t="shared" si="819"/>
        <v>-20</v>
      </c>
      <c r="J829" s="58">
        <f t="shared" si="819"/>
        <v>0</v>
      </c>
      <c r="K829" s="58">
        <f t="shared" si="819"/>
        <v>0</v>
      </c>
      <c r="L829" s="58">
        <f t="shared" si="819"/>
        <v>0</v>
      </c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0" customHeight="1">
      <c r="A830" s="70"/>
      <c r="B830" s="71"/>
      <c r="C830" s="66"/>
      <c r="D830" s="66">
        <f t="shared" si="3"/>
        <v>0</v>
      </c>
      <c r="E830" s="67"/>
      <c r="F830" s="58">
        <f t="shared" ref="F830:L830" si="820">SUMIFS($C830,$B830,F$7)+F829</f>
        <v>26</v>
      </c>
      <c r="G830" s="58">
        <f t="shared" si="820"/>
        <v>24</v>
      </c>
      <c r="H830" s="58">
        <f t="shared" si="820"/>
        <v>12</v>
      </c>
      <c r="I830" s="58">
        <f t="shared" si="820"/>
        <v>-20</v>
      </c>
      <c r="J830" s="58">
        <f t="shared" si="820"/>
        <v>0</v>
      </c>
      <c r="K830" s="58">
        <f t="shared" si="820"/>
        <v>0</v>
      </c>
      <c r="L830" s="58">
        <f t="shared" si="820"/>
        <v>0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0" customHeight="1">
      <c r="A831" s="70"/>
      <c r="B831" s="71"/>
      <c r="C831" s="66"/>
      <c r="D831" s="66">
        <f t="shared" si="3"/>
        <v>0</v>
      </c>
      <c r="E831" s="67"/>
      <c r="F831" s="58">
        <f t="shared" ref="F831:L831" si="821">SUMIFS($C831,$B831,F$7)+F830</f>
        <v>26</v>
      </c>
      <c r="G831" s="58">
        <f t="shared" si="821"/>
        <v>24</v>
      </c>
      <c r="H831" s="58">
        <f t="shared" si="821"/>
        <v>12</v>
      </c>
      <c r="I831" s="58">
        <f t="shared" si="821"/>
        <v>-20</v>
      </c>
      <c r="J831" s="58">
        <f t="shared" si="821"/>
        <v>0</v>
      </c>
      <c r="K831" s="58">
        <f t="shared" si="821"/>
        <v>0</v>
      </c>
      <c r="L831" s="58">
        <f t="shared" si="821"/>
        <v>0</v>
      </c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0" customHeight="1">
      <c r="A832" s="70"/>
      <c r="B832" s="71"/>
      <c r="C832" s="66"/>
      <c r="D832" s="66">
        <f t="shared" si="3"/>
        <v>0</v>
      </c>
      <c r="E832" s="67"/>
      <c r="F832" s="58">
        <f t="shared" ref="F832:L832" si="822">SUMIFS($C832,$B832,F$7)+F831</f>
        <v>26</v>
      </c>
      <c r="G832" s="58">
        <f t="shared" si="822"/>
        <v>24</v>
      </c>
      <c r="H832" s="58">
        <f t="shared" si="822"/>
        <v>12</v>
      </c>
      <c r="I832" s="58">
        <f t="shared" si="822"/>
        <v>-20</v>
      </c>
      <c r="J832" s="58">
        <f t="shared" si="822"/>
        <v>0</v>
      </c>
      <c r="K832" s="58">
        <f t="shared" si="822"/>
        <v>0</v>
      </c>
      <c r="L832" s="58">
        <f t="shared" si="822"/>
        <v>0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0" customHeight="1">
      <c r="A833" s="70"/>
      <c r="B833" s="71"/>
      <c r="C833" s="66"/>
      <c r="D833" s="66">
        <f t="shared" si="3"/>
        <v>0</v>
      </c>
      <c r="E833" s="67"/>
      <c r="F833" s="58">
        <f t="shared" ref="F833:L833" si="823">SUMIFS($C833,$B833,F$7)+F832</f>
        <v>26</v>
      </c>
      <c r="G833" s="58">
        <f t="shared" si="823"/>
        <v>24</v>
      </c>
      <c r="H833" s="58">
        <f t="shared" si="823"/>
        <v>12</v>
      </c>
      <c r="I833" s="58">
        <f t="shared" si="823"/>
        <v>-20</v>
      </c>
      <c r="J833" s="58">
        <f t="shared" si="823"/>
        <v>0</v>
      </c>
      <c r="K833" s="58">
        <f t="shared" si="823"/>
        <v>0</v>
      </c>
      <c r="L833" s="58">
        <f t="shared" si="823"/>
        <v>0</v>
      </c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0" customHeight="1">
      <c r="A834" s="70"/>
      <c r="B834" s="71"/>
      <c r="C834" s="66"/>
      <c r="D834" s="66">
        <f t="shared" si="3"/>
        <v>0</v>
      </c>
      <c r="E834" s="67"/>
      <c r="F834" s="58">
        <f t="shared" ref="F834:L834" si="824">SUMIFS($C834,$B834,F$7)+F833</f>
        <v>26</v>
      </c>
      <c r="G834" s="58">
        <f t="shared" si="824"/>
        <v>24</v>
      </c>
      <c r="H834" s="58">
        <f t="shared" si="824"/>
        <v>12</v>
      </c>
      <c r="I834" s="58">
        <f t="shared" si="824"/>
        <v>-20</v>
      </c>
      <c r="J834" s="58">
        <f t="shared" si="824"/>
        <v>0</v>
      </c>
      <c r="K834" s="58">
        <f t="shared" si="824"/>
        <v>0</v>
      </c>
      <c r="L834" s="58">
        <f t="shared" si="824"/>
        <v>0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0" customHeight="1">
      <c r="A835" s="70"/>
      <c r="B835" s="71"/>
      <c r="C835" s="66"/>
      <c r="D835" s="66">
        <f t="shared" si="3"/>
        <v>0</v>
      </c>
      <c r="E835" s="67"/>
      <c r="F835" s="58">
        <f t="shared" ref="F835:L835" si="825">SUMIFS($C835,$B835,F$7)+F834</f>
        <v>26</v>
      </c>
      <c r="G835" s="58">
        <f t="shared" si="825"/>
        <v>24</v>
      </c>
      <c r="H835" s="58">
        <f t="shared" si="825"/>
        <v>12</v>
      </c>
      <c r="I835" s="58">
        <f t="shared" si="825"/>
        <v>-20</v>
      </c>
      <c r="J835" s="58">
        <f t="shared" si="825"/>
        <v>0</v>
      </c>
      <c r="K835" s="58">
        <f t="shared" si="825"/>
        <v>0</v>
      </c>
      <c r="L835" s="58">
        <f t="shared" si="825"/>
        <v>0</v>
      </c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0" customHeight="1">
      <c r="A836" s="70"/>
      <c r="B836" s="71"/>
      <c r="C836" s="66"/>
      <c r="D836" s="66">
        <f t="shared" si="3"/>
        <v>0</v>
      </c>
      <c r="E836" s="67"/>
      <c r="F836" s="58">
        <f t="shared" ref="F836:L836" si="826">SUMIFS($C836,$B836,F$7)+F835</f>
        <v>26</v>
      </c>
      <c r="G836" s="58">
        <f t="shared" si="826"/>
        <v>24</v>
      </c>
      <c r="H836" s="58">
        <f t="shared" si="826"/>
        <v>12</v>
      </c>
      <c r="I836" s="58">
        <f t="shared" si="826"/>
        <v>-20</v>
      </c>
      <c r="J836" s="58">
        <f t="shared" si="826"/>
        <v>0</v>
      </c>
      <c r="K836" s="58">
        <f t="shared" si="826"/>
        <v>0</v>
      </c>
      <c r="L836" s="58">
        <f t="shared" si="826"/>
        <v>0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0" customHeight="1">
      <c r="A837" s="70"/>
      <c r="B837" s="71"/>
      <c r="C837" s="66"/>
      <c r="D837" s="66">
        <f t="shared" si="3"/>
        <v>0</v>
      </c>
      <c r="E837" s="67"/>
      <c r="F837" s="58">
        <f t="shared" ref="F837:L837" si="827">SUMIFS($C837,$B837,F$7)+F836</f>
        <v>26</v>
      </c>
      <c r="G837" s="58">
        <f t="shared" si="827"/>
        <v>24</v>
      </c>
      <c r="H837" s="58">
        <f t="shared" si="827"/>
        <v>12</v>
      </c>
      <c r="I837" s="58">
        <f t="shared" si="827"/>
        <v>-20</v>
      </c>
      <c r="J837" s="58">
        <f t="shared" si="827"/>
        <v>0</v>
      </c>
      <c r="K837" s="58">
        <f t="shared" si="827"/>
        <v>0</v>
      </c>
      <c r="L837" s="58">
        <f t="shared" si="827"/>
        <v>0</v>
      </c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0" customHeight="1">
      <c r="A838" s="70"/>
      <c r="B838" s="71"/>
      <c r="C838" s="66"/>
      <c r="D838" s="66">
        <f t="shared" si="3"/>
        <v>0</v>
      </c>
      <c r="E838" s="67"/>
      <c r="F838" s="58">
        <f t="shared" ref="F838:L838" si="828">SUMIFS($C838,$B838,F$7)+F837</f>
        <v>26</v>
      </c>
      <c r="G838" s="58">
        <f t="shared" si="828"/>
        <v>24</v>
      </c>
      <c r="H838" s="58">
        <f t="shared" si="828"/>
        <v>12</v>
      </c>
      <c r="I838" s="58">
        <f t="shared" si="828"/>
        <v>-20</v>
      </c>
      <c r="J838" s="58">
        <f t="shared" si="828"/>
        <v>0</v>
      </c>
      <c r="K838" s="58">
        <f t="shared" si="828"/>
        <v>0</v>
      </c>
      <c r="L838" s="58">
        <f t="shared" si="828"/>
        <v>0</v>
      </c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0" customHeight="1">
      <c r="A839" s="70"/>
      <c r="B839" s="71"/>
      <c r="C839" s="66"/>
      <c r="D839" s="66">
        <f t="shared" si="3"/>
        <v>0</v>
      </c>
      <c r="E839" s="67"/>
      <c r="F839" s="58">
        <f t="shared" ref="F839:L839" si="829">SUMIFS($C839,$B839,F$7)+F838</f>
        <v>26</v>
      </c>
      <c r="G839" s="58">
        <f t="shared" si="829"/>
        <v>24</v>
      </c>
      <c r="H839" s="58">
        <f t="shared" si="829"/>
        <v>12</v>
      </c>
      <c r="I839" s="58">
        <f t="shared" si="829"/>
        <v>-20</v>
      </c>
      <c r="J839" s="58">
        <f t="shared" si="829"/>
        <v>0</v>
      </c>
      <c r="K839" s="58">
        <f t="shared" si="829"/>
        <v>0</v>
      </c>
      <c r="L839" s="58">
        <f t="shared" si="829"/>
        <v>0</v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0" customHeight="1">
      <c r="A840" s="70"/>
      <c r="B840" s="71"/>
      <c r="C840" s="66"/>
      <c r="D840" s="66">
        <f t="shared" si="3"/>
        <v>0</v>
      </c>
      <c r="E840" s="67"/>
      <c r="F840" s="58">
        <f t="shared" ref="F840:L840" si="830">SUMIFS($C840,$B840,F$7)+F839</f>
        <v>26</v>
      </c>
      <c r="G840" s="58">
        <f t="shared" si="830"/>
        <v>24</v>
      </c>
      <c r="H840" s="58">
        <f t="shared" si="830"/>
        <v>12</v>
      </c>
      <c r="I840" s="58">
        <f t="shared" si="830"/>
        <v>-20</v>
      </c>
      <c r="J840" s="58">
        <f t="shared" si="830"/>
        <v>0</v>
      </c>
      <c r="K840" s="58">
        <f t="shared" si="830"/>
        <v>0</v>
      </c>
      <c r="L840" s="58">
        <f t="shared" si="830"/>
        <v>0</v>
      </c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0" customHeight="1">
      <c r="A841" s="70"/>
      <c r="B841" s="71"/>
      <c r="C841" s="66"/>
      <c r="D841" s="66">
        <f t="shared" si="3"/>
        <v>0</v>
      </c>
      <c r="E841" s="67"/>
      <c r="F841" s="58">
        <f t="shared" ref="F841:L841" si="831">SUMIFS($C841,$B841,F$7)+F840</f>
        <v>26</v>
      </c>
      <c r="G841" s="58">
        <f t="shared" si="831"/>
        <v>24</v>
      </c>
      <c r="H841" s="58">
        <f t="shared" si="831"/>
        <v>12</v>
      </c>
      <c r="I841" s="58">
        <f t="shared" si="831"/>
        <v>-20</v>
      </c>
      <c r="J841" s="58">
        <f t="shared" si="831"/>
        <v>0</v>
      </c>
      <c r="K841" s="58">
        <f t="shared" si="831"/>
        <v>0</v>
      </c>
      <c r="L841" s="58">
        <f t="shared" si="831"/>
        <v>0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0" customHeight="1">
      <c r="A842" s="70"/>
      <c r="B842" s="71"/>
      <c r="C842" s="66"/>
      <c r="D842" s="66">
        <f t="shared" si="3"/>
        <v>0</v>
      </c>
      <c r="E842" s="67"/>
      <c r="F842" s="58">
        <f t="shared" ref="F842:L842" si="832">SUMIFS($C842,$B842,F$7)+F841</f>
        <v>26</v>
      </c>
      <c r="G842" s="58">
        <f t="shared" si="832"/>
        <v>24</v>
      </c>
      <c r="H842" s="58">
        <f t="shared" si="832"/>
        <v>12</v>
      </c>
      <c r="I842" s="58">
        <f t="shared" si="832"/>
        <v>-20</v>
      </c>
      <c r="J842" s="58">
        <f t="shared" si="832"/>
        <v>0</v>
      </c>
      <c r="K842" s="58">
        <f t="shared" si="832"/>
        <v>0</v>
      </c>
      <c r="L842" s="58">
        <f t="shared" si="832"/>
        <v>0</v>
      </c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0" customHeight="1">
      <c r="A843" s="70"/>
      <c r="B843" s="71"/>
      <c r="C843" s="66"/>
      <c r="D843" s="66">
        <f t="shared" si="3"/>
        <v>0</v>
      </c>
      <c r="E843" s="67"/>
      <c r="F843" s="58">
        <f t="shared" ref="F843:L843" si="833">SUMIFS($C843,$B843,F$7)+F842</f>
        <v>26</v>
      </c>
      <c r="G843" s="58">
        <f t="shared" si="833"/>
        <v>24</v>
      </c>
      <c r="H843" s="58">
        <f t="shared" si="833"/>
        <v>12</v>
      </c>
      <c r="I843" s="58">
        <f t="shared" si="833"/>
        <v>-20</v>
      </c>
      <c r="J843" s="58">
        <f t="shared" si="833"/>
        <v>0</v>
      </c>
      <c r="K843" s="58">
        <f t="shared" si="833"/>
        <v>0</v>
      </c>
      <c r="L843" s="58">
        <f t="shared" si="833"/>
        <v>0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0" customHeight="1">
      <c r="A844" s="70"/>
      <c r="B844" s="71"/>
      <c r="C844" s="66"/>
      <c r="D844" s="66">
        <f t="shared" si="3"/>
        <v>0</v>
      </c>
      <c r="E844" s="67"/>
      <c r="F844" s="58">
        <f t="shared" ref="F844:L844" si="834">SUMIFS($C844,$B844,F$7)+F843</f>
        <v>26</v>
      </c>
      <c r="G844" s="58">
        <f t="shared" si="834"/>
        <v>24</v>
      </c>
      <c r="H844" s="58">
        <f t="shared" si="834"/>
        <v>12</v>
      </c>
      <c r="I844" s="58">
        <f t="shared" si="834"/>
        <v>-20</v>
      </c>
      <c r="J844" s="58">
        <f t="shared" si="834"/>
        <v>0</v>
      </c>
      <c r="K844" s="58">
        <f t="shared" si="834"/>
        <v>0</v>
      </c>
      <c r="L844" s="58">
        <f t="shared" si="834"/>
        <v>0</v>
      </c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0" customHeight="1">
      <c r="A845" s="70"/>
      <c r="B845" s="71"/>
      <c r="C845" s="66"/>
      <c r="D845" s="66">
        <f t="shared" si="3"/>
        <v>0</v>
      </c>
      <c r="E845" s="67"/>
      <c r="F845" s="58">
        <f t="shared" ref="F845:L845" si="835">SUMIFS($C845,$B845,F$7)+F844</f>
        <v>26</v>
      </c>
      <c r="G845" s="58">
        <f t="shared" si="835"/>
        <v>24</v>
      </c>
      <c r="H845" s="58">
        <f t="shared" si="835"/>
        <v>12</v>
      </c>
      <c r="I845" s="58">
        <f t="shared" si="835"/>
        <v>-20</v>
      </c>
      <c r="J845" s="58">
        <f t="shared" si="835"/>
        <v>0</v>
      </c>
      <c r="K845" s="58">
        <f t="shared" si="835"/>
        <v>0</v>
      </c>
      <c r="L845" s="58">
        <f t="shared" si="835"/>
        <v>0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0" customHeight="1">
      <c r="A846" s="70"/>
      <c r="B846" s="71"/>
      <c r="C846" s="66"/>
      <c r="D846" s="66">
        <f t="shared" si="3"/>
        <v>0</v>
      </c>
      <c r="E846" s="67"/>
      <c r="F846" s="58">
        <f t="shared" ref="F846:L846" si="836">SUMIFS($C846,$B846,F$7)+F845</f>
        <v>26</v>
      </c>
      <c r="G846" s="58">
        <f t="shared" si="836"/>
        <v>24</v>
      </c>
      <c r="H846" s="58">
        <f t="shared" si="836"/>
        <v>12</v>
      </c>
      <c r="I846" s="58">
        <f t="shared" si="836"/>
        <v>-20</v>
      </c>
      <c r="J846" s="58">
        <f t="shared" si="836"/>
        <v>0</v>
      </c>
      <c r="K846" s="58">
        <f t="shared" si="836"/>
        <v>0</v>
      </c>
      <c r="L846" s="58">
        <f t="shared" si="836"/>
        <v>0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0" customHeight="1">
      <c r="A847" s="70"/>
      <c r="B847" s="71"/>
      <c r="C847" s="66"/>
      <c r="D847" s="66">
        <f t="shared" si="3"/>
        <v>0</v>
      </c>
      <c r="E847" s="67"/>
      <c r="F847" s="58">
        <f t="shared" ref="F847:L847" si="837">SUMIFS($C847,$B847,F$7)+F846</f>
        <v>26</v>
      </c>
      <c r="G847" s="58">
        <f t="shared" si="837"/>
        <v>24</v>
      </c>
      <c r="H847" s="58">
        <f t="shared" si="837"/>
        <v>12</v>
      </c>
      <c r="I847" s="58">
        <f t="shared" si="837"/>
        <v>-20</v>
      </c>
      <c r="J847" s="58">
        <f t="shared" si="837"/>
        <v>0</v>
      </c>
      <c r="K847" s="58">
        <f t="shared" si="837"/>
        <v>0</v>
      </c>
      <c r="L847" s="58">
        <f t="shared" si="837"/>
        <v>0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0" customHeight="1">
      <c r="A848" s="70"/>
      <c r="B848" s="71"/>
      <c r="C848" s="66"/>
      <c r="D848" s="66">
        <f t="shared" si="3"/>
        <v>0</v>
      </c>
      <c r="E848" s="67"/>
      <c r="F848" s="58">
        <f t="shared" ref="F848:L848" si="838">SUMIFS($C848,$B848,F$7)+F847</f>
        <v>26</v>
      </c>
      <c r="G848" s="58">
        <f t="shared" si="838"/>
        <v>24</v>
      </c>
      <c r="H848" s="58">
        <f t="shared" si="838"/>
        <v>12</v>
      </c>
      <c r="I848" s="58">
        <f t="shared" si="838"/>
        <v>-20</v>
      </c>
      <c r="J848" s="58">
        <f t="shared" si="838"/>
        <v>0</v>
      </c>
      <c r="K848" s="58">
        <f t="shared" si="838"/>
        <v>0</v>
      </c>
      <c r="L848" s="58">
        <f t="shared" si="838"/>
        <v>0</v>
      </c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0" customHeight="1">
      <c r="A849" s="70"/>
      <c r="B849" s="71"/>
      <c r="C849" s="66"/>
      <c r="D849" s="66">
        <f t="shared" si="3"/>
        <v>0</v>
      </c>
      <c r="E849" s="67"/>
      <c r="F849" s="58">
        <f t="shared" ref="F849:L849" si="839">SUMIFS($C849,$B849,F$7)+F848</f>
        <v>26</v>
      </c>
      <c r="G849" s="58">
        <f t="shared" si="839"/>
        <v>24</v>
      </c>
      <c r="H849" s="58">
        <f t="shared" si="839"/>
        <v>12</v>
      </c>
      <c r="I849" s="58">
        <f t="shared" si="839"/>
        <v>-20</v>
      </c>
      <c r="J849" s="58">
        <f t="shared" si="839"/>
        <v>0</v>
      </c>
      <c r="K849" s="58">
        <f t="shared" si="839"/>
        <v>0</v>
      </c>
      <c r="L849" s="58">
        <f t="shared" si="839"/>
        <v>0</v>
      </c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0" customHeight="1">
      <c r="A850" s="70"/>
      <c r="B850" s="71"/>
      <c r="C850" s="66"/>
      <c r="D850" s="66">
        <f t="shared" si="3"/>
        <v>0</v>
      </c>
      <c r="E850" s="67"/>
      <c r="F850" s="58">
        <f t="shared" ref="F850:L850" si="840">SUMIFS($C850,$B850,F$7)+F849</f>
        <v>26</v>
      </c>
      <c r="G850" s="58">
        <f t="shared" si="840"/>
        <v>24</v>
      </c>
      <c r="H850" s="58">
        <f t="shared" si="840"/>
        <v>12</v>
      </c>
      <c r="I850" s="58">
        <f t="shared" si="840"/>
        <v>-20</v>
      </c>
      <c r="J850" s="58">
        <f t="shared" si="840"/>
        <v>0</v>
      </c>
      <c r="K850" s="58">
        <f t="shared" si="840"/>
        <v>0</v>
      </c>
      <c r="L850" s="58">
        <f t="shared" si="840"/>
        <v>0</v>
      </c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0" customHeight="1">
      <c r="A851" s="70"/>
      <c r="B851" s="71"/>
      <c r="C851" s="66"/>
      <c r="D851" s="66">
        <f t="shared" si="3"/>
        <v>0</v>
      </c>
      <c r="E851" s="67"/>
      <c r="F851" s="58">
        <f t="shared" ref="F851:L851" si="841">SUMIFS($C851,$B851,F$7)+F850</f>
        <v>26</v>
      </c>
      <c r="G851" s="58">
        <f t="shared" si="841"/>
        <v>24</v>
      </c>
      <c r="H851" s="58">
        <f t="shared" si="841"/>
        <v>12</v>
      </c>
      <c r="I851" s="58">
        <f t="shared" si="841"/>
        <v>-20</v>
      </c>
      <c r="J851" s="58">
        <f t="shared" si="841"/>
        <v>0</v>
      </c>
      <c r="K851" s="58">
        <f t="shared" si="841"/>
        <v>0</v>
      </c>
      <c r="L851" s="58">
        <f t="shared" si="841"/>
        <v>0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0" customHeight="1">
      <c r="A852" s="70"/>
      <c r="B852" s="71"/>
      <c r="C852" s="66"/>
      <c r="D852" s="66">
        <f t="shared" si="3"/>
        <v>0</v>
      </c>
      <c r="E852" s="67"/>
      <c r="F852" s="58">
        <f t="shared" ref="F852:L852" si="842">SUMIFS($C852,$B852,F$7)+F851</f>
        <v>26</v>
      </c>
      <c r="G852" s="58">
        <f t="shared" si="842"/>
        <v>24</v>
      </c>
      <c r="H852" s="58">
        <f t="shared" si="842"/>
        <v>12</v>
      </c>
      <c r="I852" s="58">
        <f t="shared" si="842"/>
        <v>-20</v>
      </c>
      <c r="J852" s="58">
        <f t="shared" si="842"/>
        <v>0</v>
      </c>
      <c r="K852" s="58">
        <f t="shared" si="842"/>
        <v>0</v>
      </c>
      <c r="L852" s="58">
        <f t="shared" si="842"/>
        <v>0</v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0" customHeight="1">
      <c r="A853" s="70"/>
      <c r="B853" s="71"/>
      <c r="C853" s="66"/>
      <c r="D853" s="66">
        <f t="shared" si="3"/>
        <v>0</v>
      </c>
      <c r="E853" s="67"/>
      <c r="F853" s="58">
        <f t="shared" ref="F853:L853" si="843">SUMIFS($C853,$B853,F$7)+F852</f>
        <v>26</v>
      </c>
      <c r="G853" s="58">
        <f t="shared" si="843"/>
        <v>24</v>
      </c>
      <c r="H853" s="58">
        <f t="shared" si="843"/>
        <v>12</v>
      </c>
      <c r="I853" s="58">
        <f t="shared" si="843"/>
        <v>-20</v>
      </c>
      <c r="J853" s="58">
        <f t="shared" si="843"/>
        <v>0</v>
      </c>
      <c r="K853" s="58">
        <f t="shared" si="843"/>
        <v>0</v>
      </c>
      <c r="L853" s="58">
        <f t="shared" si="843"/>
        <v>0</v>
      </c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0" customHeight="1">
      <c r="A854" s="70"/>
      <c r="B854" s="71"/>
      <c r="C854" s="66"/>
      <c r="D854" s="66">
        <f t="shared" si="3"/>
        <v>0</v>
      </c>
      <c r="E854" s="67"/>
      <c r="F854" s="58">
        <f t="shared" ref="F854:L854" si="844">SUMIFS($C854,$B854,F$7)+F853</f>
        <v>26</v>
      </c>
      <c r="G854" s="58">
        <f t="shared" si="844"/>
        <v>24</v>
      </c>
      <c r="H854" s="58">
        <f t="shared" si="844"/>
        <v>12</v>
      </c>
      <c r="I854" s="58">
        <f t="shared" si="844"/>
        <v>-20</v>
      </c>
      <c r="J854" s="58">
        <f t="shared" si="844"/>
        <v>0</v>
      </c>
      <c r="K854" s="58">
        <f t="shared" si="844"/>
        <v>0</v>
      </c>
      <c r="L854" s="58">
        <f t="shared" si="844"/>
        <v>0</v>
      </c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0" customHeight="1">
      <c r="A855" s="70"/>
      <c r="B855" s="71"/>
      <c r="C855" s="66"/>
      <c r="D855" s="66">
        <f t="shared" si="3"/>
        <v>0</v>
      </c>
      <c r="E855" s="67"/>
      <c r="F855" s="58">
        <f t="shared" ref="F855:L855" si="845">SUMIFS($C855,$B855,F$7)+F854</f>
        <v>26</v>
      </c>
      <c r="G855" s="58">
        <f t="shared" si="845"/>
        <v>24</v>
      </c>
      <c r="H855" s="58">
        <f t="shared" si="845"/>
        <v>12</v>
      </c>
      <c r="I855" s="58">
        <f t="shared" si="845"/>
        <v>-20</v>
      </c>
      <c r="J855" s="58">
        <f t="shared" si="845"/>
        <v>0</v>
      </c>
      <c r="K855" s="58">
        <f t="shared" si="845"/>
        <v>0</v>
      </c>
      <c r="L855" s="58">
        <f t="shared" si="845"/>
        <v>0</v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0" customHeight="1">
      <c r="A856" s="70"/>
      <c r="B856" s="71"/>
      <c r="C856" s="66"/>
      <c r="D856" s="66">
        <f t="shared" si="3"/>
        <v>0</v>
      </c>
      <c r="E856" s="67"/>
      <c r="F856" s="58">
        <f t="shared" ref="F856:L856" si="846">SUMIFS($C856,$B856,F$7)+F855</f>
        <v>26</v>
      </c>
      <c r="G856" s="58">
        <f t="shared" si="846"/>
        <v>24</v>
      </c>
      <c r="H856" s="58">
        <f t="shared" si="846"/>
        <v>12</v>
      </c>
      <c r="I856" s="58">
        <f t="shared" si="846"/>
        <v>-20</v>
      </c>
      <c r="J856" s="58">
        <f t="shared" si="846"/>
        <v>0</v>
      </c>
      <c r="K856" s="58">
        <f t="shared" si="846"/>
        <v>0</v>
      </c>
      <c r="L856" s="58">
        <f t="shared" si="846"/>
        <v>0</v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0" customHeight="1">
      <c r="A857" s="70"/>
      <c r="B857" s="71"/>
      <c r="C857" s="66"/>
      <c r="D857" s="66">
        <f t="shared" si="3"/>
        <v>0</v>
      </c>
      <c r="E857" s="67"/>
      <c r="F857" s="58">
        <f t="shared" ref="F857:L857" si="847">SUMIFS($C857,$B857,F$7)+F856</f>
        <v>26</v>
      </c>
      <c r="G857" s="58">
        <f t="shared" si="847"/>
        <v>24</v>
      </c>
      <c r="H857" s="58">
        <f t="shared" si="847"/>
        <v>12</v>
      </c>
      <c r="I857" s="58">
        <f t="shared" si="847"/>
        <v>-20</v>
      </c>
      <c r="J857" s="58">
        <f t="shared" si="847"/>
        <v>0</v>
      </c>
      <c r="K857" s="58">
        <f t="shared" si="847"/>
        <v>0</v>
      </c>
      <c r="L857" s="58">
        <f t="shared" si="847"/>
        <v>0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0" customHeight="1">
      <c r="A858" s="70"/>
      <c r="B858" s="71"/>
      <c r="C858" s="66"/>
      <c r="D858" s="66">
        <f t="shared" si="3"/>
        <v>0</v>
      </c>
      <c r="E858" s="67"/>
      <c r="F858" s="58">
        <f t="shared" ref="F858:L858" si="848">SUMIFS($C858,$B858,F$7)+F857</f>
        <v>26</v>
      </c>
      <c r="G858" s="58">
        <f t="shared" si="848"/>
        <v>24</v>
      </c>
      <c r="H858" s="58">
        <f t="shared" si="848"/>
        <v>12</v>
      </c>
      <c r="I858" s="58">
        <f t="shared" si="848"/>
        <v>-20</v>
      </c>
      <c r="J858" s="58">
        <f t="shared" si="848"/>
        <v>0</v>
      </c>
      <c r="K858" s="58">
        <f t="shared" si="848"/>
        <v>0</v>
      </c>
      <c r="L858" s="58">
        <f t="shared" si="848"/>
        <v>0</v>
      </c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0" customHeight="1">
      <c r="A859" s="70"/>
      <c r="B859" s="71"/>
      <c r="C859" s="66"/>
      <c r="D859" s="66">
        <f t="shared" si="3"/>
        <v>0</v>
      </c>
      <c r="E859" s="67"/>
      <c r="F859" s="58">
        <f t="shared" ref="F859:L859" si="849">SUMIFS($C859,$B859,F$7)+F858</f>
        <v>26</v>
      </c>
      <c r="G859" s="58">
        <f t="shared" si="849"/>
        <v>24</v>
      </c>
      <c r="H859" s="58">
        <f t="shared" si="849"/>
        <v>12</v>
      </c>
      <c r="I859" s="58">
        <f t="shared" si="849"/>
        <v>-20</v>
      </c>
      <c r="J859" s="58">
        <f t="shared" si="849"/>
        <v>0</v>
      </c>
      <c r="K859" s="58">
        <f t="shared" si="849"/>
        <v>0</v>
      </c>
      <c r="L859" s="58">
        <f t="shared" si="849"/>
        <v>0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0" customHeight="1">
      <c r="A860" s="70"/>
      <c r="B860" s="71"/>
      <c r="C860" s="66"/>
      <c r="D860" s="66">
        <f t="shared" si="3"/>
        <v>0</v>
      </c>
      <c r="E860" s="67"/>
      <c r="F860" s="58">
        <f t="shared" ref="F860:L860" si="850">SUMIFS($C860,$B860,F$7)+F859</f>
        <v>26</v>
      </c>
      <c r="G860" s="58">
        <f t="shared" si="850"/>
        <v>24</v>
      </c>
      <c r="H860" s="58">
        <f t="shared" si="850"/>
        <v>12</v>
      </c>
      <c r="I860" s="58">
        <f t="shared" si="850"/>
        <v>-20</v>
      </c>
      <c r="J860" s="58">
        <f t="shared" si="850"/>
        <v>0</v>
      </c>
      <c r="K860" s="58">
        <f t="shared" si="850"/>
        <v>0</v>
      </c>
      <c r="L860" s="58">
        <f t="shared" si="850"/>
        <v>0</v>
      </c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0" customHeight="1">
      <c r="A861" s="70"/>
      <c r="B861" s="71"/>
      <c r="C861" s="66"/>
      <c r="D861" s="66">
        <f t="shared" si="3"/>
        <v>0</v>
      </c>
      <c r="E861" s="67"/>
      <c r="F861" s="58">
        <f t="shared" ref="F861:L861" si="851">SUMIFS($C861,$B861,F$7)+F860</f>
        <v>26</v>
      </c>
      <c r="G861" s="58">
        <f t="shared" si="851"/>
        <v>24</v>
      </c>
      <c r="H861" s="58">
        <f t="shared" si="851"/>
        <v>12</v>
      </c>
      <c r="I861" s="58">
        <f t="shared" si="851"/>
        <v>-20</v>
      </c>
      <c r="J861" s="58">
        <f t="shared" si="851"/>
        <v>0</v>
      </c>
      <c r="K861" s="58">
        <f t="shared" si="851"/>
        <v>0</v>
      </c>
      <c r="L861" s="58">
        <f t="shared" si="851"/>
        <v>0</v>
      </c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0" customHeight="1">
      <c r="A862" s="70"/>
      <c r="B862" s="71"/>
      <c r="C862" s="66"/>
      <c r="D862" s="66">
        <f t="shared" si="3"/>
        <v>0</v>
      </c>
      <c r="E862" s="67"/>
      <c r="F862" s="58">
        <f t="shared" ref="F862:L862" si="852">SUMIFS($C862,$B862,F$7)+F861</f>
        <v>26</v>
      </c>
      <c r="G862" s="58">
        <f t="shared" si="852"/>
        <v>24</v>
      </c>
      <c r="H862" s="58">
        <f t="shared" si="852"/>
        <v>12</v>
      </c>
      <c r="I862" s="58">
        <f t="shared" si="852"/>
        <v>-20</v>
      </c>
      <c r="J862" s="58">
        <f t="shared" si="852"/>
        <v>0</v>
      </c>
      <c r="K862" s="58">
        <f t="shared" si="852"/>
        <v>0</v>
      </c>
      <c r="L862" s="58">
        <f t="shared" si="852"/>
        <v>0</v>
      </c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0" customHeight="1">
      <c r="A863" s="70"/>
      <c r="B863" s="71"/>
      <c r="C863" s="66"/>
      <c r="D863" s="66">
        <f t="shared" si="3"/>
        <v>0</v>
      </c>
      <c r="E863" s="67"/>
      <c r="F863" s="58">
        <f t="shared" ref="F863:L863" si="853">SUMIFS($C863,$B863,F$7)+F862</f>
        <v>26</v>
      </c>
      <c r="G863" s="58">
        <f t="shared" si="853"/>
        <v>24</v>
      </c>
      <c r="H863" s="58">
        <f t="shared" si="853"/>
        <v>12</v>
      </c>
      <c r="I863" s="58">
        <f t="shared" si="853"/>
        <v>-20</v>
      </c>
      <c r="J863" s="58">
        <f t="shared" si="853"/>
        <v>0</v>
      </c>
      <c r="K863" s="58">
        <f t="shared" si="853"/>
        <v>0</v>
      </c>
      <c r="L863" s="58">
        <f t="shared" si="853"/>
        <v>0</v>
      </c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0" customHeight="1">
      <c r="A864" s="70"/>
      <c r="B864" s="71"/>
      <c r="C864" s="66"/>
      <c r="D864" s="66">
        <f t="shared" si="3"/>
        <v>0</v>
      </c>
      <c r="E864" s="67"/>
      <c r="F864" s="58">
        <f t="shared" ref="F864:L864" si="854">SUMIFS($C864,$B864,F$7)+F863</f>
        <v>26</v>
      </c>
      <c r="G864" s="58">
        <f t="shared" si="854"/>
        <v>24</v>
      </c>
      <c r="H864" s="58">
        <f t="shared" si="854"/>
        <v>12</v>
      </c>
      <c r="I864" s="58">
        <f t="shared" si="854"/>
        <v>-20</v>
      </c>
      <c r="J864" s="58">
        <f t="shared" si="854"/>
        <v>0</v>
      </c>
      <c r="K864" s="58">
        <f t="shared" si="854"/>
        <v>0</v>
      </c>
      <c r="L864" s="58">
        <f t="shared" si="854"/>
        <v>0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0" customHeight="1">
      <c r="A865" s="70"/>
      <c r="B865" s="71"/>
      <c r="C865" s="66"/>
      <c r="D865" s="66">
        <f t="shared" si="3"/>
        <v>0</v>
      </c>
      <c r="E865" s="67"/>
      <c r="F865" s="58">
        <f t="shared" ref="F865:L865" si="855">SUMIFS($C865,$B865,F$7)+F864</f>
        <v>26</v>
      </c>
      <c r="G865" s="58">
        <f t="shared" si="855"/>
        <v>24</v>
      </c>
      <c r="H865" s="58">
        <f t="shared" si="855"/>
        <v>12</v>
      </c>
      <c r="I865" s="58">
        <f t="shared" si="855"/>
        <v>-20</v>
      </c>
      <c r="J865" s="58">
        <f t="shared" si="855"/>
        <v>0</v>
      </c>
      <c r="K865" s="58">
        <f t="shared" si="855"/>
        <v>0</v>
      </c>
      <c r="L865" s="58">
        <f t="shared" si="855"/>
        <v>0</v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0" customHeight="1">
      <c r="A866" s="70"/>
      <c r="B866" s="71"/>
      <c r="C866" s="66"/>
      <c r="D866" s="66">
        <f t="shared" si="3"/>
        <v>0</v>
      </c>
      <c r="E866" s="67"/>
      <c r="F866" s="58">
        <f t="shared" ref="F866:L866" si="856">SUMIFS($C866,$B866,F$7)+F865</f>
        <v>26</v>
      </c>
      <c r="G866" s="58">
        <f t="shared" si="856"/>
        <v>24</v>
      </c>
      <c r="H866" s="58">
        <f t="shared" si="856"/>
        <v>12</v>
      </c>
      <c r="I866" s="58">
        <f t="shared" si="856"/>
        <v>-20</v>
      </c>
      <c r="J866" s="58">
        <f t="shared" si="856"/>
        <v>0</v>
      </c>
      <c r="K866" s="58">
        <f t="shared" si="856"/>
        <v>0</v>
      </c>
      <c r="L866" s="58">
        <f t="shared" si="856"/>
        <v>0</v>
      </c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0" customHeight="1">
      <c r="A867" s="70"/>
      <c r="B867" s="71"/>
      <c r="C867" s="66"/>
      <c r="D867" s="66">
        <f t="shared" si="3"/>
        <v>0</v>
      </c>
      <c r="E867" s="67"/>
      <c r="F867" s="58">
        <f t="shared" ref="F867:L867" si="857">SUMIFS($C867,$B867,F$7)+F866</f>
        <v>26</v>
      </c>
      <c r="G867" s="58">
        <f t="shared" si="857"/>
        <v>24</v>
      </c>
      <c r="H867" s="58">
        <f t="shared" si="857"/>
        <v>12</v>
      </c>
      <c r="I867" s="58">
        <f t="shared" si="857"/>
        <v>-20</v>
      </c>
      <c r="J867" s="58">
        <f t="shared" si="857"/>
        <v>0</v>
      </c>
      <c r="K867" s="58">
        <f t="shared" si="857"/>
        <v>0</v>
      </c>
      <c r="L867" s="58">
        <f t="shared" si="857"/>
        <v>0</v>
      </c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0" customHeight="1">
      <c r="A868" s="70"/>
      <c r="B868" s="71"/>
      <c r="C868" s="66"/>
      <c r="D868" s="66">
        <f t="shared" si="3"/>
        <v>0</v>
      </c>
      <c r="E868" s="67"/>
      <c r="F868" s="58">
        <f t="shared" ref="F868:L868" si="858">SUMIFS($C868,$B868,F$7)+F867</f>
        <v>26</v>
      </c>
      <c r="G868" s="58">
        <f t="shared" si="858"/>
        <v>24</v>
      </c>
      <c r="H868" s="58">
        <f t="shared" si="858"/>
        <v>12</v>
      </c>
      <c r="I868" s="58">
        <f t="shared" si="858"/>
        <v>-20</v>
      </c>
      <c r="J868" s="58">
        <f t="shared" si="858"/>
        <v>0</v>
      </c>
      <c r="K868" s="58">
        <f t="shared" si="858"/>
        <v>0</v>
      </c>
      <c r="L868" s="58">
        <f t="shared" si="858"/>
        <v>0</v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0" customHeight="1">
      <c r="A869" s="70"/>
      <c r="B869" s="71"/>
      <c r="C869" s="66"/>
      <c r="D869" s="66">
        <f t="shared" si="3"/>
        <v>0</v>
      </c>
      <c r="E869" s="67"/>
      <c r="F869" s="58">
        <f t="shared" ref="F869:L869" si="859">SUMIFS($C869,$B869,F$7)+F868</f>
        <v>26</v>
      </c>
      <c r="G869" s="58">
        <f t="shared" si="859"/>
        <v>24</v>
      </c>
      <c r="H869" s="58">
        <f t="shared" si="859"/>
        <v>12</v>
      </c>
      <c r="I869" s="58">
        <f t="shared" si="859"/>
        <v>-20</v>
      </c>
      <c r="J869" s="58">
        <f t="shared" si="859"/>
        <v>0</v>
      </c>
      <c r="K869" s="58">
        <f t="shared" si="859"/>
        <v>0</v>
      </c>
      <c r="L869" s="58">
        <f t="shared" si="859"/>
        <v>0</v>
      </c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0" customHeight="1">
      <c r="A870" s="70"/>
      <c r="B870" s="71"/>
      <c r="C870" s="66"/>
      <c r="D870" s="66">
        <f t="shared" si="3"/>
        <v>0</v>
      </c>
      <c r="E870" s="67"/>
      <c r="F870" s="58">
        <f t="shared" ref="F870:L870" si="860">SUMIFS($C870,$B870,F$7)+F869</f>
        <v>26</v>
      </c>
      <c r="G870" s="58">
        <f t="shared" si="860"/>
        <v>24</v>
      </c>
      <c r="H870" s="58">
        <f t="shared" si="860"/>
        <v>12</v>
      </c>
      <c r="I870" s="58">
        <f t="shared" si="860"/>
        <v>-20</v>
      </c>
      <c r="J870" s="58">
        <f t="shared" si="860"/>
        <v>0</v>
      </c>
      <c r="K870" s="58">
        <f t="shared" si="860"/>
        <v>0</v>
      </c>
      <c r="L870" s="58">
        <f t="shared" si="860"/>
        <v>0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0" customHeight="1">
      <c r="A871" s="70"/>
      <c r="B871" s="71"/>
      <c r="C871" s="66"/>
      <c r="D871" s="66">
        <f t="shared" si="3"/>
        <v>0</v>
      </c>
      <c r="E871" s="67"/>
      <c r="F871" s="58">
        <f t="shared" ref="F871:L871" si="861">SUMIFS($C871,$B871,F$7)+F870</f>
        <v>26</v>
      </c>
      <c r="G871" s="58">
        <f t="shared" si="861"/>
        <v>24</v>
      </c>
      <c r="H871" s="58">
        <f t="shared" si="861"/>
        <v>12</v>
      </c>
      <c r="I871" s="58">
        <f t="shared" si="861"/>
        <v>-20</v>
      </c>
      <c r="J871" s="58">
        <f t="shared" si="861"/>
        <v>0</v>
      </c>
      <c r="K871" s="58">
        <f t="shared" si="861"/>
        <v>0</v>
      </c>
      <c r="L871" s="58">
        <f t="shared" si="861"/>
        <v>0</v>
      </c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0" customHeight="1">
      <c r="A872" s="70"/>
      <c r="B872" s="71"/>
      <c r="C872" s="66"/>
      <c r="D872" s="66">
        <f t="shared" si="3"/>
        <v>0</v>
      </c>
      <c r="E872" s="67"/>
      <c r="F872" s="58">
        <f t="shared" ref="F872:L872" si="862">SUMIFS($C872,$B872,F$7)+F871</f>
        <v>26</v>
      </c>
      <c r="G872" s="58">
        <f t="shared" si="862"/>
        <v>24</v>
      </c>
      <c r="H872" s="58">
        <f t="shared" si="862"/>
        <v>12</v>
      </c>
      <c r="I872" s="58">
        <f t="shared" si="862"/>
        <v>-20</v>
      </c>
      <c r="J872" s="58">
        <f t="shared" si="862"/>
        <v>0</v>
      </c>
      <c r="K872" s="58">
        <f t="shared" si="862"/>
        <v>0</v>
      </c>
      <c r="L872" s="58">
        <f t="shared" si="862"/>
        <v>0</v>
      </c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0" customHeight="1">
      <c r="A873" s="70"/>
      <c r="B873" s="71"/>
      <c r="C873" s="66"/>
      <c r="D873" s="66">
        <f t="shared" si="3"/>
        <v>0</v>
      </c>
      <c r="E873" s="67"/>
      <c r="F873" s="58">
        <f t="shared" ref="F873:L873" si="863">SUMIFS($C873,$B873,F$7)+F872</f>
        <v>26</v>
      </c>
      <c r="G873" s="58">
        <f t="shared" si="863"/>
        <v>24</v>
      </c>
      <c r="H873" s="58">
        <f t="shared" si="863"/>
        <v>12</v>
      </c>
      <c r="I873" s="58">
        <f t="shared" si="863"/>
        <v>-20</v>
      </c>
      <c r="J873" s="58">
        <f t="shared" si="863"/>
        <v>0</v>
      </c>
      <c r="K873" s="58">
        <f t="shared" si="863"/>
        <v>0</v>
      </c>
      <c r="L873" s="58">
        <f t="shared" si="863"/>
        <v>0</v>
      </c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0" customHeight="1">
      <c r="A874" s="70"/>
      <c r="B874" s="71"/>
      <c r="C874" s="66"/>
      <c r="D874" s="66">
        <f t="shared" si="3"/>
        <v>0</v>
      </c>
      <c r="E874" s="67"/>
      <c r="F874" s="58">
        <f t="shared" ref="F874:L874" si="864">SUMIFS($C874,$B874,F$7)+F873</f>
        <v>26</v>
      </c>
      <c r="G874" s="58">
        <f t="shared" si="864"/>
        <v>24</v>
      </c>
      <c r="H874" s="58">
        <f t="shared" si="864"/>
        <v>12</v>
      </c>
      <c r="I874" s="58">
        <f t="shared" si="864"/>
        <v>-20</v>
      </c>
      <c r="J874" s="58">
        <f t="shared" si="864"/>
        <v>0</v>
      </c>
      <c r="K874" s="58">
        <f t="shared" si="864"/>
        <v>0</v>
      </c>
      <c r="L874" s="58">
        <f t="shared" si="864"/>
        <v>0</v>
      </c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0" customHeight="1">
      <c r="A875" s="70"/>
      <c r="B875" s="71"/>
      <c r="C875" s="66"/>
      <c r="D875" s="66">
        <f t="shared" si="3"/>
        <v>0</v>
      </c>
      <c r="E875" s="67"/>
      <c r="F875" s="58">
        <f t="shared" ref="F875:L875" si="865">SUMIFS($C875,$B875,F$7)+F874</f>
        <v>26</v>
      </c>
      <c r="G875" s="58">
        <f t="shared" si="865"/>
        <v>24</v>
      </c>
      <c r="H875" s="58">
        <f t="shared" si="865"/>
        <v>12</v>
      </c>
      <c r="I875" s="58">
        <f t="shared" si="865"/>
        <v>-20</v>
      </c>
      <c r="J875" s="58">
        <f t="shared" si="865"/>
        <v>0</v>
      </c>
      <c r="K875" s="58">
        <f t="shared" si="865"/>
        <v>0</v>
      </c>
      <c r="L875" s="58">
        <f t="shared" si="865"/>
        <v>0</v>
      </c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0" customHeight="1">
      <c r="A876" s="70"/>
      <c r="B876" s="71"/>
      <c r="C876" s="66"/>
      <c r="D876" s="66">
        <f t="shared" si="3"/>
        <v>0</v>
      </c>
      <c r="E876" s="67"/>
      <c r="F876" s="58">
        <f t="shared" ref="F876:L876" si="866">SUMIFS($C876,$B876,F$7)+F875</f>
        <v>26</v>
      </c>
      <c r="G876" s="58">
        <f t="shared" si="866"/>
        <v>24</v>
      </c>
      <c r="H876" s="58">
        <f t="shared" si="866"/>
        <v>12</v>
      </c>
      <c r="I876" s="58">
        <f t="shared" si="866"/>
        <v>-20</v>
      </c>
      <c r="J876" s="58">
        <f t="shared" si="866"/>
        <v>0</v>
      </c>
      <c r="K876" s="58">
        <f t="shared" si="866"/>
        <v>0</v>
      </c>
      <c r="L876" s="58">
        <f t="shared" si="866"/>
        <v>0</v>
      </c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0" customHeight="1">
      <c r="A877" s="70"/>
      <c r="B877" s="71"/>
      <c r="C877" s="66"/>
      <c r="D877" s="66">
        <f t="shared" si="3"/>
        <v>0</v>
      </c>
      <c r="E877" s="67"/>
      <c r="F877" s="58">
        <f t="shared" ref="F877:L877" si="867">SUMIFS($C877,$B877,F$7)+F876</f>
        <v>26</v>
      </c>
      <c r="G877" s="58">
        <f t="shared" si="867"/>
        <v>24</v>
      </c>
      <c r="H877" s="58">
        <f t="shared" si="867"/>
        <v>12</v>
      </c>
      <c r="I877" s="58">
        <f t="shared" si="867"/>
        <v>-20</v>
      </c>
      <c r="J877" s="58">
        <f t="shared" si="867"/>
        <v>0</v>
      </c>
      <c r="K877" s="58">
        <f t="shared" si="867"/>
        <v>0</v>
      </c>
      <c r="L877" s="58">
        <f t="shared" si="867"/>
        <v>0</v>
      </c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0" customHeight="1">
      <c r="A878" s="70"/>
      <c r="B878" s="71"/>
      <c r="C878" s="66"/>
      <c r="D878" s="66">
        <f t="shared" si="3"/>
        <v>0</v>
      </c>
      <c r="E878" s="67"/>
      <c r="F878" s="58">
        <f t="shared" ref="F878:L878" si="868">SUMIFS($C878,$B878,F$7)+F877</f>
        <v>26</v>
      </c>
      <c r="G878" s="58">
        <f t="shared" si="868"/>
        <v>24</v>
      </c>
      <c r="H878" s="58">
        <f t="shared" si="868"/>
        <v>12</v>
      </c>
      <c r="I878" s="58">
        <f t="shared" si="868"/>
        <v>-20</v>
      </c>
      <c r="J878" s="58">
        <f t="shared" si="868"/>
        <v>0</v>
      </c>
      <c r="K878" s="58">
        <f t="shared" si="868"/>
        <v>0</v>
      </c>
      <c r="L878" s="58">
        <f t="shared" si="868"/>
        <v>0</v>
      </c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0" customHeight="1">
      <c r="A879" s="70"/>
      <c r="B879" s="71"/>
      <c r="C879" s="66"/>
      <c r="D879" s="66">
        <f t="shared" si="3"/>
        <v>0</v>
      </c>
      <c r="E879" s="67"/>
      <c r="F879" s="58">
        <f t="shared" ref="F879:L879" si="869">SUMIFS($C879,$B879,F$7)+F878</f>
        <v>26</v>
      </c>
      <c r="G879" s="58">
        <f t="shared" si="869"/>
        <v>24</v>
      </c>
      <c r="H879" s="58">
        <f t="shared" si="869"/>
        <v>12</v>
      </c>
      <c r="I879" s="58">
        <f t="shared" si="869"/>
        <v>-20</v>
      </c>
      <c r="J879" s="58">
        <f t="shared" si="869"/>
        <v>0</v>
      </c>
      <c r="K879" s="58">
        <f t="shared" si="869"/>
        <v>0</v>
      </c>
      <c r="L879" s="58">
        <f t="shared" si="869"/>
        <v>0</v>
      </c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0" customHeight="1">
      <c r="A880" s="70"/>
      <c r="B880" s="71"/>
      <c r="C880" s="66"/>
      <c r="D880" s="66">
        <f t="shared" si="3"/>
        <v>0</v>
      </c>
      <c r="E880" s="67"/>
      <c r="F880" s="58">
        <f t="shared" ref="F880:L880" si="870">SUMIFS($C880,$B880,F$7)+F879</f>
        <v>26</v>
      </c>
      <c r="G880" s="58">
        <f t="shared" si="870"/>
        <v>24</v>
      </c>
      <c r="H880" s="58">
        <f t="shared" si="870"/>
        <v>12</v>
      </c>
      <c r="I880" s="58">
        <f t="shared" si="870"/>
        <v>-20</v>
      </c>
      <c r="J880" s="58">
        <f t="shared" si="870"/>
        <v>0</v>
      </c>
      <c r="K880" s="58">
        <f t="shared" si="870"/>
        <v>0</v>
      </c>
      <c r="L880" s="58">
        <f t="shared" si="870"/>
        <v>0</v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0" customHeight="1">
      <c r="A881" s="70"/>
      <c r="B881" s="71"/>
      <c r="C881" s="66"/>
      <c r="D881" s="66">
        <f t="shared" si="3"/>
        <v>0</v>
      </c>
      <c r="E881" s="67"/>
      <c r="F881" s="58">
        <f t="shared" ref="F881:L881" si="871">SUMIFS($C881,$B881,F$7)+F880</f>
        <v>26</v>
      </c>
      <c r="G881" s="58">
        <f t="shared" si="871"/>
        <v>24</v>
      </c>
      <c r="H881" s="58">
        <f t="shared" si="871"/>
        <v>12</v>
      </c>
      <c r="I881" s="58">
        <f t="shared" si="871"/>
        <v>-20</v>
      </c>
      <c r="J881" s="58">
        <f t="shared" si="871"/>
        <v>0</v>
      </c>
      <c r="K881" s="58">
        <f t="shared" si="871"/>
        <v>0</v>
      </c>
      <c r="L881" s="58">
        <f t="shared" si="871"/>
        <v>0</v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0" customHeight="1">
      <c r="A882" s="70"/>
      <c r="B882" s="71"/>
      <c r="C882" s="66"/>
      <c r="D882" s="66">
        <f t="shared" si="3"/>
        <v>0</v>
      </c>
      <c r="E882" s="67"/>
      <c r="F882" s="58">
        <f t="shared" ref="F882:L882" si="872">SUMIFS($C882,$B882,F$7)+F881</f>
        <v>26</v>
      </c>
      <c r="G882" s="58">
        <f t="shared" si="872"/>
        <v>24</v>
      </c>
      <c r="H882" s="58">
        <f t="shared" si="872"/>
        <v>12</v>
      </c>
      <c r="I882" s="58">
        <f t="shared" si="872"/>
        <v>-20</v>
      </c>
      <c r="J882" s="58">
        <f t="shared" si="872"/>
        <v>0</v>
      </c>
      <c r="K882" s="58">
        <f t="shared" si="872"/>
        <v>0</v>
      </c>
      <c r="L882" s="58">
        <f t="shared" si="872"/>
        <v>0</v>
      </c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0" customHeight="1">
      <c r="A883" s="70"/>
      <c r="B883" s="71"/>
      <c r="C883" s="66"/>
      <c r="D883" s="66">
        <f t="shared" si="3"/>
        <v>0</v>
      </c>
      <c r="E883" s="67"/>
      <c r="F883" s="58">
        <f t="shared" ref="F883:L883" si="873">SUMIFS($C883,$B883,F$7)+F882</f>
        <v>26</v>
      </c>
      <c r="G883" s="58">
        <f t="shared" si="873"/>
        <v>24</v>
      </c>
      <c r="H883" s="58">
        <f t="shared" si="873"/>
        <v>12</v>
      </c>
      <c r="I883" s="58">
        <f t="shared" si="873"/>
        <v>-20</v>
      </c>
      <c r="J883" s="58">
        <f t="shared" si="873"/>
        <v>0</v>
      </c>
      <c r="K883" s="58">
        <f t="shared" si="873"/>
        <v>0</v>
      </c>
      <c r="L883" s="58">
        <f t="shared" si="873"/>
        <v>0</v>
      </c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0" customHeight="1">
      <c r="A884" s="70"/>
      <c r="B884" s="71"/>
      <c r="C884" s="66"/>
      <c r="D884" s="66">
        <f t="shared" si="3"/>
        <v>0</v>
      </c>
      <c r="E884" s="67"/>
      <c r="F884" s="58">
        <f t="shared" ref="F884:L884" si="874">SUMIFS($C884,$B884,F$7)+F883</f>
        <v>26</v>
      </c>
      <c r="G884" s="58">
        <f t="shared" si="874"/>
        <v>24</v>
      </c>
      <c r="H884" s="58">
        <f t="shared" si="874"/>
        <v>12</v>
      </c>
      <c r="I884" s="58">
        <f t="shared" si="874"/>
        <v>-20</v>
      </c>
      <c r="J884" s="58">
        <f t="shared" si="874"/>
        <v>0</v>
      </c>
      <c r="K884" s="58">
        <f t="shared" si="874"/>
        <v>0</v>
      </c>
      <c r="L884" s="58">
        <f t="shared" si="874"/>
        <v>0</v>
      </c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0" customHeight="1">
      <c r="A885" s="70"/>
      <c r="B885" s="71"/>
      <c r="C885" s="66"/>
      <c r="D885" s="66">
        <f t="shared" si="3"/>
        <v>0</v>
      </c>
      <c r="E885" s="67"/>
      <c r="F885" s="58">
        <f t="shared" ref="F885:L885" si="875">SUMIFS($C885,$B885,F$7)+F884</f>
        <v>26</v>
      </c>
      <c r="G885" s="58">
        <f t="shared" si="875"/>
        <v>24</v>
      </c>
      <c r="H885" s="58">
        <f t="shared" si="875"/>
        <v>12</v>
      </c>
      <c r="I885" s="58">
        <f t="shared" si="875"/>
        <v>-20</v>
      </c>
      <c r="J885" s="58">
        <f t="shared" si="875"/>
        <v>0</v>
      </c>
      <c r="K885" s="58">
        <f t="shared" si="875"/>
        <v>0</v>
      </c>
      <c r="L885" s="58">
        <f t="shared" si="875"/>
        <v>0</v>
      </c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0" customHeight="1">
      <c r="A886" s="70"/>
      <c r="B886" s="71"/>
      <c r="C886" s="66"/>
      <c r="D886" s="66">
        <f t="shared" si="3"/>
        <v>0</v>
      </c>
      <c r="E886" s="67"/>
      <c r="F886" s="58">
        <f t="shared" ref="F886:L886" si="876">SUMIFS($C886,$B886,F$7)+F885</f>
        <v>26</v>
      </c>
      <c r="G886" s="58">
        <f t="shared" si="876"/>
        <v>24</v>
      </c>
      <c r="H886" s="58">
        <f t="shared" si="876"/>
        <v>12</v>
      </c>
      <c r="I886" s="58">
        <f t="shared" si="876"/>
        <v>-20</v>
      </c>
      <c r="J886" s="58">
        <f t="shared" si="876"/>
        <v>0</v>
      </c>
      <c r="K886" s="58">
        <f t="shared" si="876"/>
        <v>0</v>
      </c>
      <c r="L886" s="58">
        <f t="shared" si="876"/>
        <v>0</v>
      </c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0" customHeight="1">
      <c r="A887" s="70"/>
      <c r="B887" s="71"/>
      <c r="C887" s="66"/>
      <c r="D887" s="66">
        <f t="shared" si="3"/>
        <v>0</v>
      </c>
      <c r="E887" s="67"/>
      <c r="F887" s="58">
        <f t="shared" ref="F887:L887" si="877">SUMIFS($C887,$B887,F$7)+F886</f>
        <v>26</v>
      </c>
      <c r="G887" s="58">
        <f t="shared" si="877"/>
        <v>24</v>
      </c>
      <c r="H887" s="58">
        <f t="shared" si="877"/>
        <v>12</v>
      </c>
      <c r="I887" s="58">
        <f t="shared" si="877"/>
        <v>-20</v>
      </c>
      <c r="J887" s="58">
        <f t="shared" si="877"/>
        <v>0</v>
      </c>
      <c r="K887" s="58">
        <f t="shared" si="877"/>
        <v>0</v>
      </c>
      <c r="L887" s="58">
        <f t="shared" si="877"/>
        <v>0</v>
      </c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0" customHeight="1">
      <c r="A888" s="70"/>
      <c r="B888" s="71"/>
      <c r="C888" s="66"/>
      <c r="D888" s="66">
        <f t="shared" si="3"/>
        <v>0</v>
      </c>
      <c r="E888" s="67"/>
      <c r="F888" s="58">
        <f t="shared" ref="F888:L888" si="878">SUMIFS($C888,$B888,F$7)+F887</f>
        <v>26</v>
      </c>
      <c r="G888" s="58">
        <f t="shared" si="878"/>
        <v>24</v>
      </c>
      <c r="H888" s="58">
        <f t="shared" si="878"/>
        <v>12</v>
      </c>
      <c r="I888" s="58">
        <f t="shared" si="878"/>
        <v>-20</v>
      </c>
      <c r="J888" s="58">
        <f t="shared" si="878"/>
        <v>0</v>
      </c>
      <c r="K888" s="58">
        <f t="shared" si="878"/>
        <v>0</v>
      </c>
      <c r="L888" s="58">
        <f t="shared" si="878"/>
        <v>0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0" customHeight="1">
      <c r="A889" s="70"/>
      <c r="B889" s="71"/>
      <c r="C889" s="66"/>
      <c r="D889" s="66">
        <f t="shared" si="3"/>
        <v>0</v>
      </c>
      <c r="E889" s="67"/>
      <c r="F889" s="58">
        <f t="shared" ref="F889:L889" si="879">SUMIFS($C889,$B889,F$7)+F888</f>
        <v>26</v>
      </c>
      <c r="G889" s="58">
        <f t="shared" si="879"/>
        <v>24</v>
      </c>
      <c r="H889" s="58">
        <f t="shared" si="879"/>
        <v>12</v>
      </c>
      <c r="I889" s="58">
        <f t="shared" si="879"/>
        <v>-20</v>
      </c>
      <c r="J889" s="58">
        <f t="shared" si="879"/>
        <v>0</v>
      </c>
      <c r="K889" s="58">
        <f t="shared" si="879"/>
        <v>0</v>
      </c>
      <c r="L889" s="58">
        <f t="shared" si="879"/>
        <v>0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0" customHeight="1">
      <c r="A890" s="70"/>
      <c r="B890" s="71"/>
      <c r="C890" s="66"/>
      <c r="D890" s="66">
        <f t="shared" si="3"/>
        <v>0</v>
      </c>
      <c r="E890" s="67"/>
      <c r="F890" s="58">
        <f t="shared" ref="F890:L890" si="880">SUMIFS($C890,$B890,F$7)+F889</f>
        <v>26</v>
      </c>
      <c r="G890" s="58">
        <f t="shared" si="880"/>
        <v>24</v>
      </c>
      <c r="H890" s="58">
        <f t="shared" si="880"/>
        <v>12</v>
      </c>
      <c r="I890" s="58">
        <f t="shared" si="880"/>
        <v>-20</v>
      </c>
      <c r="J890" s="58">
        <f t="shared" si="880"/>
        <v>0</v>
      </c>
      <c r="K890" s="58">
        <f t="shared" si="880"/>
        <v>0</v>
      </c>
      <c r="L890" s="58">
        <f t="shared" si="880"/>
        <v>0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0" customHeight="1">
      <c r="A891" s="70"/>
      <c r="B891" s="71"/>
      <c r="C891" s="66"/>
      <c r="D891" s="66">
        <f t="shared" si="3"/>
        <v>0</v>
      </c>
      <c r="E891" s="67"/>
      <c r="F891" s="58">
        <f t="shared" ref="F891:L891" si="881">SUMIFS($C891,$B891,F$7)+F890</f>
        <v>26</v>
      </c>
      <c r="G891" s="58">
        <f t="shared" si="881"/>
        <v>24</v>
      </c>
      <c r="H891" s="58">
        <f t="shared" si="881"/>
        <v>12</v>
      </c>
      <c r="I891" s="58">
        <f t="shared" si="881"/>
        <v>-20</v>
      </c>
      <c r="J891" s="58">
        <f t="shared" si="881"/>
        <v>0</v>
      </c>
      <c r="K891" s="58">
        <f t="shared" si="881"/>
        <v>0</v>
      </c>
      <c r="L891" s="58">
        <f t="shared" si="881"/>
        <v>0</v>
      </c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0" customHeight="1">
      <c r="A892" s="70"/>
      <c r="B892" s="71"/>
      <c r="C892" s="66"/>
      <c r="D892" s="66">
        <f t="shared" si="3"/>
        <v>0</v>
      </c>
      <c r="E892" s="67"/>
      <c r="F892" s="58">
        <f t="shared" ref="F892:L892" si="882">SUMIFS($C892,$B892,F$7)+F891</f>
        <v>26</v>
      </c>
      <c r="G892" s="58">
        <f t="shared" si="882"/>
        <v>24</v>
      </c>
      <c r="H892" s="58">
        <f t="shared" si="882"/>
        <v>12</v>
      </c>
      <c r="I892" s="58">
        <f t="shared" si="882"/>
        <v>-20</v>
      </c>
      <c r="J892" s="58">
        <f t="shared" si="882"/>
        <v>0</v>
      </c>
      <c r="K892" s="58">
        <f t="shared" si="882"/>
        <v>0</v>
      </c>
      <c r="L892" s="58">
        <f t="shared" si="882"/>
        <v>0</v>
      </c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0" customHeight="1">
      <c r="A893" s="70"/>
      <c r="B893" s="71"/>
      <c r="C893" s="66"/>
      <c r="D893" s="66">
        <f t="shared" si="3"/>
        <v>0</v>
      </c>
      <c r="E893" s="67"/>
      <c r="F893" s="58">
        <f t="shared" ref="F893:L893" si="883">SUMIFS($C893,$B893,F$7)+F892</f>
        <v>26</v>
      </c>
      <c r="G893" s="58">
        <f t="shared" si="883"/>
        <v>24</v>
      </c>
      <c r="H893" s="58">
        <f t="shared" si="883"/>
        <v>12</v>
      </c>
      <c r="I893" s="58">
        <f t="shared" si="883"/>
        <v>-20</v>
      </c>
      <c r="J893" s="58">
        <f t="shared" si="883"/>
        <v>0</v>
      </c>
      <c r="K893" s="58">
        <f t="shared" si="883"/>
        <v>0</v>
      </c>
      <c r="L893" s="58">
        <f t="shared" si="883"/>
        <v>0</v>
      </c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0" customHeight="1">
      <c r="A894" s="70"/>
      <c r="B894" s="71"/>
      <c r="C894" s="66"/>
      <c r="D894" s="66">
        <f t="shared" si="3"/>
        <v>0</v>
      </c>
      <c r="E894" s="67"/>
      <c r="F894" s="58">
        <f t="shared" ref="F894:L894" si="884">SUMIFS($C894,$B894,F$7)+F893</f>
        <v>26</v>
      </c>
      <c r="G894" s="58">
        <f t="shared" si="884"/>
        <v>24</v>
      </c>
      <c r="H894" s="58">
        <f t="shared" si="884"/>
        <v>12</v>
      </c>
      <c r="I894" s="58">
        <f t="shared" si="884"/>
        <v>-20</v>
      </c>
      <c r="J894" s="58">
        <f t="shared" si="884"/>
        <v>0</v>
      </c>
      <c r="K894" s="58">
        <f t="shared" si="884"/>
        <v>0</v>
      </c>
      <c r="L894" s="58">
        <f t="shared" si="884"/>
        <v>0</v>
      </c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0" customHeight="1">
      <c r="A895" s="70"/>
      <c r="B895" s="71"/>
      <c r="C895" s="66"/>
      <c r="D895" s="66">
        <f t="shared" si="3"/>
        <v>0</v>
      </c>
      <c r="E895" s="67"/>
      <c r="F895" s="58">
        <f t="shared" ref="F895:L895" si="885">SUMIFS($C895,$B895,F$7)+F894</f>
        <v>26</v>
      </c>
      <c r="G895" s="58">
        <f t="shared" si="885"/>
        <v>24</v>
      </c>
      <c r="H895" s="58">
        <f t="shared" si="885"/>
        <v>12</v>
      </c>
      <c r="I895" s="58">
        <f t="shared" si="885"/>
        <v>-20</v>
      </c>
      <c r="J895" s="58">
        <f t="shared" si="885"/>
        <v>0</v>
      </c>
      <c r="K895" s="58">
        <f t="shared" si="885"/>
        <v>0</v>
      </c>
      <c r="L895" s="58">
        <f t="shared" si="885"/>
        <v>0</v>
      </c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0" customHeight="1">
      <c r="A896" s="70"/>
      <c r="B896" s="71"/>
      <c r="C896" s="66"/>
      <c r="D896" s="66">
        <f t="shared" si="3"/>
        <v>0</v>
      </c>
      <c r="E896" s="67"/>
      <c r="F896" s="58">
        <f t="shared" ref="F896:L896" si="886">SUMIFS($C896,$B896,F$7)+F895</f>
        <v>26</v>
      </c>
      <c r="G896" s="58">
        <f t="shared" si="886"/>
        <v>24</v>
      </c>
      <c r="H896" s="58">
        <f t="shared" si="886"/>
        <v>12</v>
      </c>
      <c r="I896" s="58">
        <f t="shared" si="886"/>
        <v>-20</v>
      </c>
      <c r="J896" s="58">
        <f t="shared" si="886"/>
        <v>0</v>
      </c>
      <c r="K896" s="58">
        <f t="shared" si="886"/>
        <v>0</v>
      </c>
      <c r="L896" s="58">
        <f t="shared" si="886"/>
        <v>0</v>
      </c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0" customHeight="1">
      <c r="A897" s="70"/>
      <c r="B897" s="71"/>
      <c r="C897" s="66"/>
      <c r="D897" s="66">
        <f t="shared" si="3"/>
        <v>0</v>
      </c>
      <c r="E897" s="67"/>
      <c r="F897" s="58">
        <f t="shared" ref="F897:L897" si="887">SUMIFS($C897,$B897,F$7)+F896</f>
        <v>26</v>
      </c>
      <c r="G897" s="58">
        <f t="shared" si="887"/>
        <v>24</v>
      </c>
      <c r="H897" s="58">
        <f t="shared" si="887"/>
        <v>12</v>
      </c>
      <c r="I897" s="58">
        <f t="shared" si="887"/>
        <v>-20</v>
      </c>
      <c r="J897" s="58">
        <f t="shared" si="887"/>
        <v>0</v>
      </c>
      <c r="K897" s="58">
        <f t="shared" si="887"/>
        <v>0</v>
      </c>
      <c r="L897" s="58">
        <f t="shared" si="887"/>
        <v>0</v>
      </c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0" customHeight="1">
      <c r="A898" s="70"/>
      <c r="B898" s="71"/>
      <c r="C898" s="66"/>
      <c r="D898" s="66">
        <f t="shared" si="3"/>
        <v>0</v>
      </c>
      <c r="E898" s="67"/>
      <c r="F898" s="58">
        <f t="shared" ref="F898:L898" si="888">SUMIFS($C898,$B898,F$7)+F897</f>
        <v>26</v>
      </c>
      <c r="G898" s="58">
        <f t="shared" si="888"/>
        <v>24</v>
      </c>
      <c r="H898" s="58">
        <f t="shared" si="888"/>
        <v>12</v>
      </c>
      <c r="I898" s="58">
        <f t="shared" si="888"/>
        <v>-20</v>
      </c>
      <c r="J898" s="58">
        <f t="shared" si="888"/>
        <v>0</v>
      </c>
      <c r="K898" s="58">
        <f t="shared" si="888"/>
        <v>0</v>
      </c>
      <c r="L898" s="58">
        <f t="shared" si="888"/>
        <v>0</v>
      </c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0" customHeight="1">
      <c r="A899" s="70"/>
      <c r="B899" s="71"/>
      <c r="C899" s="66"/>
      <c r="D899" s="66">
        <f t="shared" si="3"/>
        <v>0</v>
      </c>
      <c r="E899" s="67"/>
      <c r="F899" s="58">
        <f t="shared" ref="F899:L899" si="889">SUMIFS($C899,$B899,F$7)+F898</f>
        <v>26</v>
      </c>
      <c r="G899" s="58">
        <f t="shared" si="889"/>
        <v>24</v>
      </c>
      <c r="H899" s="58">
        <f t="shared" si="889"/>
        <v>12</v>
      </c>
      <c r="I899" s="58">
        <f t="shared" si="889"/>
        <v>-20</v>
      </c>
      <c r="J899" s="58">
        <f t="shared" si="889"/>
        <v>0</v>
      </c>
      <c r="K899" s="58">
        <f t="shared" si="889"/>
        <v>0</v>
      </c>
      <c r="L899" s="58">
        <f t="shared" si="889"/>
        <v>0</v>
      </c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0" customHeight="1">
      <c r="A900" s="70"/>
      <c r="B900" s="71"/>
      <c r="C900" s="66"/>
      <c r="D900" s="66">
        <f t="shared" si="3"/>
        <v>0</v>
      </c>
      <c r="E900" s="67"/>
      <c r="F900" s="58">
        <f t="shared" ref="F900:L900" si="890">SUMIFS($C900,$B900,F$7)+F899</f>
        <v>26</v>
      </c>
      <c r="G900" s="58">
        <f t="shared" si="890"/>
        <v>24</v>
      </c>
      <c r="H900" s="58">
        <f t="shared" si="890"/>
        <v>12</v>
      </c>
      <c r="I900" s="58">
        <f t="shared" si="890"/>
        <v>-20</v>
      </c>
      <c r="J900" s="58">
        <f t="shared" si="890"/>
        <v>0</v>
      </c>
      <c r="K900" s="58">
        <f t="shared" si="890"/>
        <v>0</v>
      </c>
      <c r="L900" s="58">
        <f t="shared" si="890"/>
        <v>0</v>
      </c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0" customHeight="1">
      <c r="A901" s="70"/>
      <c r="B901" s="71"/>
      <c r="C901" s="66"/>
      <c r="D901" s="66">
        <f t="shared" si="3"/>
        <v>0</v>
      </c>
      <c r="E901" s="67"/>
      <c r="F901" s="58">
        <f t="shared" ref="F901:L901" si="891">SUMIFS($C901,$B901,F$7)+F900</f>
        <v>26</v>
      </c>
      <c r="G901" s="58">
        <f t="shared" si="891"/>
        <v>24</v>
      </c>
      <c r="H901" s="58">
        <f t="shared" si="891"/>
        <v>12</v>
      </c>
      <c r="I901" s="58">
        <f t="shared" si="891"/>
        <v>-20</v>
      </c>
      <c r="J901" s="58">
        <f t="shared" si="891"/>
        <v>0</v>
      </c>
      <c r="K901" s="58">
        <f t="shared" si="891"/>
        <v>0</v>
      </c>
      <c r="L901" s="58">
        <f t="shared" si="891"/>
        <v>0</v>
      </c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0" customHeight="1">
      <c r="A902" s="70"/>
      <c r="B902" s="71"/>
      <c r="C902" s="66"/>
      <c r="D902" s="66">
        <f t="shared" si="3"/>
        <v>0</v>
      </c>
      <c r="E902" s="67"/>
      <c r="F902" s="58">
        <f t="shared" ref="F902:L902" si="892">SUMIFS($C902,$B902,F$7)+F901</f>
        <v>26</v>
      </c>
      <c r="G902" s="58">
        <f t="shared" si="892"/>
        <v>24</v>
      </c>
      <c r="H902" s="58">
        <f t="shared" si="892"/>
        <v>12</v>
      </c>
      <c r="I902" s="58">
        <f t="shared" si="892"/>
        <v>-20</v>
      </c>
      <c r="J902" s="58">
        <f t="shared" si="892"/>
        <v>0</v>
      </c>
      <c r="K902" s="58">
        <f t="shared" si="892"/>
        <v>0</v>
      </c>
      <c r="L902" s="58">
        <f t="shared" si="892"/>
        <v>0</v>
      </c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0" customHeight="1">
      <c r="A903" s="70"/>
      <c r="B903" s="71"/>
      <c r="C903" s="66"/>
      <c r="D903" s="66">
        <f t="shared" si="3"/>
        <v>0</v>
      </c>
      <c r="E903" s="67"/>
      <c r="F903" s="58">
        <f t="shared" ref="F903:L903" si="893">SUMIFS($C903,$B903,F$7)+F902</f>
        <v>26</v>
      </c>
      <c r="G903" s="58">
        <f t="shared" si="893"/>
        <v>24</v>
      </c>
      <c r="H903" s="58">
        <f t="shared" si="893"/>
        <v>12</v>
      </c>
      <c r="I903" s="58">
        <f t="shared" si="893"/>
        <v>-20</v>
      </c>
      <c r="J903" s="58">
        <f t="shared" si="893"/>
        <v>0</v>
      </c>
      <c r="K903" s="58">
        <f t="shared" si="893"/>
        <v>0</v>
      </c>
      <c r="L903" s="58">
        <f t="shared" si="893"/>
        <v>0</v>
      </c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0" customHeight="1">
      <c r="A904" s="70"/>
      <c r="B904" s="71"/>
      <c r="C904" s="66"/>
      <c r="D904" s="66">
        <f t="shared" si="3"/>
        <v>0</v>
      </c>
      <c r="E904" s="67"/>
      <c r="F904" s="58">
        <f t="shared" ref="F904:L904" si="894">SUMIFS($C904,$B904,F$7)+F903</f>
        <v>26</v>
      </c>
      <c r="G904" s="58">
        <f t="shared" si="894"/>
        <v>24</v>
      </c>
      <c r="H904" s="58">
        <f t="shared" si="894"/>
        <v>12</v>
      </c>
      <c r="I904" s="58">
        <f t="shared" si="894"/>
        <v>-20</v>
      </c>
      <c r="J904" s="58">
        <f t="shared" si="894"/>
        <v>0</v>
      </c>
      <c r="K904" s="58">
        <f t="shared" si="894"/>
        <v>0</v>
      </c>
      <c r="L904" s="58">
        <f t="shared" si="894"/>
        <v>0</v>
      </c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0" customHeight="1">
      <c r="A905" s="70"/>
      <c r="B905" s="71"/>
      <c r="C905" s="66"/>
      <c r="D905" s="66">
        <f t="shared" si="3"/>
        <v>0</v>
      </c>
      <c r="E905" s="67"/>
      <c r="F905" s="58">
        <f t="shared" ref="F905:L905" si="895">SUMIFS($C905,$B905,F$7)+F904</f>
        <v>26</v>
      </c>
      <c r="G905" s="58">
        <f t="shared" si="895"/>
        <v>24</v>
      </c>
      <c r="H905" s="58">
        <f t="shared" si="895"/>
        <v>12</v>
      </c>
      <c r="I905" s="58">
        <f t="shared" si="895"/>
        <v>-20</v>
      </c>
      <c r="J905" s="58">
        <f t="shared" si="895"/>
        <v>0</v>
      </c>
      <c r="K905" s="58">
        <f t="shared" si="895"/>
        <v>0</v>
      </c>
      <c r="L905" s="58">
        <f t="shared" si="895"/>
        <v>0</v>
      </c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0" customHeight="1">
      <c r="A906" s="70"/>
      <c r="B906" s="71"/>
      <c r="C906" s="66"/>
      <c r="D906" s="66">
        <f t="shared" si="3"/>
        <v>0</v>
      </c>
      <c r="E906" s="67"/>
      <c r="F906" s="58">
        <f t="shared" ref="F906:L906" si="896">SUMIFS($C906,$B906,F$7)+F905</f>
        <v>26</v>
      </c>
      <c r="G906" s="58">
        <f t="shared" si="896"/>
        <v>24</v>
      </c>
      <c r="H906" s="58">
        <f t="shared" si="896"/>
        <v>12</v>
      </c>
      <c r="I906" s="58">
        <f t="shared" si="896"/>
        <v>-20</v>
      </c>
      <c r="J906" s="58">
        <f t="shared" si="896"/>
        <v>0</v>
      </c>
      <c r="K906" s="58">
        <f t="shared" si="896"/>
        <v>0</v>
      </c>
      <c r="L906" s="58">
        <f t="shared" si="896"/>
        <v>0</v>
      </c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0" customHeight="1">
      <c r="A907" s="70"/>
      <c r="B907" s="71"/>
      <c r="C907" s="66"/>
      <c r="D907" s="66">
        <f t="shared" si="3"/>
        <v>0</v>
      </c>
      <c r="E907" s="67"/>
      <c r="F907" s="58">
        <f t="shared" ref="F907:L907" si="897">SUMIFS($C907,$B907,F$7)+F906</f>
        <v>26</v>
      </c>
      <c r="G907" s="58">
        <f t="shared" si="897"/>
        <v>24</v>
      </c>
      <c r="H907" s="58">
        <f t="shared" si="897"/>
        <v>12</v>
      </c>
      <c r="I907" s="58">
        <f t="shared" si="897"/>
        <v>-20</v>
      </c>
      <c r="J907" s="58">
        <f t="shared" si="897"/>
        <v>0</v>
      </c>
      <c r="K907" s="58">
        <f t="shared" si="897"/>
        <v>0</v>
      </c>
      <c r="L907" s="58">
        <f t="shared" si="897"/>
        <v>0</v>
      </c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0" customHeight="1">
      <c r="A908" s="70"/>
      <c r="B908" s="71"/>
      <c r="C908" s="66"/>
      <c r="D908" s="66">
        <f t="shared" si="3"/>
        <v>0</v>
      </c>
      <c r="E908" s="67"/>
      <c r="F908" s="58">
        <f t="shared" ref="F908:L908" si="898">SUMIFS($C908,$B908,F$7)+F907</f>
        <v>26</v>
      </c>
      <c r="G908" s="58">
        <f t="shared" si="898"/>
        <v>24</v>
      </c>
      <c r="H908" s="58">
        <f t="shared" si="898"/>
        <v>12</v>
      </c>
      <c r="I908" s="58">
        <f t="shared" si="898"/>
        <v>-20</v>
      </c>
      <c r="J908" s="58">
        <f t="shared" si="898"/>
        <v>0</v>
      </c>
      <c r="K908" s="58">
        <f t="shared" si="898"/>
        <v>0</v>
      </c>
      <c r="L908" s="58">
        <f t="shared" si="898"/>
        <v>0</v>
      </c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0" customHeight="1">
      <c r="A909" s="70"/>
      <c r="B909" s="71"/>
      <c r="C909" s="66"/>
      <c r="D909" s="66">
        <f t="shared" si="3"/>
        <v>0</v>
      </c>
      <c r="E909" s="67"/>
      <c r="F909" s="58">
        <f t="shared" ref="F909:L909" si="899">SUMIFS($C909,$B909,F$7)+F908</f>
        <v>26</v>
      </c>
      <c r="G909" s="58">
        <f t="shared" si="899"/>
        <v>24</v>
      </c>
      <c r="H909" s="58">
        <f t="shared" si="899"/>
        <v>12</v>
      </c>
      <c r="I909" s="58">
        <f t="shared" si="899"/>
        <v>-20</v>
      </c>
      <c r="J909" s="58">
        <f t="shared" si="899"/>
        <v>0</v>
      </c>
      <c r="K909" s="58">
        <f t="shared" si="899"/>
        <v>0</v>
      </c>
      <c r="L909" s="58">
        <f t="shared" si="899"/>
        <v>0</v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0" customHeight="1">
      <c r="A910" s="70"/>
      <c r="B910" s="71"/>
      <c r="C910" s="66"/>
      <c r="D910" s="66">
        <f t="shared" si="3"/>
        <v>0</v>
      </c>
      <c r="E910" s="67"/>
      <c r="F910" s="58">
        <f t="shared" ref="F910:L910" si="900">SUMIFS($C910,$B910,F$7)+F909</f>
        <v>26</v>
      </c>
      <c r="G910" s="58">
        <f t="shared" si="900"/>
        <v>24</v>
      </c>
      <c r="H910" s="58">
        <f t="shared" si="900"/>
        <v>12</v>
      </c>
      <c r="I910" s="58">
        <f t="shared" si="900"/>
        <v>-20</v>
      </c>
      <c r="J910" s="58">
        <f t="shared" si="900"/>
        <v>0</v>
      </c>
      <c r="K910" s="58">
        <f t="shared" si="900"/>
        <v>0</v>
      </c>
      <c r="L910" s="58">
        <f t="shared" si="900"/>
        <v>0</v>
      </c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0" customHeight="1">
      <c r="A911" s="70"/>
      <c r="B911" s="71"/>
      <c r="C911" s="66"/>
      <c r="D911" s="66">
        <f t="shared" si="3"/>
        <v>0</v>
      </c>
      <c r="E911" s="67"/>
      <c r="F911" s="58">
        <f t="shared" ref="F911:L911" si="901">SUMIFS($C911,$B911,F$7)+F910</f>
        <v>26</v>
      </c>
      <c r="G911" s="58">
        <f t="shared" si="901"/>
        <v>24</v>
      </c>
      <c r="H911" s="58">
        <f t="shared" si="901"/>
        <v>12</v>
      </c>
      <c r="I911" s="58">
        <f t="shared" si="901"/>
        <v>-20</v>
      </c>
      <c r="J911" s="58">
        <f t="shared" si="901"/>
        <v>0</v>
      </c>
      <c r="K911" s="58">
        <f t="shared" si="901"/>
        <v>0</v>
      </c>
      <c r="L911" s="58">
        <f t="shared" si="901"/>
        <v>0</v>
      </c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0" customHeight="1">
      <c r="A912" s="70"/>
      <c r="B912" s="71"/>
      <c r="C912" s="66"/>
      <c r="D912" s="66">
        <f t="shared" si="3"/>
        <v>0</v>
      </c>
      <c r="E912" s="67"/>
      <c r="F912" s="58">
        <f t="shared" ref="F912:L912" si="902">SUMIFS($C912,$B912,F$7)+F911</f>
        <v>26</v>
      </c>
      <c r="G912" s="58">
        <f t="shared" si="902"/>
        <v>24</v>
      </c>
      <c r="H912" s="58">
        <f t="shared" si="902"/>
        <v>12</v>
      </c>
      <c r="I912" s="58">
        <f t="shared" si="902"/>
        <v>-20</v>
      </c>
      <c r="J912" s="58">
        <f t="shared" si="902"/>
        <v>0</v>
      </c>
      <c r="K912" s="58">
        <f t="shared" si="902"/>
        <v>0</v>
      </c>
      <c r="L912" s="58">
        <f t="shared" si="902"/>
        <v>0</v>
      </c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0" customHeight="1">
      <c r="A913" s="70"/>
      <c r="B913" s="71"/>
      <c r="C913" s="66"/>
      <c r="D913" s="66">
        <f t="shared" si="3"/>
        <v>0</v>
      </c>
      <c r="E913" s="67"/>
      <c r="F913" s="58">
        <f t="shared" ref="F913:L913" si="903">SUMIFS($C913,$B913,F$7)+F912</f>
        <v>26</v>
      </c>
      <c r="G913" s="58">
        <f t="shared" si="903"/>
        <v>24</v>
      </c>
      <c r="H913" s="58">
        <f t="shared" si="903"/>
        <v>12</v>
      </c>
      <c r="I913" s="58">
        <f t="shared" si="903"/>
        <v>-20</v>
      </c>
      <c r="J913" s="58">
        <f t="shared" si="903"/>
        <v>0</v>
      </c>
      <c r="K913" s="58">
        <f t="shared" si="903"/>
        <v>0</v>
      </c>
      <c r="L913" s="58">
        <f t="shared" si="903"/>
        <v>0</v>
      </c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0" customHeight="1">
      <c r="A914" s="70"/>
      <c r="B914" s="71"/>
      <c r="C914" s="66"/>
      <c r="D914" s="66">
        <f t="shared" si="3"/>
        <v>0</v>
      </c>
      <c r="E914" s="67"/>
      <c r="F914" s="58">
        <f t="shared" ref="F914:L914" si="904">SUMIFS($C914,$B914,F$7)+F913</f>
        <v>26</v>
      </c>
      <c r="G914" s="58">
        <f t="shared" si="904"/>
        <v>24</v>
      </c>
      <c r="H914" s="58">
        <f t="shared" si="904"/>
        <v>12</v>
      </c>
      <c r="I914" s="58">
        <f t="shared" si="904"/>
        <v>-20</v>
      </c>
      <c r="J914" s="58">
        <f t="shared" si="904"/>
        <v>0</v>
      </c>
      <c r="K914" s="58">
        <f t="shared" si="904"/>
        <v>0</v>
      </c>
      <c r="L914" s="58">
        <f t="shared" si="904"/>
        <v>0</v>
      </c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0" customHeight="1">
      <c r="A915" s="70"/>
      <c r="B915" s="71"/>
      <c r="C915" s="66"/>
      <c r="D915" s="66">
        <f t="shared" si="3"/>
        <v>0</v>
      </c>
      <c r="E915" s="67"/>
      <c r="F915" s="58">
        <f t="shared" ref="F915:L915" si="905">SUMIFS($C915,$B915,F$7)+F914</f>
        <v>26</v>
      </c>
      <c r="G915" s="58">
        <f t="shared" si="905"/>
        <v>24</v>
      </c>
      <c r="H915" s="58">
        <f t="shared" si="905"/>
        <v>12</v>
      </c>
      <c r="I915" s="58">
        <f t="shared" si="905"/>
        <v>-20</v>
      </c>
      <c r="J915" s="58">
        <f t="shared" si="905"/>
        <v>0</v>
      </c>
      <c r="K915" s="58">
        <f t="shared" si="905"/>
        <v>0</v>
      </c>
      <c r="L915" s="58">
        <f t="shared" si="905"/>
        <v>0</v>
      </c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0" customHeight="1">
      <c r="A916" s="70"/>
      <c r="B916" s="71"/>
      <c r="C916" s="66"/>
      <c r="D916" s="66">
        <f t="shared" si="3"/>
        <v>0</v>
      </c>
      <c r="E916" s="67"/>
      <c r="F916" s="58">
        <f t="shared" ref="F916:L916" si="906">SUMIFS($C916,$B916,F$7)+F915</f>
        <v>26</v>
      </c>
      <c r="G916" s="58">
        <f t="shared" si="906"/>
        <v>24</v>
      </c>
      <c r="H916" s="58">
        <f t="shared" si="906"/>
        <v>12</v>
      </c>
      <c r="I916" s="58">
        <f t="shared" si="906"/>
        <v>-20</v>
      </c>
      <c r="J916" s="58">
        <f t="shared" si="906"/>
        <v>0</v>
      </c>
      <c r="K916" s="58">
        <f t="shared" si="906"/>
        <v>0</v>
      </c>
      <c r="L916" s="58">
        <f t="shared" si="906"/>
        <v>0</v>
      </c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0" customHeight="1">
      <c r="A917" s="70"/>
      <c r="B917" s="71"/>
      <c r="C917" s="66"/>
      <c r="D917" s="66">
        <f t="shared" si="3"/>
        <v>0</v>
      </c>
      <c r="E917" s="67"/>
      <c r="F917" s="58">
        <f t="shared" ref="F917:L917" si="907">SUMIFS($C917,$B917,F$7)+F916</f>
        <v>26</v>
      </c>
      <c r="G917" s="58">
        <f t="shared" si="907"/>
        <v>24</v>
      </c>
      <c r="H917" s="58">
        <f t="shared" si="907"/>
        <v>12</v>
      </c>
      <c r="I917" s="58">
        <f t="shared" si="907"/>
        <v>-20</v>
      </c>
      <c r="J917" s="58">
        <f t="shared" si="907"/>
        <v>0</v>
      </c>
      <c r="K917" s="58">
        <f t="shared" si="907"/>
        <v>0</v>
      </c>
      <c r="L917" s="58">
        <f t="shared" si="907"/>
        <v>0</v>
      </c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0" customHeight="1">
      <c r="A918" s="70"/>
      <c r="B918" s="71"/>
      <c r="C918" s="66"/>
      <c r="D918" s="66">
        <f t="shared" si="3"/>
        <v>0</v>
      </c>
      <c r="E918" s="67"/>
      <c r="F918" s="58">
        <f t="shared" ref="F918:L918" si="908">SUMIFS($C918,$B918,F$7)+F917</f>
        <v>26</v>
      </c>
      <c r="G918" s="58">
        <f t="shared" si="908"/>
        <v>24</v>
      </c>
      <c r="H918" s="58">
        <f t="shared" si="908"/>
        <v>12</v>
      </c>
      <c r="I918" s="58">
        <f t="shared" si="908"/>
        <v>-20</v>
      </c>
      <c r="J918" s="58">
        <f t="shared" si="908"/>
        <v>0</v>
      </c>
      <c r="K918" s="58">
        <f t="shared" si="908"/>
        <v>0</v>
      </c>
      <c r="L918" s="58">
        <f t="shared" si="908"/>
        <v>0</v>
      </c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0" customHeight="1">
      <c r="A919" s="70"/>
      <c r="B919" s="71"/>
      <c r="C919" s="66"/>
      <c r="D919" s="66">
        <f t="shared" si="3"/>
        <v>0</v>
      </c>
      <c r="E919" s="67"/>
      <c r="F919" s="58">
        <f t="shared" ref="F919:L919" si="909">SUMIFS($C919,$B919,F$7)+F918</f>
        <v>26</v>
      </c>
      <c r="G919" s="58">
        <f t="shared" si="909"/>
        <v>24</v>
      </c>
      <c r="H919" s="58">
        <f t="shared" si="909"/>
        <v>12</v>
      </c>
      <c r="I919" s="58">
        <f t="shared" si="909"/>
        <v>-20</v>
      </c>
      <c r="J919" s="58">
        <f t="shared" si="909"/>
        <v>0</v>
      </c>
      <c r="K919" s="58">
        <f t="shared" si="909"/>
        <v>0</v>
      </c>
      <c r="L919" s="58">
        <f t="shared" si="909"/>
        <v>0</v>
      </c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0" customHeight="1">
      <c r="A920" s="70"/>
      <c r="B920" s="71"/>
      <c r="C920" s="66"/>
      <c r="D920" s="66">
        <f t="shared" si="3"/>
        <v>0</v>
      </c>
      <c r="E920" s="67"/>
      <c r="F920" s="58">
        <f t="shared" ref="F920:L920" si="910">SUMIFS($C920,$B920,F$7)+F919</f>
        <v>26</v>
      </c>
      <c r="G920" s="58">
        <f t="shared" si="910"/>
        <v>24</v>
      </c>
      <c r="H920" s="58">
        <f t="shared" si="910"/>
        <v>12</v>
      </c>
      <c r="I920" s="58">
        <f t="shared" si="910"/>
        <v>-20</v>
      </c>
      <c r="J920" s="58">
        <f t="shared" si="910"/>
        <v>0</v>
      </c>
      <c r="K920" s="58">
        <f t="shared" si="910"/>
        <v>0</v>
      </c>
      <c r="L920" s="58">
        <f t="shared" si="910"/>
        <v>0</v>
      </c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0" customHeight="1">
      <c r="A921" s="70"/>
      <c r="B921" s="71"/>
      <c r="C921" s="66"/>
      <c r="D921" s="66">
        <f t="shared" si="3"/>
        <v>0</v>
      </c>
      <c r="E921" s="67"/>
      <c r="F921" s="58">
        <f t="shared" ref="F921:L921" si="911">SUMIFS($C921,$B921,F$7)+F920</f>
        <v>26</v>
      </c>
      <c r="G921" s="58">
        <f t="shared" si="911"/>
        <v>24</v>
      </c>
      <c r="H921" s="58">
        <f t="shared" si="911"/>
        <v>12</v>
      </c>
      <c r="I921" s="58">
        <f t="shared" si="911"/>
        <v>-20</v>
      </c>
      <c r="J921" s="58">
        <f t="shared" si="911"/>
        <v>0</v>
      </c>
      <c r="K921" s="58">
        <f t="shared" si="911"/>
        <v>0</v>
      </c>
      <c r="L921" s="58">
        <f t="shared" si="911"/>
        <v>0</v>
      </c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0" customHeight="1">
      <c r="A922" s="70"/>
      <c r="B922" s="71"/>
      <c r="C922" s="66"/>
      <c r="D922" s="66">
        <f t="shared" si="3"/>
        <v>0</v>
      </c>
      <c r="E922" s="67"/>
      <c r="F922" s="58">
        <f t="shared" ref="F922:L922" si="912">SUMIFS($C922,$B922,F$7)+F921</f>
        <v>26</v>
      </c>
      <c r="G922" s="58">
        <f t="shared" si="912"/>
        <v>24</v>
      </c>
      <c r="H922" s="58">
        <f t="shared" si="912"/>
        <v>12</v>
      </c>
      <c r="I922" s="58">
        <f t="shared" si="912"/>
        <v>-20</v>
      </c>
      <c r="J922" s="58">
        <f t="shared" si="912"/>
        <v>0</v>
      </c>
      <c r="K922" s="58">
        <f t="shared" si="912"/>
        <v>0</v>
      </c>
      <c r="L922" s="58">
        <f t="shared" si="912"/>
        <v>0</v>
      </c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0" customHeight="1">
      <c r="A923" s="70"/>
      <c r="B923" s="71"/>
      <c r="C923" s="66"/>
      <c r="D923" s="66">
        <f t="shared" si="3"/>
        <v>0</v>
      </c>
      <c r="E923" s="67"/>
      <c r="F923" s="58">
        <f t="shared" ref="F923:L923" si="913">SUMIFS($C923,$B923,F$7)+F922</f>
        <v>26</v>
      </c>
      <c r="G923" s="58">
        <f t="shared" si="913"/>
        <v>24</v>
      </c>
      <c r="H923" s="58">
        <f t="shared" si="913"/>
        <v>12</v>
      </c>
      <c r="I923" s="58">
        <f t="shared" si="913"/>
        <v>-20</v>
      </c>
      <c r="J923" s="58">
        <f t="shared" si="913"/>
        <v>0</v>
      </c>
      <c r="K923" s="58">
        <f t="shared" si="913"/>
        <v>0</v>
      </c>
      <c r="L923" s="58">
        <f t="shared" si="913"/>
        <v>0</v>
      </c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0" customHeight="1">
      <c r="A924" s="70"/>
      <c r="B924" s="71"/>
      <c r="C924" s="66"/>
      <c r="D924" s="66">
        <f t="shared" si="3"/>
        <v>0</v>
      </c>
      <c r="E924" s="67"/>
      <c r="F924" s="58">
        <f t="shared" ref="F924:L924" si="914">SUMIFS($C924,$B924,F$7)+F923</f>
        <v>26</v>
      </c>
      <c r="G924" s="58">
        <f t="shared" si="914"/>
        <v>24</v>
      </c>
      <c r="H924" s="58">
        <f t="shared" si="914"/>
        <v>12</v>
      </c>
      <c r="I924" s="58">
        <f t="shared" si="914"/>
        <v>-20</v>
      </c>
      <c r="J924" s="58">
        <f t="shared" si="914"/>
        <v>0</v>
      </c>
      <c r="K924" s="58">
        <f t="shared" si="914"/>
        <v>0</v>
      </c>
      <c r="L924" s="58">
        <f t="shared" si="914"/>
        <v>0</v>
      </c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0" customHeight="1">
      <c r="A925" s="70"/>
      <c r="B925" s="71"/>
      <c r="C925" s="66"/>
      <c r="D925" s="66">
        <f t="shared" si="3"/>
        <v>0</v>
      </c>
      <c r="E925" s="67"/>
      <c r="F925" s="58">
        <f t="shared" ref="F925:L925" si="915">SUMIFS($C925,$B925,F$7)+F924</f>
        <v>26</v>
      </c>
      <c r="G925" s="58">
        <f t="shared" si="915"/>
        <v>24</v>
      </c>
      <c r="H925" s="58">
        <f t="shared" si="915"/>
        <v>12</v>
      </c>
      <c r="I925" s="58">
        <f t="shared" si="915"/>
        <v>-20</v>
      </c>
      <c r="J925" s="58">
        <f t="shared" si="915"/>
        <v>0</v>
      </c>
      <c r="K925" s="58">
        <f t="shared" si="915"/>
        <v>0</v>
      </c>
      <c r="L925" s="58">
        <f t="shared" si="915"/>
        <v>0</v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0" customHeight="1">
      <c r="A926" s="70"/>
      <c r="B926" s="71"/>
      <c r="C926" s="66"/>
      <c r="D926" s="66">
        <f t="shared" si="3"/>
        <v>0</v>
      </c>
      <c r="E926" s="67"/>
      <c r="F926" s="58">
        <f t="shared" ref="F926:L926" si="916">SUMIFS($C926,$B926,F$7)+F925</f>
        <v>26</v>
      </c>
      <c r="G926" s="58">
        <f t="shared" si="916"/>
        <v>24</v>
      </c>
      <c r="H926" s="58">
        <f t="shared" si="916"/>
        <v>12</v>
      </c>
      <c r="I926" s="58">
        <f t="shared" si="916"/>
        <v>-20</v>
      </c>
      <c r="J926" s="58">
        <f t="shared" si="916"/>
        <v>0</v>
      </c>
      <c r="K926" s="58">
        <f t="shared" si="916"/>
        <v>0</v>
      </c>
      <c r="L926" s="58">
        <f t="shared" si="916"/>
        <v>0</v>
      </c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0" customHeight="1">
      <c r="A927" s="70"/>
      <c r="B927" s="71"/>
      <c r="C927" s="66"/>
      <c r="D927" s="66">
        <f t="shared" si="3"/>
        <v>0</v>
      </c>
      <c r="E927" s="67"/>
      <c r="F927" s="58">
        <f t="shared" ref="F927:L927" si="917">SUMIFS($C927,$B927,F$7)+F926</f>
        <v>26</v>
      </c>
      <c r="G927" s="58">
        <f t="shared" si="917"/>
        <v>24</v>
      </c>
      <c r="H927" s="58">
        <f t="shared" si="917"/>
        <v>12</v>
      </c>
      <c r="I927" s="58">
        <f t="shared" si="917"/>
        <v>-20</v>
      </c>
      <c r="J927" s="58">
        <f t="shared" si="917"/>
        <v>0</v>
      </c>
      <c r="K927" s="58">
        <f t="shared" si="917"/>
        <v>0</v>
      </c>
      <c r="L927" s="58">
        <f t="shared" si="917"/>
        <v>0</v>
      </c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0" customHeight="1">
      <c r="A928" s="70"/>
      <c r="B928" s="71"/>
      <c r="C928" s="66"/>
      <c r="D928" s="66">
        <f t="shared" si="3"/>
        <v>0</v>
      </c>
      <c r="E928" s="67"/>
      <c r="F928" s="58">
        <f t="shared" ref="F928:L928" si="918">SUMIFS($C928,$B928,F$7)+F927</f>
        <v>26</v>
      </c>
      <c r="G928" s="58">
        <f t="shared" si="918"/>
        <v>24</v>
      </c>
      <c r="H928" s="58">
        <f t="shared" si="918"/>
        <v>12</v>
      </c>
      <c r="I928" s="58">
        <f t="shared" si="918"/>
        <v>-20</v>
      </c>
      <c r="J928" s="58">
        <f t="shared" si="918"/>
        <v>0</v>
      </c>
      <c r="K928" s="58">
        <f t="shared" si="918"/>
        <v>0</v>
      </c>
      <c r="L928" s="58">
        <f t="shared" si="918"/>
        <v>0</v>
      </c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0" customHeight="1">
      <c r="A929" s="70"/>
      <c r="B929" s="71"/>
      <c r="C929" s="66"/>
      <c r="D929" s="66">
        <f t="shared" si="3"/>
        <v>0</v>
      </c>
      <c r="E929" s="67"/>
      <c r="F929" s="58">
        <f t="shared" ref="F929:L929" si="919">SUMIFS($C929,$B929,F$7)+F928</f>
        <v>26</v>
      </c>
      <c r="G929" s="58">
        <f t="shared" si="919"/>
        <v>24</v>
      </c>
      <c r="H929" s="58">
        <f t="shared" si="919"/>
        <v>12</v>
      </c>
      <c r="I929" s="58">
        <f t="shared" si="919"/>
        <v>-20</v>
      </c>
      <c r="J929" s="58">
        <f t="shared" si="919"/>
        <v>0</v>
      </c>
      <c r="K929" s="58">
        <f t="shared" si="919"/>
        <v>0</v>
      </c>
      <c r="L929" s="58">
        <f t="shared" si="919"/>
        <v>0</v>
      </c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0" customHeight="1">
      <c r="A930" s="70"/>
      <c r="B930" s="71"/>
      <c r="C930" s="66"/>
      <c r="D930" s="66">
        <f t="shared" si="3"/>
        <v>0</v>
      </c>
      <c r="E930" s="67"/>
      <c r="F930" s="58">
        <f t="shared" ref="F930:L930" si="920">SUMIFS($C930,$B930,F$7)+F929</f>
        <v>26</v>
      </c>
      <c r="G930" s="58">
        <f t="shared" si="920"/>
        <v>24</v>
      </c>
      <c r="H930" s="58">
        <f t="shared" si="920"/>
        <v>12</v>
      </c>
      <c r="I930" s="58">
        <f t="shared" si="920"/>
        <v>-20</v>
      </c>
      <c r="J930" s="58">
        <f t="shared" si="920"/>
        <v>0</v>
      </c>
      <c r="K930" s="58">
        <f t="shared" si="920"/>
        <v>0</v>
      </c>
      <c r="L930" s="58">
        <f t="shared" si="920"/>
        <v>0</v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0" customHeight="1">
      <c r="A931" s="70"/>
      <c r="B931" s="71"/>
      <c r="C931" s="66"/>
      <c r="D931" s="66">
        <f t="shared" si="3"/>
        <v>0</v>
      </c>
      <c r="E931" s="67"/>
      <c r="F931" s="58">
        <f t="shared" ref="F931:L931" si="921">SUMIFS($C931,$B931,F$7)+F930</f>
        <v>26</v>
      </c>
      <c r="G931" s="58">
        <f t="shared" si="921"/>
        <v>24</v>
      </c>
      <c r="H931" s="58">
        <f t="shared" si="921"/>
        <v>12</v>
      </c>
      <c r="I931" s="58">
        <f t="shared" si="921"/>
        <v>-20</v>
      </c>
      <c r="J931" s="58">
        <f t="shared" si="921"/>
        <v>0</v>
      </c>
      <c r="K931" s="58">
        <f t="shared" si="921"/>
        <v>0</v>
      </c>
      <c r="L931" s="58">
        <f t="shared" si="921"/>
        <v>0</v>
      </c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0" customHeight="1">
      <c r="A932" s="70"/>
      <c r="B932" s="71"/>
      <c r="C932" s="66"/>
      <c r="D932" s="66">
        <f t="shared" si="3"/>
        <v>0</v>
      </c>
      <c r="E932" s="67"/>
      <c r="F932" s="58">
        <f t="shared" ref="F932:L932" si="922">SUMIFS($C932,$B932,F$7)+F931</f>
        <v>26</v>
      </c>
      <c r="G932" s="58">
        <f t="shared" si="922"/>
        <v>24</v>
      </c>
      <c r="H932" s="58">
        <f t="shared" si="922"/>
        <v>12</v>
      </c>
      <c r="I932" s="58">
        <f t="shared" si="922"/>
        <v>-20</v>
      </c>
      <c r="J932" s="58">
        <f t="shared" si="922"/>
        <v>0</v>
      </c>
      <c r="K932" s="58">
        <f t="shared" si="922"/>
        <v>0</v>
      </c>
      <c r="L932" s="58">
        <f t="shared" si="922"/>
        <v>0</v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0" customHeight="1">
      <c r="A933" s="70"/>
      <c r="B933" s="71"/>
      <c r="C933" s="66"/>
      <c r="D933" s="66">
        <f t="shared" si="3"/>
        <v>0</v>
      </c>
      <c r="E933" s="67"/>
      <c r="F933" s="58">
        <f t="shared" ref="F933:L933" si="923">SUMIFS($C933,$B933,F$7)+F932</f>
        <v>26</v>
      </c>
      <c r="G933" s="58">
        <f t="shared" si="923"/>
        <v>24</v>
      </c>
      <c r="H933" s="58">
        <f t="shared" si="923"/>
        <v>12</v>
      </c>
      <c r="I933" s="58">
        <f t="shared" si="923"/>
        <v>-20</v>
      </c>
      <c r="J933" s="58">
        <f t="shared" si="923"/>
        <v>0</v>
      </c>
      <c r="K933" s="58">
        <f t="shared" si="923"/>
        <v>0</v>
      </c>
      <c r="L933" s="58">
        <f t="shared" si="923"/>
        <v>0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0" customHeight="1">
      <c r="A934" s="70"/>
      <c r="B934" s="71"/>
      <c r="C934" s="66"/>
      <c r="D934" s="66">
        <f t="shared" si="3"/>
        <v>0</v>
      </c>
      <c r="E934" s="67"/>
      <c r="F934" s="58">
        <f t="shared" ref="F934:L934" si="924">SUMIFS($C934,$B934,F$7)+F933</f>
        <v>26</v>
      </c>
      <c r="G934" s="58">
        <f t="shared" si="924"/>
        <v>24</v>
      </c>
      <c r="H934" s="58">
        <f t="shared" si="924"/>
        <v>12</v>
      </c>
      <c r="I934" s="58">
        <f t="shared" si="924"/>
        <v>-20</v>
      </c>
      <c r="J934" s="58">
        <f t="shared" si="924"/>
        <v>0</v>
      </c>
      <c r="K934" s="58">
        <f t="shared" si="924"/>
        <v>0</v>
      </c>
      <c r="L934" s="58">
        <f t="shared" si="924"/>
        <v>0</v>
      </c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0" customHeight="1">
      <c r="A935" s="70"/>
      <c r="B935" s="71"/>
      <c r="C935" s="66"/>
      <c r="D935" s="66">
        <f t="shared" si="3"/>
        <v>0</v>
      </c>
      <c r="E935" s="67"/>
      <c r="F935" s="58">
        <f t="shared" ref="F935:L935" si="925">SUMIFS($C935,$B935,F$7)+F934</f>
        <v>26</v>
      </c>
      <c r="G935" s="58">
        <f t="shared" si="925"/>
        <v>24</v>
      </c>
      <c r="H935" s="58">
        <f t="shared" si="925"/>
        <v>12</v>
      </c>
      <c r="I935" s="58">
        <f t="shared" si="925"/>
        <v>-20</v>
      </c>
      <c r="J935" s="58">
        <f t="shared" si="925"/>
        <v>0</v>
      </c>
      <c r="K935" s="58">
        <f t="shared" si="925"/>
        <v>0</v>
      </c>
      <c r="L935" s="58">
        <f t="shared" si="925"/>
        <v>0</v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0" customHeight="1">
      <c r="A936" s="70"/>
      <c r="B936" s="71"/>
      <c r="C936" s="66"/>
      <c r="D936" s="66">
        <f t="shared" si="3"/>
        <v>0</v>
      </c>
      <c r="E936" s="67"/>
      <c r="F936" s="58">
        <f t="shared" ref="F936:L936" si="926">SUMIFS($C936,$B936,F$7)+F935</f>
        <v>26</v>
      </c>
      <c r="G936" s="58">
        <f t="shared" si="926"/>
        <v>24</v>
      </c>
      <c r="H936" s="58">
        <f t="shared" si="926"/>
        <v>12</v>
      </c>
      <c r="I936" s="58">
        <f t="shared" si="926"/>
        <v>-20</v>
      </c>
      <c r="J936" s="58">
        <f t="shared" si="926"/>
        <v>0</v>
      </c>
      <c r="K936" s="58">
        <f t="shared" si="926"/>
        <v>0</v>
      </c>
      <c r="L936" s="58">
        <f t="shared" si="926"/>
        <v>0</v>
      </c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0" customHeight="1">
      <c r="A937" s="70"/>
      <c r="B937" s="71"/>
      <c r="C937" s="66"/>
      <c r="D937" s="66">
        <f t="shared" si="3"/>
        <v>0</v>
      </c>
      <c r="E937" s="67"/>
      <c r="F937" s="58">
        <f t="shared" ref="F937:L937" si="927">SUMIFS($C937,$B937,F$7)+F936</f>
        <v>26</v>
      </c>
      <c r="G937" s="58">
        <f t="shared" si="927"/>
        <v>24</v>
      </c>
      <c r="H937" s="58">
        <f t="shared" si="927"/>
        <v>12</v>
      </c>
      <c r="I937" s="58">
        <f t="shared" si="927"/>
        <v>-20</v>
      </c>
      <c r="J937" s="58">
        <f t="shared" si="927"/>
        <v>0</v>
      </c>
      <c r="K937" s="58">
        <f t="shared" si="927"/>
        <v>0</v>
      </c>
      <c r="L937" s="58">
        <f t="shared" si="927"/>
        <v>0</v>
      </c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0" customHeight="1">
      <c r="A938" s="70"/>
      <c r="B938" s="71"/>
      <c r="C938" s="66"/>
      <c r="D938" s="66">
        <f t="shared" si="3"/>
        <v>0</v>
      </c>
      <c r="E938" s="67"/>
      <c r="F938" s="58">
        <f t="shared" ref="F938:L938" si="928">SUMIFS($C938,$B938,F$7)+F937</f>
        <v>26</v>
      </c>
      <c r="G938" s="58">
        <f t="shared" si="928"/>
        <v>24</v>
      </c>
      <c r="H938" s="58">
        <f t="shared" si="928"/>
        <v>12</v>
      </c>
      <c r="I938" s="58">
        <f t="shared" si="928"/>
        <v>-20</v>
      </c>
      <c r="J938" s="58">
        <f t="shared" si="928"/>
        <v>0</v>
      </c>
      <c r="K938" s="58">
        <f t="shared" si="928"/>
        <v>0</v>
      </c>
      <c r="L938" s="58">
        <f t="shared" si="928"/>
        <v>0</v>
      </c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0" customHeight="1">
      <c r="A939" s="70"/>
      <c r="B939" s="71"/>
      <c r="C939" s="66"/>
      <c r="D939" s="66">
        <f t="shared" si="3"/>
        <v>0</v>
      </c>
      <c r="E939" s="67"/>
      <c r="F939" s="58">
        <f t="shared" ref="F939:L939" si="929">SUMIFS($C939,$B939,F$7)+F938</f>
        <v>26</v>
      </c>
      <c r="G939" s="58">
        <f t="shared" si="929"/>
        <v>24</v>
      </c>
      <c r="H939" s="58">
        <f t="shared" si="929"/>
        <v>12</v>
      </c>
      <c r="I939" s="58">
        <f t="shared" si="929"/>
        <v>-20</v>
      </c>
      <c r="J939" s="58">
        <f t="shared" si="929"/>
        <v>0</v>
      </c>
      <c r="K939" s="58">
        <f t="shared" si="929"/>
        <v>0</v>
      </c>
      <c r="L939" s="58">
        <f t="shared" si="929"/>
        <v>0</v>
      </c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0" customHeight="1">
      <c r="A940" s="70"/>
      <c r="B940" s="71"/>
      <c r="C940" s="66"/>
      <c r="D940" s="66">
        <f t="shared" si="3"/>
        <v>0</v>
      </c>
      <c r="E940" s="67"/>
      <c r="F940" s="58">
        <f t="shared" ref="F940:L940" si="930">SUMIFS($C940,$B940,F$7)+F939</f>
        <v>26</v>
      </c>
      <c r="G940" s="58">
        <f t="shared" si="930"/>
        <v>24</v>
      </c>
      <c r="H940" s="58">
        <f t="shared" si="930"/>
        <v>12</v>
      </c>
      <c r="I940" s="58">
        <f t="shared" si="930"/>
        <v>-20</v>
      </c>
      <c r="J940" s="58">
        <f t="shared" si="930"/>
        <v>0</v>
      </c>
      <c r="K940" s="58">
        <f t="shared" si="930"/>
        <v>0</v>
      </c>
      <c r="L940" s="58">
        <f t="shared" si="930"/>
        <v>0</v>
      </c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0" customHeight="1">
      <c r="A941" s="70"/>
      <c r="B941" s="71"/>
      <c r="C941" s="66"/>
      <c r="D941" s="66">
        <f t="shared" si="3"/>
        <v>0</v>
      </c>
      <c r="E941" s="67"/>
      <c r="F941" s="58">
        <f t="shared" ref="F941:L941" si="931">SUMIFS($C941,$B941,F$7)+F940</f>
        <v>26</v>
      </c>
      <c r="G941" s="58">
        <f t="shared" si="931"/>
        <v>24</v>
      </c>
      <c r="H941" s="58">
        <f t="shared" si="931"/>
        <v>12</v>
      </c>
      <c r="I941" s="58">
        <f t="shared" si="931"/>
        <v>-20</v>
      </c>
      <c r="J941" s="58">
        <f t="shared" si="931"/>
        <v>0</v>
      </c>
      <c r="K941" s="58">
        <f t="shared" si="931"/>
        <v>0</v>
      </c>
      <c r="L941" s="58">
        <f t="shared" si="931"/>
        <v>0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0" customHeight="1">
      <c r="A942" s="70"/>
      <c r="B942" s="71"/>
      <c r="C942" s="66"/>
      <c r="D942" s="66">
        <f t="shared" si="3"/>
        <v>0</v>
      </c>
      <c r="E942" s="67"/>
      <c r="F942" s="58">
        <f t="shared" ref="F942:L942" si="932">SUMIFS($C942,$B942,F$7)+F941</f>
        <v>26</v>
      </c>
      <c r="G942" s="58">
        <f t="shared" si="932"/>
        <v>24</v>
      </c>
      <c r="H942" s="58">
        <f t="shared" si="932"/>
        <v>12</v>
      </c>
      <c r="I942" s="58">
        <f t="shared" si="932"/>
        <v>-20</v>
      </c>
      <c r="J942" s="58">
        <f t="shared" si="932"/>
        <v>0</v>
      </c>
      <c r="K942" s="58">
        <f t="shared" si="932"/>
        <v>0</v>
      </c>
      <c r="L942" s="58">
        <f t="shared" si="932"/>
        <v>0</v>
      </c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0" customHeight="1">
      <c r="A943" s="70"/>
      <c r="B943" s="71"/>
      <c r="C943" s="66"/>
      <c r="D943" s="66">
        <f t="shared" si="3"/>
        <v>0</v>
      </c>
      <c r="E943" s="67"/>
      <c r="F943" s="58">
        <f t="shared" ref="F943:L943" si="933">SUMIFS($C943,$B943,F$7)+F942</f>
        <v>26</v>
      </c>
      <c r="G943" s="58">
        <f t="shared" si="933"/>
        <v>24</v>
      </c>
      <c r="H943" s="58">
        <f t="shared" si="933"/>
        <v>12</v>
      </c>
      <c r="I943" s="58">
        <f t="shared" si="933"/>
        <v>-20</v>
      </c>
      <c r="J943" s="58">
        <f t="shared" si="933"/>
        <v>0</v>
      </c>
      <c r="K943" s="58">
        <f t="shared" si="933"/>
        <v>0</v>
      </c>
      <c r="L943" s="58">
        <f t="shared" si="933"/>
        <v>0</v>
      </c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0" customHeight="1">
      <c r="A944" s="70"/>
      <c r="B944" s="71"/>
      <c r="C944" s="66"/>
      <c r="D944" s="66">
        <f t="shared" si="3"/>
        <v>0</v>
      </c>
      <c r="E944" s="67"/>
      <c r="F944" s="58">
        <f t="shared" ref="F944:L944" si="934">SUMIFS($C944,$B944,F$7)+F943</f>
        <v>26</v>
      </c>
      <c r="G944" s="58">
        <f t="shared" si="934"/>
        <v>24</v>
      </c>
      <c r="H944" s="58">
        <f t="shared" si="934"/>
        <v>12</v>
      </c>
      <c r="I944" s="58">
        <f t="shared" si="934"/>
        <v>-20</v>
      </c>
      <c r="J944" s="58">
        <f t="shared" si="934"/>
        <v>0</v>
      </c>
      <c r="K944" s="58">
        <f t="shared" si="934"/>
        <v>0</v>
      </c>
      <c r="L944" s="58">
        <f t="shared" si="934"/>
        <v>0</v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0" customHeight="1">
      <c r="A945" s="70"/>
      <c r="B945" s="71"/>
      <c r="C945" s="66"/>
      <c r="D945" s="66">
        <f t="shared" si="3"/>
        <v>0</v>
      </c>
      <c r="E945" s="67"/>
      <c r="F945" s="58">
        <f t="shared" ref="F945:L945" si="935">SUMIFS($C945,$B945,F$7)+F944</f>
        <v>26</v>
      </c>
      <c r="G945" s="58">
        <f t="shared" si="935"/>
        <v>24</v>
      </c>
      <c r="H945" s="58">
        <f t="shared" si="935"/>
        <v>12</v>
      </c>
      <c r="I945" s="58">
        <f t="shared" si="935"/>
        <v>-20</v>
      </c>
      <c r="J945" s="58">
        <f t="shared" si="935"/>
        <v>0</v>
      </c>
      <c r="K945" s="58">
        <f t="shared" si="935"/>
        <v>0</v>
      </c>
      <c r="L945" s="58">
        <f t="shared" si="935"/>
        <v>0</v>
      </c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0" customHeight="1">
      <c r="A946" s="70"/>
      <c r="B946" s="71"/>
      <c r="C946" s="66"/>
      <c r="D946" s="66">
        <f t="shared" si="3"/>
        <v>0</v>
      </c>
      <c r="E946" s="67"/>
      <c r="F946" s="58">
        <f t="shared" ref="F946:L946" si="936">SUMIFS($C946,$B946,F$7)+F945</f>
        <v>26</v>
      </c>
      <c r="G946" s="58">
        <f t="shared" si="936"/>
        <v>24</v>
      </c>
      <c r="H946" s="58">
        <f t="shared" si="936"/>
        <v>12</v>
      </c>
      <c r="I946" s="58">
        <f t="shared" si="936"/>
        <v>-20</v>
      </c>
      <c r="J946" s="58">
        <f t="shared" si="936"/>
        <v>0</v>
      </c>
      <c r="K946" s="58">
        <f t="shared" si="936"/>
        <v>0</v>
      </c>
      <c r="L946" s="58">
        <f t="shared" si="936"/>
        <v>0</v>
      </c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0" customHeight="1">
      <c r="A947" s="70"/>
      <c r="B947" s="71"/>
      <c r="C947" s="66"/>
      <c r="D947" s="66">
        <f t="shared" si="3"/>
        <v>0</v>
      </c>
      <c r="E947" s="67"/>
      <c r="F947" s="58">
        <f t="shared" ref="F947:L947" si="937">SUMIFS($C947,$B947,F$7)+F946</f>
        <v>26</v>
      </c>
      <c r="G947" s="58">
        <f t="shared" si="937"/>
        <v>24</v>
      </c>
      <c r="H947" s="58">
        <f t="shared" si="937"/>
        <v>12</v>
      </c>
      <c r="I947" s="58">
        <f t="shared" si="937"/>
        <v>-20</v>
      </c>
      <c r="J947" s="58">
        <f t="shared" si="937"/>
        <v>0</v>
      </c>
      <c r="K947" s="58">
        <f t="shared" si="937"/>
        <v>0</v>
      </c>
      <c r="L947" s="58">
        <f t="shared" si="937"/>
        <v>0</v>
      </c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0" customHeight="1">
      <c r="A948" s="70"/>
      <c r="B948" s="71"/>
      <c r="C948" s="66"/>
      <c r="D948" s="66">
        <f t="shared" si="3"/>
        <v>0</v>
      </c>
      <c r="E948" s="67"/>
      <c r="F948" s="58">
        <f t="shared" ref="F948:L948" si="938">SUMIFS($C948,$B948,F$7)+F947</f>
        <v>26</v>
      </c>
      <c r="G948" s="58">
        <f t="shared" si="938"/>
        <v>24</v>
      </c>
      <c r="H948" s="58">
        <f t="shared" si="938"/>
        <v>12</v>
      </c>
      <c r="I948" s="58">
        <f t="shared" si="938"/>
        <v>-20</v>
      </c>
      <c r="J948" s="58">
        <f t="shared" si="938"/>
        <v>0</v>
      </c>
      <c r="K948" s="58">
        <f t="shared" si="938"/>
        <v>0</v>
      </c>
      <c r="L948" s="58">
        <f t="shared" si="938"/>
        <v>0</v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0" customHeight="1">
      <c r="A949" s="70"/>
      <c r="B949" s="71"/>
      <c r="C949" s="66"/>
      <c r="D949" s="66">
        <f t="shared" si="3"/>
        <v>0</v>
      </c>
      <c r="E949" s="67"/>
      <c r="F949" s="58">
        <f t="shared" ref="F949:L949" si="939">SUMIFS($C949,$B949,F$7)+F948</f>
        <v>26</v>
      </c>
      <c r="G949" s="58">
        <f t="shared" si="939"/>
        <v>24</v>
      </c>
      <c r="H949" s="58">
        <f t="shared" si="939"/>
        <v>12</v>
      </c>
      <c r="I949" s="58">
        <f t="shared" si="939"/>
        <v>-20</v>
      </c>
      <c r="J949" s="58">
        <f t="shared" si="939"/>
        <v>0</v>
      </c>
      <c r="K949" s="58">
        <f t="shared" si="939"/>
        <v>0</v>
      </c>
      <c r="L949" s="58">
        <f t="shared" si="939"/>
        <v>0</v>
      </c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0" customHeight="1">
      <c r="A950" s="70"/>
      <c r="B950" s="71"/>
      <c r="C950" s="66"/>
      <c r="D950" s="66">
        <f t="shared" si="3"/>
        <v>0</v>
      </c>
      <c r="E950" s="67"/>
      <c r="F950" s="58">
        <f t="shared" ref="F950:L950" si="940">SUMIFS($C950,$B950,F$7)+F949</f>
        <v>26</v>
      </c>
      <c r="G950" s="58">
        <f t="shared" si="940"/>
        <v>24</v>
      </c>
      <c r="H950" s="58">
        <f t="shared" si="940"/>
        <v>12</v>
      </c>
      <c r="I950" s="58">
        <f t="shared" si="940"/>
        <v>-20</v>
      </c>
      <c r="J950" s="58">
        <f t="shared" si="940"/>
        <v>0</v>
      </c>
      <c r="K950" s="58">
        <f t="shared" si="940"/>
        <v>0</v>
      </c>
      <c r="L950" s="58">
        <f t="shared" si="940"/>
        <v>0</v>
      </c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0" customHeight="1">
      <c r="A951" s="70"/>
      <c r="B951" s="71"/>
      <c r="C951" s="66"/>
      <c r="D951" s="66">
        <f t="shared" si="3"/>
        <v>0</v>
      </c>
      <c r="E951" s="67"/>
      <c r="F951" s="58">
        <f t="shared" ref="F951:L951" si="941">SUMIFS($C951,$B951,F$7)+F950</f>
        <v>26</v>
      </c>
      <c r="G951" s="58">
        <f t="shared" si="941"/>
        <v>24</v>
      </c>
      <c r="H951" s="58">
        <f t="shared" si="941"/>
        <v>12</v>
      </c>
      <c r="I951" s="58">
        <f t="shared" si="941"/>
        <v>-20</v>
      </c>
      <c r="J951" s="58">
        <f t="shared" si="941"/>
        <v>0</v>
      </c>
      <c r="K951" s="58">
        <f t="shared" si="941"/>
        <v>0</v>
      </c>
      <c r="L951" s="58">
        <f t="shared" si="941"/>
        <v>0</v>
      </c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0" customHeight="1">
      <c r="A952" s="70"/>
      <c r="B952" s="71"/>
      <c r="C952" s="66"/>
      <c r="D952" s="66">
        <f t="shared" si="3"/>
        <v>0</v>
      </c>
      <c r="E952" s="67"/>
      <c r="F952" s="58">
        <f t="shared" ref="F952:L952" si="942">SUMIFS($C952,$B952,F$7)+F951</f>
        <v>26</v>
      </c>
      <c r="G952" s="58">
        <f t="shared" si="942"/>
        <v>24</v>
      </c>
      <c r="H952" s="58">
        <f t="shared" si="942"/>
        <v>12</v>
      </c>
      <c r="I952" s="58">
        <f t="shared" si="942"/>
        <v>-20</v>
      </c>
      <c r="J952" s="58">
        <f t="shared" si="942"/>
        <v>0</v>
      </c>
      <c r="K952" s="58">
        <f t="shared" si="942"/>
        <v>0</v>
      </c>
      <c r="L952" s="58">
        <f t="shared" si="942"/>
        <v>0</v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0" customHeight="1">
      <c r="A953" s="70"/>
      <c r="B953" s="71"/>
      <c r="C953" s="66"/>
      <c r="D953" s="66">
        <f t="shared" si="3"/>
        <v>0</v>
      </c>
      <c r="E953" s="67"/>
      <c r="F953" s="58">
        <f t="shared" ref="F953:L953" si="943">SUMIFS($C953,$B953,F$7)+F952</f>
        <v>26</v>
      </c>
      <c r="G953" s="58">
        <f t="shared" si="943"/>
        <v>24</v>
      </c>
      <c r="H953" s="58">
        <f t="shared" si="943"/>
        <v>12</v>
      </c>
      <c r="I953" s="58">
        <f t="shared" si="943"/>
        <v>-20</v>
      </c>
      <c r="J953" s="58">
        <f t="shared" si="943"/>
        <v>0</v>
      </c>
      <c r="K953" s="58">
        <f t="shared" si="943"/>
        <v>0</v>
      </c>
      <c r="L953" s="58">
        <f t="shared" si="943"/>
        <v>0</v>
      </c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0" customHeight="1">
      <c r="A954" s="70"/>
      <c r="B954" s="71"/>
      <c r="C954" s="66"/>
      <c r="D954" s="66">
        <f t="shared" si="3"/>
        <v>0</v>
      </c>
      <c r="E954" s="67"/>
      <c r="F954" s="58">
        <f t="shared" ref="F954:L954" si="944">SUMIFS($C954,$B954,F$7)+F953</f>
        <v>26</v>
      </c>
      <c r="G954" s="58">
        <f t="shared" si="944"/>
        <v>24</v>
      </c>
      <c r="H954" s="58">
        <f t="shared" si="944"/>
        <v>12</v>
      </c>
      <c r="I954" s="58">
        <f t="shared" si="944"/>
        <v>-20</v>
      </c>
      <c r="J954" s="58">
        <f t="shared" si="944"/>
        <v>0</v>
      </c>
      <c r="K954" s="58">
        <f t="shared" si="944"/>
        <v>0</v>
      </c>
      <c r="L954" s="58">
        <f t="shared" si="944"/>
        <v>0</v>
      </c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0" customHeight="1">
      <c r="A955" s="70"/>
      <c r="B955" s="71"/>
      <c r="C955" s="66"/>
      <c r="D955" s="66">
        <f t="shared" si="3"/>
        <v>0</v>
      </c>
      <c r="E955" s="67"/>
      <c r="F955" s="58">
        <f t="shared" ref="F955:L955" si="945">SUMIFS($C955,$B955,F$7)+F954</f>
        <v>26</v>
      </c>
      <c r="G955" s="58">
        <f t="shared" si="945"/>
        <v>24</v>
      </c>
      <c r="H955" s="58">
        <f t="shared" si="945"/>
        <v>12</v>
      </c>
      <c r="I955" s="58">
        <f t="shared" si="945"/>
        <v>-20</v>
      </c>
      <c r="J955" s="58">
        <f t="shared" si="945"/>
        <v>0</v>
      </c>
      <c r="K955" s="58">
        <f t="shared" si="945"/>
        <v>0</v>
      </c>
      <c r="L955" s="58">
        <f t="shared" si="945"/>
        <v>0</v>
      </c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0" customHeight="1">
      <c r="A956" s="70"/>
      <c r="B956" s="71"/>
      <c r="C956" s="66"/>
      <c r="D956" s="66">
        <f t="shared" si="3"/>
        <v>0</v>
      </c>
      <c r="E956" s="67"/>
      <c r="F956" s="58">
        <f t="shared" ref="F956:L956" si="946">SUMIFS($C956,$B956,F$7)+F955</f>
        <v>26</v>
      </c>
      <c r="G956" s="58">
        <f t="shared" si="946"/>
        <v>24</v>
      </c>
      <c r="H956" s="58">
        <f t="shared" si="946"/>
        <v>12</v>
      </c>
      <c r="I956" s="58">
        <f t="shared" si="946"/>
        <v>-20</v>
      </c>
      <c r="J956" s="58">
        <f t="shared" si="946"/>
        <v>0</v>
      </c>
      <c r="K956" s="58">
        <f t="shared" si="946"/>
        <v>0</v>
      </c>
      <c r="L956" s="58">
        <f t="shared" si="946"/>
        <v>0</v>
      </c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0" customHeight="1">
      <c r="A957" s="70"/>
      <c r="B957" s="71"/>
      <c r="C957" s="66"/>
      <c r="D957" s="66">
        <f t="shared" si="3"/>
        <v>0</v>
      </c>
      <c r="E957" s="67"/>
      <c r="F957" s="58">
        <f t="shared" ref="F957:L957" si="947">SUMIFS($C957,$B957,F$7)+F956</f>
        <v>26</v>
      </c>
      <c r="G957" s="58">
        <f t="shared" si="947"/>
        <v>24</v>
      </c>
      <c r="H957" s="58">
        <f t="shared" si="947"/>
        <v>12</v>
      </c>
      <c r="I957" s="58">
        <f t="shared" si="947"/>
        <v>-20</v>
      </c>
      <c r="J957" s="58">
        <f t="shared" si="947"/>
        <v>0</v>
      </c>
      <c r="K957" s="58">
        <f t="shared" si="947"/>
        <v>0</v>
      </c>
      <c r="L957" s="58">
        <f t="shared" si="947"/>
        <v>0</v>
      </c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0" customHeight="1">
      <c r="A958" s="70"/>
      <c r="B958" s="71"/>
      <c r="C958" s="66"/>
      <c r="D958" s="66">
        <f t="shared" si="3"/>
        <v>0</v>
      </c>
      <c r="E958" s="67"/>
      <c r="F958" s="58">
        <f t="shared" ref="F958:L958" si="948">SUMIFS($C958,$B958,F$7)+F957</f>
        <v>26</v>
      </c>
      <c r="G958" s="58">
        <f t="shared" si="948"/>
        <v>24</v>
      </c>
      <c r="H958" s="58">
        <f t="shared" si="948"/>
        <v>12</v>
      </c>
      <c r="I958" s="58">
        <f t="shared" si="948"/>
        <v>-20</v>
      </c>
      <c r="J958" s="58">
        <f t="shared" si="948"/>
        <v>0</v>
      </c>
      <c r="K958" s="58">
        <f t="shared" si="948"/>
        <v>0</v>
      </c>
      <c r="L958" s="58">
        <f t="shared" si="948"/>
        <v>0</v>
      </c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0" customHeight="1">
      <c r="A959" s="70"/>
      <c r="B959" s="71"/>
      <c r="C959" s="66"/>
      <c r="D959" s="66">
        <f t="shared" si="3"/>
        <v>0</v>
      </c>
      <c r="E959" s="67"/>
      <c r="F959" s="58">
        <f t="shared" ref="F959:L959" si="949">SUMIFS($C959,$B959,F$7)+F958</f>
        <v>26</v>
      </c>
      <c r="G959" s="58">
        <f t="shared" si="949"/>
        <v>24</v>
      </c>
      <c r="H959" s="58">
        <f t="shared" si="949"/>
        <v>12</v>
      </c>
      <c r="I959" s="58">
        <f t="shared" si="949"/>
        <v>-20</v>
      </c>
      <c r="J959" s="58">
        <f t="shared" si="949"/>
        <v>0</v>
      </c>
      <c r="K959" s="58">
        <f t="shared" si="949"/>
        <v>0</v>
      </c>
      <c r="L959" s="58">
        <f t="shared" si="949"/>
        <v>0</v>
      </c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0" customHeight="1">
      <c r="A960" s="70"/>
      <c r="B960" s="71"/>
      <c r="C960" s="66"/>
      <c r="D960" s="66">
        <f t="shared" si="3"/>
        <v>0</v>
      </c>
      <c r="E960" s="67"/>
      <c r="F960" s="58">
        <f t="shared" ref="F960:L960" si="950">SUMIFS($C960,$B960,F$7)+F959</f>
        <v>26</v>
      </c>
      <c r="G960" s="58">
        <f t="shared" si="950"/>
        <v>24</v>
      </c>
      <c r="H960" s="58">
        <f t="shared" si="950"/>
        <v>12</v>
      </c>
      <c r="I960" s="58">
        <f t="shared" si="950"/>
        <v>-20</v>
      </c>
      <c r="J960" s="58">
        <f t="shared" si="950"/>
        <v>0</v>
      </c>
      <c r="K960" s="58">
        <f t="shared" si="950"/>
        <v>0</v>
      </c>
      <c r="L960" s="58">
        <f t="shared" si="950"/>
        <v>0</v>
      </c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0" customHeight="1">
      <c r="A961" s="70"/>
      <c r="B961" s="71"/>
      <c r="C961" s="66"/>
      <c r="D961" s="66">
        <f t="shared" si="3"/>
        <v>0</v>
      </c>
      <c r="E961" s="67"/>
      <c r="F961" s="58">
        <f t="shared" ref="F961:L961" si="951">SUMIFS($C961,$B961,F$7)+F960</f>
        <v>26</v>
      </c>
      <c r="G961" s="58">
        <f t="shared" si="951"/>
        <v>24</v>
      </c>
      <c r="H961" s="58">
        <f t="shared" si="951"/>
        <v>12</v>
      </c>
      <c r="I961" s="58">
        <f t="shared" si="951"/>
        <v>-20</v>
      </c>
      <c r="J961" s="58">
        <f t="shared" si="951"/>
        <v>0</v>
      </c>
      <c r="K961" s="58">
        <f t="shared" si="951"/>
        <v>0</v>
      </c>
      <c r="L961" s="58">
        <f t="shared" si="951"/>
        <v>0</v>
      </c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0" customHeight="1">
      <c r="A962" s="70"/>
      <c r="B962" s="71"/>
      <c r="C962" s="66"/>
      <c r="D962" s="66">
        <f t="shared" si="3"/>
        <v>0</v>
      </c>
      <c r="E962" s="67"/>
      <c r="F962" s="58">
        <f t="shared" ref="F962:L962" si="952">SUMIFS($C962,$B962,F$7)+F961</f>
        <v>26</v>
      </c>
      <c r="G962" s="58">
        <f t="shared" si="952"/>
        <v>24</v>
      </c>
      <c r="H962" s="58">
        <f t="shared" si="952"/>
        <v>12</v>
      </c>
      <c r="I962" s="58">
        <f t="shared" si="952"/>
        <v>-20</v>
      </c>
      <c r="J962" s="58">
        <f t="shared" si="952"/>
        <v>0</v>
      </c>
      <c r="K962" s="58">
        <f t="shared" si="952"/>
        <v>0</v>
      </c>
      <c r="L962" s="58">
        <f t="shared" si="952"/>
        <v>0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0" customHeight="1">
      <c r="A963" s="70"/>
      <c r="B963" s="71"/>
      <c r="C963" s="66"/>
      <c r="D963" s="66">
        <f t="shared" si="3"/>
        <v>0</v>
      </c>
      <c r="E963" s="67"/>
      <c r="F963" s="58">
        <f t="shared" ref="F963:L963" si="953">SUMIFS($C963,$B963,F$7)+F962</f>
        <v>26</v>
      </c>
      <c r="G963" s="58">
        <f t="shared" si="953"/>
        <v>24</v>
      </c>
      <c r="H963" s="58">
        <f t="shared" si="953"/>
        <v>12</v>
      </c>
      <c r="I963" s="58">
        <f t="shared" si="953"/>
        <v>-20</v>
      </c>
      <c r="J963" s="58">
        <f t="shared" si="953"/>
        <v>0</v>
      </c>
      <c r="K963" s="58">
        <f t="shared" si="953"/>
        <v>0</v>
      </c>
      <c r="L963" s="58">
        <f t="shared" si="953"/>
        <v>0</v>
      </c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0" customHeight="1">
      <c r="A964" s="70"/>
      <c r="B964" s="71"/>
      <c r="C964" s="66"/>
      <c r="D964" s="66">
        <f t="shared" si="3"/>
        <v>0</v>
      </c>
      <c r="E964" s="67"/>
      <c r="F964" s="58">
        <f t="shared" ref="F964:L964" si="954">SUMIFS($C964,$B964,F$7)+F963</f>
        <v>26</v>
      </c>
      <c r="G964" s="58">
        <f t="shared" si="954"/>
        <v>24</v>
      </c>
      <c r="H964" s="58">
        <f t="shared" si="954"/>
        <v>12</v>
      </c>
      <c r="I964" s="58">
        <f t="shared" si="954"/>
        <v>-20</v>
      </c>
      <c r="J964" s="58">
        <f t="shared" si="954"/>
        <v>0</v>
      </c>
      <c r="K964" s="58">
        <f t="shared" si="954"/>
        <v>0</v>
      </c>
      <c r="L964" s="58">
        <f t="shared" si="954"/>
        <v>0</v>
      </c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0" customHeight="1">
      <c r="A965" s="70"/>
      <c r="B965" s="71"/>
      <c r="C965" s="66"/>
      <c r="D965" s="66">
        <f t="shared" si="3"/>
        <v>0</v>
      </c>
      <c r="E965" s="67"/>
      <c r="F965" s="58">
        <f t="shared" ref="F965:L965" si="955">SUMIFS($C965,$B965,F$7)+F964</f>
        <v>26</v>
      </c>
      <c r="G965" s="58">
        <f t="shared" si="955"/>
        <v>24</v>
      </c>
      <c r="H965" s="58">
        <f t="shared" si="955"/>
        <v>12</v>
      </c>
      <c r="I965" s="58">
        <f t="shared" si="955"/>
        <v>-20</v>
      </c>
      <c r="J965" s="58">
        <f t="shared" si="955"/>
        <v>0</v>
      </c>
      <c r="K965" s="58">
        <f t="shared" si="955"/>
        <v>0</v>
      </c>
      <c r="L965" s="58">
        <f t="shared" si="955"/>
        <v>0</v>
      </c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0" customHeight="1">
      <c r="A966" s="70"/>
      <c r="B966" s="71"/>
      <c r="C966" s="66"/>
      <c r="D966" s="66">
        <f t="shared" si="3"/>
        <v>0</v>
      </c>
      <c r="E966" s="67"/>
      <c r="F966" s="58">
        <f t="shared" ref="F966:L966" si="956">SUMIFS($C966,$B966,F$7)+F965</f>
        <v>26</v>
      </c>
      <c r="G966" s="58">
        <f t="shared" si="956"/>
        <v>24</v>
      </c>
      <c r="H966" s="58">
        <f t="shared" si="956"/>
        <v>12</v>
      </c>
      <c r="I966" s="58">
        <f t="shared" si="956"/>
        <v>-20</v>
      </c>
      <c r="J966" s="58">
        <f t="shared" si="956"/>
        <v>0</v>
      </c>
      <c r="K966" s="58">
        <f t="shared" si="956"/>
        <v>0</v>
      </c>
      <c r="L966" s="58">
        <f t="shared" si="956"/>
        <v>0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0" customHeight="1">
      <c r="A967" s="70"/>
      <c r="B967" s="71"/>
      <c r="C967" s="66"/>
      <c r="D967" s="66">
        <f t="shared" si="3"/>
        <v>0</v>
      </c>
      <c r="E967" s="67"/>
      <c r="F967" s="58">
        <f t="shared" ref="F967:L967" si="957">SUMIFS($C967,$B967,F$7)+F966</f>
        <v>26</v>
      </c>
      <c r="G967" s="58">
        <f t="shared" si="957"/>
        <v>24</v>
      </c>
      <c r="H967" s="58">
        <f t="shared" si="957"/>
        <v>12</v>
      </c>
      <c r="I967" s="58">
        <f t="shared" si="957"/>
        <v>-20</v>
      </c>
      <c r="J967" s="58">
        <f t="shared" si="957"/>
        <v>0</v>
      </c>
      <c r="K967" s="58">
        <f t="shared" si="957"/>
        <v>0</v>
      </c>
      <c r="L967" s="58">
        <f t="shared" si="957"/>
        <v>0</v>
      </c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0" customHeight="1">
      <c r="A968" s="70"/>
      <c r="B968" s="71"/>
      <c r="C968" s="66"/>
      <c r="D968" s="66">
        <f t="shared" si="3"/>
        <v>0</v>
      </c>
      <c r="E968" s="67"/>
      <c r="F968" s="58">
        <f t="shared" ref="F968:L968" si="958">SUMIFS($C968,$B968,F$7)+F967</f>
        <v>26</v>
      </c>
      <c r="G968" s="58">
        <f t="shared" si="958"/>
        <v>24</v>
      </c>
      <c r="H968" s="58">
        <f t="shared" si="958"/>
        <v>12</v>
      </c>
      <c r="I968" s="58">
        <f t="shared" si="958"/>
        <v>-20</v>
      </c>
      <c r="J968" s="58">
        <f t="shared" si="958"/>
        <v>0</v>
      </c>
      <c r="K968" s="58">
        <f t="shared" si="958"/>
        <v>0</v>
      </c>
      <c r="L968" s="58">
        <f t="shared" si="958"/>
        <v>0</v>
      </c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0" customHeight="1">
      <c r="A969" s="70"/>
      <c r="B969" s="71"/>
      <c r="C969" s="66"/>
      <c r="D969" s="66">
        <f t="shared" si="3"/>
        <v>0</v>
      </c>
      <c r="E969" s="67"/>
      <c r="F969" s="58">
        <f t="shared" ref="F969:L969" si="959">SUMIFS($C969,$B969,F$7)+F968</f>
        <v>26</v>
      </c>
      <c r="G969" s="58">
        <f t="shared" si="959"/>
        <v>24</v>
      </c>
      <c r="H969" s="58">
        <f t="shared" si="959"/>
        <v>12</v>
      </c>
      <c r="I969" s="58">
        <f t="shared" si="959"/>
        <v>-20</v>
      </c>
      <c r="J969" s="58">
        <f t="shared" si="959"/>
        <v>0</v>
      </c>
      <c r="K969" s="58">
        <f t="shared" si="959"/>
        <v>0</v>
      </c>
      <c r="L969" s="58">
        <f t="shared" si="959"/>
        <v>0</v>
      </c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0" customHeight="1">
      <c r="A970" s="70"/>
      <c r="B970" s="71"/>
      <c r="C970" s="66"/>
      <c r="D970" s="66">
        <f t="shared" si="3"/>
        <v>0</v>
      </c>
      <c r="E970" s="67"/>
      <c r="F970" s="58">
        <f t="shared" ref="F970:L970" si="960">SUMIFS($C970,$B970,F$7)+F969</f>
        <v>26</v>
      </c>
      <c r="G970" s="58">
        <f t="shared" si="960"/>
        <v>24</v>
      </c>
      <c r="H970" s="58">
        <f t="shared" si="960"/>
        <v>12</v>
      </c>
      <c r="I970" s="58">
        <f t="shared" si="960"/>
        <v>-20</v>
      </c>
      <c r="J970" s="58">
        <f t="shared" si="960"/>
        <v>0</v>
      </c>
      <c r="K970" s="58">
        <f t="shared" si="960"/>
        <v>0</v>
      </c>
      <c r="L970" s="58">
        <f t="shared" si="960"/>
        <v>0</v>
      </c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0" customHeight="1">
      <c r="A971" s="70"/>
      <c r="B971" s="71"/>
      <c r="C971" s="66"/>
      <c r="D971" s="66">
        <f t="shared" si="3"/>
        <v>0</v>
      </c>
      <c r="E971" s="67"/>
      <c r="F971" s="58">
        <f t="shared" ref="F971:L971" si="961">SUMIFS($C971,$B971,F$7)+F970</f>
        <v>26</v>
      </c>
      <c r="G971" s="58">
        <f t="shared" si="961"/>
        <v>24</v>
      </c>
      <c r="H971" s="58">
        <f t="shared" si="961"/>
        <v>12</v>
      </c>
      <c r="I971" s="58">
        <f t="shared" si="961"/>
        <v>-20</v>
      </c>
      <c r="J971" s="58">
        <f t="shared" si="961"/>
        <v>0</v>
      </c>
      <c r="K971" s="58">
        <f t="shared" si="961"/>
        <v>0</v>
      </c>
      <c r="L971" s="58">
        <f t="shared" si="961"/>
        <v>0</v>
      </c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0" customHeight="1">
      <c r="A972" s="70"/>
      <c r="B972" s="71"/>
      <c r="C972" s="66"/>
      <c r="D972" s="66">
        <f t="shared" si="3"/>
        <v>0</v>
      </c>
      <c r="E972" s="67"/>
      <c r="F972" s="58">
        <f t="shared" ref="F972:L972" si="962">SUMIFS($C972,$B972,F$7)+F971</f>
        <v>26</v>
      </c>
      <c r="G972" s="58">
        <f t="shared" si="962"/>
        <v>24</v>
      </c>
      <c r="H972" s="58">
        <f t="shared" si="962"/>
        <v>12</v>
      </c>
      <c r="I972" s="58">
        <f t="shared" si="962"/>
        <v>-20</v>
      </c>
      <c r="J972" s="58">
        <f t="shared" si="962"/>
        <v>0</v>
      </c>
      <c r="K972" s="58">
        <f t="shared" si="962"/>
        <v>0</v>
      </c>
      <c r="L972" s="58">
        <f t="shared" si="962"/>
        <v>0</v>
      </c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0" customHeight="1">
      <c r="A973" s="70"/>
      <c r="B973" s="71"/>
      <c r="C973" s="66"/>
      <c r="D973" s="66">
        <f t="shared" si="3"/>
        <v>0</v>
      </c>
      <c r="E973" s="67"/>
      <c r="F973" s="58">
        <f t="shared" ref="F973:L973" si="963">SUMIFS($C973,$B973,F$7)+F972</f>
        <v>26</v>
      </c>
      <c r="G973" s="58">
        <f t="shared" si="963"/>
        <v>24</v>
      </c>
      <c r="H973" s="58">
        <f t="shared" si="963"/>
        <v>12</v>
      </c>
      <c r="I973" s="58">
        <f t="shared" si="963"/>
        <v>-20</v>
      </c>
      <c r="J973" s="58">
        <f t="shared" si="963"/>
        <v>0</v>
      </c>
      <c r="K973" s="58">
        <f t="shared" si="963"/>
        <v>0</v>
      </c>
      <c r="L973" s="58">
        <f t="shared" si="963"/>
        <v>0</v>
      </c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0" customHeight="1">
      <c r="A974" s="70"/>
      <c r="B974" s="71"/>
      <c r="C974" s="66"/>
      <c r="D974" s="66">
        <f t="shared" si="3"/>
        <v>0</v>
      </c>
      <c r="E974" s="67"/>
      <c r="F974" s="58">
        <f t="shared" ref="F974:L974" si="964">SUMIFS($C974,$B974,F$7)+F973</f>
        <v>26</v>
      </c>
      <c r="G974" s="58">
        <f t="shared" si="964"/>
        <v>24</v>
      </c>
      <c r="H974" s="58">
        <f t="shared" si="964"/>
        <v>12</v>
      </c>
      <c r="I974" s="58">
        <f t="shared" si="964"/>
        <v>-20</v>
      </c>
      <c r="J974" s="58">
        <f t="shared" si="964"/>
        <v>0</v>
      </c>
      <c r="K974" s="58">
        <f t="shared" si="964"/>
        <v>0</v>
      </c>
      <c r="L974" s="58">
        <f t="shared" si="964"/>
        <v>0</v>
      </c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0" customHeight="1">
      <c r="A975" s="70"/>
      <c r="B975" s="71"/>
      <c r="C975" s="66"/>
      <c r="D975" s="66">
        <f t="shared" si="3"/>
        <v>0</v>
      </c>
      <c r="E975" s="67"/>
      <c r="F975" s="58">
        <f t="shared" ref="F975:L975" si="965">SUMIFS($C975,$B975,F$7)+F974</f>
        <v>26</v>
      </c>
      <c r="G975" s="58">
        <f t="shared" si="965"/>
        <v>24</v>
      </c>
      <c r="H975" s="58">
        <f t="shared" si="965"/>
        <v>12</v>
      </c>
      <c r="I975" s="58">
        <f t="shared" si="965"/>
        <v>-20</v>
      </c>
      <c r="J975" s="58">
        <f t="shared" si="965"/>
        <v>0</v>
      </c>
      <c r="K975" s="58">
        <f t="shared" si="965"/>
        <v>0</v>
      </c>
      <c r="L975" s="58">
        <f t="shared" si="965"/>
        <v>0</v>
      </c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0" customHeight="1">
      <c r="A976" s="70"/>
      <c r="B976" s="71"/>
      <c r="C976" s="66"/>
      <c r="D976" s="66">
        <f t="shared" si="3"/>
        <v>0</v>
      </c>
      <c r="E976" s="67"/>
      <c r="F976" s="58">
        <f t="shared" ref="F976:L976" si="966">SUMIFS($C976,$B976,F$7)+F975</f>
        <v>26</v>
      </c>
      <c r="G976" s="58">
        <f t="shared" si="966"/>
        <v>24</v>
      </c>
      <c r="H976" s="58">
        <f t="shared" si="966"/>
        <v>12</v>
      </c>
      <c r="I976" s="58">
        <f t="shared" si="966"/>
        <v>-20</v>
      </c>
      <c r="J976" s="58">
        <f t="shared" si="966"/>
        <v>0</v>
      </c>
      <c r="K976" s="58">
        <f t="shared" si="966"/>
        <v>0</v>
      </c>
      <c r="L976" s="58">
        <f t="shared" si="966"/>
        <v>0</v>
      </c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0" customHeight="1">
      <c r="A977" s="70"/>
      <c r="B977" s="71"/>
      <c r="C977" s="66"/>
      <c r="D977" s="66">
        <f t="shared" si="3"/>
        <v>0</v>
      </c>
      <c r="E977" s="67"/>
      <c r="F977" s="58">
        <f t="shared" ref="F977:L977" si="967">SUMIFS($C977,$B977,F$7)+F976</f>
        <v>26</v>
      </c>
      <c r="G977" s="58">
        <f t="shared" si="967"/>
        <v>24</v>
      </c>
      <c r="H977" s="58">
        <f t="shared" si="967"/>
        <v>12</v>
      </c>
      <c r="I977" s="58">
        <f t="shared" si="967"/>
        <v>-20</v>
      </c>
      <c r="J977" s="58">
        <f t="shared" si="967"/>
        <v>0</v>
      </c>
      <c r="K977" s="58">
        <f t="shared" si="967"/>
        <v>0</v>
      </c>
      <c r="L977" s="58">
        <f t="shared" si="967"/>
        <v>0</v>
      </c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0" customHeight="1">
      <c r="A978" s="70"/>
      <c r="B978" s="71"/>
      <c r="C978" s="66"/>
      <c r="D978" s="66">
        <f t="shared" si="3"/>
        <v>0</v>
      </c>
      <c r="E978" s="67"/>
      <c r="F978" s="58">
        <f t="shared" ref="F978:L978" si="968">SUMIFS($C978,$B978,F$7)+F977</f>
        <v>26</v>
      </c>
      <c r="G978" s="58">
        <f t="shared" si="968"/>
        <v>24</v>
      </c>
      <c r="H978" s="58">
        <f t="shared" si="968"/>
        <v>12</v>
      </c>
      <c r="I978" s="58">
        <f t="shared" si="968"/>
        <v>-20</v>
      </c>
      <c r="J978" s="58">
        <f t="shared" si="968"/>
        <v>0</v>
      </c>
      <c r="K978" s="58">
        <f t="shared" si="968"/>
        <v>0</v>
      </c>
      <c r="L978" s="58">
        <f t="shared" si="968"/>
        <v>0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0" customHeight="1">
      <c r="A979" s="70"/>
      <c r="B979" s="71"/>
      <c r="C979" s="66"/>
      <c r="D979" s="66">
        <f t="shared" si="3"/>
        <v>0</v>
      </c>
      <c r="E979" s="67"/>
      <c r="F979" s="58">
        <f t="shared" ref="F979:L979" si="969">SUMIFS($C979,$B979,F$7)+F978</f>
        <v>26</v>
      </c>
      <c r="G979" s="58">
        <f t="shared" si="969"/>
        <v>24</v>
      </c>
      <c r="H979" s="58">
        <f t="shared" si="969"/>
        <v>12</v>
      </c>
      <c r="I979" s="58">
        <f t="shared" si="969"/>
        <v>-20</v>
      </c>
      <c r="J979" s="58">
        <f t="shared" si="969"/>
        <v>0</v>
      </c>
      <c r="K979" s="58">
        <f t="shared" si="969"/>
        <v>0</v>
      </c>
      <c r="L979" s="58">
        <f t="shared" si="969"/>
        <v>0</v>
      </c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0" customHeight="1">
      <c r="A980" s="70"/>
      <c r="B980" s="71"/>
      <c r="C980" s="66"/>
      <c r="D980" s="66">
        <f t="shared" si="3"/>
        <v>0</v>
      </c>
      <c r="E980" s="67"/>
      <c r="F980" s="58">
        <f t="shared" ref="F980:L980" si="970">SUMIFS($C980,$B980,F$7)+F979</f>
        <v>26</v>
      </c>
      <c r="G980" s="58">
        <f t="shared" si="970"/>
        <v>24</v>
      </c>
      <c r="H980" s="58">
        <f t="shared" si="970"/>
        <v>12</v>
      </c>
      <c r="I980" s="58">
        <f t="shared" si="970"/>
        <v>-20</v>
      </c>
      <c r="J980" s="58">
        <f t="shared" si="970"/>
        <v>0</v>
      </c>
      <c r="K980" s="58">
        <f t="shared" si="970"/>
        <v>0</v>
      </c>
      <c r="L980" s="58">
        <f t="shared" si="970"/>
        <v>0</v>
      </c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0" customHeight="1">
      <c r="A981" s="70"/>
      <c r="B981" s="71"/>
      <c r="C981" s="66"/>
      <c r="D981" s="66">
        <f t="shared" si="3"/>
        <v>0</v>
      </c>
      <c r="E981" s="67"/>
      <c r="F981" s="58">
        <f t="shared" ref="F981:L981" si="971">SUMIFS($C981,$B981,F$7)+F980</f>
        <v>26</v>
      </c>
      <c r="G981" s="58">
        <f t="shared" si="971"/>
        <v>24</v>
      </c>
      <c r="H981" s="58">
        <f t="shared" si="971"/>
        <v>12</v>
      </c>
      <c r="I981" s="58">
        <f t="shared" si="971"/>
        <v>-20</v>
      </c>
      <c r="J981" s="58">
        <f t="shared" si="971"/>
        <v>0</v>
      </c>
      <c r="K981" s="58">
        <f t="shared" si="971"/>
        <v>0</v>
      </c>
      <c r="L981" s="58">
        <f t="shared" si="971"/>
        <v>0</v>
      </c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0" customHeight="1">
      <c r="A982" s="70"/>
      <c r="B982" s="71"/>
      <c r="C982" s="66"/>
      <c r="D982" s="66">
        <f t="shared" si="3"/>
        <v>0</v>
      </c>
      <c r="E982" s="67"/>
      <c r="F982" s="58">
        <f t="shared" ref="F982:L982" si="972">SUMIFS($C982,$B982,F$7)+F981</f>
        <v>26</v>
      </c>
      <c r="G982" s="58">
        <f t="shared" si="972"/>
        <v>24</v>
      </c>
      <c r="H982" s="58">
        <f t="shared" si="972"/>
        <v>12</v>
      </c>
      <c r="I982" s="58">
        <f t="shared" si="972"/>
        <v>-20</v>
      </c>
      <c r="J982" s="58">
        <f t="shared" si="972"/>
        <v>0</v>
      </c>
      <c r="K982" s="58">
        <f t="shared" si="972"/>
        <v>0</v>
      </c>
      <c r="L982" s="58">
        <f t="shared" si="972"/>
        <v>0</v>
      </c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0" customHeight="1">
      <c r="A983" s="70"/>
      <c r="B983" s="71"/>
      <c r="C983" s="66"/>
      <c r="D983" s="66">
        <f t="shared" si="3"/>
        <v>0</v>
      </c>
      <c r="E983" s="67"/>
      <c r="F983" s="58">
        <f t="shared" ref="F983:L983" si="973">SUMIFS($C983,$B983,F$7)+F982</f>
        <v>26</v>
      </c>
      <c r="G983" s="58">
        <f t="shared" si="973"/>
        <v>24</v>
      </c>
      <c r="H983" s="58">
        <f t="shared" si="973"/>
        <v>12</v>
      </c>
      <c r="I983" s="58">
        <f t="shared" si="973"/>
        <v>-20</v>
      </c>
      <c r="J983" s="58">
        <f t="shared" si="973"/>
        <v>0</v>
      </c>
      <c r="K983" s="58">
        <f t="shared" si="973"/>
        <v>0</v>
      </c>
      <c r="L983" s="58">
        <f t="shared" si="973"/>
        <v>0</v>
      </c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0" customHeight="1">
      <c r="A984" s="70"/>
      <c r="B984" s="71"/>
      <c r="C984" s="66"/>
      <c r="D984" s="66">
        <f t="shared" si="3"/>
        <v>0</v>
      </c>
      <c r="E984" s="67"/>
      <c r="F984" s="58">
        <f t="shared" ref="F984:L984" si="974">SUMIFS($C984,$B984,F$7)+F983</f>
        <v>26</v>
      </c>
      <c r="G984" s="58">
        <f t="shared" si="974"/>
        <v>24</v>
      </c>
      <c r="H984" s="58">
        <f t="shared" si="974"/>
        <v>12</v>
      </c>
      <c r="I984" s="58">
        <f t="shared" si="974"/>
        <v>-20</v>
      </c>
      <c r="J984" s="58">
        <f t="shared" si="974"/>
        <v>0</v>
      </c>
      <c r="K984" s="58">
        <f t="shared" si="974"/>
        <v>0</v>
      </c>
      <c r="L984" s="58">
        <f t="shared" si="974"/>
        <v>0</v>
      </c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0" customHeight="1">
      <c r="A985" s="70"/>
      <c r="B985" s="71"/>
      <c r="C985" s="66"/>
      <c r="D985" s="66">
        <f t="shared" si="3"/>
        <v>0</v>
      </c>
      <c r="E985" s="67"/>
      <c r="F985" s="58">
        <f t="shared" ref="F985:L985" si="975">SUMIFS($C985,$B985,F$7)+F984</f>
        <v>26</v>
      </c>
      <c r="G985" s="58">
        <f t="shared" si="975"/>
        <v>24</v>
      </c>
      <c r="H985" s="58">
        <f t="shared" si="975"/>
        <v>12</v>
      </c>
      <c r="I985" s="58">
        <f t="shared" si="975"/>
        <v>-20</v>
      </c>
      <c r="J985" s="58">
        <f t="shared" si="975"/>
        <v>0</v>
      </c>
      <c r="K985" s="58">
        <f t="shared" si="975"/>
        <v>0</v>
      </c>
      <c r="L985" s="58">
        <f t="shared" si="975"/>
        <v>0</v>
      </c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0" customHeight="1">
      <c r="A986" s="70"/>
      <c r="B986" s="71"/>
      <c r="C986" s="66"/>
      <c r="D986" s="66">
        <f t="shared" si="3"/>
        <v>0</v>
      </c>
      <c r="E986" s="67"/>
      <c r="F986" s="58">
        <f t="shared" ref="F986:L986" si="976">SUMIFS($C986,$B986,F$7)+F985</f>
        <v>26</v>
      </c>
      <c r="G986" s="58">
        <f t="shared" si="976"/>
        <v>24</v>
      </c>
      <c r="H986" s="58">
        <f t="shared" si="976"/>
        <v>12</v>
      </c>
      <c r="I986" s="58">
        <f t="shared" si="976"/>
        <v>-20</v>
      </c>
      <c r="J986" s="58">
        <f t="shared" si="976"/>
        <v>0</v>
      </c>
      <c r="K986" s="58">
        <f t="shared" si="976"/>
        <v>0</v>
      </c>
      <c r="L986" s="58">
        <f t="shared" si="976"/>
        <v>0</v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0" customHeight="1">
      <c r="A987" s="70"/>
      <c r="B987" s="71"/>
      <c r="C987" s="66"/>
      <c r="D987" s="66">
        <f t="shared" si="3"/>
        <v>0</v>
      </c>
      <c r="E987" s="67"/>
      <c r="F987" s="58">
        <f t="shared" ref="F987:L987" si="977">SUMIFS($C987,$B987,F$7)+F986</f>
        <v>26</v>
      </c>
      <c r="G987" s="58">
        <f t="shared" si="977"/>
        <v>24</v>
      </c>
      <c r="H987" s="58">
        <f t="shared" si="977"/>
        <v>12</v>
      </c>
      <c r="I987" s="58">
        <f t="shared" si="977"/>
        <v>-20</v>
      </c>
      <c r="J987" s="58">
        <f t="shared" si="977"/>
        <v>0</v>
      </c>
      <c r="K987" s="58">
        <f t="shared" si="977"/>
        <v>0</v>
      </c>
      <c r="L987" s="58">
        <f t="shared" si="977"/>
        <v>0</v>
      </c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0" customHeight="1">
      <c r="A988" s="70"/>
      <c r="B988" s="71"/>
      <c r="C988" s="66"/>
      <c r="D988" s="66">
        <f t="shared" si="3"/>
        <v>0</v>
      </c>
      <c r="E988" s="67"/>
      <c r="F988" s="58">
        <f t="shared" ref="F988:L988" si="978">SUMIFS($C988,$B988,F$7)+F987</f>
        <v>26</v>
      </c>
      <c r="G988" s="58">
        <f t="shared" si="978"/>
        <v>24</v>
      </c>
      <c r="H988" s="58">
        <f t="shared" si="978"/>
        <v>12</v>
      </c>
      <c r="I988" s="58">
        <f t="shared" si="978"/>
        <v>-20</v>
      </c>
      <c r="J988" s="58">
        <f t="shared" si="978"/>
        <v>0</v>
      </c>
      <c r="K988" s="58">
        <f t="shared" si="978"/>
        <v>0</v>
      </c>
      <c r="L988" s="58">
        <f t="shared" si="978"/>
        <v>0</v>
      </c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0" customHeight="1">
      <c r="A989" s="70"/>
      <c r="B989" s="71"/>
      <c r="C989" s="66"/>
      <c r="D989" s="66">
        <f t="shared" si="3"/>
        <v>0</v>
      </c>
      <c r="E989" s="67"/>
      <c r="F989" s="58">
        <f t="shared" ref="F989:L989" si="979">SUMIFS($C989,$B989,F$7)+F988</f>
        <v>26</v>
      </c>
      <c r="G989" s="58">
        <f t="shared" si="979"/>
        <v>24</v>
      </c>
      <c r="H989" s="58">
        <f t="shared" si="979"/>
        <v>12</v>
      </c>
      <c r="I989" s="58">
        <f t="shared" si="979"/>
        <v>-20</v>
      </c>
      <c r="J989" s="58">
        <f t="shared" si="979"/>
        <v>0</v>
      </c>
      <c r="K989" s="58">
        <f t="shared" si="979"/>
        <v>0</v>
      </c>
      <c r="L989" s="58">
        <f t="shared" si="979"/>
        <v>0</v>
      </c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0" customHeight="1">
      <c r="A990" s="70"/>
      <c r="B990" s="71"/>
      <c r="C990" s="66"/>
      <c r="D990" s="66">
        <f t="shared" si="3"/>
        <v>0</v>
      </c>
      <c r="E990" s="67"/>
      <c r="F990" s="58">
        <f t="shared" ref="F990:L990" si="980">SUMIFS($C990,$B990,F$7)+F989</f>
        <v>26</v>
      </c>
      <c r="G990" s="58">
        <f t="shared" si="980"/>
        <v>24</v>
      </c>
      <c r="H990" s="58">
        <f t="shared" si="980"/>
        <v>12</v>
      </c>
      <c r="I990" s="58">
        <f t="shared" si="980"/>
        <v>-20</v>
      </c>
      <c r="J990" s="58">
        <f t="shared" si="980"/>
        <v>0</v>
      </c>
      <c r="K990" s="58">
        <f t="shared" si="980"/>
        <v>0</v>
      </c>
      <c r="L990" s="58">
        <f t="shared" si="980"/>
        <v>0</v>
      </c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0" customHeight="1">
      <c r="A991" s="70"/>
      <c r="B991" s="71"/>
      <c r="C991" s="66"/>
      <c r="D991" s="66">
        <f t="shared" si="3"/>
        <v>0</v>
      </c>
      <c r="E991" s="67"/>
      <c r="F991" s="58">
        <f t="shared" ref="F991:L991" si="981">SUMIFS($C991,$B991,F$7)+F990</f>
        <v>26</v>
      </c>
      <c r="G991" s="58">
        <f t="shared" si="981"/>
        <v>24</v>
      </c>
      <c r="H991" s="58">
        <f t="shared" si="981"/>
        <v>12</v>
      </c>
      <c r="I991" s="58">
        <f t="shared" si="981"/>
        <v>-20</v>
      </c>
      <c r="J991" s="58">
        <f t="shared" si="981"/>
        <v>0</v>
      </c>
      <c r="K991" s="58">
        <f t="shared" si="981"/>
        <v>0</v>
      </c>
      <c r="L991" s="58">
        <f t="shared" si="981"/>
        <v>0</v>
      </c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0" customHeight="1">
      <c r="A992" s="70"/>
      <c r="B992" s="71"/>
      <c r="C992" s="66"/>
      <c r="D992" s="66">
        <f t="shared" si="3"/>
        <v>0</v>
      </c>
      <c r="E992" s="67"/>
      <c r="F992" s="58">
        <f t="shared" ref="F992:L992" si="982">SUMIFS($C992,$B992,F$7)+F991</f>
        <v>26</v>
      </c>
      <c r="G992" s="58">
        <f t="shared" si="982"/>
        <v>24</v>
      </c>
      <c r="H992" s="58">
        <f t="shared" si="982"/>
        <v>12</v>
      </c>
      <c r="I992" s="58">
        <f t="shared" si="982"/>
        <v>-20</v>
      </c>
      <c r="J992" s="58">
        <f t="shared" si="982"/>
        <v>0</v>
      </c>
      <c r="K992" s="58">
        <f t="shared" si="982"/>
        <v>0</v>
      </c>
      <c r="L992" s="58">
        <f t="shared" si="982"/>
        <v>0</v>
      </c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0" customHeight="1">
      <c r="A993" s="70"/>
      <c r="B993" s="71"/>
      <c r="C993" s="66"/>
      <c r="D993" s="66">
        <f t="shared" si="3"/>
        <v>0</v>
      </c>
      <c r="E993" s="67"/>
      <c r="F993" s="58">
        <f t="shared" ref="F993:L993" si="983">SUMIFS($C993,$B993,F$7)+F992</f>
        <v>26</v>
      </c>
      <c r="G993" s="58">
        <f t="shared" si="983"/>
        <v>24</v>
      </c>
      <c r="H993" s="58">
        <f t="shared" si="983"/>
        <v>12</v>
      </c>
      <c r="I993" s="58">
        <f t="shared" si="983"/>
        <v>-20</v>
      </c>
      <c r="J993" s="58">
        <f t="shared" si="983"/>
        <v>0</v>
      </c>
      <c r="K993" s="58">
        <f t="shared" si="983"/>
        <v>0</v>
      </c>
      <c r="L993" s="58">
        <f t="shared" si="983"/>
        <v>0</v>
      </c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0" customHeight="1">
      <c r="A994" s="70"/>
      <c r="B994" s="71"/>
      <c r="C994" s="66"/>
      <c r="D994" s="66">
        <f t="shared" si="3"/>
        <v>0</v>
      </c>
      <c r="E994" s="67"/>
      <c r="F994" s="58">
        <f t="shared" ref="F994:L994" si="984">SUMIFS($C994,$B994,F$7)+F993</f>
        <v>26</v>
      </c>
      <c r="G994" s="58">
        <f t="shared" si="984"/>
        <v>24</v>
      </c>
      <c r="H994" s="58">
        <f t="shared" si="984"/>
        <v>12</v>
      </c>
      <c r="I994" s="58">
        <f t="shared" si="984"/>
        <v>-20</v>
      </c>
      <c r="J994" s="58">
        <f t="shared" si="984"/>
        <v>0</v>
      </c>
      <c r="K994" s="58">
        <f t="shared" si="984"/>
        <v>0</v>
      </c>
      <c r="L994" s="58">
        <f t="shared" si="984"/>
        <v>0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0" customHeight="1">
      <c r="A995" s="70"/>
      <c r="B995" s="71"/>
      <c r="C995" s="66"/>
      <c r="D995" s="66">
        <f t="shared" si="3"/>
        <v>0</v>
      </c>
      <c r="E995" s="67"/>
      <c r="F995" s="58">
        <f t="shared" ref="F995:L995" si="985">SUMIFS($C995,$B995,F$7)+F994</f>
        <v>26</v>
      </c>
      <c r="G995" s="58">
        <f t="shared" si="985"/>
        <v>24</v>
      </c>
      <c r="H995" s="58">
        <f t="shared" si="985"/>
        <v>12</v>
      </c>
      <c r="I995" s="58">
        <f t="shared" si="985"/>
        <v>-20</v>
      </c>
      <c r="J995" s="58">
        <f t="shared" si="985"/>
        <v>0</v>
      </c>
      <c r="K995" s="58">
        <f t="shared" si="985"/>
        <v>0</v>
      </c>
      <c r="L995" s="58">
        <f t="shared" si="985"/>
        <v>0</v>
      </c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0" customHeight="1">
      <c r="A996" s="70"/>
      <c r="B996" s="71"/>
      <c r="C996" s="66"/>
      <c r="D996" s="66">
        <f t="shared" si="3"/>
        <v>0</v>
      </c>
      <c r="E996" s="67"/>
      <c r="F996" s="58">
        <f t="shared" ref="F996:L996" si="986">SUMIFS($C996,$B996,F$7)+F995</f>
        <v>26</v>
      </c>
      <c r="G996" s="58">
        <f t="shared" si="986"/>
        <v>24</v>
      </c>
      <c r="H996" s="58">
        <f t="shared" si="986"/>
        <v>12</v>
      </c>
      <c r="I996" s="58">
        <f t="shared" si="986"/>
        <v>-20</v>
      </c>
      <c r="J996" s="58">
        <f t="shared" si="986"/>
        <v>0</v>
      </c>
      <c r="K996" s="58">
        <f t="shared" si="986"/>
        <v>0</v>
      </c>
      <c r="L996" s="58">
        <f t="shared" si="986"/>
        <v>0</v>
      </c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0" customHeight="1">
      <c r="A997" s="70"/>
      <c r="B997" s="71"/>
      <c r="C997" s="66"/>
      <c r="D997" s="66">
        <f t="shared" si="3"/>
        <v>0</v>
      </c>
      <c r="E997" s="67"/>
      <c r="F997" s="58">
        <f t="shared" ref="F997:L997" si="987">SUMIFS($C997,$B997,F$7)+F996</f>
        <v>26</v>
      </c>
      <c r="G997" s="58">
        <f t="shared" si="987"/>
        <v>24</v>
      </c>
      <c r="H997" s="58">
        <f t="shared" si="987"/>
        <v>12</v>
      </c>
      <c r="I997" s="58">
        <f t="shared" si="987"/>
        <v>-20</v>
      </c>
      <c r="J997" s="58">
        <f t="shared" si="987"/>
        <v>0</v>
      </c>
      <c r="K997" s="58">
        <f t="shared" si="987"/>
        <v>0</v>
      </c>
      <c r="L997" s="58">
        <f t="shared" si="987"/>
        <v>0</v>
      </c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0" customHeight="1">
      <c r="A998" s="70"/>
      <c r="B998" s="71"/>
      <c r="C998" s="66"/>
      <c r="D998" s="66">
        <f t="shared" si="3"/>
        <v>0</v>
      </c>
      <c r="E998" s="67"/>
      <c r="F998" s="58">
        <f t="shared" ref="F998:L998" si="988">SUMIFS($C998,$B998,F$7)+F997</f>
        <v>26</v>
      </c>
      <c r="G998" s="58">
        <f t="shared" si="988"/>
        <v>24</v>
      </c>
      <c r="H998" s="58">
        <f t="shared" si="988"/>
        <v>12</v>
      </c>
      <c r="I998" s="58">
        <f t="shared" si="988"/>
        <v>-20</v>
      </c>
      <c r="J998" s="58">
        <f t="shared" si="988"/>
        <v>0</v>
      </c>
      <c r="K998" s="58">
        <f t="shared" si="988"/>
        <v>0</v>
      </c>
      <c r="L998" s="58">
        <f t="shared" si="988"/>
        <v>0</v>
      </c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0" customHeight="1">
      <c r="A999" s="70"/>
      <c r="B999" s="71"/>
      <c r="C999" s="66"/>
      <c r="D999" s="66">
        <f t="shared" si="3"/>
        <v>0</v>
      </c>
      <c r="E999" s="67"/>
      <c r="F999" s="58">
        <f t="shared" ref="F999:L999" si="989">SUMIFS($C999,$B999,F$7)+F998</f>
        <v>26</v>
      </c>
      <c r="G999" s="58">
        <f t="shared" si="989"/>
        <v>24</v>
      </c>
      <c r="H999" s="58">
        <f t="shared" si="989"/>
        <v>12</v>
      </c>
      <c r="I999" s="58">
        <f t="shared" si="989"/>
        <v>-20</v>
      </c>
      <c r="J999" s="58">
        <f t="shared" si="989"/>
        <v>0</v>
      </c>
      <c r="K999" s="58">
        <f t="shared" si="989"/>
        <v>0</v>
      </c>
      <c r="L999" s="58">
        <f t="shared" si="989"/>
        <v>0</v>
      </c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0" customHeight="1">
      <c r="A1000" s="70"/>
      <c r="B1000" s="71"/>
      <c r="C1000" s="66"/>
      <c r="D1000" s="66">
        <f t="shared" si="3"/>
        <v>0</v>
      </c>
      <c r="E1000" s="67"/>
      <c r="F1000" s="58">
        <f t="shared" ref="F1000:L1000" si="990">SUMIFS($C1000,$B1000,F$7)+F999</f>
        <v>26</v>
      </c>
      <c r="G1000" s="58">
        <f t="shared" si="990"/>
        <v>24</v>
      </c>
      <c r="H1000" s="58">
        <f t="shared" si="990"/>
        <v>12</v>
      </c>
      <c r="I1000" s="58">
        <f t="shared" si="990"/>
        <v>-20</v>
      </c>
      <c r="J1000" s="58">
        <f t="shared" si="990"/>
        <v>0</v>
      </c>
      <c r="K1000" s="58">
        <f t="shared" si="990"/>
        <v>0</v>
      </c>
      <c r="L1000" s="58">
        <f t="shared" si="990"/>
        <v>0</v>
      </c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ht="15.0" customHeight="1">
      <c r="A1001" s="70"/>
      <c r="B1001" s="71"/>
      <c r="C1001" s="66"/>
      <c r="D1001" s="66">
        <f t="shared" si="3"/>
        <v>0</v>
      </c>
      <c r="E1001" s="67"/>
      <c r="F1001" s="58">
        <f t="shared" ref="F1001:L1001" si="991">SUMIFS($C1001,$B1001,F$7)+F1000</f>
        <v>26</v>
      </c>
      <c r="G1001" s="58">
        <f t="shared" si="991"/>
        <v>24</v>
      </c>
      <c r="H1001" s="58">
        <f t="shared" si="991"/>
        <v>12</v>
      </c>
      <c r="I1001" s="58">
        <f t="shared" si="991"/>
        <v>-20</v>
      </c>
      <c r="J1001" s="58">
        <f t="shared" si="991"/>
        <v>0</v>
      </c>
      <c r="K1001" s="58">
        <f t="shared" si="991"/>
        <v>0</v>
      </c>
      <c r="L1001" s="58">
        <f t="shared" si="991"/>
        <v>0</v>
      </c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ht="15.0" customHeight="1">
      <c r="A1002" s="70"/>
      <c r="B1002" s="71"/>
      <c r="C1002" s="66"/>
      <c r="D1002" s="66">
        <f t="shared" si="3"/>
        <v>0</v>
      </c>
      <c r="E1002" s="67"/>
      <c r="F1002" s="58">
        <f t="shared" ref="F1002:L1002" si="992">SUMIFS($C1002,$B1002,F$7)+F1001</f>
        <v>26</v>
      </c>
      <c r="G1002" s="58">
        <f t="shared" si="992"/>
        <v>24</v>
      </c>
      <c r="H1002" s="58">
        <f t="shared" si="992"/>
        <v>12</v>
      </c>
      <c r="I1002" s="58">
        <f t="shared" si="992"/>
        <v>-20</v>
      </c>
      <c r="J1002" s="58">
        <f t="shared" si="992"/>
        <v>0</v>
      </c>
      <c r="K1002" s="58">
        <f t="shared" si="992"/>
        <v>0</v>
      </c>
      <c r="L1002" s="58">
        <f t="shared" si="992"/>
        <v>0</v>
      </c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ht="15.0" customHeight="1">
      <c r="A1003" s="70"/>
      <c r="B1003" s="71"/>
      <c r="C1003" s="66"/>
      <c r="D1003" s="66">
        <f t="shared" si="3"/>
        <v>0</v>
      </c>
      <c r="E1003" s="67"/>
      <c r="F1003" s="58">
        <f t="shared" ref="F1003:L1003" si="993">SUMIFS($C1003,$B1003,F$7)+F1002</f>
        <v>26</v>
      </c>
      <c r="G1003" s="58">
        <f t="shared" si="993"/>
        <v>24</v>
      </c>
      <c r="H1003" s="58">
        <f t="shared" si="993"/>
        <v>12</v>
      </c>
      <c r="I1003" s="58">
        <f t="shared" si="993"/>
        <v>-20</v>
      </c>
      <c r="J1003" s="58">
        <f t="shared" si="993"/>
        <v>0</v>
      </c>
      <c r="K1003" s="58">
        <f t="shared" si="993"/>
        <v>0</v>
      </c>
      <c r="L1003" s="58">
        <f t="shared" si="993"/>
        <v>0</v>
      </c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ht="15.0" customHeight="1">
      <c r="A1004" s="70"/>
      <c r="B1004" s="71"/>
      <c r="C1004" s="66"/>
      <c r="D1004" s="66">
        <f t="shared" si="3"/>
        <v>0</v>
      </c>
      <c r="E1004" s="67"/>
      <c r="F1004" s="58">
        <f t="shared" ref="F1004:L1004" si="994">SUMIFS($C1004,$B1004,F$7)+F1003</f>
        <v>26</v>
      </c>
      <c r="G1004" s="58">
        <f t="shared" si="994"/>
        <v>24</v>
      </c>
      <c r="H1004" s="58">
        <f t="shared" si="994"/>
        <v>12</v>
      </c>
      <c r="I1004" s="58">
        <f t="shared" si="994"/>
        <v>-20</v>
      </c>
      <c r="J1004" s="58">
        <f t="shared" si="994"/>
        <v>0</v>
      </c>
      <c r="K1004" s="58">
        <f t="shared" si="994"/>
        <v>0</v>
      </c>
      <c r="L1004" s="58">
        <f t="shared" si="994"/>
        <v>0</v>
      </c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ht="15.0" customHeight="1">
      <c r="A1005" s="70"/>
      <c r="B1005" s="71"/>
      <c r="C1005" s="66"/>
      <c r="D1005" s="66">
        <f t="shared" si="3"/>
        <v>0</v>
      </c>
      <c r="E1005" s="67"/>
      <c r="F1005" s="58">
        <f t="shared" ref="F1005:L1005" si="995">SUMIFS($C1005,$B1005,F$7)+F1004</f>
        <v>26</v>
      </c>
      <c r="G1005" s="58">
        <f t="shared" si="995"/>
        <v>24</v>
      </c>
      <c r="H1005" s="58">
        <f t="shared" si="995"/>
        <v>12</v>
      </c>
      <c r="I1005" s="58">
        <f t="shared" si="995"/>
        <v>-20</v>
      </c>
      <c r="J1005" s="58">
        <f t="shared" si="995"/>
        <v>0</v>
      </c>
      <c r="K1005" s="58">
        <f t="shared" si="995"/>
        <v>0</v>
      </c>
      <c r="L1005" s="58">
        <f t="shared" si="995"/>
        <v>0</v>
      </c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ht="15.0" customHeight="1">
      <c r="A1006" s="70"/>
      <c r="B1006" s="71"/>
      <c r="C1006" s="66"/>
      <c r="D1006" s="66">
        <f t="shared" si="3"/>
        <v>0</v>
      </c>
      <c r="E1006" s="67"/>
      <c r="F1006" s="58">
        <f t="shared" ref="F1006:L1006" si="996">SUMIFS($C1006,$B1006,F$7)+F1005</f>
        <v>26</v>
      </c>
      <c r="G1006" s="58">
        <f t="shared" si="996"/>
        <v>24</v>
      </c>
      <c r="H1006" s="58">
        <f t="shared" si="996"/>
        <v>12</v>
      </c>
      <c r="I1006" s="58">
        <f t="shared" si="996"/>
        <v>-20</v>
      </c>
      <c r="J1006" s="58">
        <f t="shared" si="996"/>
        <v>0</v>
      </c>
      <c r="K1006" s="58">
        <f t="shared" si="996"/>
        <v>0</v>
      </c>
      <c r="L1006" s="58">
        <f t="shared" si="996"/>
        <v>0</v>
      </c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ht="15.0" customHeight="1">
      <c r="A1007" s="70"/>
      <c r="B1007" s="71"/>
      <c r="C1007" s="66"/>
      <c r="D1007" s="66">
        <f t="shared" si="3"/>
        <v>0</v>
      </c>
      <c r="E1007" s="67"/>
      <c r="F1007" s="58">
        <f t="shared" ref="F1007:L1007" si="997">SUMIFS($C1007,$B1007,F$7)+F1006</f>
        <v>26</v>
      </c>
      <c r="G1007" s="58">
        <f t="shared" si="997"/>
        <v>24</v>
      </c>
      <c r="H1007" s="58">
        <f t="shared" si="997"/>
        <v>12</v>
      </c>
      <c r="I1007" s="58">
        <f t="shared" si="997"/>
        <v>-20</v>
      </c>
      <c r="J1007" s="58">
        <f t="shared" si="997"/>
        <v>0</v>
      </c>
      <c r="K1007" s="58">
        <f t="shared" si="997"/>
        <v>0</v>
      </c>
      <c r="L1007" s="58">
        <f t="shared" si="997"/>
        <v>0</v>
      </c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ht="15.0" customHeight="1">
      <c r="A1008" s="70"/>
      <c r="B1008" s="71"/>
      <c r="C1008" s="66"/>
      <c r="D1008" s="66">
        <f t="shared" si="3"/>
        <v>0</v>
      </c>
      <c r="E1008" s="67"/>
      <c r="F1008" s="58">
        <f t="shared" ref="F1008:L1008" si="998">SUMIFS($C1008,$B1008,F$7)+F1007</f>
        <v>26</v>
      </c>
      <c r="G1008" s="58">
        <f t="shared" si="998"/>
        <v>24</v>
      </c>
      <c r="H1008" s="58">
        <f t="shared" si="998"/>
        <v>12</v>
      </c>
      <c r="I1008" s="58">
        <f t="shared" si="998"/>
        <v>-20</v>
      </c>
      <c r="J1008" s="58">
        <f t="shared" si="998"/>
        <v>0</v>
      </c>
      <c r="K1008" s="58">
        <f t="shared" si="998"/>
        <v>0</v>
      </c>
      <c r="L1008" s="58">
        <f t="shared" si="998"/>
        <v>0</v>
      </c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ht="15.0" customHeight="1">
      <c r="A1009" s="70"/>
      <c r="B1009" s="71"/>
      <c r="C1009" s="66"/>
      <c r="D1009" s="66">
        <f t="shared" si="3"/>
        <v>0</v>
      </c>
      <c r="E1009" s="67"/>
      <c r="F1009" s="58">
        <f t="shared" ref="F1009:L1009" si="999">SUMIFS($C1009,$B1009,F$7)+F1008</f>
        <v>26</v>
      </c>
      <c r="G1009" s="58">
        <f t="shared" si="999"/>
        <v>24</v>
      </c>
      <c r="H1009" s="58">
        <f t="shared" si="999"/>
        <v>12</v>
      </c>
      <c r="I1009" s="58">
        <f t="shared" si="999"/>
        <v>-20</v>
      </c>
      <c r="J1009" s="58">
        <f t="shared" si="999"/>
        <v>0</v>
      </c>
      <c r="K1009" s="58">
        <f t="shared" si="999"/>
        <v>0</v>
      </c>
      <c r="L1009" s="58">
        <f t="shared" si="999"/>
        <v>0</v>
      </c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ht="15.0" customHeight="1">
      <c r="A1010" s="70"/>
      <c r="B1010" s="71"/>
      <c r="C1010" s="66"/>
      <c r="D1010" s="66">
        <f t="shared" si="3"/>
        <v>0</v>
      </c>
      <c r="E1010" s="67"/>
      <c r="F1010" s="58">
        <f t="shared" ref="F1010:L1010" si="1000">SUMIFS($C1010,$B1010,F$7)+F1009</f>
        <v>26</v>
      </c>
      <c r="G1010" s="58">
        <f t="shared" si="1000"/>
        <v>24</v>
      </c>
      <c r="H1010" s="58">
        <f t="shared" si="1000"/>
        <v>12</v>
      </c>
      <c r="I1010" s="58">
        <f t="shared" si="1000"/>
        <v>-20</v>
      </c>
      <c r="J1010" s="58">
        <f t="shared" si="1000"/>
        <v>0</v>
      </c>
      <c r="K1010" s="58">
        <f t="shared" si="1000"/>
        <v>0</v>
      </c>
      <c r="L1010" s="58">
        <f t="shared" si="1000"/>
        <v>0</v>
      </c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ht="15.0" customHeight="1">
      <c r="A1011" s="70"/>
      <c r="B1011" s="71"/>
      <c r="C1011" s="66"/>
      <c r="D1011" s="66">
        <f t="shared" si="3"/>
        <v>0</v>
      </c>
      <c r="E1011" s="67"/>
      <c r="F1011" s="58">
        <f t="shared" ref="F1011:L1011" si="1001">SUMIFS($C1011,$B1011,F$7)+F1010</f>
        <v>26</v>
      </c>
      <c r="G1011" s="58">
        <f t="shared" si="1001"/>
        <v>24</v>
      </c>
      <c r="H1011" s="58">
        <f t="shared" si="1001"/>
        <v>12</v>
      </c>
      <c r="I1011" s="58">
        <f t="shared" si="1001"/>
        <v>-20</v>
      </c>
      <c r="J1011" s="58">
        <f t="shared" si="1001"/>
        <v>0</v>
      </c>
      <c r="K1011" s="58">
        <f t="shared" si="1001"/>
        <v>0</v>
      </c>
      <c r="L1011" s="58">
        <f t="shared" si="1001"/>
        <v>0</v>
      </c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ht="15.0" customHeight="1">
      <c r="A1012" s="70"/>
      <c r="B1012" s="71"/>
      <c r="C1012" s="66"/>
      <c r="D1012" s="66">
        <f t="shared" si="3"/>
        <v>0</v>
      </c>
      <c r="E1012" s="67"/>
      <c r="F1012" s="58">
        <f t="shared" ref="F1012:L1012" si="1002">SUMIFS($C1012,$B1012,F$7)+F1011</f>
        <v>26</v>
      </c>
      <c r="G1012" s="58">
        <f t="shared" si="1002"/>
        <v>24</v>
      </c>
      <c r="H1012" s="58">
        <f t="shared" si="1002"/>
        <v>12</v>
      </c>
      <c r="I1012" s="58">
        <f t="shared" si="1002"/>
        <v>-20</v>
      </c>
      <c r="J1012" s="58">
        <f t="shared" si="1002"/>
        <v>0</v>
      </c>
      <c r="K1012" s="58">
        <f t="shared" si="1002"/>
        <v>0</v>
      </c>
      <c r="L1012" s="58">
        <f t="shared" si="1002"/>
        <v>0</v>
      </c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ht="15.0" customHeight="1">
      <c r="A1013" s="70"/>
      <c r="B1013" s="71"/>
      <c r="C1013" s="66"/>
      <c r="D1013" s="66">
        <f t="shared" si="3"/>
        <v>0</v>
      </c>
      <c r="E1013" s="67"/>
      <c r="F1013" s="58">
        <f t="shared" ref="F1013:L1013" si="1003">SUMIFS($C1013,$B1013,F$7)+F1012</f>
        <v>26</v>
      </c>
      <c r="G1013" s="58">
        <f t="shared" si="1003"/>
        <v>24</v>
      </c>
      <c r="H1013" s="58">
        <f t="shared" si="1003"/>
        <v>12</v>
      </c>
      <c r="I1013" s="58">
        <f t="shared" si="1003"/>
        <v>-20</v>
      </c>
      <c r="J1013" s="58">
        <f t="shared" si="1003"/>
        <v>0</v>
      </c>
      <c r="K1013" s="58">
        <f t="shared" si="1003"/>
        <v>0</v>
      </c>
      <c r="L1013" s="58">
        <f t="shared" si="1003"/>
        <v>0</v>
      </c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</sheetData>
  <mergeCells count="3">
    <mergeCell ref="A1:L1"/>
    <mergeCell ref="F8:L8"/>
    <mergeCell ref="F10:L10"/>
  </mergeCells>
  <dataValidations>
    <dataValidation type="list" allowBlank="1" sqref="B13:B1013">
      <formula1>#REF!</formula1>
    </dataValidation>
    <dataValidation type="custom" allowBlank="1" showDropDown="1" sqref="C13:D1013 F13:F1013 I13:I1013">
      <formula1>AND(ISNUMBER(C13),(NOT(OR(NOT(ISERROR(DATEVALUE(C13))), AND(ISNUMBER(C13), LEFT(CELL("format", C13))="D")))))</formula1>
    </dataValidation>
  </dataValidations>
  <drawing r:id="rId1"/>
  <tableParts count="1">
    <tablePart r:id="rId3"/>
  </tableParts>
</worksheet>
</file>