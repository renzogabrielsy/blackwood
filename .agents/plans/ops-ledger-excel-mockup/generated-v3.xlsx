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comments4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OQ Summary" sheetId="1" state="visible" r:id="rId3"/>
    <sheet name="JULY 2026" sheetId="2" state="visible" r:id="rId4"/>
    <sheet name="AUGUST 2026" sheetId="3" state="visible" r:id="rId5"/>
    <sheet name="SEPTEMBER 2026" sheetId="4" state="visible" r:id="rId6"/>
    <sheet name="RC Movement" sheetId="5" state="visible" r:id="rId7"/>
    <sheet name="Check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Blackwood</author>
  </authors>
  <commentList>
    <comment ref="K7" authorId="0">
      <text>
        <r>
          <rPr>
            <sz val="10"/>
            <rFont val="Arial"/>
            <family val="2"/>
          </rPr>
          <t xml:space="preserve">The group shows the resiko RATIO only. A resiko kg total is deliberately not shown: a block fed by two campaigns would be counted twice.</t>
        </r>
      </text>
    </comment>
    <comment ref="M7" authorId="0">
      <text>
        <r>
          <rPr>
            <sz val="10"/>
            <rFont val="Arial"/>
            <family val="2"/>
          </rPr>
          <t xml:space="preserve">Blank until EVERY campaign in the group is fully covered (all blocks closed and priced).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Blackwood</author>
  </authors>
  <commentList>
    <comment ref="J66" authorId="0">
      <text>
        <r>
          <rPr>
            <sz val="10"/>
            <rFont val="Arial"/>
            <family val="2"/>
          </rPr>
          <t xml:space="preserve">Block price weighted by this campaign's fed kg, over the blocks inside the price set (closed and fully priced).</t>
        </r>
      </text>
    </comment>
    <comment ref="L66" authorId="0">
      <text>
        <r>
          <rPr>
            <sz val="10"/>
            <rFont val="Arial"/>
            <family val="2"/>
          </rPr>
          <t xml:space="preserve"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  <comment ref="M4" authorId="0">
      <text>
        <r>
          <rPr>
            <sz val="10"/>
            <rFont val="Arial"/>
            <family val="2"/>
          </rPr>
          <t xml:space="preserve">Blank on purpose until every block this campaign fed is CLOSED and fully priced.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Blackwood</author>
  </authors>
  <commentList>
    <comment ref="J63" authorId="0">
      <text>
        <r>
          <rPr>
            <sz val="10"/>
            <rFont val="Arial"/>
            <family val="2"/>
          </rPr>
          <t xml:space="preserve">Block price weighted by this campaign's fed kg, over the blocks inside the price set (closed and fully priced).</t>
        </r>
      </text>
    </comment>
    <comment ref="L63" authorId="0">
      <text>
        <r>
          <rPr>
            <sz val="10"/>
            <rFont val="Arial"/>
            <family val="2"/>
          </rPr>
          <t xml:space="preserve"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  <comment ref="M4" authorId="0">
      <text>
        <r>
          <rPr>
            <sz val="10"/>
            <rFont val="Arial"/>
            <family val="2"/>
          </rPr>
          <t xml:space="preserve">Blank on purpose until every block this campaign fed is CLOSED and fully priced.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Blackwood</author>
  </authors>
  <commentList>
    <comment ref="H42" authorId="0">
      <text>
        <r>
          <rPr>
            <sz val="10"/>
            <rFont val="Arial"/>
            <family val="2"/>
          </rPr>
          <t xml:space="preserve">Still open — 18,685 kg remains in the pile. Not a loss yet.</t>
        </r>
      </text>
    </comment>
    <comment ref="H44" authorId="0">
      <text>
        <r>
          <rPr>
            <sz val="10"/>
            <rFont val="Arial"/>
            <family val="2"/>
          </rPr>
          <t xml:space="preserve">Still open — 13,864 kg remains in the pile. Not a loss yet.</t>
        </r>
      </text>
    </comment>
    <comment ref="H45" authorId="0">
      <text>
        <r>
          <rPr>
            <sz val="10"/>
            <rFont val="Arial"/>
            <family val="2"/>
          </rPr>
          <t xml:space="preserve">Still open — 19,656 kg remains in the pile. Not a loss yet.</t>
        </r>
      </text>
    </comment>
    <comment ref="H46" authorId="0">
      <text>
        <r>
          <rPr>
            <sz val="10"/>
            <rFont val="Arial"/>
            <family val="2"/>
          </rPr>
          <t xml:space="preserve">Still open — 10,000 kg remains in the pile. Not a loss yet.</t>
        </r>
      </text>
    </comment>
    <comment ref="J47" authorId="0">
      <text>
        <r>
          <rPr>
            <sz val="10"/>
            <rFont val="Arial"/>
            <family val="2"/>
          </rPr>
          <t xml:space="preserve">Block price weighted by this campaign's fed kg, over the blocks inside the price set (closed and fully priced).</t>
        </r>
      </text>
    </comment>
    <comment ref="L47" authorId="0">
      <text>
        <r>
          <rPr>
            <sz val="10"/>
            <rFont val="Arial"/>
            <family val="2"/>
          </rPr>
          <t xml:space="preserve">RESIKO COST on the WHOLE-BLOCK basis, as the app publishes it: pesos paid / lifetime fed kg, minus pesos paid / arrival kg, over the price set. Note the ACTUAL price beside it is campaign-attributed, so FED PRICE + RESIKO COST is close to, but not exactly, ACTUAL.</t>
        </r>
      </text>
    </comment>
    <comment ref="M4" authorId="0">
      <text>
        <r>
          <rPr>
            <sz val="10"/>
            <rFont val="Arial"/>
            <family val="2"/>
          </rPr>
          <t xml:space="preserve">Blank on purpose until every block this campaign fed is CLOSED and fully priced.</t>
        </r>
      </text>
    </comment>
  </commentList>
</comments>
</file>

<file path=xl/sharedStrings.xml><?xml version="1.0" encoding="utf-8"?>
<sst xmlns="http://schemas.openxmlformats.org/spreadsheetml/2006/main" count="810" uniqueCount="198">
  <si>
    <t xml:space="preserve">EOQ SUMMARY — Q3 2026</t>
  </si>
  <si>
    <t xml:space="preserve">CAMPAIGN</t>
  </si>
  <si>
    <t xml:space="preserve">RC FED (t)</t>
  </si>
  <si>
    <t xml:space="preserve">PRODUCED (t)</t>
  </si>
  <si>
    <t xml:space="preserve">YIELD</t>
  </si>
  <si>
    <t xml:space="preserve">LOSS</t>
  </si>
  <si>
    <t xml:space="preserve">WASTE (kg)</t>
  </si>
  <si>
    <t xml:space="preserve">WASTE %</t>
  </si>
  <si>
    <t xml:space="preserve">FED PRICE (₱/kg)</t>
  </si>
  <si>
    <t xml:space="preserve">ACTUAL FED PRICE (₱/kg)</t>
  </si>
  <si>
    <t xml:space="preserve">RESIKO COST (₱/kg)</t>
  </si>
  <si>
    <t xml:space="preserve">RESIKO LOSS</t>
  </si>
  <si>
    <t xml:space="preserve">PC COST (₱/kg)</t>
  </si>
  <si>
    <t xml:space="preserve">TRUE PC COST (₱/kg)</t>
  </si>
  <si>
    <t xml:space="preserve">fed kg in price set</t>
  </si>
  <si>
    <t xml:space="preserve">JULY 2026</t>
  </si>
  <si>
    <t xml:space="preserve">AUGUST 2026</t>
  </si>
  <si>
    <t xml:space="preserve">SEPTEMBER 2026</t>
  </si>
  <si>
    <t xml:space="preserve">GROUP · Q3 2026</t>
  </si>
  <si>
    <t xml:space="preserve">CHECKS</t>
  </si>
  <si>
    <t xml:space="preserve">JULY 2026 — PLANT OPERATIONS</t>
  </si>
  <si>
    <t xml:space="preserve">EOM ROLLUP</t>
  </si>
  <si>
    <t xml:space="preserve">DAY</t>
  </si>
  <si>
    <t xml:space="preserve">PRICE</t>
  </si>
  <si>
    <t xml:space="preserve">FED</t>
  </si>
  <si>
    <t xml:space="preserve">PRODUCED</t>
  </si>
  <si>
    <t xml:space="preserve">WASTE</t>
  </si>
  <si>
    <t xml:space="preserve">SHIFT</t>
  </si>
  <si>
    <t xml:space="preserve">GRADES</t>
  </si>
  <si>
    <t xml:space="preserve">WASTE STREAMS</t>
  </si>
  <si>
    <t xml:space="preserve">DATE</t>
  </si>
  <si>
    <t xml:space="preserve">FED PRICE ₱/kg</t>
  </si>
  <si>
    <t xml:space="preserve">TTL FED kg</t>
  </si>
  <si>
    <t xml:space="preserve">TTL PROD kg</t>
  </si>
  <si>
    <t xml:space="preserve">WASTE kg</t>
  </si>
  <si>
    <t xml:space="preserve">SHIFTS</t>
  </si>
  <si>
    <t xml:space="preserve">DT HRS</t>
  </si>
  <si>
    <t xml:space="preserve">3X50 kg</t>
  </si>
  <si>
    <t xml:space="preserve">6X50 kg</t>
  </si>
  <si>
    <t xml:space="preserve">8X50 kg</t>
  </si>
  <si>
    <t xml:space="preserve">2X6 kg</t>
  </si>
  <si>
    <t xml:space="preserve">4X8 kg</t>
  </si>
  <si>
    <t xml:space="preserve">TRML 1 kg</t>
  </si>
  <si>
    <t xml:space="preserve">TRML 2 kg</t>
  </si>
  <si>
    <t xml:space="preserve">RS1A kg</t>
  </si>
  <si>
    <t xml:space="preserve">RS1B kg</t>
  </si>
  <si>
    <t xml:space="preserve">RS2/3 kg</t>
  </si>
  <si>
    <t xml:space="preserve">RS5 kg</t>
  </si>
  <si>
    <t xml:space="preserve">BF kg</t>
  </si>
  <si>
    <t xml:space="preserve">GRITS kg</t>
  </si>
  <si>
    <t xml:space="preserve">Tue</t>
  </si>
  <si>
    <t xml:space="preserve">Wed</t>
  </si>
  <si>
    <t xml:space="preserve">Thu</t>
  </si>
  <si>
    <t xml:space="preserve">Fri</t>
  </si>
  <si>
    <t xml:space="preserve">Sat</t>
  </si>
  <si>
    <t xml:space="preserve">Sun</t>
  </si>
  <si>
    <t xml:space="preserve">Mon</t>
  </si>
  <si>
    <t xml:space="preserve">33 d</t>
  </si>
  <si>
    <t xml:space="preserve">BLOCKS USED</t>
  </si>
  <si>
    <t xml:space="preserve">FED WT is this campaign's kg (linked to the RC Movement tab), not the block's lifetime. RESIKO is only a loss once the block is CLOSED.</t>
  </si>
  <si>
    <t xml:space="preserve">BATCH</t>
  </si>
  <si>
    <t xml:space="preserve">BLOCK LOC</t>
  </si>
  <si>
    <t xml:space="preserve">DATE OPEN</t>
  </si>
  <si>
    <t xml:space="preserve">DATE CLOSE</t>
  </si>
  <si>
    <t xml:space="preserve">STATE</t>
  </si>
  <si>
    <t xml:space="preserve">FED WT kg</t>
  </si>
  <si>
    <t xml:space="preserve">ARRV WT kg</t>
  </si>
  <si>
    <t xml:space="preserve">RESIKO kg</t>
  </si>
  <si>
    <t xml:space="preserve">RESIKO LOSS %</t>
  </si>
  <si>
    <t xml:space="preserve">BLOCK PRICE ₱/kg</t>
  </si>
  <si>
    <t xml:space="preserve">ACTUAL PRICE ₱/kg</t>
  </si>
  <si>
    <t xml:space="preserve">RESIKO PRICE ₱/kg</t>
  </si>
  <si>
    <t xml:space="preserve">IN PRICE SET</t>
  </si>
  <si>
    <t xml:space="preserve">FEB-26-BLK4</t>
  </si>
  <si>
    <t xml:space="preserve">A-7C</t>
  </si>
  <si>
    <t xml:space="preserve">CLOSED</t>
  </si>
  <si>
    <t xml:space="preserve">Y</t>
  </si>
  <si>
    <t xml:space="preserve">JULY-25-BLK9</t>
  </si>
  <si>
    <t xml:space="preserve">C-11B</t>
  </si>
  <si>
    <t xml:space="preserve">MARCH-26-BLK26</t>
  </si>
  <si>
    <t xml:space="preserve">A-5B</t>
  </si>
  <si>
    <t xml:space="preserve">MARCH-26-BLK9</t>
  </si>
  <si>
    <t xml:space="preserve">C-6A</t>
  </si>
  <si>
    <t xml:space="preserve">OCT-25-BLK25</t>
  </si>
  <si>
    <t xml:space="preserve">D-7B</t>
  </si>
  <si>
    <t xml:space="preserve">JUNE-26-FEED7</t>
  </si>
  <si>
    <t xml:space="preserve">—</t>
  </si>
  <si>
    <t xml:space="preserve">AUG-25-BLK2</t>
  </si>
  <si>
    <t xml:space="preserve">C-12A</t>
  </si>
  <si>
    <t xml:space="preserve">JULY-26-FEED1</t>
  </si>
  <si>
    <t xml:space="preserve">FOR FEEDING</t>
  </si>
  <si>
    <t xml:space="preserve">AUG-25-BLK4</t>
  </si>
  <si>
    <t xml:space="preserve">C-12B</t>
  </si>
  <si>
    <t xml:space="preserve">FEB-26-BLK1</t>
  </si>
  <si>
    <t xml:space="preserve">A-7B</t>
  </si>
  <si>
    <t xml:space="preserve">JAN-26-BLK3</t>
  </si>
  <si>
    <t xml:space="preserve">A-9B</t>
  </si>
  <si>
    <t xml:space="preserve">NOV-25-BLK7</t>
  </si>
  <si>
    <t xml:space="preserve">D-15A</t>
  </si>
  <si>
    <t xml:space="preserve">JAN-26-BLK1</t>
  </si>
  <si>
    <t xml:space="preserve">A-9A</t>
  </si>
  <si>
    <t xml:space="preserve">JULY-26-FEED2</t>
  </si>
  <si>
    <t xml:space="preserve">JAN-26-BLK19</t>
  </si>
  <si>
    <t xml:space="preserve">A-8C</t>
  </si>
  <si>
    <t xml:space="preserve">OCT-25-BLK10</t>
  </si>
  <si>
    <t xml:space="preserve">D-7C</t>
  </si>
  <si>
    <t xml:space="preserve">JAN-26-BLK15</t>
  </si>
  <si>
    <t xml:space="preserve">A-11A</t>
  </si>
  <si>
    <t xml:space="preserve">JAN-26-BLK18</t>
  </si>
  <si>
    <t xml:space="preserve">A-8B</t>
  </si>
  <si>
    <t xml:space="preserve">JAN-26-BLK22</t>
  </si>
  <si>
    <t xml:space="preserve">A-7A</t>
  </si>
  <si>
    <t xml:space="preserve">19 blocks</t>
  </si>
  <si>
    <t xml:space="preserve">AUGUST 2026 — PLANT OPERATIONS</t>
  </si>
  <si>
    <t xml:space="preserve">29 d</t>
  </si>
  <si>
    <t xml:space="preserve">AUG-26-FEED1</t>
  </si>
  <si>
    <t xml:space="preserve">JULY-26-BLK14</t>
  </si>
  <si>
    <t xml:space="preserve">D-13C</t>
  </si>
  <si>
    <t xml:space="preserve">JULY-26-BLK12</t>
  </si>
  <si>
    <t xml:space="preserve">D-20B</t>
  </si>
  <si>
    <t xml:space="preserve">JULY-26-BLK2</t>
  </si>
  <si>
    <t xml:space="preserve">D-13D</t>
  </si>
  <si>
    <t xml:space="preserve">JAN-26-BLK14</t>
  </si>
  <si>
    <t xml:space="preserve">A-8A</t>
  </si>
  <si>
    <t xml:space="preserve">NOV-25-BLK17</t>
  </si>
  <si>
    <t xml:space="preserve">D-15B</t>
  </si>
  <si>
    <t xml:space="preserve">AUG-26-FEED2</t>
  </si>
  <si>
    <t xml:space="preserve">AUGUST-26-BLK3</t>
  </si>
  <si>
    <t xml:space="preserve">D-12D</t>
  </si>
  <si>
    <t xml:space="preserve">MARCH-26-BLK17</t>
  </si>
  <si>
    <t xml:space="preserve">A-5A</t>
  </si>
  <si>
    <t xml:space="preserve">JUNE-26-BLK6</t>
  </si>
  <si>
    <t xml:space="preserve">D-20D</t>
  </si>
  <si>
    <t xml:space="preserve">AUGUST-26-FEED3</t>
  </si>
  <si>
    <t xml:space="preserve">AUGUST-26-FEED4</t>
  </si>
  <si>
    <t xml:space="preserve">JULY-26-BLK13</t>
  </si>
  <si>
    <t xml:space="preserve">C-6B</t>
  </si>
  <si>
    <t xml:space="preserve">AUG-26-FEED5</t>
  </si>
  <si>
    <t xml:space="preserve">AUG-26-RECOOKED1</t>
  </si>
  <si>
    <t xml:space="preserve">JULY-26-BLK5</t>
  </si>
  <si>
    <t xml:space="preserve">A-17C</t>
  </si>
  <si>
    <t xml:space="preserve">SEPT-25-BLK4</t>
  </si>
  <si>
    <t xml:space="preserve">D-7D</t>
  </si>
  <si>
    <t xml:space="preserve">20 blocks</t>
  </si>
  <si>
    <t xml:space="preserve">SEPTEMBER 2026 — PLANT OPERATIONS</t>
  </si>
  <si>
    <t xml:space="preserve">19 d</t>
  </si>
  <si>
    <t xml:space="preserve">JULY-26-BLK10</t>
  </si>
  <si>
    <t xml:space="preserve">SEPTEMBER-26-FEED1</t>
  </si>
  <si>
    <t xml:space="preserve">NOV-25-BLK13</t>
  </si>
  <si>
    <t xml:space="preserve">D-8A</t>
  </si>
  <si>
    <t xml:space="preserve">FEB-26-BLK12</t>
  </si>
  <si>
    <t xml:space="preserve">A-6C</t>
  </si>
  <si>
    <t xml:space="preserve">SEPT-26-FEED2</t>
  </si>
  <si>
    <t xml:space="preserve">NOV-25-BLK12</t>
  </si>
  <si>
    <t xml:space="preserve">D-8B</t>
  </si>
  <si>
    <t xml:space="preserve">FEB-26-BLK9</t>
  </si>
  <si>
    <t xml:space="preserve">A-6B</t>
  </si>
  <si>
    <t xml:space="preserve">OPEN</t>
  </si>
  <si>
    <t xml:space="preserve">N</t>
  </si>
  <si>
    <t xml:space="preserve">SEPT-26-FEED3</t>
  </si>
  <si>
    <t xml:space="preserve">JUNE-26-BLK2</t>
  </si>
  <si>
    <t xml:space="preserve">A-17B</t>
  </si>
  <si>
    <t xml:space="preserve">NOV-25-BLK5</t>
  </si>
  <si>
    <t xml:space="preserve">D-8C</t>
  </si>
  <si>
    <t xml:space="preserve">SEPT-26-FEED4</t>
  </si>
  <si>
    <t xml:space="preserve">14 blocks</t>
  </si>
  <si>
    <t xml:space="preserve">RC MOVEMENT — Q3 2026</t>
  </si>
  <si>
    <t xml:space="preserve">JULY 2026 · 2026-06-30 → 2026-08-01 · 33 days · 19 blocks</t>
  </si>
  <si>
    <t xml:space="preserve">#</t>
  </si>
  <si>
    <t xml:space="preserve">FED ₱/kg</t>
  </si>
  <si>
    <t xml:space="preserve">TOTAL FED kg</t>
  </si>
  <si>
    <t xml:space="preserve">FED kg (this campaign)</t>
  </si>
  <si>
    <t xml:space="preserve">₱/KG (block price)</t>
  </si>
  <si>
    <t xml:space="preserve">LOSS % (resiko)</t>
  </si>
  <si>
    <t xml:space="preserve">ACTUAL ₱/kg</t>
  </si>
  <si>
    <t xml:space="preserve">AUGUST 2026 · 2026-08-01 → 2026-08-29 · 29 days · 20 blocks</t>
  </si>
  <si>
    <t xml:space="preserve">SEPTEMBER 2026 · 2026-08-29 → 2026-09-16 · 19 days · 14 blocks</t>
  </si>
  <si>
    <t xml:space="preserve">CHECKS — the workbook's formulas against the database's own figures</t>
  </si>
  <si>
    <t xml:space="preserve">WORKBOOK is a live link to the formula cell. DATABASE is the figure the Blackwood views published on 2026-09-17. A row reads CHECK when they differ by more than the tolerance.</t>
  </si>
  <si>
    <t xml:space="preserve">FIGURE</t>
  </si>
  <si>
    <t xml:space="preserve">WORKBOOK</t>
  </si>
  <si>
    <t xml:space="preserve">DATABASE</t>
  </si>
  <si>
    <t xml:space="preserve">DIFFERENCE</t>
  </si>
  <si>
    <t xml:space="preserve">STATUS</t>
  </si>
  <si>
    <t xml:space="preserve">TOLERANCE</t>
  </si>
  <si>
    <t xml:space="preserve">RC fed kg</t>
  </si>
  <si>
    <t xml:space="preserve">Produced kg</t>
  </si>
  <si>
    <t xml:space="preserve">Yield</t>
  </si>
  <si>
    <t xml:space="preserve">Loss</t>
  </si>
  <si>
    <t xml:space="preserve">Waste kg</t>
  </si>
  <si>
    <t xml:space="preserve">Waste %</t>
  </si>
  <si>
    <t xml:space="preserve">Fed price</t>
  </si>
  <si>
    <t xml:space="preserve">Actual fed price</t>
  </si>
  <si>
    <t xml:space="preserve">Resiko cost</t>
  </si>
  <si>
    <t xml:space="preserve">Resiko loss</t>
  </si>
  <si>
    <t xml:space="preserve">PC cost</t>
  </si>
  <si>
    <t xml:space="preserve">True PC cost</t>
  </si>
  <si>
    <t xml:space="preserve">Fed kg in price set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</si>
</sst>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"/>
    <numFmt numFmtId="166" formatCode="0.00%;\-0.00%;;@"/>
    <numFmt numFmtId="167" formatCode="#,##0.0;\-#,##0.0;;@"/>
    <numFmt numFmtId="168" formatCode="\₱#,##0.00;&quot;-₱&quot;#,##0.00;;@"/>
    <numFmt numFmtId="169" formatCode="#,##0;\-#,##0;;@"/>
    <numFmt numFmtId="170" formatCode="m/d/yyyy"/>
    <numFmt numFmtId="171" formatCode="0.00;\-0.00;;@"/>
    <numFmt numFmtId="172" formatCode="0.#####"/>
    <numFmt numFmtId="173" formatCode="0.0000%"/>
    <numFmt numFmtId="174" formatCode="\₱0.0000"/>
    <numFmt numFmtId="175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9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DEDED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EDEDED"/>
      </patternFill>
    </fill>
    <fill>
      <patternFill patternType="solid">
        <fgColor rgb="FFE4DFEC"/>
        <bgColor rgb="FFDDEBF7"/>
      </patternFill>
    </fill>
    <fill>
      <patternFill patternType="solid">
        <fgColor rgb="FFF2F2F2"/>
        <bgColor rgb="FFF7F7F7"/>
      </patternFill>
    </fill>
    <fill>
      <patternFill patternType="solid">
        <fgColor rgb="FFF7F7F7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8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3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7F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EDEDED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3"/>
  </cols>
  <sheetData>
    <row r="1" customFormat="false" ht="17.35" hidden="false" customHeight="false" outlineLevel="0" collapsed="false">
      <c r="A1" s="1" t="s">
        <v>0</v>
      </c>
    </row>
    <row r="3" customFormat="false" ht="31.5" hidden="false" customHeight="true" outlineLevel="0" collapsed="false">
      <c r="A3" s="2" t="s">
        <v>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customFormat="false" ht="15" hidden="false" customHeight="false" outlineLevel="0" collapsed="false">
      <c r="A4" s="9" t="s">
        <v>15</v>
      </c>
      <c r="B4" s="10" t="n">
        <f aca="false">'JULY 2026'!B4</f>
        <v>781.234</v>
      </c>
      <c r="C4" s="10" t="n">
        <f aca="false">'JULY 2026'!C4</f>
        <v>621.201</v>
      </c>
      <c r="D4" s="11" t="n">
        <f aca="false">'JULY 2026'!D4</f>
        <v>0.795153564745006</v>
      </c>
      <c r="E4" s="11" t="n">
        <f aca="false">'JULY 2026'!E4</f>
        <v>0.204846435254994</v>
      </c>
      <c r="F4" s="12" t="n">
        <f aca="false">'JULY 2026'!F4</f>
        <v>106506.5</v>
      </c>
      <c r="G4" s="11" t="n">
        <f aca="false">'JULY 2026'!G4</f>
        <v>0.171452557223829</v>
      </c>
      <c r="H4" s="13" t="n">
        <f aca="false">'JULY 2026'!H4</f>
        <v>45.3377189854768</v>
      </c>
      <c r="I4" s="13" t="n">
        <f aca="false">'JULY 2026'!I4</f>
        <v>47.5779977948988</v>
      </c>
      <c r="J4" s="13" t="n">
        <f aca="false">'JULY 2026'!J4</f>
        <v>2.17148932488073</v>
      </c>
      <c r="K4" s="11" t="n">
        <f aca="false">'JULY 2026'!K4</f>
        <v>0.0449976006084781</v>
      </c>
      <c r="L4" s="13" t="n">
        <f aca="false">'JULY 2026'!L4</f>
        <v>57.0175636451004</v>
      </c>
      <c r="M4" s="13" t="n">
        <f aca="false">IF('JULY 2026'!M4="","",'JULY 2026'!M4)</f>
        <v>59.8349801904697</v>
      </c>
      <c r="N4" s="14" t="n">
        <f aca="false">'JULY 2026'!N4</f>
        <v>781234</v>
      </c>
    </row>
    <row r="5" customFormat="false" ht="15" hidden="false" customHeight="false" outlineLevel="0" collapsed="false">
      <c r="A5" s="9" t="s">
        <v>16</v>
      </c>
      <c r="B5" s="10" t="n">
        <f aca="false">'AUGUST 2026'!B4</f>
        <v>697.313</v>
      </c>
      <c r="C5" s="10" t="n">
        <f aca="false">'AUGUST 2026'!C4</f>
        <v>553.376</v>
      </c>
      <c r="D5" s="11" t="n">
        <f aca="false">'AUGUST 2026'!D4</f>
        <v>0.793583369304746</v>
      </c>
      <c r="E5" s="11" t="n">
        <f aca="false">'AUGUST 2026'!E4</f>
        <v>0.206416630695255</v>
      </c>
      <c r="F5" s="12" t="n">
        <f aca="false">'AUGUST 2026'!F4</f>
        <v>78954.5</v>
      </c>
      <c r="G5" s="11" t="n">
        <f aca="false">'AUGUST 2026'!G4</f>
        <v>0.142677853755855</v>
      </c>
      <c r="H5" s="13" t="n">
        <f aca="false">'AUGUST 2026'!H4</f>
        <v>42.7720353402274</v>
      </c>
      <c r="I5" s="13" t="n">
        <f aca="false">'AUGUST 2026'!I4</f>
        <v>43.9392156159429</v>
      </c>
      <c r="J5" s="13" t="n">
        <f aca="false">'AUGUST 2026'!J4</f>
        <v>1.08421648515181</v>
      </c>
      <c r="K5" s="11" t="n">
        <f aca="false">'AUGUST 2026'!K4</f>
        <v>0.0246065666921956</v>
      </c>
      <c r="L5" s="13" t="n">
        <f aca="false">'AUGUST 2026'!L4</f>
        <v>53.8973433600301</v>
      </c>
      <c r="M5" s="13" t="n">
        <f aca="false">IF('AUGUST 2026'!M4="","",'AUGUST 2026'!M4)</f>
        <v>55.3681154563985</v>
      </c>
      <c r="N5" s="14" t="n">
        <f aca="false">'AUGUST 2026'!N4</f>
        <v>697313</v>
      </c>
    </row>
    <row r="6" customFormat="false" ht="15" hidden="false" customHeight="false" outlineLevel="0" collapsed="false">
      <c r="A6" s="9" t="s">
        <v>17</v>
      </c>
      <c r="B6" s="10" t="n">
        <f aca="false">'SEPTEMBER 2026'!B4</f>
        <v>500.744</v>
      </c>
      <c r="C6" s="10" t="n">
        <f aca="false">'SEPTEMBER 2026'!C4</f>
        <v>372.822</v>
      </c>
      <c r="D6" s="11" t="n">
        <f aca="false">'SEPTEMBER 2026'!D4</f>
        <v>0.744536130238206</v>
      </c>
      <c r="E6" s="11" t="n">
        <f aca="false">'SEPTEMBER 2026'!E4</f>
        <v>0.255463869761794</v>
      </c>
      <c r="F6" s="12" t="n">
        <f aca="false">'SEPTEMBER 2026'!F4</f>
        <v>59283.5</v>
      </c>
      <c r="G6" s="11" t="n">
        <f aca="false">'SEPTEMBER 2026'!G4</f>
        <v>0.159012880141193</v>
      </c>
      <c r="H6" s="13" t="n">
        <f aca="false">'SEPTEMBER 2026'!H4</f>
        <v>43.0602680836915</v>
      </c>
      <c r="I6" s="13" t="n">
        <f aca="false">'SEPTEMBER 2026'!I4</f>
        <v>44.0298325281777</v>
      </c>
      <c r="J6" s="13" t="n">
        <f aca="false">'SEPTEMBER 2026'!J4</f>
        <v>0.905953468020798</v>
      </c>
      <c r="K6" s="11" t="n">
        <f aca="false">'SEPTEMBER 2026'!K4</f>
        <v>0.0207727155537549</v>
      </c>
      <c r="L6" s="13" t="n">
        <f aca="false">'SEPTEMBER 2026'!L4</f>
        <v>57.8350281938834</v>
      </c>
      <c r="M6" s="13" t="str">
        <f aca="false">IF('SEPTEMBER 2026'!M4="","",'SEPTEMBER 2026'!M4)</f>
        <v/>
      </c>
      <c r="N6" s="14" t="n">
        <f aca="false">'SEPTEMBER 2026'!N4</f>
        <v>362787</v>
      </c>
    </row>
    <row r="7" customFormat="false" ht="15" hidden="false" customHeight="false" outlineLevel="0" collapsed="false">
      <c r="A7" s="15" t="s">
        <v>18</v>
      </c>
      <c r="B7" s="16" t="n">
        <f aca="false">SUM(B4:B6)</f>
        <v>1979.291</v>
      </c>
      <c r="C7" s="16" t="n">
        <f aca="false">SUM(C4:C6)</f>
        <v>1547.399</v>
      </c>
      <c r="D7" s="17" t="n">
        <f aca="false">C7/B7</f>
        <v>0.78179459210394</v>
      </c>
      <c r="E7" s="17" t="n">
        <f aca="false">1-D7</f>
        <v>0.21820540789606</v>
      </c>
      <c r="F7" s="18" t="n">
        <f aca="false">SUM(F4:F6)</f>
        <v>244744.5</v>
      </c>
      <c r="G7" s="17" t="n">
        <f aca="false">F7/(C7*1000)</f>
        <v>0.158165088642296</v>
      </c>
      <c r="H7" s="19" t="n">
        <f aca="false">SUMPRODUCT(H4:H6,B4:B6)/SUM(B4:B6)</f>
        <v>43.8576413040831</v>
      </c>
      <c r="I7" s="19" t="n">
        <f aca="false">SUMPRODUCT(I4:I6,N4:N6)/SUM(N4:N6)</f>
        <v>45.5009176181508</v>
      </c>
      <c r="J7" s="19" t="n">
        <f aca="false">SUMPRODUCT(J4:J6,N4:N6)/SUM(N4:N6)</f>
        <v>1.51039826666286</v>
      </c>
      <c r="K7" s="17" t="n">
        <f aca="false">SUMPRODUCT(K4:K6,N4:N6)/SUM(N4:N6)</f>
        <v>0.0325026342375684</v>
      </c>
      <c r="L7" s="19" t="n">
        <f aca="false">H7/D7</f>
        <v>56.0986757225512</v>
      </c>
      <c r="M7" s="19" t="str">
        <f aca="false">IF(COUNTBLANK(M4:M6)=0,I7/D7,"")</f>
        <v/>
      </c>
      <c r="N7" s="20" t="n">
        <f aca="false">SUM(N4:N6)</f>
        <v>1841334</v>
      </c>
    </row>
    <row r="9" customFormat="false" ht="15" hidden="false" customHeight="false" outlineLevel="0" collapsed="false">
      <c r="A9" s="21" t="s">
        <v>19</v>
      </c>
      <c r="B9" s="9" t="str">
        <f aca="false">IF(COUNTIF(Checks!F:F,"CHECK")=0,"All "&amp;COUNTIF(Checks!F:F,"OK*")&amp;" checks agree with the database",COUNTIF(Checks!F:F,"CHECK")&amp;" of "&amp;(COUNTIF(Checks!F:F,"OK*")+COUNTIF(Checks!F:F,"CHECK"))&amp;" checks differ — see the Checks tab")</f>
        <v>All 39 checks agree with the database</v>
      </c>
      <c r="C9" s="9"/>
      <c r="D9" s="9"/>
      <c r="E9" s="9"/>
      <c r="F9" s="9"/>
      <c r="G9" s="9"/>
      <c r="H9" s="9"/>
    </row>
  </sheetData>
  <mergeCells count="1">
    <mergeCell ref="B9:H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1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22" min="14" style="0" width="10"/>
  </cols>
  <sheetData>
    <row r="1" customFormat="false" ht="17.35" hidden="false" customHeight="false" outlineLevel="0" collapsed="false">
      <c r="A1" s="1" t="s">
        <v>20</v>
      </c>
    </row>
    <row r="3" customFormat="false" ht="30" hidden="false" customHeight="true" outlineLevel="0" collapsed="false">
      <c r="A3" s="21" t="s">
        <v>21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customFormat="false" ht="15" hidden="false" customHeight="false" outlineLevel="0" collapsed="false">
      <c r="A4" s="9" t="s">
        <v>15</v>
      </c>
      <c r="B4" s="22" t="n">
        <f aca="false">D42/1000</f>
        <v>781.234</v>
      </c>
      <c r="C4" s="22" t="n">
        <f aca="false">E42/1000</f>
        <v>621.201</v>
      </c>
      <c r="D4" s="23" t="n">
        <f aca="false">E42/D42</f>
        <v>0.795153564745006</v>
      </c>
      <c r="E4" s="23" t="n">
        <f aca="false">1-D4</f>
        <v>0.204846435254994</v>
      </c>
      <c r="F4" s="24" t="n">
        <f aca="false">F42</f>
        <v>106506.5</v>
      </c>
      <c r="G4" s="23" t="n">
        <f aca="false">F42/E42</f>
        <v>0.171452557223829</v>
      </c>
      <c r="H4" s="25" t="n">
        <f aca="false">C42</f>
        <v>45.3377189854768</v>
      </c>
      <c r="I4" s="25" t="n">
        <f aca="false">K66</f>
        <v>47.5779977948988</v>
      </c>
      <c r="J4" s="25" t="n">
        <f aca="false">L66</f>
        <v>2.17148932488073</v>
      </c>
      <c r="K4" s="23" t="n">
        <f aca="false">I66</f>
        <v>0.0449976006084781</v>
      </c>
      <c r="L4" s="25" t="n">
        <f aca="false">H4/D4</f>
        <v>57.0175636451004</v>
      </c>
      <c r="M4" s="25" t="n">
        <f aca="false">IF(COUNTIF(M47:M65,"N")=0,I4/D4,"")</f>
        <v>59.8349801904697</v>
      </c>
      <c r="N4" s="14" t="n">
        <f aca="false">SUMPRODUCT((M47:M65="Y")*F47:F65)</f>
        <v>781234</v>
      </c>
    </row>
    <row r="7" customFormat="false" ht="15" hidden="false" customHeight="true" outlineLevel="0" collapsed="false">
      <c r="A7" s="2" t="s">
        <v>22</v>
      </c>
      <c r="B7" s="2"/>
      <c r="C7" s="7" t="s">
        <v>23</v>
      </c>
      <c r="D7" s="3" t="s">
        <v>24</v>
      </c>
      <c r="E7" s="4" t="s">
        <v>25</v>
      </c>
      <c r="F7" s="6" t="s">
        <v>26</v>
      </c>
      <c r="G7" s="6"/>
      <c r="H7" s="2" t="s">
        <v>27</v>
      </c>
      <c r="I7" s="2"/>
      <c r="J7" s="4" t="s">
        <v>28</v>
      </c>
      <c r="K7" s="4"/>
      <c r="L7" s="4"/>
      <c r="M7" s="4"/>
      <c r="N7" s="4"/>
      <c r="O7" s="6" t="s">
        <v>29</v>
      </c>
      <c r="P7" s="6"/>
      <c r="Q7" s="6"/>
      <c r="R7" s="6"/>
      <c r="S7" s="6"/>
      <c r="T7" s="6"/>
      <c r="U7" s="6"/>
      <c r="V7" s="6"/>
    </row>
    <row r="8" customFormat="false" ht="27.75" hidden="false" customHeight="true" outlineLevel="0" collapsed="false">
      <c r="A8" s="2" t="s">
        <v>30</v>
      </c>
      <c r="B8" s="2" t="s">
        <v>22</v>
      </c>
      <c r="C8" s="7" t="s">
        <v>31</v>
      </c>
      <c r="D8" s="3" t="s">
        <v>32</v>
      </c>
      <c r="E8" s="4" t="s">
        <v>33</v>
      </c>
      <c r="F8" s="6" t="s">
        <v>34</v>
      </c>
      <c r="G8" s="6" t="s">
        <v>7</v>
      </c>
      <c r="H8" s="2" t="s">
        <v>35</v>
      </c>
      <c r="I8" s="2" t="s">
        <v>36</v>
      </c>
      <c r="J8" s="4" t="s">
        <v>37</v>
      </c>
      <c r="K8" s="4" t="s">
        <v>38</v>
      </c>
      <c r="L8" s="4" t="s">
        <v>39</v>
      </c>
      <c r="M8" s="4" t="s">
        <v>40</v>
      </c>
      <c r="N8" s="4" t="s">
        <v>41</v>
      </c>
      <c r="O8" s="6" t="s">
        <v>42</v>
      </c>
      <c r="P8" s="6" t="s">
        <v>43</v>
      </c>
      <c r="Q8" s="6" t="s">
        <v>44</v>
      </c>
      <c r="R8" s="6" t="s">
        <v>45</v>
      </c>
      <c r="S8" s="6" t="s">
        <v>46</v>
      </c>
      <c r="T8" s="6" t="s">
        <v>47</v>
      </c>
      <c r="U8" s="6" t="s">
        <v>48</v>
      </c>
      <c r="V8" s="6" t="s">
        <v>49</v>
      </c>
    </row>
    <row r="9" customFormat="false" ht="15" hidden="false" customHeight="false" outlineLevel="0" collapsed="false">
      <c r="A9" s="26" t="n">
        <v>46203</v>
      </c>
      <c r="B9" s="27" t="s">
        <v>50</v>
      </c>
      <c r="C9" s="13" t="n">
        <v>44.0221</v>
      </c>
      <c r="D9" s="28" t="n">
        <f aca="false">'RC Movement'!E6</f>
        <v>18963</v>
      </c>
      <c r="E9" s="28" t="n">
        <f aca="false">SUM(J9:N9)</f>
        <v>7760</v>
      </c>
      <c r="F9" s="12" t="n">
        <f aca="false">SUM(O9:V9)</f>
        <v>2145.5</v>
      </c>
      <c r="G9" s="11" t="n">
        <f aca="false">IF(E9&gt;0,F9/E9,"")</f>
        <v>0.276481958762887</v>
      </c>
      <c r="H9" s="28" t="n">
        <v>1</v>
      </c>
      <c r="I9" s="29" t="n">
        <v>0</v>
      </c>
      <c r="J9" s="28" t="n">
        <v>5460</v>
      </c>
      <c r="K9" s="28"/>
      <c r="L9" s="28"/>
      <c r="M9" s="28"/>
      <c r="N9" s="28" t="n">
        <v>2300</v>
      </c>
      <c r="O9" s="12" t="n">
        <v>50</v>
      </c>
      <c r="P9" s="12" t="n">
        <v>0.5</v>
      </c>
      <c r="Q9" s="12" t="n">
        <v>1038</v>
      </c>
      <c r="R9" s="12" t="n">
        <v>784</v>
      </c>
      <c r="S9" s="12" t="n">
        <v>137</v>
      </c>
      <c r="T9" s="12" t="n">
        <v>71</v>
      </c>
      <c r="U9" s="12" t="n">
        <v>35</v>
      </c>
      <c r="V9" s="12" t="n">
        <v>30</v>
      </c>
    </row>
    <row r="10" customFormat="false" ht="15" hidden="false" customHeight="false" outlineLevel="0" collapsed="false">
      <c r="A10" s="26" t="n">
        <v>46204</v>
      </c>
      <c r="B10" s="27" t="s">
        <v>51</v>
      </c>
      <c r="C10" s="13" t="n">
        <v>42.7426</v>
      </c>
      <c r="D10" s="28" t="n">
        <f aca="false">'RC Movement'!E7</f>
        <v>36226</v>
      </c>
      <c r="E10" s="28" t="n">
        <f aca="false">SUM(J10:N10)</f>
        <v>30098</v>
      </c>
      <c r="F10" s="12" t="n">
        <f aca="false">SUM(O10:V10)</f>
        <v>6152.5</v>
      </c>
      <c r="G10" s="11" t="n">
        <f aca="false">IF(E10&gt;0,F10/E10,"")</f>
        <v>0.204415575785767</v>
      </c>
      <c r="H10" s="28" t="n">
        <v>1</v>
      </c>
      <c r="I10" s="29" t="n">
        <v>0.17</v>
      </c>
      <c r="J10" s="28" t="n">
        <v>22048</v>
      </c>
      <c r="K10" s="28"/>
      <c r="L10" s="28"/>
      <c r="M10" s="28"/>
      <c r="N10" s="28" t="n">
        <v>8050</v>
      </c>
      <c r="O10" s="12" t="n">
        <v>100</v>
      </c>
      <c r="P10" s="12" t="n">
        <v>0.5</v>
      </c>
      <c r="Q10" s="12" t="n">
        <v>2370</v>
      </c>
      <c r="R10" s="12" t="n">
        <v>2486</v>
      </c>
      <c r="S10" s="12" t="n">
        <v>607</v>
      </c>
      <c r="T10" s="12" t="n">
        <v>226</v>
      </c>
      <c r="U10" s="12" t="n">
        <v>315</v>
      </c>
      <c r="V10" s="12" t="n">
        <v>48</v>
      </c>
    </row>
    <row r="11" customFormat="false" ht="15" hidden="false" customHeight="false" outlineLevel="0" collapsed="false">
      <c r="A11" s="26" t="n">
        <v>46205</v>
      </c>
      <c r="B11" s="27" t="s">
        <v>52</v>
      </c>
      <c r="C11" s="13" t="n">
        <v>43.3234</v>
      </c>
      <c r="D11" s="28" t="n">
        <f aca="false">'RC Movement'!E8</f>
        <v>30992</v>
      </c>
      <c r="E11" s="28" t="n">
        <f aca="false">SUM(J11:N11)</f>
        <v>30852</v>
      </c>
      <c r="F11" s="12" t="n">
        <f aca="false">SUM(O11:V11)</f>
        <v>4674.5</v>
      </c>
      <c r="G11" s="11" t="n">
        <f aca="false">IF(E11&gt;0,F11/E11,"")</f>
        <v>0.151513678205627</v>
      </c>
      <c r="H11" s="28" t="n">
        <v>1</v>
      </c>
      <c r="I11" s="29" t="n">
        <v>0.17</v>
      </c>
      <c r="J11" s="28" t="n">
        <v>22802</v>
      </c>
      <c r="K11" s="28"/>
      <c r="L11" s="28"/>
      <c r="M11" s="28"/>
      <c r="N11" s="28" t="n">
        <v>8050</v>
      </c>
      <c r="O11" s="12" t="n">
        <v>125</v>
      </c>
      <c r="P11" s="12" t="n">
        <v>0.5</v>
      </c>
      <c r="Q11" s="12" t="n">
        <v>1545</v>
      </c>
      <c r="R11" s="12" t="n">
        <v>1587</v>
      </c>
      <c r="S11" s="12" t="n">
        <v>736</v>
      </c>
      <c r="T11" s="12" t="n">
        <v>347</v>
      </c>
      <c r="U11" s="12" t="n">
        <v>275</v>
      </c>
      <c r="V11" s="12" t="n">
        <v>59</v>
      </c>
    </row>
    <row r="12" customFormat="false" ht="15" hidden="false" customHeight="false" outlineLevel="0" collapsed="false">
      <c r="A12" s="26" t="n">
        <v>46206</v>
      </c>
      <c r="B12" s="27" t="s">
        <v>53</v>
      </c>
      <c r="C12" s="13" t="n">
        <v>44.246</v>
      </c>
      <c r="D12" s="28" t="n">
        <f aca="false">'RC Movement'!E9</f>
        <v>33040</v>
      </c>
      <c r="E12" s="28" t="n">
        <f aca="false">SUM(J12:N12)</f>
        <v>26377</v>
      </c>
      <c r="F12" s="12" t="n">
        <f aca="false">SUM(O12:V12)</f>
        <v>5130.5</v>
      </c>
      <c r="G12" s="11" t="n">
        <f aca="false">IF(E12&gt;0,F12/E12,"")</f>
        <v>0.194506577700269</v>
      </c>
      <c r="H12" s="28" t="n">
        <v>1</v>
      </c>
      <c r="I12" s="29" t="n">
        <v>1.67</v>
      </c>
      <c r="J12" s="28" t="n">
        <v>18902</v>
      </c>
      <c r="K12" s="28"/>
      <c r="L12" s="28"/>
      <c r="M12" s="28"/>
      <c r="N12" s="28" t="n">
        <v>7475</v>
      </c>
      <c r="O12" s="12" t="n">
        <v>132</v>
      </c>
      <c r="P12" s="12" t="n">
        <v>0.5</v>
      </c>
      <c r="Q12" s="12" t="n">
        <v>2080</v>
      </c>
      <c r="R12" s="12" t="n">
        <v>1696</v>
      </c>
      <c r="S12" s="12" t="n">
        <v>622</v>
      </c>
      <c r="T12" s="12" t="n">
        <v>212</v>
      </c>
      <c r="U12" s="12" t="n">
        <v>330</v>
      </c>
      <c r="V12" s="12" t="n">
        <v>58</v>
      </c>
    </row>
    <row r="13" customFormat="false" ht="15" hidden="false" customHeight="false" outlineLevel="0" collapsed="false">
      <c r="A13" s="26" t="n">
        <v>46207</v>
      </c>
      <c r="B13" s="27" t="s">
        <v>54</v>
      </c>
      <c r="C13" s="13" t="n">
        <v>44.6338</v>
      </c>
      <c r="D13" s="28" t="n">
        <f aca="false">'RC Movement'!E10</f>
        <v>35066</v>
      </c>
      <c r="E13" s="28" t="n">
        <f aca="false">SUM(J13:N13)</f>
        <v>28411</v>
      </c>
      <c r="F13" s="12" t="n">
        <f aca="false">SUM(O13:V13)</f>
        <v>5471.5</v>
      </c>
      <c r="G13" s="11" t="n">
        <f aca="false">IF(E13&gt;0,F13/E13,"")</f>
        <v>0.192583858364718</v>
      </c>
      <c r="H13" s="28" t="n">
        <v>1</v>
      </c>
      <c r="I13" s="29" t="n">
        <v>1.28</v>
      </c>
      <c r="J13" s="28" t="n">
        <v>19786</v>
      </c>
      <c r="K13" s="28"/>
      <c r="L13" s="28"/>
      <c r="M13" s="28"/>
      <c r="N13" s="28" t="n">
        <v>8625</v>
      </c>
      <c r="O13" s="12" t="n">
        <v>200</v>
      </c>
      <c r="P13" s="12" t="n">
        <v>0.5</v>
      </c>
      <c r="Q13" s="12" t="n">
        <v>2080</v>
      </c>
      <c r="R13" s="12" t="n">
        <v>1988</v>
      </c>
      <c r="S13" s="12" t="n">
        <v>635</v>
      </c>
      <c r="T13" s="12" t="n">
        <v>239</v>
      </c>
      <c r="U13" s="12" t="n">
        <v>285</v>
      </c>
      <c r="V13" s="12" t="n">
        <v>44</v>
      </c>
    </row>
    <row r="14" customFormat="false" ht="15" hidden="false" customHeight="false" outlineLevel="0" collapsed="false">
      <c r="A14" s="30" t="n">
        <v>46208</v>
      </c>
      <c r="B14" s="31" t="s">
        <v>55</v>
      </c>
      <c r="C14" s="32"/>
      <c r="D14" s="33" t="n">
        <f aca="false">'RC Movement'!E11</f>
        <v>0</v>
      </c>
      <c r="E14" s="33" t="n">
        <f aca="false">SUM(J14:N14)</f>
        <v>0</v>
      </c>
      <c r="F14" s="34" t="n">
        <f aca="false">SUM(O14:V14)</f>
        <v>0</v>
      </c>
      <c r="G14" s="35" t="str">
        <f aca="false">IF(E14&gt;0,F14/E14,"")</f>
        <v/>
      </c>
      <c r="H14" s="33"/>
      <c r="I14" s="36"/>
      <c r="J14" s="33"/>
      <c r="K14" s="33"/>
      <c r="L14" s="33"/>
      <c r="M14" s="33"/>
      <c r="N14" s="33"/>
      <c r="O14" s="34"/>
      <c r="P14" s="34"/>
      <c r="Q14" s="34"/>
      <c r="R14" s="34"/>
      <c r="S14" s="34"/>
      <c r="T14" s="34"/>
      <c r="U14" s="34"/>
      <c r="V14" s="34"/>
    </row>
    <row r="15" customFormat="false" ht="15" hidden="false" customHeight="false" outlineLevel="0" collapsed="false">
      <c r="A15" s="26" t="n">
        <v>46209</v>
      </c>
      <c r="B15" s="27" t="s">
        <v>56</v>
      </c>
      <c r="C15" s="13" t="n">
        <v>45.2625</v>
      </c>
      <c r="D15" s="28" t="n">
        <f aca="false">'RC Movement'!E12</f>
        <v>33892</v>
      </c>
      <c r="E15" s="28" t="n">
        <f aca="false">SUM(J15:N15)</f>
        <v>28278</v>
      </c>
      <c r="F15" s="12" t="n">
        <f aca="false">SUM(O15:V15)</f>
        <v>4264.5</v>
      </c>
      <c r="G15" s="11" t="n">
        <f aca="false">IF(E15&gt;0,F15/E15,"")</f>
        <v>0.150806280500743</v>
      </c>
      <c r="H15" s="28" t="n">
        <v>1</v>
      </c>
      <c r="I15" s="29" t="n">
        <v>0.12</v>
      </c>
      <c r="J15" s="28" t="n">
        <v>20228</v>
      </c>
      <c r="K15" s="28"/>
      <c r="L15" s="28"/>
      <c r="M15" s="28"/>
      <c r="N15" s="28" t="n">
        <v>8050</v>
      </c>
      <c r="O15" s="12" t="n">
        <v>125</v>
      </c>
      <c r="P15" s="12" t="n">
        <v>0.5</v>
      </c>
      <c r="Q15" s="12" t="n">
        <v>1547</v>
      </c>
      <c r="R15" s="12" t="n">
        <v>1540</v>
      </c>
      <c r="S15" s="12" t="n">
        <v>586</v>
      </c>
      <c r="T15" s="12" t="n">
        <v>247</v>
      </c>
      <c r="U15" s="12" t="n">
        <v>175</v>
      </c>
      <c r="V15" s="12" t="n">
        <v>44</v>
      </c>
    </row>
    <row r="16" customFormat="false" ht="15" hidden="false" customHeight="false" outlineLevel="0" collapsed="false">
      <c r="A16" s="26" t="n">
        <v>46210</v>
      </c>
      <c r="B16" s="27" t="s">
        <v>50</v>
      </c>
      <c r="C16" s="13" t="n">
        <v>45.4369</v>
      </c>
      <c r="D16" s="28" t="n">
        <f aca="false">'RC Movement'!E13</f>
        <v>32944</v>
      </c>
      <c r="E16" s="28" t="n">
        <f aca="false">SUM(J16:N16)</f>
        <v>27151</v>
      </c>
      <c r="F16" s="12" t="n">
        <f aca="false">SUM(O16:V16)</f>
        <v>4488.5</v>
      </c>
      <c r="G16" s="11" t="n">
        <f aca="false">IF(E16&gt;0,F16/E16,"")</f>
        <v>0.1653161946153</v>
      </c>
      <c r="H16" s="28" t="n">
        <v>1</v>
      </c>
      <c r="I16" s="29" t="n">
        <v>0.2</v>
      </c>
      <c r="J16" s="28" t="n">
        <v>20826</v>
      </c>
      <c r="K16" s="28"/>
      <c r="L16" s="28"/>
      <c r="M16" s="28"/>
      <c r="N16" s="28" t="n">
        <v>6325</v>
      </c>
      <c r="O16" s="12" t="n">
        <v>136</v>
      </c>
      <c r="P16" s="12" t="n">
        <v>0.5</v>
      </c>
      <c r="Q16" s="12" t="n">
        <v>1564</v>
      </c>
      <c r="R16" s="12" t="n">
        <v>1662</v>
      </c>
      <c r="S16" s="12" t="n">
        <v>582</v>
      </c>
      <c r="T16" s="12" t="n">
        <v>273</v>
      </c>
      <c r="U16" s="12" t="n">
        <v>216</v>
      </c>
      <c r="V16" s="12" t="n">
        <v>55</v>
      </c>
    </row>
    <row r="17" customFormat="false" ht="15" hidden="false" customHeight="false" outlineLevel="0" collapsed="false">
      <c r="A17" s="26" t="n">
        <v>46211</v>
      </c>
      <c r="B17" s="27" t="s">
        <v>51</v>
      </c>
      <c r="C17" s="13" t="n">
        <v>44.6154</v>
      </c>
      <c r="D17" s="28" t="n">
        <f aca="false">'RC Movement'!E14</f>
        <v>36171</v>
      </c>
      <c r="E17" s="28" t="n">
        <f aca="false">SUM(J17:N17)</f>
        <v>26738</v>
      </c>
      <c r="F17" s="12" t="n">
        <f aca="false">SUM(O17:V17)</f>
        <v>5008.5</v>
      </c>
      <c r="G17" s="11" t="n">
        <f aca="false">IF(E17&gt;0,F17/E17,"")</f>
        <v>0.18731767521879</v>
      </c>
      <c r="H17" s="28" t="n">
        <v>1</v>
      </c>
      <c r="I17" s="29" t="n">
        <v>2.42</v>
      </c>
      <c r="J17" s="28" t="n">
        <v>19838</v>
      </c>
      <c r="K17" s="28"/>
      <c r="L17" s="28"/>
      <c r="M17" s="28"/>
      <c r="N17" s="28" t="n">
        <v>6900</v>
      </c>
      <c r="O17" s="12" t="n">
        <v>175</v>
      </c>
      <c r="P17" s="12" t="n">
        <v>0.5</v>
      </c>
      <c r="Q17" s="12" t="n">
        <v>2080</v>
      </c>
      <c r="R17" s="12" t="n">
        <v>1699</v>
      </c>
      <c r="S17" s="12" t="n">
        <v>578</v>
      </c>
      <c r="T17" s="12" t="n">
        <v>144</v>
      </c>
      <c r="U17" s="12" t="n">
        <v>275</v>
      </c>
      <c r="V17" s="12" t="n">
        <v>57</v>
      </c>
    </row>
    <row r="18" customFormat="false" ht="15" hidden="false" customHeight="false" outlineLevel="0" collapsed="false">
      <c r="A18" s="26" t="n">
        <v>46212</v>
      </c>
      <c r="B18" s="27" t="s">
        <v>52</v>
      </c>
      <c r="C18" s="13" t="n">
        <v>41.1244</v>
      </c>
      <c r="D18" s="28" t="n">
        <f aca="false">'RC Movement'!E15</f>
        <v>38644</v>
      </c>
      <c r="E18" s="28" t="n">
        <f aca="false">SUM(J18:N18)</f>
        <v>29676</v>
      </c>
      <c r="F18" s="12" t="n">
        <f aca="false">SUM(O18:V18)</f>
        <v>4883.5</v>
      </c>
      <c r="G18" s="11" t="n">
        <f aca="false">IF(E18&gt;0,F18/E18,"")</f>
        <v>0.16456058768028</v>
      </c>
      <c r="H18" s="28" t="n">
        <v>1</v>
      </c>
      <c r="I18" s="29" t="n">
        <v>0.25</v>
      </c>
      <c r="J18" s="28" t="n">
        <v>22776</v>
      </c>
      <c r="K18" s="28"/>
      <c r="L18" s="28"/>
      <c r="M18" s="28"/>
      <c r="N18" s="28" t="n">
        <v>6900</v>
      </c>
      <c r="O18" s="12" t="n">
        <v>161</v>
      </c>
      <c r="P18" s="12" t="n">
        <v>0.5</v>
      </c>
      <c r="Q18" s="12" t="n">
        <v>2080</v>
      </c>
      <c r="R18" s="12" t="n">
        <v>1655</v>
      </c>
      <c r="S18" s="12" t="n">
        <v>557</v>
      </c>
      <c r="T18" s="12" t="n">
        <v>218</v>
      </c>
      <c r="U18" s="12" t="n">
        <v>151</v>
      </c>
      <c r="V18" s="12" t="n">
        <v>61</v>
      </c>
    </row>
    <row r="19" customFormat="false" ht="15" hidden="false" customHeight="false" outlineLevel="0" collapsed="false">
      <c r="A19" s="26" t="n">
        <v>46213</v>
      </c>
      <c r="B19" s="27" t="s">
        <v>53</v>
      </c>
      <c r="C19" s="13" t="n">
        <v>45.7043</v>
      </c>
      <c r="D19" s="28" t="n">
        <f aca="false">'RC Movement'!E16</f>
        <v>36541</v>
      </c>
      <c r="E19" s="28" t="n">
        <f aca="false">SUM(J19:N19)</f>
        <v>29711</v>
      </c>
      <c r="F19" s="12" t="n">
        <f aca="false">SUM(O19:V19)</f>
        <v>5497.5</v>
      </c>
      <c r="G19" s="11" t="n">
        <f aca="false">IF(E19&gt;0,F19/E19,"")</f>
        <v>0.185032479553027</v>
      </c>
      <c r="H19" s="28" t="n">
        <v>1</v>
      </c>
      <c r="I19" s="29" t="n">
        <v>0.65</v>
      </c>
      <c r="J19" s="28" t="n">
        <v>21086</v>
      </c>
      <c r="K19" s="28"/>
      <c r="L19" s="28"/>
      <c r="M19" s="28"/>
      <c r="N19" s="28" t="n">
        <v>8625</v>
      </c>
      <c r="O19" s="12" t="n">
        <v>250</v>
      </c>
      <c r="P19" s="12" t="n">
        <v>0.5</v>
      </c>
      <c r="Q19" s="12" t="n">
        <v>2080</v>
      </c>
      <c r="R19" s="12" t="n">
        <v>2057</v>
      </c>
      <c r="S19" s="12" t="n">
        <v>759</v>
      </c>
      <c r="T19" s="12" t="n">
        <v>145</v>
      </c>
      <c r="U19" s="12" t="n">
        <v>150</v>
      </c>
      <c r="V19" s="12" t="n">
        <v>56</v>
      </c>
    </row>
    <row r="20" customFormat="false" ht="15" hidden="false" customHeight="false" outlineLevel="0" collapsed="false">
      <c r="A20" s="26" t="n">
        <v>46214</v>
      </c>
      <c r="B20" s="27" t="s">
        <v>54</v>
      </c>
      <c r="C20" s="13" t="n">
        <v>45.2004</v>
      </c>
      <c r="D20" s="28" t="n">
        <f aca="false">'RC Movement'!E17</f>
        <v>37409</v>
      </c>
      <c r="E20" s="28" t="n">
        <f aca="false">SUM(J20:N20)</f>
        <v>28301</v>
      </c>
      <c r="F20" s="12" t="n">
        <f aca="false">SUM(O20:V20)</f>
        <v>5146.5</v>
      </c>
      <c r="G20" s="11" t="n">
        <f aca="false">IF(E20&gt;0,F20/E20,"")</f>
        <v>0.181848697925868</v>
      </c>
      <c r="H20" s="28" t="n">
        <v>1</v>
      </c>
      <c r="I20" s="29" t="n">
        <v>0.17</v>
      </c>
      <c r="J20" s="28" t="n">
        <v>20826</v>
      </c>
      <c r="K20" s="28"/>
      <c r="L20" s="28"/>
      <c r="M20" s="28"/>
      <c r="N20" s="28" t="n">
        <v>7475</v>
      </c>
      <c r="O20" s="12" t="n">
        <v>125</v>
      </c>
      <c r="P20" s="12" t="n">
        <v>0.5</v>
      </c>
      <c r="Q20" s="12" t="n">
        <v>2080</v>
      </c>
      <c r="R20" s="12" t="n">
        <v>1661</v>
      </c>
      <c r="S20" s="12" t="n">
        <v>768</v>
      </c>
      <c r="T20" s="12" t="n">
        <v>237</v>
      </c>
      <c r="U20" s="12" t="n">
        <v>215</v>
      </c>
      <c r="V20" s="12" t="n">
        <v>60</v>
      </c>
    </row>
    <row r="21" customFormat="false" ht="15" hidden="false" customHeight="false" outlineLevel="0" collapsed="false">
      <c r="A21" s="30" t="n">
        <v>46215</v>
      </c>
      <c r="B21" s="31" t="s">
        <v>55</v>
      </c>
      <c r="C21" s="32"/>
      <c r="D21" s="33" t="n">
        <f aca="false">'RC Movement'!E18</f>
        <v>0</v>
      </c>
      <c r="E21" s="33" t="n">
        <f aca="false">SUM(J21:N21)</f>
        <v>0</v>
      </c>
      <c r="F21" s="34" t="n">
        <f aca="false">SUM(O21:V21)</f>
        <v>0</v>
      </c>
      <c r="G21" s="35" t="str">
        <f aca="false">IF(E21&gt;0,F21/E21,"")</f>
        <v/>
      </c>
      <c r="H21" s="33"/>
      <c r="I21" s="36"/>
      <c r="J21" s="33"/>
      <c r="K21" s="33"/>
      <c r="L21" s="33"/>
      <c r="M21" s="33"/>
      <c r="N21" s="33"/>
      <c r="O21" s="34"/>
      <c r="P21" s="34"/>
      <c r="Q21" s="34"/>
      <c r="R21" s="34"/>
      <c r="S21" s="34"/>
      <c r="T21" s="34"/>
      <c r="U21" s="34"/>
      <c r="V21" s="34"/>
    </row>
    <row r="22" customFormat="false" ht="15" hidden="false" customHeight="false" outlineLevel="0" collapsed="false">
      <c r="A22" s="26" t="n">
        <v>46216</v>
      </c>
      <c r="B22" s="27" t="s">
        <v>56</v>
      </c>
      <c r="C22" s="13" t="n">
        <v>48.4234</v>
      </c>
      <c r="D22" s="28" t="n">
        <f aca="false">'RC Movement'!E19</f>
        <v>25492</v>
      </c>
      <c r="E22" s="28" t="n">
        <f aca="false">SUM(J22:N22)</f>
        <v>15730</v>
      </c>
      <c r="F22" s="12" t="n">
        <f aca="false">SUM(O22:V22)</f>
        <v>2670.5</v>
      </c>
      <c r="G22" s="11" t="n">
        <f aca="false">IF(E22&gt;0,F22/E22,"")</f>
        <v>0.169771137952956</v>
      </c>
      <c r="H22" s="28" t="n">
        <v>1</v>
      </c>
      <c r="I22" s="29" t="n">
        <v>2.05</v>
      </c>
      <c r="J22" s="28" t="n">
        <v>15730</v>
      </c>
      <c r="K22" s="28"/>
      <c r="L22" s="28"/>
      <c r="M22" s="28"/>
      <c r="N22" s="28"/>
      <c r="O22" s="12" t="n">
        <v>50</v>
      </c>
      <c r="P22" s="12" t="n">
        <v>0.5</v>
      </c>
      <c r="Q22" s="12" t="n">
        <v>1040</v>
      </c>
      <c r="R22" s="12" t="n">
        <v>1040</v>
      </c>
      <c r="S22" s="12" t="n">
        <v>180</v>
      </c>
      <c r="T22" s="12" t="n">
        <v>120</v>
      </c>
      <c r="U22" s="12" t="n">
        <v>210</v>
      </c>
      <c r="V22" s="12" t="n">
        <v>30</v>
      </c>
    </row>
    <row r="23" customFormat="false" ht="15" hidden="false" customHeight="false" outlineLevel="0" collapsed="false">
      <c r="A23" s="26" t="n">
        <v>46217</v>
      </c>
      <c r="B23" s="27" t="s">
        <v>50</v>
      </c>
      <c r="C23" s="13" t="n">
        <v>48.1897</v>
      </c>
      <c r="D23" s="28" t="n">
        <f aca="false">'RC Movement'!E20</f>
        <v>42356</v>
      </c>
      <c r="E23" s="28" t="n">
        <f aca="false">SUM(J23:N23)</f>
        <v>19136</v>
      </c>
      <c r="F23" s="12" t="n">
        <f aca="false">SUM(O23:V23)</f>
        <v>2634.5</v>
      </c>
      <c r="G23" s="11" t="n">
        <f aca="false">IF(E23&gt;0,F23/E23,"")</f>
        <v>0.137672449832776</v>
      </c>
      <c r="H23" s="28" t="n">
        <v>1</v>
      </c>
      <c r="I23" s="29" t="n">
        <v>0.08</v>
      </c>
      <c r="J23" s="28" t="n">
        <v>19136</v>
      </c>
      <c r="K23" s="28"/>
      <c r="L23" s="28"/>
      <c r="M23" s="28"/>
      <c r="N23" s="28"/>
      <c r="O23" s="12" t="n">
        <v>75</v>
      </c>
      <c r="P23" s="12" t="n">
        <v>0.5</v>
      </c>
      <c r="Q23" s="12" t="n">
        <v>1040</v>
      </c>
      <c r="R23" s="12" t="n">
        <v>1040</v>
      </c>
      <c r="S23" s="12" t="n">
        <v>108</v>
      </c>
      <c r="T23" s="12" t="n">
        <v>193</v>
      </c>
      <c r="U23" s="12" t="n">
        <v>150</v>
      </c>
      <c r="V23" s="12" t="n">
        <v>28</v>
      </c>
    </row>
    <row r="24" customFormat="false" ht="15" hidden="false" customHeight="false" outlineLevel="0" collapsed="false">
      <c r="A24" s="26" t="n">
        <v>46218</v>
      </c>
      <c r="B24" s="27" t="s">
        <v>51</v>
      </c>
      <c r="C24" s="13" t="n">
        <v>48.2329</v>
      </c>
      <c r="D24" s="28" t="n">
        <f aca="false">'RC Movement'!E21</f>
        <v>10366</v>
      </c>
      <c r="E24" s="28" t="n">
        <f aca="false">SUM(J24:N24)</f>
        <v>15340</v>
      </c>
      <c r="F24" s="12" t="n">
        <f aca="false">SUM(O24:V24)</f>
        <v>4076.5</v>
      </c>
      <c r="G24" s="11" t="n">
        <f aca="false">IF(E24&gt;0,F24/E24,"")</f>
        <v>0.265743155149935</v>
      </c>
      <c r="H24" s="28" t="n">
        <v>1</v>
      </c>
      <c r="I24" s="29" t="n">
        <v>1.33</v>
      </c>
      <c r="J24" s="28" t="n">
        <v>15340</v>
      </c>
      <c r="K24" s="28"/>
      <c r="L24" s="28"/>
      <c r="M24" s="28"/>
      <c r="N24" s="28"/>
      <c r="O24" s="12" t="n">
        <v>50</v>
      </c>
      <c r="P24" s="12" t="n">
        <v>0.5</v>
      </c>
      <c r="Q24" s="12" t="n">
        <v>1687</v>
      </c>
      <c r="R24" s="12" t="n">
        <v>1847</v>
      </c>
      <c r="S24" s="12" t="n">
        <v>95</v>
      </c>
      <c r="T24" s="12" t="n">
        <v>157</v>
      </c>
      <c r="U24" s="12" t="n">
        <v>210</v>
      </c>
      <c r="V24" s="12" t="n">
        <v>30</v>
      </c>
    </row>
    <row r="25" customFormat="false" ht="15" hidden="false" customHeight="false" outlineLevel="0" collapsed="false">
      <c r="A25" s="26" t="n">
        <v>46219</v>
      </c>
      <c r="B25" s="27" t="s">
        <v>52</v>
      </c>
      <c r="C25" s="13" t="n">
        <v>48.1946</v>
      </c>
      <c r="D25" s="28" t="n">
        <f aca="false">'RC Movement'!E22</f>
        <v>19966</v>
      </c>
      <c r="E25" s="28" t="n">
        <f aca="false">SUM(J25:N25)</f>
        <v>16562</v>
      </c>
      <c r="F25" s="12" t="n">
        <f aca="false">SUM(O25:V25)</f>
        <v>2595.5</v>
      </c>
      <c r="G25" s="11" t="n">
        <f aca="false">IF(E25&gt;0,F25/E25,"")</f>
        <v>0.156714164955923</v>
      </c>
      <c r="H25" s="28" t="n">
        <v>1</v>
      </c>
      <c r="I25" s="29" t="n">
        <v>0.1</v>
      </c>
      <c r="J25" s="28" t="n">
        <v>16562</v>
      </c>
      <c r="K25" s="28"/>
      <c r="L25" s="28"/>
      <c r="M25" s="28"/>
      <c r="N25" s="28"/>
      <c r="O25" s="12" t="n">
        <v>75</v>
      </c>
      <c r="P25" s="12" t="n">
        <v>0.5</v>
      </c>
      <c r="Q25" s="12" t="n">
        <v>1040</v>
      </c>
      <c r="R25" s="12" t="n">
        <v>1040</v>
      </c>
      <c r="S25" s="12" t="n">
        <v>119</v>
      </c>
      <c r="T25" s="12" t="n">
        <v>162</v>
      </c>
      <c r="U25" s="12" t="n">
        <v>130</v>
      </c>
      <c r="V25" s="12" t="n">
        <v>29</v>
      </c>
    </row>
    <row r="26" customFormat="false" ht="15" hidden="false" customHeight="false" outlineLevel="0" collapsed="false">
      <c r="A26" s="26" t="n">
        <v>46220</v>
      </c>
      <c r="B26" s="27" t="s">
        <v>53</v>
      </c>
      <c r="C26" s="13"/>
      <c r="D26" s="28" t="n">
        <f aca="false">'RC Movement'!E23</f>
        <v>0</v>
      </c>
      <c r="E26" s="28" t="n">
        <f aca="false">SUM(J26:N26)</f>
        <v>0</v>
      </c>
      <c r="F26" s="12" t="n">
        <f aca="false">SUM(O26:V26)</f>
        <v>0</v>
      </c>
      <c r="G26" s="11" t="str">
        <f aca="false">IF(E26&gt;0,F26/E26,"")</f>
        <v/>
      </c>
      <c r="H26" s="28" t="n">
        <v>1</v>
      </c>
      <c r="I26" s="29" t="n">
        <v>0</v>
      </c>
      <c r="J26" s="28"/>
      <c r="K26" s="28"/>
      <c r="L26" s="28"/>
      <c r="M26" s="28"/>
      <c r="N26" s="28"/>
      <c r="O26" s="12"/>
      <c r="P26" s="12"/>
      <c r="Q26" s="12"/>
      <c r="R26" s="12"/>
      <c r="S26" s="12"/>
      <c r="T26" s="12"/>
      <c r="U26" s="12"/>
      <c r="V26" s="12"/>
    </row>
    <row r="27" customFormat="false" ht="15" hidden="false" customHeight="false" outlineLevel="0" collapsed="false">
      <c r="A27" s="30" t="n">
        <v>46221</v>
      </c>
      <c r="B27" s="31" t="s">
        <v>54</v>
      </c>
      <c r="C27" s="32"/>
      <c r="D27" s="33" t="n">
        <f aca="false">'RC Movement'!E24</f>
        <v>0</v>
      </c>
      <c r="E27" s="33" t="n">
        <f aca="false">SUM(J27:N27)</f>
        <v>0</v>
      </c>
      <c r="F27" s="34" t="n">
        <f aca="false">SUM(O27:V27)</f>
        <v>0</v>
      </c>
      <c r="G27" s="35" t="str">
        <f aca="false">IF(E27&gt;0,F27/E27,"")</f>
        <v/>
      </c>
      <c r="H27" s="33"/>
      <c r="I27" s="36"/>
      <c r="J27" s="33"/>
      <c r="K27" s="33"/>
      <c r="L27" s="33"/>
      <c r="M27" s="33"/>
      <c r="N27" s="33"/>
      <c r="O27" s="34"/>
      <c r="P27" s="34"/>
      <c r="Q27" s="34"/>
      <c r="R27" s="34"/>
      <c r="S27" s="34"/>
      <c r="T27" s="34"/>
      <c r="U27" s="34"/>
      <c r="V27" s="34"/>
    </row>
    <row r="28" customFormat="false" ht="15" hidden="false" customHeight="false" outlineLevel="0" collapsed="false">
      <c r="A28" s="30" t="n">
        <v>46222</v>
      </c>
      <c r="B28" s="31" t="s">
        <v>55</v>
      </c>
      <c r="C28" s="32"/>
      <c r="D28" s="33" t="n">
        <f aca="false">'RC Movement'!E25</f>
        <v>0</v>
      </c>
      <c r="E28" s="33" t="n">
        <f aca="false">SUM(J28:N28)</f>
        <v>0</v>
      </c>
      <c r="F28" s="34" t="n">
        <f aca="false">SUM(O28:V28)</f>
        <v>0</v>
      </c>
      <c r="G28" s="35" t="str">
        <f aca="false">IF(E28&gt;0,F28/E28,"")</f>
        <v/>
      </c>
      <c r="H28" s="33"/>
      <c r="I28" s="36"/>
      <c r="J28" s="33"/>
      <c r="K28" s="33"/>
      <c r="L28" s="33"/>
      <c r="M28" s="33"/>
      <c r="N28" s="33"/>
      <c r="O28" s="34"/>
      <c r="P28" s="34"/>
      <c r="Q28" s="34"/>
      <c r="R28" s="34"/>
      <c r="S28" s="34"/>
      <c r="T28" s="34"/>
      <c r="U28" s="34"/>
      <c r="V28" s="34"/>
    </row>
    <row r="29" customFormat="false" ht="15" hidden="false" customHeight="false" outlineLevel="0" collapsed="false">
      <c r="A29" s="26" t="n">
        <v>46223</v>
      </c>
      <c r="B29" s="27" t="s">
        <v>56</v>
      </c>
      <c r="C29" s="13" t="n">
        <v>45.4203</v>
      </c>
      <c r="D29" s="28" t="n">
        <f aca="false">'RC Movement'!E26</f>
        <v>22126</v>
      </c>
      <c r="E29" s="28" t="n">
        <f aca="false">SUM(J29:N29)</f>
        <v>19318</v>
      </c>
      <c r="F29" s="12" t="n">
        <f aca="false">SUM(O29:V29)</f>
        <v>2558.5</v>
      </c>
      <c r="G29" s="11" t="n">
        <f aca="false">IF(E29&gt;0,F29/E29,"")</f>
        <v>0.132441246505849</v>
      </c>
      <c r="H29" s="28" t="n">
        <v>1</v>
      </c>
      <c r="I29" s="29" t="n">
        <v>1.75</v>
      </c>
      <c r="J29" s="28" t="n">
        <v>19318</v>
      </c>
      <c r="K29" s="28"/>
      <c r="L29" s="28"/>
      <c r="M29" s="28"/>
      <c r="N29" s="28"/>
      <c r="O29" s="12" t="n">
        <v>50</v>
      </c>
      <c r="P29" s="12" t="n">
        <v>0.5</v>
      </c>
      <c r="Q29" s="12" t="n">
        <v>1040</v>
      </c>
      <c r="R29" s="12" t="n">
        <v>1040</v>
      </c>
      <c r="S29" s="12" t="n">
        <v>138</v>
      </c>
      <c r="T29" s="12" t="n">
        <v>140</v>
      </c>
      <c r="U29" s="12" t="n">
        <v>120</v>
      </c>
      <c r="V29" s="12" t="n">
        <v>30</v>
      </c>
    </row>
    <row r="30" customFormat="false" ht="15" hidden="false" customHeight="false" outlineLevel="0" collapsed="false">
      <c r="A30" s="26" t="n">
        <v>46224</v>
      </c>
      <c r="B30" s="27" t="s">
        <v>50</v>
      </c>
      <c r="C30" s="13" t="n">
        <v>41.962</v>
      </c>
      <c r="D30" s="28" t="n">
        <f aca="false">'RC Movement'!E27</f>
        <v>31699</v>
      </c>
      <c r="E30" s="28" t="n">
        <f aca="false">SUM(J30:N30)</f>
        <v>20358</v>
      </c>
      <c r="F30" s="12" t="n">
        <f aca="false">SUM(O30:V30)</f>
        <v>2422.5</v>
      </c>
      <c r="G30" s="11" t="n">
        <f aca="false">IF(E30&gt;0,F30/E30,"")</f>
        <v>0.118994989684645</v>
      </c>
      <c r="H30" s="28" t="n">
        <v>1</v>
      </c>
      <c r="I30" s="29" t="n">
        <v>1.47</v>
      </c>
      <c r="J30" s="28" t="n">
        <v>20358</v>
      </c>
      <c r="K30" s="28"/>
      <c r="L30" s="28"/>
      <c r="M30" s="28"/>
      <c r="N30" s="28"/>
      <c r="O30" s="12" t="n">
        <v>75</v>
      </c>
      <c r="P30" s="12" t="n">
        <v>0.5</v>
      </c>
      <c r="Q30" s="12" t="n">
        <v>1040</v>
      </c>
      <c r="R30" s="12" t="n">
        <v>1040</v>
      </c>
      <c r="S30" s="12" t="n">
        <v>54</v>
      </c>
      <c r="T30" s="12" t="n">
        <v>75</v>
      </c>
      <c r="U30" s="12" t="n">
        <v>110</v>
      </c>
      <c r="V30" s="12" t="n">
        <v>28</v>
      </c>
    </row>
    <row r="31" customFormat="false" ht="15" hidden="false" customHeight="false" outlineLevel="0" collapsed="false">
      <c r="A31" s="26" t="n">
        <v>46225</v>
      </c>
      <c r="B31" s="27" t="s">
        <v>51</v>
      </c>
      <c r="C31" s="13" t="n">
        <v>44.3621</v>
      </c>
      <c r="D31" s="28" t="n">
        <f aca="false">'RC Movement'!E28</f>
        <v>40763</v>
      </c>
      <c r="E31" s="28" t="n">
        <f aca="false">SUM(J31:N31)</f>
        <v>31312</v>
      </c>
      <c r="F31" s="12" t="n">
        <f aca="false">SUM(O31:V31)</f>
        <v>3580.5</v>
      </c>
      <c r="G31" s="11" t="n">
        <f aca="false">IF(E31&gt;0,F31/E31,"")</f>
        <v>0.114349131323454</v>
      </c>
      <c r="H31" s="28" t="n">
        <v>1</v>
      </c>
      <c r="I31" s="29" t="n">
        <v>0.33</v>
      </c>
      <c r="J31" s="28" t="n">
        <v>18772</v>
      </c>
      <c r="K31" s="28"/>
      <c r="L31" s="28"/>
      <c r="M31" s="28" t="n">
        <v>12540</v>
      </c>
      <c r="N31" s="28"/>
      <c r="O31" s="12" t="n">
        <v>75</v>
      </c>
      <c r="P31" s="12" t="n">
        <v>0.5</v>
      </c>
      <c r="Q31" s="12" t="n">
        <v>1474</v>
      </c>
      <c r="R31" s="12" t="n">
        <v>1515</v>
      </c>
      <c r="S31" s="12" t="n">
        <v>77</v>
      </c>
      <c r="T31" s="12" t="n">
        <v>177</v>
      </c>
      <c r="U31" s="12" t="n">
        <v>205</v>
      </c>
      <c r="V31" s="12" t="n">
        <v>57</v>
      </c>
    </row>
    <row r="32" customFormat="false" ht="15" hidden="false" customHeight="false" outlineLevel="0" collapsed="false">
      <c r="A32" s="26" t="n">
        <v>46226</v>
      </c>
      <c r="B32" s="27" t="s">
        <v>52</v>
      </c>
      <c r="C32" s="13" t="n">
        <v>46.7782</v>
      </c>
      <c r="D32" s="28" t="n">
        <f aca="false">'RC Movement'!E29</f>
        <v>42142</v>
      </c>
      <c r="E32" s="28" t="n">
        <f aca="false">SUM(J32:N32)</f>
        <v>28500</v>
      </c>
      <c r="F32" s="12" t="n">
        <f aca="false">SUM(O32:V32)</f>
        <v>5545.5</v>
      </c>
      <c r="G32" s="11" t="n">
        <f aca="false">IF(E32&gt;0,F32/E32,"")</f>
        <v>0.194578947368421</v>
      </c>
      <c r="H32" s="28" t="n">
        <v>1</v>
      </c>
      <c r="I32" s="29" t="n">
        <v>0.87</v>
      </c>
      <c r="J32" s="28" t="n">
        <v>14820</v>
      </c>
      <c r="K32" s="28"/>
      <c r="L32" s="28"/>
      <c r="M32" s="28" t="n">
        <v>13680</v>
      </c>
      <c r="N32" s="28"/>
      <c r="O32" s="12" t="n">
        <v>105</v>
      </c>
      <c r="P32" s="12" t="n">
        <v>0.5</v>
      </c>
      <c r="Q32" s="12" t="n">
        <v>2080</v>
      </c>
      <c r="R32" s="12" t="n">
        <v>2766</v>
      </c>
      <c r="S32" s="12" t="n">
        <v>107</v>
      </c>
      <c r="T32" s="12" t="n">
        <v>207</v>
      </c>
      <c r="U32" s="12" t="n">
        <v>225</v>
      </c>
      <c r="V32" s="12" t="n">
        <v>55</v>
      </c>
    </row>
    <row r="33" customFormat="false" ht="15" hidden="false" customHeight="false" outlineLevel="0" collapsed="false">
      <c r="A33" s="26" t="n">
        <v>46227</v>
      </c>
      <c r="B33" s="27" t="s">
        <v>53</v>
      </c>
      <c r="C33" s="13" t="n">
        <v>46.2208</v>
      </c>
      <c r="D33" s="28" t="n">
        <f aca="false">'RC Movement'!E30</f>
        <v>41500</v>
      </c>
      <c r="E33" s="28" t="n">
        <f aca="false">SUM(J33:N33)</f>
        <v>30362</v>
      </c>
      <c r="F33" s="12" t="n">
        <f aca="false">SUM(O33:V33)</f>
        <v>5746.5</v>
      </c>
      <c r="G33" s="11" t="n">
        <f aca="false">IF(E33&gt;0,F33/E33,"")</f>
        <v>0.189266187998156</v>
      </c>
      <c r="H33" s="28" t="n">
        <v>1</v>
      </c>
      <c r="I33" s="29" t="n">
        <v>0.2</v>
      </c>
      <c r="J33" s="28" t="n">
        <v>13832</v>
      </c>
      <c r="K33" s="28"/>
      <c r="L33" s="28"/>
      <c r="M33" s="28" t="n">
        <v>16530</v>
      </c>
      <c r="N33" s="28"/>
      <c r="O33" s="12" t="n">
        <v>125</v>
      </c>
      <c r="P33" s="12" t="n">
        <v>0.5</v>
      </c>
      <c r="Q33" s="12" t="n">
        <v>2080</v>
      </c>
      <c r="R33" s="12" t="n">
        <v>2906</v>
      </c>
      <c r="S33" s="12" t="n">
        <v>103</v>
      </c>
      <c r="T33" s="12" t="n">
        <v>221</v>
      </c>
      <c r="U33" s="12" t="n">
        <v>255</v>
      </c>
      <c r="V33" s="12" t="n">
        <v>56</v>
      </c>
    </row>
    <row r="34" customFormat="false" ht="15" hidden="false" customHeight="false" outlineLevel="0" collapsed="false">
      <c r="A34" s="26" t="n">
        <v>46228</v>
      </c>
      <c r="B34" s="27" t="s">
        <v>54</v>
      </c>
      <c r="C34" s="13" t="n">
        <v>45.6054</v>
      </c>
      <c r="D34" s="28" t="n">
        <f aca="false">'RC Movement'!E31</f>
        <v>31019</v>
      </c>
      <c r="E34" s="28" t="n">
        <f aca="false">SUM(J34:N34)</f>
        <v>30336</v>
      </c>
      <c r="F34" s="12" t="n">
        <f aca="false">SUM(O34:V34)</f>
        <v>4444.5</v>
      </c>
      <c r="G34" s="11" t="n">
        <f aca="false">IF(E34&gt;0,F34/E34,"")</f>
        <v>0.146509098101266</v>
      </c>
      <c r="H34" s="28" t="n">
        <v>1</v>
      </c>
      <c r="I34" s="29" t="n">
        <v>0.75</v>
      </c>
      <c r="J34" s="28" t="n">
        <v>13806</v>
      </c>
      <c r="K34" s="28"/>
      <c r="L34" s="28"/>
      <c r="M34" s="28" t="n">
        <v>16530</v>
      </c>
      <c r="N34" s="28"/>
      <c r="O34" s="12" t="n">
        <v>75</v>
      </c>
      <c r="P34" s="12" t="n">
        <v>0.5</v>
      </c>
      <c r="Q34" s="12" t="n">
        <v>2080</v>
      </c>
      <c r="R34" s="12" t="n">
        <v>1745</v>
      </c>
      <c r="S34" s="12" t="n">
        <v>85</v>
      </c>
      <c r="T34" s="12" t="n">
        <v>176</v>
      </c>
      <c r="U34" s="12" t="n">
        <v>225</v>
      </c>
      <c r="V34" s="12" t="n">
        <v>58</v>
      </c>
    </row>
    <row r="35" customFormat="false" ht="15" hidden="false" customHeight="false" outlineLevel="0" collapsed="false">
      <c r="A35" s="30" t="n">
        <v>46229</v>
      </c>
      <c r="B35" s="31" t="s">
        <v>55</v>
      </c>
      <c r="C35" s="32"/>
      <c r="D35" s="33" t="n">
        <f aca="false">'RC Movement'!E32</f>
        <v>0</v>
      </c>
      <c r="E35" s="33" t="n">
        <f aca="false">SUM(J35:N35)</f>
        <v>0</v>
      </c>
      <c r="F35" s="34" t="n">
        <f aca="false">SUM(O35:V35)</f>
        <v>0</v>
      </c>
      <c r="G35" s="35" t="str">
        <f aca="false">IF(E35&gt;0,F35/E35,"")</f>
        <v/>
      </c>
      <c r="H35" s="33"/>
      <c r="I35" s="36"/>
      <c r="J35" s="33"/>
      <c r="K35" s="33"/>
      <c r="L35" s="33"/>
      <c r="M35" s="33"/>
      <c r="N35" s="33"/>
      <c r="O35" s="34"/>
      <c r="P35" s="34"/>
      <c r="Q35" s="34"/>
      <c r="R35" s="34"/>
      <c r="S35" s="34"/>
      <c r="T35" s="34"/>
      <c r="U35" s="34"/>
      <c r="V35" s="34"/>
    </row>
    <row r="36" customFormat="false" ht="15" hidden="false" customHeight="false" outlineLevel="0" collapsed="false">
      <c r="A36" s="26" t="n">
        <v>46230</v>
      </c>
      <c r="B36" s="27" t="s">
        <v>56</v>
      </c>
      <c r="C36" s="13" t="n">
        <v>46.5932</v>
      </c>
      <c r="D36" s="28" t="n">
        <f aca="false">'RC Movement'!E33</f>
        <v>42584</v>
      </c>
      <c r="E36" s="28" t="n">
        <f aca="false">SUM(J36:N36)</f>
        <v>24600</v>
      </c>
      <c r="F36" s="12" t="n">
        <f aca="false">SUM(O36:V36)</f>
        <v>2211.5</v>
      </c>
      <c r="G36" s="11" t="n">
        <f aca="false">IF(E36&gt;0,F36/E36,"")</f>
        <v>0.0898983739837398</v>
      </c>
      <c r="H36" s="28" t="n">
        <v>1</v>
      </c>
      <c r="I36" s="29" t="n">
        <v>0.17</v>
      </c>
      <c r="J36" s="28" t="n">
        <v>10920</v>
      </c>
      <c r="K36" s="28"/>
      <c r="L36" s="28"/>
      <c r="M36" s="28" t="n">
        <v>13680</v>
      </c>
      <c r="N36" s="28"/>
      <c r="O36" s="12" t="n">
        <v>50</v>
      </c>
      <c r="P36" s="12" t="n">
        <v>0.5</v>
      </c>
      <c r="Q36" s="12" t="n">
        <v>910</v>
      </c>
      <c r="R36" s="12" t="n">
        <v>820</v>
      </c>
      <c r="S36" s="12" t="n">
        <v>96</v>
      </c>
      <c r="T36" s="12" t="n">
        <v>135</v>
      </c>
      <c r="U36" s="12" t="n">
        <v>150</v>
      </c>
      <c r="V36" s="12" t="n">
        <v>50</v>
      </c>
    </row>
    <row r="37" customFormat="false" ht="15" hidden="false" customHeight="false" outlineLevel="0" collapsed="false">
      <c r="A37" s="26" t="n">
        <v>46231</v>
      </c>
      <c r="B37" s="27" t="s">
        <v>50</v>
      </c>
      <c r="C37" s="13" t="n">
        <v>46.4774</v>
      </c>
      <c r="D37" s="28" t="n">
        <f aca="false">'RC Movement'!E34</f>
        <v>30499</v>
      </c>
      <c r="E37" s="28" t="n">
        <f aca="false">SUM(J37:N37)</f>
        <v>25068</v>
      </c>
      <c r="F37" s="12" t="n">
        <f aca="false">SUM(O37:V37)</f>
        <v>4732.5</v>
      </c>
      <c r="G37" s="11" t="n">
        <f aca="false">IF(E37&gt;0,F37/E37,"")</f>
        <v>0.188786500718047</v>
      </c>
      <c r="H37" s="28" t="n">
        <v>1</v>
      </c>
      <c r="I37" s="29" t="n">
        <v>0.17</v>
      </c>
      <c r="J37" s="28" t="n">
        <v>11388</v>
      </c>
      <c r="K37" s="28"/>
      <c r="L37" s="28"/>
      <c r="M37" s="28" t="n">
        <v>13680</v>
      </c>
      <c r="N37" s="28"/>
      <c r="O37" s="12" t="n">
        <v>75</v>
      </c>
      <c r="P37" s="12" t="n">
        <v>0.5</v>
      </c>
      <c r="Q37" s="12" t="n">
        <v>2080</v>
      </c>
      <c r="R37" s="12" t="n">
        <v>2174</v>
      </c>
      <c r="S37" s="12" t="n">
        <v>83</v>
      </c>
      <c r="T37" s="12" t="n">
        <v>117</v>
      </c>
      <c r="U37" s="12" t="n">
        <v>175</v>
      </c>
      <c r="V37" s="12" t="n">
        <v>28</v>
      </c>
    </row>
    <row r="38" customFormat="false" ht="15" hidden="false" customHeight="false" outlineLevel="0" collapsed="false">
      <c r="A38" s="26" t="n">
        <v>46232</v>
      </c>
      <c r="B38" s="27" t="s">
        <v>51</v>
      </c>
      <c r="C38" s="13" t="n">
        <v>48.1486</v>
      </c>
      <c r="D38" s="28" t="n">
        <f aca="false">'RC Movement'!E35</f>
        <v>30834</v>
      </c>
      <c r="E38" s="28" t="n">
        <f aca="false">SUM(J38:N38)</f>
        <v>21278</v>
      </c>
      <c r="F38" s="12" t="n">
        <f aca="false">SUM(O38:V38)</f>
        <v>4315.5</v>
      </c>
      <c r="G38" s="11" t="n">
        <f aca="false">IF(E38&gt;0,F38/E38,"")</f>
        <v>0.202815114202463</v>
      </c>
      <c r="H38" s="28" t="n">
        <v>1</v>
      </c>
      <c r="I38" s="29" t="n">
        <v>0.83</v>
      </c>
      <c r="J38" s="28" t="n">
        <v>16718</v>
      </c>
      <c r="K38" s="28"/>
      <c r="L38" s="28"/>
      <c r="M38" s="28" t="n">
        <v>4560</v>
      </c>
      <c r="N38" s="28"/>
      <c r="O38" s="12" t="n">
        <v>57</v>
      </c>
      <c r="P38" s="12" t="n">
        <v>0.5</v>
      </c>
      <c r="Q38" s="12" t="n">
        <v>2080</v>
      </c>
      <c r="R38" s="12" t="n">
        <v>1593</v>
      </c>
      <c r="S38" s="12" t="n">
        <v>160</v>
      </c>
      <c r="T38" s="12" t="n">
        <v>173</v>
      </c>
      <c r="U38" s="12" t="n">
        <v>225</v>
      </c>
      <c r="V38" s="12" t="n">
        <v>27</v>
      </c>
    </row>
    <row r="39" customFormat="false" ht="15" hidden="false" customHeight="false" outlineLevel="0" collapsed="false">
      <c r="A39" s="26" t="n">
        <v>46233</v>
      </c>
      <c r="B39" s="27" t="s">
        <v>52</v>
      </c>
      <c r="C39" s="13"/>
      <c r="D39" s="28" t="n">
        <f aca="false">'RC Movement'!E36</f>
        <v>0</v>
      </c>
      <c r="E39" s="28" t="n">
        <f aca="false">SUM(J39:N39)</f>
        <v>22862</v>
      </c>
      <c r="F39" s="12" t="n">
        <f aca="false">SUM(O39:V39)</f>
        <v>4318.5</v>
      </c>
      <c r="G39" s="11" t="n">
        <f aca="false">IF(E39&gt;0,F39/E39,"")</f>
        <v>0.188894234975068</v>
      </c>
      <c r="H39" s="28" t="n">
        <v>1</v>
      </c>
      <c r="I39" s="29" t="n">
        <v>0.17</v>
      </c>
      <c r="J39" s="28" t="n">
        <v>10322</v>
      </c>
      <c r="K39" s="28"/>
      <c r="L39" s="28"/>
      <c r="M39" s="28" t="n">
        <v>12540</v>
      </c>
      <c r="N39" s="28"/>
      <c r="O39" s="12" t="n">
        <v>75</v>
      </c>
      <c r="P39" s="12" t="n">
        <v>0.5</v>
      </c>
      <c r="Q39" s="12" t="n">
        <v>2080</v>
      </c>
      <c r="R39" s="12" t="n">
        <v>1745</v>
      </c>
      <c r="S39" s="12" t="n">
        <v>80</v>
      </c>
      <c r="T39" s="12" t="n">
        <v>158</v>
      </c>
      <c r="U39" s="12" t="n">
        <v>150</v>
      </c>
      <c r="V39" s="12" t="n">
        <v>30</v>
      </c>
    </row>
    <row r="40" customFormat="false" ht="15" hidden="false" customHeight="false" outlineLevel="0" collapsed="false">
      <c r="A40" s="26" t="n">
        <v>46234</v>
      </c>
      <c r="B40" s="27" t="s">
        <v>53</v>
      </c>
      <c r="C40" s="13"/>
      <c r="D40" s="28" t="n">
        <f aca="false">'RC Movement'!E37</f>
        <v>0</v>
      </c>
      <c r="E40" s="28" t="n">
        <f aca="false">SUM(J40:N40)</f>
        <v>4620</v>
      </c>
      <c r="F40" s="12" t="n">
        <f aca="false">SUM(O40:V40)</f>
        <v>1199.5</v>
      </c>
      <c r="G40" s="11" t="n">
        <f aca="false">IF(E40&gt;0,F40/E40,"")</f>
        <v>0.259632034632035</v>
      </c>
      <c r="H40" s="28" t="n">
        <v>1</v>
      </c>
      <c r="I40" s="29" t="n">
        <v>4.97</v>
      </c>
      <c r="J40" s="28" t="n">
        <v>2340</v>
      </c>
      <c r="K40" s="28"/>
      <c r="L40" s="28"/>
      <c r="M40" s="28" t="n">
        <v>2280</v>
      </c>
      <c r="N40" s="28"/>
      <c r="O40" s="12" t="n">
        <v>30</v>
      </c>
      <c r="P40" s="12" t="n">
        <v>0.5</v>
      </c>
      <c r="Q40" s="12" t="n">
        <v>550</v>
      </c>
      <c r="R40" s="12" t="n">
        <v>410</v>
      </c>
      <c r="S40" s="12" t="n">
        <v>50</v>
      </c>
      <c r="T40" s="12" t="n">
        <v>56</v>
      </c>
      <c r="U40" s="12" t="n">
        <v>75</v>
      </c>
      <c r="V40" s="12" t="n">
        <v>28</v>
      </c>
    </row>
    <row r="41" customFormat="false" ht="15" hidden="false" customHeight="false" outlineLevel="0" collapsed="false">
      <c r="A41" s="26" t="n">
        <v>46235</v>
      </c>
      <c r="B41" s="27" t="s">
        <v>54</v>
      </c>
      <c r="C41" s="13"/>
      <c r="D41" s="28" t="n">
        <f aca="false">'RC Movement'!E38</f>
        <v>0</v>
      </c>
      <c r="E41" s="28" t="n">
        <f aca="false">SUM(J41:N41)</f>
        <v>2466</v>
      </c>
      <c r="F41" s="12" t="n">
        <f aca="false">SUM(O41:V41)</f>
        <v>590.5</v>
      </c>
      <c r="G41" s="11" t="n">
        <f aca="false">IF(E41&gt;0,F41/E41,"")</f>
        <v>0.239456609894566</v>
      </c>
      <c r="H41" s="28" t="n">
        <v>1</v>
      </c>
      <c r="I41" s="29" t="n">
        <v>0.22</v>
      </c>
      <c r="J41" s="28" t="n">
        <v>1326</v>
      </c>
      <c r="K41" s="28"/>
      <c r="L41" s="28"/>
      <c r="M41" s="28" t="n">
        <v>1140</v>
      </c>
      <c r="N41" s="28"/>
      <c r="O41" s="12" t="n">
        <v>25</v>
      </c>
      <c r="P41" s="12" t="n">
        <v>0.5</v>
      </c>
      <c r="Q41" s="12" t="n">
        <v>239</v>
      </c>
      <c r="R41" s="12" t="n">
        <v>239</v>
      </c>
      <c r="S41" s="12" t="n">
        <v>27</v>
      </c>
      <c r="T41" s="12" t="n">
        <v>35</v>
      </c>
      <c r="U41" s="12" t="n">
        <v>0</v>
      </c>
      <c r="V41" s="12" t="n">
        <v>25</v>
      </c>
    </row>
    <row r="42" customFormat="false" ht="15" hidden="false" customHeight="false" outlineLevel="0" collapsed="false">
      <c r="A42" s="15" t="s">
        <v>15</v>
      </c>
      <c r="B42" s="37" t="s">
        <v>57</v>
      </c>
      <c r="C42" s="19" t="n">
        <f aca="false">SUMPRODUCT(C9:C41,D9:D41)/SUMIF(C9:C41,"&gt;0",D9:D41)</f>
        <v>45.3377189854768</v>
      </c>
      <c r="D42" s="38" t="n">
        <f aca="false">SUM(D9:D41)</f>
        <v>781234</v>
      </c>
      <c r="E42" s="38" t="n">
        <f aca="false">SUM(E9:E41)</f>
        <v>621201</v>
      </c>
      <c r="F42" s="18" t="n">
        <f aca="false">SUM(F9:F41)</f>
        <v>106506.5</v>
      </c>
      <c r="G42" s="17" t="n">
        <f aca="false">IF(E42&gt;0,F42/E42,"")</f>
        <v>0.171452557223829</v>
      </c>
      <c r="H42" s="38" t="n">
        <f aca="false">SUM(H9:H41)</f>
        <v>28</v>
      </c>
      <c r="I42" s="39" t="n">
        <f aca="false">SUM(I9:I41)</f>
        <v>22.56</v>
      </c>
      <c r="J42" s="38" t="n">
        <f aca="false">SUM(J9:J41)</f>
        <v>435266</v>
      </c>
      <c r="K42" s="38" t="n">
        <f aca="false">SUM(K9:K41)</f>
        <v>0</v>
      </c>
      <c r="L42" s="38" t="n">
        <f aca="false">SUM(L9:L41)</f>
        <v>0</v>
      </c>
      <c r="M42" s="38" t="n">
        <f aca="false">SUM(M9:M41)</f>
        <v>107160</v>
      </c>
      <c r="N42" s="38" t="n">
        <f aca="false">SUM(N9:N41)</f>
        <v>78775</v>
      </c>
      <c r="O42" s="18" t="n">
        <f aca="false">SUM(O9:O41)</f>
        <v>2646</v>
      </c>
      <c r="P42" s="18" t="n">
        <f aca="false">SUM(P9:P41)</f>
        <v>13.5</v>
      </c>
      <c r="Q42" s="18" t="n">
        <f aca="false">SUM(Q9:Q41)</f>
        <v>43084</v>
      </c>
      <c r="R42" s="18" t="n">
        <f aca="false">SUM(R9:R41)</f>
        <v>41775</v>
      </c>
      <c r="S42" s="18" t="n">
        <f aca="false">SUM(S9:S41)</f>
        <v>8129</v>
      </c>
      <c r="T42" s="18" t="n">
        <f aca="false">SUM(T9:T41)</f>
        <v>4661</v>
      </c>
      <c r="U42" s="18" t="n">
        <f aca="false">SUM(U9:U41)</f>
        <v>5037</v>
      </c>
      <c r="V42" s="18" t="n">
        <f aca="false">SUM(V9:V41)</f>
        <v>1161</v>
      </c>
    </row>
    <row r="45" customFormat="false" ht="15" hidden="false" customHeight="false" outlineLevel="0" collapsed="false">
      <c r="A45" s="40" t="s">
        <v>58</v>
      </c>
      <c r="D45" s="41" t="s">
        <v>59</v>
      </c>
    </row>
    <row r="46" customFormat="false" ht="27.75" hidden="false" customHeight="true" outlineLevel="0" collapsed="false">
      <c r="A46" s="2" t="s">
        <v>60</v>
      </c>
      <c r="B46" s="2" t="s">
        <v>61</v>
      </c>
      <c r="C46" s="2" t="s">
        <v>62</v>
      </c>
      <c r="D46" s="2" t="s">
        <v>63</v>
      </c>
      <c r="E46" s="2" t="s">
        <v>64</v>
      </c>
      <c r="F46" s="3" t="s">
        <v>65</v>
      </c>
      <c r="G46" s="3" t="s">
        <v>66</v>
      </c>
      <c r="H46" s="5" t="s">
        <v>67</v>
      </c>
      <c r="I46" s="5" t="s">
        <v>68</v>
      </c>
      <c r="J46" s="7" t="s">
        <v>69</v>
      </c>
      <c r="K46" s="7" t="s">
        <v>70</v>
      </c>
      <c r="L46" s="7" t="s">
        <v>71</v>
      </c>
      <c r="M46" s="2" t="s">
        <v>72</v>
      </c>
    </row>
    <row r="47" customFormat="false" ht="15" hidden="false" customHeight="false" outlineLevel="0" collapsed="false">
      <c r="A47" s="27" t="s">
        <v>73</v>
      </c>
      <c r="B47" s="27" t="s">
        <v>74</v>
      </c>
      <c r="C47" s="26" t="n">
        <v>46203</v>
      </c>
      <c r="D47" s="26" t="n">
        <v>46214</v>
      </c>
      <c r="E47" s="27" t="s">
        <v>75</v>
      </c>
      <c r="F47" s="28" t="n">
        <f aca="false">'RC Movement'!F39</f>
        <v>63950</v>
      </c>
      <c r="G47" s="28" t="n">
        <v>75658</v>
      </c>
      <c r="H47" s="28" t="n">
        <v>11708</v>
      </c>
      <c r="I47" s="11" t="n">
        <f aca="false">IF(AND(E47="CLOSED",G47&gt;0),H47/G47,"")</f>
        <v>0.154749002088345</v>
      </c>
      <c r="J47" s="13" t="n">
        <v>49</v>
      </c>
      <c r="K47" s="13" t="n">
        <v>57.9709</v>
      </c>
      <c r="L47" s="13" t="n">
        <f aca="false">IF(K47="","",K47-J47)</f>
        <v>8.9709</v>
      </c>
      <c r="M47" s="42" t="s">
        <v>76</v>
      </c>
    </row>
    <row r="48" customFormat="false" ht="15" hidden="false" customHeight="false" outlineLevel="0" collapsed="false">
      <c r="A48" s="27" t="s">
        <v>77</v>
      </c>
      <c r="B48" s="27" t="s">
        <v>78</v>
      </c>
      <c r="C48" s="26" t="n">
        <v>46203</v>
      </c>
      <c r="D48" s="26" t="n">
        <v>46207</v>
      </c>
      <c r="E48" s="27" t="s">
        <v>75</v>
      </c>
      <c r="F48" s="28" t="n">
        <f aca="false">'RC Movement'!G39</f>
        <v>59068</v>
      </c>
      <c r="G48" s="28" t="n">
        <v>59365</v>
      </c>
      <c r="H48" s="28" t="n">
        <v>297</v>
      </c>
      <c r="I48" s="11" t="n">
        <f aca="false">IF(AND(E48="CLOSED",G48&gt;0),H48/G48,"")</f>
        <v>0.00500294786490356</v>
      </c>
      <c r="J48" s="13" t="n">
        <v>41.913</v>
      </c>
      <c r="K48" s="13" t="n">
        <v>42.1238</v>
      </c>
      <c r="L48" s="13" t="n">
        <f aca="false">IF(K48="","",K48-J48)</f>
        <v>0.210800000000006</v>
      </c>
      <c r="M48" s="42" t="s">
        <v>76</v>
      </c>
    </row>
    <row r="49" customFormat="false" ht="15" hidden="false" customHeight="false" outlineLevel="0" collapsed="false">
      <c r="A49" s="27" t="s">
        <v>79</v>
      </c>
      <c r="B49" s="27" t="s">
        <v>80</v>
      </c>
      <c r="C49" s="26" t="n">
        <v>46193</v>
      </c>
      <c r="D49" s="26" t="n">
        <v>46214</v>
      </c>
      <c r="E49" s="27" t="s">
        <v>75</v>
      </c>
      <c r="F49" s="28" t="n">
        <f aca="false">'RC Movement'!H39</f>
        <v>32717</v>
      </c>
      <c r="G49" s="28" t="n">
        <v>71635</v>
      </c>
      <c r="H49" s="28" t="n">
        <v>4838</v>
      </c>
      <c r="I49" s="11" t="n">
        <f aca="false">IF(AND(E49="CLOSED",G49&gt;0),H49/G49,"")</f>
        <v>0.0675368185942626</v>
      </c>
      <c r="J49" s="13" t="n">
        <v>47.6616</v>
      </c>
      <c r="K49" s="13" t="n">
        <v>51.1136</v>
      </c>
      <c r="L49" s="13" t="n">
        <f aca="false">IF(K49="","",K49-J49)</f>
        <v>3.452</v>
      </c>
      <c r="M49" s="42" t="s">
        <v>76</v>
      </c>
    </row>
    <row r="50" customFormat="false" ht="15" hidden="false" customHeight="false" outlineLevel="0" collapsed="false">
      <c r="A50" s="27" t="s">
        <v>81</v>
      </c>
      <c r="B50" s="27" t="s">
        <v>82</v>
      </c>
      <c r="C50" s="26" t="n">
        <v>46192</v>
      </c>
      <c r="D50" s="26" t="n">
        <v>46203</v>
      </c>
      <c r="E50" s="27" t="s">
        <v>75</v>
      </c>
      <c r="F50" s="28" t="n">
        <f aca="false">'RC Movement'!I39</f>
        <v>1414</v>
      </c>
      <c r="G50" s="28" t="n">
        <v>56223</v>
      </c>
      <c r="H50" s="28" t="n">
        <v>1945</v>
      </c>
      <c r="I50" s="11" t="n">
        <f aca="false">IF(AND(E50="CLOSED",G50&gt;0),H50/G50,"")</f>
        <v>0.034594383081657</v>
      </c>
      <c r="J50" s="13" t="n">
        <v>48.25</v>
      </c>
      <c r="K50" s="13" t="n">
        <v>49.979</v>
      </c>
      <c r="L50" s="13" t="n">
        <f aca="false">IF(K50="","",K50-J50)</f>
        <v>1.729</v>
      </c>
      <c r="M50" s="42" t="s">
        <v>76</v>
      </c>
    </row>
    <row r="51" customFormat="false" ht="15" hidden="false" customHeight="false" outlineLevel="0" collapsed="false">
      <c r="A51" s="27" t="s">
        <v>83</v>
      </c>
      <c r="B51" s="27" t="s">
        <v>84</v>
      </c>
      <c r="C51" s="26" t="n">
        <v>46203</v>
      </c>
      <c r="D51" s="26" t="n">
        <v>46214</v>
      </c>
      <c r="E51" s="27" t="s">
        <v>75</v>
      </c>
      <c r="F51" s="28" t="n">
        <f aca="false">'RC Movement'!J39</f>
        <v>66509</v>
      </c>
      <c r="G51" s="28" t="n">
        <v>69675</v>
      </c>
      <c r="H51" s="28" t="n">
        <v>3166</v>
      </c>
      <c r="I51" s="11" t="n">
        <f aca="false">IF(AND(E51="CLOSED",G51&gt;0),H51/G51,"")</f>
        <v>0.0454395407247937</v>
      </c>
      <c r="J51" s="13" t="n">
        <v>44.5</v>
      </c>
      <c r="K51" s="13" t="n">
        <v>46.6183</v>
      </c>
      <c r="L51" s="13" t="n">
        <f aca="false">IF(K51="","",K51-J51)</f>
        <v>2.1183</v>
      </c>
      <c r="M51" s="42" t="s">
        <v>76</v>
      </c>
    </row>
    <row r="52" customFormat="false" ht="15" hidden="false" customHeight="false" outlineLevel="0" collapsed="false">
      <c r="A52" s="27" t="s">
        <v>85</v>
      </c>
      <c r="B52" s="27" t="s">
        <v>86</v>
      </c>
      <c r="C52" s="26" t="n">
        <v>46204</v>
      </c>
      <c r="D52" s="26" t="n">
        <v>46206</v>
      </c>
      <c r="E52" s="27" t="s">
        <v>75</v>
      </c>
      <c r="F52" s="28" t="n">
        <f aca="false">'RC Movement'!K39</f>
        <v>19425</v>
      </c>
      <c r="G52" s="28" t="n">
        <v>19425</v>
      </c>
      <c r="H52" s="28" t="n">
        <v>0</v>
      </c>
      <c r="I52" s="11" t="n">
        <f aca="false">IF(AND(E52="CLOSED",G52&gt;0),H52/G52,"")</f>
        <v>0</v>
      </c>
      <c r="J52" s="13" t="n">
        <v>38</v>
      </c>
      <c r="K52" s="13" t="n">
        <v>38</v>
      </c>
      <c r="L52" s="13" t="n">
        <f aca="false">IF(K52="","",K52-J52)</f>
        <v>0</v>
      </c>
      <c r="M52" s="42" t="s">
        <v>76</v>
      </c>
    </row>
    <row r="53" customFormat="false" ht="15" hidden="false" customHeight="false" outlineLevel="0" collapsed="false">
      <c r="A53" s="27" t="s">
        <v>87</v>
      </c>
      <c r="B53" s="27" t="s">
        <v>88</v>
      </c>
      <c r="C53" s="26" t="n">
        <v>46207</v>
      </c>
      <c r="D53" s="26" t="n">
        <v>46211</v>
      </c>
      <c r="E53" s="27" t="s">
        <v>75</v>
      </c>
      <c r="F53" s="28" t="n">
        <f aca="false">'RC Movement'!L39</f>
        <v>53080</v>
      </c>
      <c r="G53" s="28" t="n">
        <v>53345</v>
      </c>
      <c r="H53" s="28" t="n">
        <v>265</v>
      </c>
      <c r="I53" s="11" t="n">
        <f aca="false">IF(AND(E53="CLOSED",G53&gt;0),H53/G53,"")</f>
        <v>0.00496766332364795</v>
      </c>
      <c r="J53" s="13" t="n">
        <v>43.5</v>
      </c>
      <c r="K53" s="13" t="n">
        <v>43.7172</v>
      </c>
      <c r="L53" s="13" t="n">
        <f aca="false">IF(K53="","",K53-J53)</f>
        <v>0.217199999999998</v>
      </c>
      <c r="M53" s="42" t="s">
        <v>76</v>
      </c>
    </row>
    <row r="54" customFormat="false" ht="15" hidden="false" customHeight="false" outlineLevel="0" collapsed="false">
      <c r="A54" s="27" t="s">
        <v>89</v>
      </c>
      <c r="B54" s="27" t="s">
        <v>90</v>
      </c>
      <c r="C54" s="26" t="n">
        <v>46211</v>
      </c>
      <c r="D54" s="26" t="n">
        <v>46212</v>
      </c>
      <c r="E54" s="27" t="s">
        <v>75</v>
      </c>
      <c r="F54" s="28" t="n">
        <f aca="false">'RC Movement'!M39</f>
        <v>19605</v>
      </c>
      <c r="G54" s="28" t="n">
        <v>19605</v>
      </c>
      <c r="H54" s="28" t="n">
        <v>0</v>
      </c>
      <c r="I54" s="11" t="n">
        <f aca="false">IF(AND(E54="CLOSED",G54&gt;0),H54/G54,"")</f>
        <v>0</v>
      </c>
      <c r="J54" s="13" t="n">
        <v>36</v>
      </c>
      <c r="K54" s="13" t="n">
        <v>36</v>
      </c>
      <c r="L54" s="13" t="n">
        <f aca="false">IF(K54="","",K54-J54)</f>
        <v>0</v>
      </c>
      <c r="M54" s="42" t="s">
        <v>76</v>
      </c>
    </row>
    <row r="55" customFormat="false" ht="15" hidden="false" customHeight="false" outlineLevel="0" collapsed="false">
      <c r="A55" s="27" t="s">
        <v>91</v>
      </c>
      <c r="B55" s="27" t="s">
        <v>92</v>
      </c>
      <c r="C55" s="26" t="n">
        <v>46212</v>
      </c>
      <c r="D55" s="26" t="n">
        <v>46214</v>
      </c>
      <c r="E55" s="27" t="s">
        <v>75</v>
      </c>
      <c r="F55" s="28" t="n">
        <f aca="false">'RC Movement'!N39</f>
        <v>54120</v>
      </c>
      <c r="G55" s="28" t="n">
        <v>54500</v>
      </c>
      <c r="H55" s="28" t="n">
        <v>380</v>
      </c>
      <c r="I55" s="11" t="n">
        <f aca="false">IF(AND(E55="CLOSED",G55&gt;0),H55/G55,"")</f>
        <v>0.00697247706422018</v>
      </c>
      <c r="J55" s="13" t="n">
        <v>44.3158</v>
      </c>
      <c r="K55" s="13" t="n">
        <v>44.6269</v>
      </c>
      <c r="L55" s="13" t="n">
        <f aca="false">IF(K55="","",K55-J55)</f>
        <v>0.311099999999996</v>
      </c>
      <c r="M55" s="42" t="s">
        <v>76</v>
      </c>
    </row>
    <row r="56" customFormat="false" ht="15" hidden="false" customHeight="false" outlineLevel="0" collapsed="false">
      <c r="A56" s="27" t="s">
        <v>93</v>
      </c>
      <c r="B56" s="27" t="s">
        <v>94</v>
      </c>
      <c r="C56" s="26" t="n">
        <v>46216</v>
      </c>
      <c r="D56" s="26" t="n">
        <v>46223</v>
      </c>
      <c r="E56" s="27" t="s">
        <v>75</v>
      </c>
      <c r="F56" s="28" t="n">
        <f aca="false">'RC Movement'!O39</f>
        <v>54119</v>
      </c>
      <c r="G56" s="28" t="n">
        <v>56185</v>
      </c>
      <c r="H56" s="28" t="n">
        <v>2066</v>
      </c>
      <c r="I56" s="11" t="n">
        <f aca="false">IF(AND(E56="CLOSED",G56&gt;0),H56/G56,"")</f>
        <v>0.0367713802616357</v>
      </c>
      <c r="J56" s="13" t="n">
        <v>49</v>
      </c>
      <c r="K56" s="13" t="n">
        <v>50.8706</v>
      </c>
      <c r="L56" s="13" t="n">
        <f aca="false">IF(K56="","",K56-J56)</f>
        <v>1.8706</v>
      </c>
      <c r="M56" s="42" t="s">
        <v>76</v>
      </c>
    </row>
    <row r="57" customFormat="false" ht="15" hidden="false" customHeight="false" outlineLevel="0" collapsed="false">
      <c r="A57" s="27" t="s">
        <v>95</v>
      </c>
      <c r="B57" s="27" t="s">
        <v>96</v>
      </c>
      <c r="C57" s="26" t="n">
        <v>46216</v>
      </c>
      <c r="D57" s="26" t="n">
        <v>46224</v>
      </c>
      <c r="E57" s="27" t="s">
        <v>75</v>
      </c>
      <c r="F57" s="28" t="n">
        <f aca="false">'RC Movement'!P39</f>
        <v>61974</v>
      </c>
      <c r="G57" s="28" t="n">
        <v>64655</v>
      </c>
      <c r="H57" s="28" t="n">
        <v>2681</v>
      </c>
      <c r="I57" s="11" t="n">
        <f aca="false">IF(AND(E57="CLOSED",G57&gt;0),H57/G57,"")</f>
        <v>0.0414662439099838</v>
      </c>
      <c r="J57" s="13" t="n">
        <v>47.4258</v>
      </c>
      <c r="K57" s="13" t="n">
        <v>49.4774</v>
      </c>
      <c r="L57" s="13" t="n">
        <f aca="false">IF(K57="","",K57-J57)</f>
        <v>2.0516</v>
      </c>
      <c r="M57" s="42" t="s">
        <v>76</v>
      </c>
    </row>
    <row r="58" customFormat="false" ht="15" hidden="false" customHeight="false" outlineLevel="0" collapsed="false">
      <c r="A58" s="27" t="s">
        <v>97</v>
      </c>
      <c r="B58" s="27" t="s">
        <v>98</v>
      </c>
      <c r="C58" s="26" t="n">
        <v>46223</v>
      </c>
      <c r="D58" s="26" t="n">
        <v>46228</v>
      </c>
      <c r="E58" s="27" t="s">
        <v>75</v>
      </c>
      <c r="F58" s="28" t="n">
        <f aca="false">'RC Movement'!Q39</f>
        <v>45897</v>
      </c>
      <c r="G58" s="28" t="n">
        <v>51315</v>
      </c>
      <c r="H58" s="28" t="n">
        <v>5418</v>
      </c>
      <c r="I58" s="11" t="n">
        <f aca="false">IF(AND(E58="CLOSED",G58&gt;0),H58/G58,"")</f>
        <v>0.10558316281789</v>
      </c>
      <c r="J58" s="13" t="n">
        <v>42</v>
      </c>
      <c r="K58" s="13" t="n">
        <v>46.958</v>
      </c>
      <c r="L58" s="13" t="n">
        <f aca="false">IF(K58="","",K58-J58)</f>
        <v>4.958</v>
      </c>
      <c r="M58" s="42" t="s">
        <v>76</v>
      </c>
    </row>
    <row r="59" customFormat="false" ht="15" hidden="false" customHeight="false" outlineLevel="0" collapsed="false">
      <c r="A59" s="27" t="s">
        <v>99</v>
      </c>
      <c r="B59" s="27" t="s">
        <v>100</v>
      </c>
      <c r="C59" s="26" t="n">
        <v>46224</v>
      </c>
      <c r="D59" s="26" t="n">
        <v>46230</v>
      </c>
      <c r="E59" s="27" t="s">
        <v>75</v>
      </c>
      <c r="F59" s="28" t="n">
        <f aca="false">'RC Movement'!R39</f>
        <v>66020</v>
      </c>
      <c r="G59" s="28" t="n">
        <v>69010</v>
      </c>
      <c r="H59" s="28" t="n">
        <v>2990</v>
      </c>
      <c r="I59" s="11" t="n">
        <f aca="false">IF(AND(E59="CLOSED",G59&gt;0),H59/G59,"")</f>
        <v>0.0433270540501377</v>
      </c>
      <c r="J59" s="13" t="n">
        <v>47.7061</v>
      </c>
      <c r="K59" s="13" t="n">
        <v>49.8667</v>
      </c>
      <c r="L59" s="13" t="n">
        <f aca="false">IF(K59="","",K59-J59)</f>
        <v>2.1606</v>
      </c>
      <c r="M59" s="42" t="s">
        <v>76</v>
      </c>
    </row>
    <row r="60" customFormat="false" ht="15" hidden="false" customHeight="false" outlineLevel="0" collapsed="false">
      <c r="A60" s="27" t="s">
        <v>101</v>
      </c>
      <c r="B60" s="27" t="s">
        <v>86</v>
      </c>
      <c r="C60" s="26" t="n">
        <v>46224</v>
      </c>
      <c r="D60" s="26" t="n">
        <v>46225</v>
      </c>
      <c r="E60" s="27" t="s">
        <v>75</v>
      </c>
      <c r="F60" s="28" t="n">
        <f aca="false">'RC Movement'!S39</f>
        <v>18925</v>
      </c>
      <c r="G60" s="28" t="n">
        <v>18925</v>
      </c>
      <c r="H60" s="28" t="n">
        <v>0</v>
      </c>
      <c r="I60" s="11" t="n">
        <f aca="false">IF(AND(E60="CLOSED",G60&gt;0),H60/G60,"")</f>
        <v>0</v>
      </c>
      <c r="J60" s="13" t="n">
        <v>36</v>
      </c>
      <c r="K60" s="13" t="n">
        <v>36</v>
      </c>
      <c r="L60" s="13" t="n">
        <f aca="false">IF(K60="","",K60-J60)</f>
        <v>0</v>
      </c>
      <c r="M60" s="42" t="s">
        <v>76</v>
      </c>
    </row>
    <row r="61" customFormat="false" ht="15" hidden="false" customHeight="false" outlineLevel="0" collapsed="false">
      <c r="A61" s="27" t="s">
        <v>102</v>
      </c>
      <c r="B61" s="27" t="s">
        <v>103</v>
      </c>
      <c r="C61" s="26" t="n">
        <v>46225</v>
      </c>
      <c r="D61" s="26" t="n">
        <v>46231</v>
      </c>
      <c r="E61" s="27" t="s">
        <v>75</v>
      </c>
      <c r="F61" s="28" t="n">
        <f aca="false">'RC Movement'!T39</f>
        <v>58504</v>
      </c>
      <c r="G61" s="28" t="n">
        <v>61550</v>
      </c>
      <c r="H61" s="28" t="n">
        <v>3046</v>
      </c>
      <c r="I61" s="11" t="n">
        <f aca="false">IF(AND(E61="CLOSED",G61&gt;0),H61/G61,"")</f>
        <v>0.0494882209585703</v>
      </c>
      <c r="J61" s="13" t="n">
        <v>48.4466</v>
      </c>
      <c r="K61" s="13" t="n">
        <v>50.9689</v>
      </c>
      <c r="L61" s="13" t="n">
        <f aca="false">IF(K61="","",K61-J61)</f>
        <v>2.5223</v>
      </c>
      <c r="M61" s="42" t="s">
        <v>76</v>
      </c>
    </row>
    <row r="62" customFormat="false" ht="15" hidden="false" customHeight="false" outlineLevel="0" collapsed="false">
      <c r="A62" s="27" t="s">
        <v>104</v>
      </c>
      <c r="B62" s="27" t="s">
        <v>105</v>
      </c>
      <c r="C62" s="26" t="n">
        <v>46227</v>
      </c>
      <c r="D62" s="26" t="n">
        <v>46232</v>
      </c>
      <c r="E62" s="27" t="s">
        <v>75</v>
      </c>
      <c r="F62" s="28" t="n">
        <f aca="false">'RC Movement'!U39</f>
        <v>63478</v>
      </c>
      <c r="G62" s="28" t="n">
        <v>64530</v>
      </c>
      <c r="H62" s="28" t="n">
        <v>1052</v>
      </c>
      <c r="I62" s="11" t="n">
        <f aca="false">IF(AND(E62="CLOSED",G62&gt;0),H62/G62,"")</f>
        <v>0.0163024949635828</v>
      </c>
      <c r="J62" s="13" t="n">
        <v>44.5</v>
      </c>
      <c r="K62" s="13" t="n">
        <v>45.2375</v>
      </c>
      <c r="L62" s="13" t="n">
        <f aca="false">IF(K62="","",K62-J62)</f>
        <v>0.737499999999997</v>
      </c>
      <c r="M62" s="42" t="s">
        <v>76</v>
      </c>
    </row>
    <row r="63" customFormat="false" ht="15" hidden="false" customHeight="false" outlineLevel="0" collapsed="false">
      <c r="A63" s="27" t="s">
        <v>106</v>
      </c>
      <c r="B63" s="27" t="s">
        <v>107</v>
      </c>
      <c r="C63" s="26" t="n">
        <v>46230</v>
      </c>
      <c r="D63" s="26" t="n">
        <v>46239</v>
      </c>
      <c r="E63" s="27" t="s">
        <v>75</v>
      </c>
      <c r="F63" s="28" t="n">
        <f aca="false">'RC Movement'!V39</f>
        <v>14072</v>
      </c>
      <c r="G63" s="28" t="n">
        <v>73379</v>
      </c>
      <c r="H63" s="28" t="n">
        <v>4366</v>
      </c>
      <c r="I63" s="11" t="n">
        <f aca="false">IF(AND(E63="CLOSED",G63&gt;0),H63/G63,"")</f>
        <v>0.0594993117922021</v>
      </c>
      <c r="J63" s="13" t="n">
        <v>49</v>
      </c>
      <c r="K63" s="13" t="n">
        <v>52.0999</v>
      </c>
      <c r="L63" s="13" t="n">
        <f aca="false">IF(K63="","",K63-J63)</f>
        <v>3.0999</v>
      </c>
      <c r="M63" s="42" t="s">
        <v>76</v>
      </c>
    </row>
    <row r="64" customFormat="false" ht="15" hidden="false" customHeight="false" outlineLevel="0" collapsed="false">
      <c r="A64" s="27" t="s">
        <v>108</v>
      </c>
      <c r="B64" s="27" t="s">
        <v>109</v>
      </c>
      <c r="C64" s="26" t="n">
        <v>46231</v>
      </c>
      <c r="D64" s="26" t="n">
        <v>46241</v>
      </c>
      <c r="E64" s="27" t="s">
        <v>75</v>
      </c>
      <c r="F64" s="28" t="n">
        <f aca="false">'RC Movement'!W39</f>
        <v>13134</v>
      </c>
      <c r="G64" s="28" t="n">
        <v>59220</v>
      </c>
      <c r="H64" s="28" t="n">
        <v>507</v>
      </c>
      <c r="I64" s="11" t="n">
        <f aca="false">IF(AND(E64="CLOSED",G64&gt;0),H64/G64,"")</f>
        <v>0.0085612968591692</v>
      </c>
      <c r="J64" s="13" t="n">
        <v>48.7509</v>
      </c>
      <c r="K64" s="13" t="n">
        <v>49.1719</v>
      </c>
      <c r="L64" s="13" t="n">
        <f aca="false">IF(K64="","",K64-J64)</f>
        <v>0.420999999999999</v>
      </c>
      <c r="M64" s="42" t="s">
        <v>76</v>
      </c>
    </row>
    <row r="65" customFormat="false" ht="15" hidden="false" customHeight="false" outlineLevel="0" collapsed="false">
      <c r="A65" s="27" t="s">
        <v>110</v>
      </c>
      <c r="B65" s="27" t="s">
        <v>111</v>
      </c>
      <c r="C65" s="26" t="n">
        <v>46231</v>
      </c>
      <c r="D65" s="26" t="n">
        <v>46240</v>
      </c>
      <c r="E65" s="27" t="s">
        <v>75</v>
      </c>
      <c r="F65" s="28" t="n">
        <f aca="false">'RC Movement'!X39</f>
        <v>15223</v>
      </c>
      <c r="G65" s="28" t="n">
        <v>56234</v>
      </c>
      <c r="H65" s="28" t="n">
        <v>2722</v>
      </c>
      <c r="I65" s="11" t="n">
        <f aca="false">IF(AND(E65="CLOSED",G65&gt;0),H65/G65,"")</f>
        <v>0.0484048796102002</v>
      </c>
      <c r="J65" s="13" t="n">
        <v>48.1612</v>
      </c>
      <c r="K65" s="13" t="n">
        <v>50.611</v>
      </c>
      <c r="L65" s="13" t="n">
        <f aca="false">IF(K65="","",K65-J65)</f>
        <v>2.4498</v>
      </c>
      <c r="M65" s="42" t="s">
        <v>76</v>
      </c>
    </row>
    <row r="66" customFormat="false" ht="15" hidden="false" customHeight="false" outlineLevel="0" collapsed="false">
      <c r="A66" s="15" t="s">
        <v>112</v>
      </c>
      <c r="B66" s="43" t="str">
        <f aca="false">COUNTIF(E47:E65,"CLOSED")&amp;" closed · "&amp;COUNTIF(E47:E65,"OPEN")&amp;" open · "&amp;COUNTIF(M47:M65,"Y")&amp;" in price set"</f>
        <v>19 closed · 0 open · 19 in price set</v>
      </c>
      <c r="C66" s="43"/>
      <c r="D66" s="43"/>
      <c r="E66" s="43"/>
      <c r="F66" s="38" t="n">
        <f aca="false">SUM(F47:F65)</f>
        <v>781234</v>
      </c>
      <c r="G66" s="38" t="n">
        <f aca="false">SUM(G47:G65)</f>
        <v>1054434</v>
      </c>
      <c r="H66" s="38" t="n">
        <f aca="false">SUM(H47:H65)</f>
        <v>47447</v>
      </c>
      <c r="I66" s="17" t="n">
        <f aca="false">SUMIF(E47:E65,"CLOSED",H47:H65)/SUMIF(E47:E65,"CLOSED",G47:G65)</f>
        <v>0.0449976006084781</v>
      </c>
      <c r="J66" s="19" t="n">
        <f aca="false">SUMPRODUCT((M47:M65="Y")*F47:F65*J47:J65)/SUMPRODUCT((M47:M65="Y")*F47:F65)</f>
        <v>45.3377197523405</v>
      </c>
      <c r="K66" s="19" t="n">
        <f aca="false">SUMPRODUCT((M47:M65="Y")*F47:F65*K47:K65)/SUMPRODUCT((M47:M65="Y")*F47:F65)</f>
        <v>47.5779977948988</v>
      </c>
      <c r="L66" s="19" t="n">
        <f aca="false">SUMPRODUCT((M47:M65="Y")*J47:J65*G47:G65)/SUMPRODUCT((M47:M65="Y")*(G47:G65-H47:H65))-SUMPRODUCT((M47:M65="Y")*J47:J65*G47:G65)/SUMPRODUCT((M47:M65="Y")*G47:G65)</f>
        <v>2.17148932488073</v>
      </c>
      <c r="M66" s="44"/>
    </row>
  </sheetData>
  <mergeCells count="6">
    <mergeCell ref="A7:B7"/>
    <mergeCell ref="F7:G7"/>
    <mergeCell ref="H7:I7"/>
    <mergeCell ref="J7:N7"/>
    <mergeCell ref="O7:V7"/>
    <mergeCell ref="B66:E6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1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22" min="14" style="0" width="10"/>
  </cols>
  <sheetData>
    <row r="1" customFormat="false" ht="17.35" hidden="false" customHeight="false" outlineLevel="0" collapsed="false">
      <c r="A1" s="1" t="s">
        <v>113</v>
      </c>
    </row>
    <row r="3" customFormat="false" ht="30" hidden="false" customHeight="true" outlineLevel="0" collapsed="false">
      <c r="A3" s="21" t="s">
        <v>21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customFormat="false" ht="15" hidden="false" customHeight="false" outlineLevel="0" collapsed="false">
      <c r="A4" s="9" t="s">
        <v>16</v>
      </c>
      <c r="B4" s="22" t="n">
        <f aca="false">D38/1000</f>
        <v>697.313</v>
      </c>
      <c r="C4" s="22" t="n">
        <f aca="false">E38/1000</f>
        <v>553.376</v>
      </c>
      <c r="D4" s="23" t="n">
        <f aca="false">E38/D38</f>
        <v>0.793583369304746</v>
      </c>
      <c r="E4" s="23" t="n">
        <f aca="false">1-D4</f>
        <v>0.206416630695255</v>
      </c>
      <c r="F4" s="24" t="n">
        <f aca="false">F38</f>
        <v>78954.5</v>
      </c>
      <c r="G4" s="23" t="n">
        <f aca="false">F38/E38</f>
        <v>0.142677853755855</v>
      </c>
      <c r="H4" s="25" t="n">
        <f aca="false">C38</f>
        <v>42.7720353402274</v>
      </c>
      <c r="I4" s="25" t="n">
        <f aca="false">K63</f>
        <v>43.9392156159429</v>
      </c>
      <c r="J4" s="25" t="n">
        <f aca="false">L63</f>
        <v>1.08421648515181</v>
      </c>
      <c r="K4" s="23" t="n">
        <f aca="false">I63</f>
        <v>0.0246065666921956</v>
      </c>
      <c r="L4" s="25" t="n">
        <f aca="false">H4/D4</f>
        <v>53.8973433600301</v>
      </c>
      <c r="M4" s="25" t="n">
        <f aca="false">IF(COUNTIF(M43:M62,"N")=0,I4/D4,"")</f>
        <v>55.3681154563985</v>
      </c>
      <c r="N4" s="14" t="n">
        <f aca="false">SUMPRODUCT((M43:M62="Y")*F43:F62)</f>
        <v>697313</v>
      </c>
    </row>
    <row r="7" customFormat="false" ht="15" hidden="false" customHeight="true" outlineLevel="0" collapsed="false">
      <c r="A7" s="2" t="s">
        <v>22</v>
      </c>
      <c r="B7" s="2"/>
      <c r="C7" s="7" t="s">
        <v>23</v>
      </c>
      <c r="D7" s="3" t="s">
        <v>24</v>
      </c>
      <c r="E7" s="4" t="s">
        <v>25</v>
      </c>
      <c r="F7" s="6" t="s">
        <v>26</v>
      </c>
      <c r="G7" s="6"/>
      <c r="H7" s="2" t="s">
        <v>27</v>
      </c>
      <c r="I7" s="2"/>
      <c r="J7" s="4" t="s">
        <v>28</v>
      </c>
      <c r="K7" s="4"/>
      <c r="L7" s="4"/>
      <c r="M7" s="4"/>
      <c r="N7" s="4"/>
      <c r="O7" s="6" t="s">
        <v>29</v>
      </c>
      <c r="P7" s="6"/>
      <c r="Q7" s="6"/>
      <c r="R7" s="6"/>
      <c r="S7" s="6"/>
      <c r="T7" s="6"/>
      <c r="U7" s="6"/>
      <c r="V7" s="6"/>
    </row>
    <row r="8" customFormat="false" ht="27.75" hidden="false" customHeight="true" outlineLevel="0" collapsed="false">
      <c r="A8" s="2" t="s">
        <v>30</v>
      </c>
      <c r="B8" s="2" t="s">
        <v>22</v>
      </c>
      <c r="C8" s="7" t="s">
        <v>31</v>
      </c>
      <c r="D8" s="3" t="s">
        <v>32</v>
      </c>
      <c r="E8" s="4" t="s">
        <v>33</v>
      </c>
      <c r="F8" s="6" t="s">
        <v>34</v>
      </c>
      <c r="G8" s="6" t="s">
        <v>7</v>
      </c>
      <c r="H8" s="2" t="s">
        <v>35</v>
      </c>
      <c r="I8" s="2" t="s">
        <v>36</v>
      </c>
      <c r="J8" s="4" t="s">
        <v>37</v>
      </c>
      <c r="K8" s="4" t="s">
        <v>38</v>
      </c>
      <c r="L8" s="4" t="s">
        <v>39</v>
      </c>
      <c r="M8" s="4" t="s">
        <v>40</v>
      </c>
      <c r="N8" s="4" t="s">
        <v>41</v>
      </c>
      <c r="O8" s="6" t="s">
        <v>42</v>
      </c>
      <c r="P8" s="6" t="s">
        <v>43</v>
      </c>
      <c r="Q8" s="6" t="s">
        <v>44</v>
      </c>
      <c r="R8" s="6" t="s">
        <v>45</v>
      </c>
      <c r="S8" s="6" t="s">
        <v>46</v>
      </c>
      <c r="T8" s="6" t="s">
        <v>47</v>
      </c>
      <c r="U8" s="6" t="s">
        <v>48</v>
      </c>
      <c r="V8" s="6" t="s">
        <v>49</v>
      </c>
    </row>
    <row r="9" customFormat="false" ht="15" hidden="false" customHeight="false" outlineLevel="0" collapsed="false">
      <c r="A9" s="26" t="n">
        <v>46235</v>
      </c>
      <c r="B9" s="27" t="s">
        <v>54</v>
      </c>
      <c r="C9" s="13" t="n">
        <v>48.5774</v>
      </c>
      <c r="D9" s="28" t="n">
        <f aca="false">'RC Movement'!E48</f>
        <v>30326</v>
      </c>
      <c r="E9" s="28" t="n">
        <f aca="false">SUM(J9:N9)</f>
        <v>11830</v>
      </c>
      <c r="F9" s="12" t="n">
        <f aca="false">SUM(O9:V9)</f>
        <v>993.5</v>
      </c>
      <c r="G9" s="11" t="n">
        <f aca="false">IF(E9&gt;0,F9/E9,"")</f>
        <v>0.0839814032121724</v>
      </c>
      <c r="H9" s="28" t="n">
        <v>1</v>
      </c>
      <c r="I9" s="29" t="n">
        <v>0</v>
      </c>
      <c r="J9" s="28" t="n">
        <v>11830</v>
      </c>
      <c r="K9" s="28"/>
      <c r="L9" s="28"/>
      <c r="M9" s="28"/>
      <c r="N9" s="28"/>
      <c r="O9" s="12" t="n">
        <v>50</v>
      </c>
      <c r="P9" s="12" t="n">
        <v>0.5</v>
      </c>
      <c r="Q9" s="12" t="n">
        <v>520</v>
      </c>
      <c r="R9" s="12" t="n">
        <v>0</v>
      </c>
      <c r="S9" s="12" t="n">
        <v>90</v>
      </c>
      <c r="T9" s="12" t="n">
        <v>94</v>
      </c>
      <c r="U9" s="12" t="n">
        <v>210</v>
      </c>
      <c r="V9" s="12" t="n">
        <v>29</v>
      </c>
    </row>
    <row r="10" customFormat="false" ht="15" hidden="false" customHeight="false" outlineLevel="0" collapsed="false">
      <c r="A10" s="30" t="n">
        <v>46236</v>
      </c>
      <c r="B10" s="31" t="s">
        <v>55</v>
      </c>
      <c r="C10" s="32"/>
      <c r="D10" s="33" t="n">
        <f aca="false">'RC Movement'!E49</f>
        <v>0</v>
      </c>
      <c r="E10" s="33" t="n">
        <f aca="false">SUM(J10:N10)</f>
        <v>0</v>
      </c>
      <c r="F10" s="34" t="n">
        <f aca="false">SUM(O10:V10)</f>
        <v>0</v>
      </c>
      <c r="G10" s="35" t="str">
        <f aca="false">IF(E10&gt;0,F10/E10,"")</f>
        <v/>
      </c>
      <c r="H10" s="33"/>
      <c r="I10" s="36"/>
      <c r="J10" s="33"/>
      <c r="K10" s="33"/>
      <c r="L10" s="33"/>
      <c r="M10" s="33"/>
      <c r="N10" s="33"/>
      <c r="O10" s="34"/>
      <c r="P10" s="34"/>
      <c r="Q10" s="34"/>
      <c r="R10" s="34"/>
      <c r="S10" s="34"/>
      <c r="T10" s="34"/>
      <c r="U10" s="34"/>
      <c r="V10" s="34"/>
    </row>
    <row r="11" customFormat="false" ht="15" hidden="false" customHeight="false" outlineLevel="0" collapsed="false">
      <c r="A11" s="26" t="n">
        <v>46237</v>
      </c>
      <c r="B11" s="27" t="s">
        <v>56</v>
      </c>
      <c r="C11" s="13" t="n">
        <v>48.7898</v>
      </c>
      <c r="D11" s="28" t="n">
        <f aca="false">'RC Movement'!E50</f>
        <v>32421</v>
      </c>
      <c r="E11" s="28" t="n">
        <f aca="false">SUM(J11:N11)</f>
        <v>23608</v>
      </c>
      <c r="F11" s="12" t="n">
        <f aca="false">SUM(O11:V11)</f>
        <v>3414.5</v>
      </c>
      <c r="G11" s="11" t="n">
        <f aca="false">IF(E11&gt;0,F11/E11,"")</f>
        <v>0.144633175194849</v>
      </c>
      <c r="H11" s="28" t="n">
        <v>1</v>
      </c>
      <c r="I11" s="29" t="n">
        <v>0.28</v>
      </c>
      <c r="J11" s="28" t="n">
        <v>23608</v>
      </c>
      <c r="K11" s="28"/>
      <c r="L11" s="28"/>
      <c r="M11" s="28"/>
      <c r="N11" s="28"/>
      <c r="O11" s="12" t="n">
        <v>50</v>
      </c>
      <c r="P11" s="12" t="n">
        <v>0.5</v>
      </c>
      <c r="Q11" s="12" t="n">
        <v>1650</v>
      </c>
      <c r="R11" s="12" t="n">
        <v>1134</v>
      </c>
      <c r="S11" s="12" t="n">
        <v>197</v>
      </c>
      <c r="T11" s="12" t="n">
        <v>183</v>
      </c>
      <c r="U11" s="12" t="n">
        <v>170</v>
      </c>
      <c r="V11" s="12" t="n">
        <v>30</v>
      </c>
    </row>
    <row r="12" customFormat="false" ht="15" hidden="false" customHeight="false" outlineLevel="0" collapsed="false">
      <c r="A12" s="26" t="n">
        <v>46238</v>
      </c>
      <c r="B12" s="27" t="s">
        <v>50</v>
      </c>
      <c r="C12" s="13" t="n">
        <v>48.7881</v>
      </c>
      <c r="D12" s="28" t="n">
        <f aca="false">'RC Movement'!E51</f>
        <v>32242</v>
      </c>
      <c r="E12" s="28" t="n">
        <f aca="false">SUM(J12:N12)</f>
        <v>24700</v>
      </c>
      <c r="F12" s="12" t="n">
        <f aca="false">SUM(O12:V12)</f>
        <v>4185.5</v>
      </c>
      <c r="G12" s="11" t="n">
        <f aca="false">IF(E12&gt;0,F12/E12,"")</f>
        <v>0.169453441295547</v>
      </c>
      <c r="H12" s="28" t="n">
        <v>1</v>
      </c>
      <c r="I12" s="29" t="n">
        <v>0.08</v>
      </c>
      <c r="J12" s="28" t="n">
        <v>24700</v>
      </c>
      <c r="K12" s="28"/>
      <c r="L12" s="28"/>
      <c r="M12" s="28"/>
      <c r="N12" s="28"/>
      <c r="O12" s="12" t="n">
        <v>75</v>
      </c>
      <c r="P12" s="12" t="n">
        <v>0.5</v>
      </c>
      <c r="Q12" s="12" t="n">
        <v>1650</v>
      </c>
      <c r="R12" s="12" t="n">
        <v>1897</v>
      </c>
      <c r="S12" s="12" t="n">
        <v>199</v>
      </c>
      <c r="T12" s="12" t="n">
        <v>186</v>
      </c>
      <c r="U12" s="12" t="n">
        <v>150</v>
      </c>
      <c r="V12" s="12" t="n">
        <v>28</v>
      </c>
    </row>
    <row r="13" customFormat="false" ht="15" hidden="false" customHeight="false" outlineLevel="0" collapsed="false">
      <c r="A13" s="26" t="n">
        <v>46239</v>
      </c>
      <c r="B13" s="27" t="s">
        <v>51</v>
      </c>
      <c r="C13" s="13" t="n">
        <v>46.0675</v>
      </c>
      <c r="D13" s="28" t="n">
        <f aca="false">'RC Movement'!E52</f>
        <v>37085</v>
      </c>
      <c r="E13" s="28" t="n">
        <f aca="false">SUM(J13:N13)</f>
        <v>25168</v>
      </c>
      <c r="F13" s="12" t="n">
        <f aca="false">SUM(O13:V13)</f>
        <v>3414.5</v>
      </c>
      <c r="G13" s="11" t="n">
        <f aca="false">IF(E13&gt;0,F13/E13,"")</f>
        <v>0.135668308963764</v>
      </c>
      <c r="H13" s="28" t="n">
        <v>1</v>
      </c>
      <c r="I13" s="29" t="n">
        <v>0.52</v>
      </c>
      <c r="J13" s="28" t="n">
        <v>25168</v>
      </c>
      <c r="K13" s="28"/>
      <c r="L13" s="28"/>
      <c r="M13" s="28"/>
      <c r="N13" s="28"/>
      <c r="O13" s="12" t="n">
        <v>50</v>
      </c>
      <c r="P13" s="12" t="n">
        <v>0.5</v>
      </c>
      <c r="Q13" s="12" t="n">
        <v>1650</v>
      </c>
      <c r="R13" s="12" t="n">
        <v>1247</v>
      </c>
      <c r="S13" s="12" t="n">
        <v>168</v>
      </c>
      <c r="T13" s="12" t="n">
        <v>148</v>
      </c>
      <c r="U13" s="12" t="n">
        <v>125</v>
      </c>
      <c r="V13" s="12" t="n">
        <v>26</v>
      </c>
    </row>
    <row r="14" customFormat="false" ht="15" hidden="false" customHeight="false" outlineLevel="0" collapsed="false">
      <c r="A14" s="26" t="n">
        <v>46240</v>
      </c>
      <c r="B14" s="27" t="s">
        <v>52</v>
      </c>
      <c r="C14" s="13" t="n">
        <v>40.6858</v>
      </c>
      <c r="D14" s="28" t="n">
        <f aca="false">'RC Movement'!E53</f>
        <v>38998</v>
      </c>
      <c r="E14" s="28" t="n">
        <f aca="false">SUM(J14:N14)</f>
        <v>26520</v>
      </c>
      <c r="F14" s="12" t="n">
        <f aca="false">SUM(O14:V14)</f>
        <v>3361.5</v>
      </c>
      <c r="G14" s="11" t="n">
        <f aca="false">IF(E14&gt;0,F14/E14,"")</f>
        <v>0.126753393665158</v>
      </c>
      <c r="H14" s="28" t="n">
        <v>1</v>
      </c>
      <c r="I14" s="29" t="n">
        <v>0.13</v>
      </c>
      <c r="J14" s="28" t="n">
        <v>26520</v>
      </c>
      <c r="K14" s="28"/>
      <c r="L14" s="28"/>
      <c r="M14" s="28"/>
      <c r="N14" s="28"/>
      <c r="O14" s="12" t="n">
        <v>100</v>
      </c>
      <c r="P14" s="12" t="n">
        <v>0.5</v>
      </c>
      <c r="Q14" s="12" t="n">
        <v>1650</v>
      </c>
      <c r="R14" s="12" t="n">
        <v>1214</v>
      </c>
      <c r="S14" s="12" t="n">
        <v>157</v>
      </c>
      <c r="T14" s="12" t="n">
        <v>135</v>
      </c>
      <c r="U14" s="12" t="n">
        <v>75</v>
      </c>
      <c r="V14" s="12" t="n">
        <v>30</v>
      </c>
    </row>
    <row r="15" customFormat="false" ht="15" hidden="false" customHeight="false" outlineLevel="0" collapsed="false">
      <c r="A15" s="26" t="n">
        <v>46241</v>
      </c>
      <c r="B15" s="27" t="s">
        <v>53</v>
      </c>
      <c r="C15" s="13" t="n">
        <v>39.093</v>
      </c>
      <c r="D15" s="28" t="n">
        <f aca="false">'RC Movement'!E54</f>
        <v>26525</v>
      </c>
      <c r="E15" s="28" t="n">
        <f aca="false">SUM(J15:N15)</f>
        <v>22620</v>
      </c>
      <c r="F15" s="12" t="n">
        <f aca="false">SUM(O15:V15)</f>
        <v>2691.5</v>
      </c>
      <c r="G15" s="11" t="n">
        <f aca="false">IF(E15&gt;0,F15/E15,"")</f>
        <v>0.118987621573828</v>
      </c>
      <c r="H15" s="28" t="n">
        <v>1</v>
      </c>
      <c r="I15" s="29" t="n">
        <v>2.2</v>
      </c>
      <c r="J15" s="28" t="n">
        <v>22620</v>
      </c>
      <c r="K15" s="28"/>
      <c r="L15" s="28"/>
      <c r="M15" s="28"/>
      <c r="N15" s="28"/>
      <c r="O15" s="12" t="n">
        <v>50</v>
      </c>
      <c r="P15" s="12" t="n">
        <v>0.5</v>
      </c>
      <c r="Q15" s="12" t="n">
        <v>1100</v>
      </c>
      <c r="R15" s="12" t="n">
        <v>1206</v>
      </c>
      <c r="S15" s="12" t="n">
        <v>129</v>
      </c>
      <c r="T15" s="12" t="n">
        <v>77</v>
      </c>
      <c r="U15" s="12" t="n">
        <v>100</v>
      </c>
      <c r="V15" s="12" t="n">
        <v>29</v>
      </c>
    </row>
    <row r="16" customFormat="false" ht="15" hidden="false" customHeight="false" outlineLevel="0" collapsed="false">
      <c r="A16" s="26" t="n">
        <v>46242</v>
      </c>
      <c r="B16" s="27" t="s">
        <v>54</v>
      </c>
      <c r="C16" s="13" t="n">
        <v>38.8398</v>
      </c>
      <c r="D16" s="28" t="n">
        <f aca="false">'RC Movement'!E55</f>
        <v>36105</v>
      </c>
      <c r="E16" s="28" t="n">
        <f aca="false">SUM(J16:N16)</f>
        <v>28600</v>
      </c>
      <c r="F16" s="12" t="n">
        <f aca="false">SUM(O16:V16)</f>
        <v>3409.5</v>
      </c>
      <c r="G16" s="11" t="n">
        <f aca="false">IF(E16&gt;0,F16/E16,"")</f>
        <v>0.119213286713287</v>
      </c>
      <c r="H16" s="28" t="n">
        <v>1</v>
      </c>
      <c r="I16" s="29" t="n">
        <v>0.08</v>
      </c>
      <c r="J16" s="28" t="n">
        <v>28600</v>
      </c>
      <c r="K16" s="28"/>
      <c r="L16" s="28"/>
      <c r="M16" s="28"/>
      <c r="N16" s="28"/>
      <c r="O16" s="12" t="n">
        <v>75</v>
      </c>
      <c r="P16" s="12" t="n">
        <v>0.5</v>
      </c>
      <c r="Q16" s="12" t="n">
        <v>1650</v>
      </c>
      <c r="R16" s="12" t="n">
        <v>1300</v>
      </c>
      <c r="S16" s="12" t="n">
        <v>214</v>
      </c>
      <c r="T16" s="12" t="n">
        <v>92</v>
      </c>
      <c r="U16" s="12" t="n">
        <v>50</v>
      </c>
      <c r="V16" s="12" t="n">
        <v>28</v>
      </c>
    </row>
    <row r="17" customFormat="false" ht="15" hidden="false" customHeight="false" outlineLevel="0" collapsed="false">
      <c r="A17" s="30" t="n">
        <v>46243</v>
      </c>
      <c r="B17" s="31" t="s">
        <v>55</v>
      </c>
      <c r="C17" s="32"/>
      <c r="D17" s="33" t="n">
        <f aca="false">'RC Movement'!E56</f>
        <v>0</v>
      </c>
      <c r="E17" s="33" t="n">
        <f aca="false">SUM(J17:N17)</f>
        <v>0</v>
      </c>
      <c r="F17" s="34" t="n">
        <f aca="false">SUM(O17:V17)</f>
        <v>0</v>
      </c>
      <c r="G17" s="35" t="str">
        <f aca="false">IF(E17&gt;0,F17/E17,"")</f>
        <v/>
      </c>
      <c r="H17" s="33"/>
      <c r="I17" s="36"/>
      <c r="J17" s="33"/>
      <c r="K17" s="33"/>
      <c r="L17" s="33"/>
      <c r="M17" s="33"/>
      <c r="N17" s="33"/>
      <c r="O17" s="34"/>
      <c r="P17" s="34"/>
      <c r="Q17" s="34"/>
      <c r="R17" s="34"/>
      <c r="S17" s="34"/>
      <c r="T17" s="34"/>
      <c r="U17" s="34"/>
      <c r="V17" s="34"/>
    </row>
    <row r="18" customFormat="false" ht="15" hidden="false" customHeight="false" outlineLevel="0" collapsed="false">
      <c r="A18" s="26" t="n">
        <v>46244</v>
      </c>
      <c r="B18" s="27" t="s">
        <v>56</v>
      </c>
      <c r="C18" s="13" t="n">
        <v>39.2725</v>
      </c>
      <c r="D18" s="28" t="n">
        <f aca="false">'RC Movement'!E57</f>
        <v>28492</v>
      </c>
      <c r="E18" s="28" t="n">
        <f aca="false">SUM(J18:N18)</f>
        <v>27040</v>
      </c>
      <c r="F18" s="12" t="n">
        <f aca="false">SUM(O18:V18)</f>
        <v>2941.5</v>
      </c>
      <c r="G18" s="11" t="n">
        <f aca="false">IF(E18&gt;0,F18/E18,"")</f>
        <v>0.108783284023669</v>
      </c>
      <c r="H18" s="28" t="n">
        <v>1</v>
      </c>
      <c r="I18" s="29" t="n">
        <v>3</v>
      </c>
      <c r="J18" s="28" t="n">
        <v>27040</v>
      </c>
      <c r="K18" s="28"/>
      <c r="L18" s="28"/>
      <c r="M18" s="28"/>
      <c r="N18" s="28"/>
      <c r="O18" s="12" t="n">
        <v>25</v>
      </c>
      <c r="P18" s="12" t="n">
        <v>0.5</v>
      </c>
      <c r="Q18" s="12" t="n">
        <v>1650</v>
      </c>
      <c r="R18" s="12" t="n">
        <v>961</v>
      </c>
      <c r="S18" s="12" t="n">
        <v>162</v>
      </c>
      <c r="T18" s="12" t="n">
        <v>63</v>
      </c>
      <c r="U18" s="12" t="n">
        <v>50</v>
      </c>
      <c r="V18" s="12" t="n">
        <v>30</v>
      </c>
    </row>
    <row r="19" customFormat="false" ht="15" hidden="false" customHeight="false" outlineLevel="0" collapsed="false">
      <c r="A19" s="26" t="n">
        <v>46245</v>
      </c>
      <c r="B19" s="27" t="s">
        <v>50</v>
      </c>
      <c r="C19" s="13" t="n">
        <v>39.6142</v>
      </c>
      <c r="D19" s="28" t="n">
        <f aca="false">'RC Movement'!E58</f>
        <v>35359</v>
      </c>
      <c r="E19" s="28" t="n">
        <f aca="false">SUM(J19:N19)</f>
        <v>26390</v>
      </c>
      <c r="F19" s="12" t="n">
        <f aca="false">SUM(O19:V19)</f>
        <v>2659.5</v>
      </c>
      <c r="G19" s="11" t="n">
        <f aca="false">IF(E19&gt;0,F19/E19,"")</f>
        <v>0.100776809397499</v>
      </c>
      <c r="H19" s="28" t="n">
        <v>1</v>
      </c>
      <c r="I19" s="29" t="n">
        <v>0</v>
      </c>
      <c r="J19" s="28" t="n">
        <v>26390</v>
      </c>
      <c r="K19" s="28"/>
      <c r="L19" s="28"/>
      <c r="M19" s="28"/>
      <c r="N19" s="28"/>
      <c r="O19" s="12" t="n">
        <v>75</v>
      </c>
      <c r="P19" s="12" t="n">
        <v>0.5</v>
      </c>
      <c r="Q19" s="12" t="n">
        <v>1100</v>
      </c>
      <c r="R19" s="12" t="n">
        <v>1100</v>
      </c>
      <c r="S19" s="12" t="n">
        <v>194</v>
      </c>
      <c r="T19" s="12" t="n">
        <v>87</v>
      </c>
      <c r="U19" s="12" t="n">
        <v>75</v>
      </c>
      <c r="V19" s="12" t="n">
        <v>28</v>
      </c>
    </row>
    <row r="20" customFormat="false" ht="15" hidden="false" customHeight="false" outlineLevel="0" collapsed="false">
      <c r="A20" s="26" t="n">
        <v>46246</v>
      </c>
      <c r="B20" s="27" t="s">
        <v>51</v>
      </c>
      <c r="C20" s="13" t="n">
        <v>44.7178</v>
      </c>
      <c r="D20" s="28" t="n">
        <f aca="false">'RC Movement'!E59</f>
        <v>32228</v>
      </c>
      <c r="E20" s="28" t="n">
        <f aca="false">SUM(J20:N20)</f>
        <v>25012</v>
      </c>
      <c r="F20" s="12" t="n">
        <f aca="false">SUM(O20:V20)</f>
        <v>3549.5</v>
      </c>
      <c r="G20" s="11" t="n">
        <f aca="false">IF(E20&gt;0,F20/E20,"")</f>
        <v>0.141911882296498</v>
      </c>
      <c r="H20" s="28" t="n">
        <v>1</v>
      </c>
      <c r="I20" s="29" t="n">
        <v>0.47</v>
      </c>
      <c r="J20" s="28" t="n">
        <v>25012</v>
      </c>
      <c r="K20" s="28"/>
      <c r="L20" s="28"/>
      <c r="M20" s="28"/>
      <c r="N20" s="28"/>
      <c r="O20" s="12" t="n">
        <v>50</v>
      </c>
      <c r="P20" s="12" t="n">
        <v>0.5</v>
      </c>
      <c r="Q20" s="12" t="n">
        <v>1650</v>
      </c>
      <c r="R20" s="12" t="n">
        <v>1243</v>
      </c>
      <c r="S20" s="12" t="n">
        <v>459</v>
      </c>
      <c r="T20" s="12" t="n">
        <v>68</v>
      </c>
      <c r="U20" s="12" t="n">
        <v>50</v>
      </c>
      <c r="V20" s="12" t="n">
        <v>29</v>
      </c>
    </row>
    <row r="21" customFormat="false" ht="15" hidden="false" customHeight="false" outlineLevel="0" collapsed="false">
      <c r="A21" s="26" t="n">
        <v>46247</v>
      </c>
      <c r="B21" s="27" t="s">
        <v>52</v>
      </c>
      <c r="C21" s="13" t="n">
        <v>46.2764</v>
      </c>
      <c r="D21" s="28" t="n">
        <f aca="false">'RC Movement'!E60</f>
        <v>20068</v>
      </c>
      <c r="E21" s="28" t="n">
        <f aca="false">SUM(J21:N21)</f>
        <v>23400</v>
      </c>
      <c r="F21" s="12" t="n">
        <f aca="false">SUM(O21:V21)</f>
        <v>3468.5</v>
      </c>
      <c r="G21" s="11" t="n">
        <f aca="false">IF(E21&gt;0,F21/E21,"")</f>
        <v>0.148226495726496</v>
      </c>
      <c r="H21" s="28" t="n">
        <v>1</v>
      </c>
      <c r="I21" s="29" t="n">
        <v>0.17</v>
      </c>
      <c r="J21" s="28" t="n">
        <v>23400</v>
      </c>
      <c r="K21" s="28"/>
      <c r="L21" s="28"/>
      <c r="M21" s="28"/>
      <c r="N21" s="28"/>
      <c r="O21" s="12" t="n">
        <v>100</v>
      </c>
      <c r="P21" s="12" t="n">
        <v>0.5</v>
      </c>
      <c r="Q21" s="12" t="n">
        <v>1650</v>
      </c>
      <c r="R21" s="12" t="n">
        <v>1194</v>
      </c>
      <c r="S21" s="12" t="n">
        <v>331</v>
      </c>
      <c r="T21" s="12" t="n">
        <v>88</v>
      </c>
      <c r="U21" s="12" t="n">
        <v>75</v>
      </c>
      <c r="V21" s="12" t="n">
        <v>30</v>
      </c>
    </row>
    <row r="22" customFormat="false" ht="15" hidden="false" customHeight="false" outlineLevel="0" collapsed="false">
      <c r="A22" s="26" t="n">
        <v>46248</v>
      </c>
      <c r="B22" s="27" t="s">
        <v>53</v>
      </c>
      <c r="C22" s="13" t="n">
        <v>46.5818</v>
      </c>
      <c r="D22" s="28" t="n">
        <f aca="false">'RC Movement'!E61</f>
        <v>17565</v>
      </c>
      <c r="E22" s="28" t="n">
        <f aca="false">SUM(J22:N22)</f>
        <v>23530</v>
      </c>
      <c r="F22" s="12" t="n">
        <f aca="false">SUM(O22:V22)</f>
        <v>4779.5</v>
      </c>
      <c r="G22" s="11" t="n">
        <f aca="false">IF(E22&gt;0,F22/E22,"")</f>
        <v>0.203123671908202</v>
      </c>
      <c r="H22" s="28" t="n">
        <v>1</v>
      </c>
      <c r="I22" s="29" t="n">
        <v>0.13</v>
      </c>
      <c r="J22" s="28" t="n">
        <v>23530</v>
      </c>
      <c r="K22" s="28"/>
      <c r="L22" s="28"/>
      <c r="M22" s="28"/>
      <c r="N22" s="28"/>
      <c r="O22" s="12" t="n">
        <v>75</v>
      </c>
      <c r="P22" s="12" t="n">
        <v>0.5</v>
      </c>
      <c r="Q22" s="12" t="n">
        <v>2200</v>
      </c>
      <c r="R22" s="12" t="n">
        <v>1854</v>
      </c>
      <c r="S22" s="12" t="n">
        <v>374</v>
      </c>
      <c r="T22" s="12" t="n">
        <v>123</v>
      </c>
      <c r="U22" s="12" t="n">
        <v>125</v>
      </c>
      <c r="V22" s="12" t="n">
        <v>28</v>
      </c>
    </row>
    <row r="23" customFormat="false" ht="15" hidden="false" customHeight="false" outlineLevel="0" collapsed="false">
      <c r="A23" s="30" t="n">
        <v>46249</v>
      </c>
      <c r="B23" s="31" t="s">
        <v>54</v>
      </c>
      <c r="C23" s="32"/>
      <c r="D23" s="33" t="n">
        <f aca="false">'RC Movement'!E62</f>
        <v>0</v>
      </c>
      <c r="E23" s="33" t="n">
        <f aca="false">SUM(J23:N23)</f>
        <v>0</v>
      </c>
      <c r="F23" s="34" t="n">
        <f aca="false">SUM(O23:V23)</f>
        <v>0</v>
      </c>
      <c r="G23" s="35" t="str">
        <f aca="false">IF(E23&gt;0,F23/E23,"")</f>
        <v/>
      </c>
      <c r="H23" s="33"/>
      <c r="I23" s="36"/>
      <c r="J23" s="33"/>
      <c r="K23" s="33"/>
      <c r="L23" s="33"/>
      <c r="M23" s="33"/>
      <c r="N23" s="33"/>
      <c r="O23" s="34"/>
      <c r="P23" s="34"/>
      <c r="Q23" s="34"/>
      <c r="R23" s="34"/>
      <c r="S23" s="34"/>
      <c r="T23" s="34"/>
      <c r="U23" s="34"/>
      <c r="V23" s="34"/>
    </row>
    <row r="24" customFormat="false" ht="15" hidden="false" customHeight="false" outlineLevel="0" collapsed="false">
      <c r="A24" s="30" t="n">
        <v>46250</v>
      </c>
      <c r="B24" s="31" t="s">
        <v>55</v>
      </c>
      <c r="C24" s="32"/>
      <c r="D24" s="33" t="n">
        <f aca="false">'RC Movement'!E63</f>
        <v>0</v>
      </c>
      <c r="E24" s="33" t="n">
        <f aca="false">SUM(J24:N24)</f>
        <v>0</v>
      </c>
      <c r="F24" s="34" t="n">
        <f aca="false">SUM(O24:V24)</f>
        <v>0</v>
      </c>
      <c r="G24" s="35" t="str">
        <f aca="false">IF(E24&gt;0,F24/E24,"")</f>
        <v/>
      </c>
      <c r="H24" s="33"/>
      <c r="I24" s="36"/>
      <c r="J24" s="33"/>
      <c r="K24" s="33"/>
      <c r="L24" s="33"/>
      <c r="M24" s="33"/>
      <c r="N24" s="33"/>
      <c r="O24" s="34"/>
      <c r="P24" s="34"/>
      <c r="Q24" s="34"/>
      <c r="R24" s="34"/>
      <c r="S24" s="34"/>
      <c r="T24" s="34"/>
      <c r="U24" s="34"/>
      <c r="V24" s="34"/>
    </row>
    <row r="25" customFormat="false" ht="15" hidden="false" customHeight="false" outlineLevel="0" collapsed="false">
      <c r="A25" s="26" t="n">
        <v>46251</v>
      </c>
      <c r="B25" s="27" t="s">
        <v>56</v>
      </c>
      <c r="C25" s="13" t="n">
        <v>44.2478</v>
      </c>
      <c r="D25" s="28" t="n">
        <f aca="false">'RC Movement'!E64</f>
        <v>34120</v>
      </c>
      <c r="E25" s="28" t="n">
        <f aca="false">SUM(J25:N25)</f>
        <v>22932</v>
      </c>
      <c r="F25" s="12" t="n">
        <f aca="false">SUM(O25:V25)</f>
        <v>3364.5</v>
      </c>
      <c r="G25" s="11" t="n">
        <f aca="false">IF(E25&gt;0,F25/E25,"")</f>
        <v>0.146716378859236</v>
      </c>
      <c r="H25" s="28" t="n">
        <v>1</v>
      </c>
      <c r="I25" s="29" t="n">
        <v>0.32</v>
      </c>
      <c r="J25" s="28" t="n">
        <v>22932</v>
      </c>
      <c r="K25" s="28"/>
      <c r="L25" s="28"/>
      <c r="M25" s="28"/>
      <c r="N25" s="28"/>
      <c r="O25" s="12" t="n">
        <v>55</v>
      </c>
      <c r="P25" s="12" t="n">
        <v>0.5</v>
      </c>
      <c r="Q25" s="12" t="n">
        <v>1650</v>
      </c>
      <c r="R25" s="12" t="n">
        <v>1089</v>
      </c>
      <c r="S25" s="12" t="n">
        <v>272</v>
      </c>
      <c r="T25" s="12" t="n">
        <v>93</v>
      </c>
      <c r="U25" s="12" t="n">
        <v>175</v>
      </c>
      <c r="V25" s="12" t="n">
        <v>30</v>
      </c>
    </row>
    <row r="26" customFormat="false" ht="15" hidden="false" customHeight="false" outlineLevel="0" collapsed="false">
      <c r="A26" s="26" t="n">
        <v>46252</v>
      </c>
      <c r="B26" s="27" t="s">
        <v>50</v>
      </c>
      <c r="C26" s="13" t="n">
        <v>39.8626</v>
      </c>
      <c r="D26" s="28" t="n">
        <f aca="false">'RC Movement'!E65</f>
        <v>33549</v>
      </c>
      <c r="E26" s="28" t="n">
        <f aca="false">SUM(J26:N26)</f>
        <v>24388</v>
      </c>
      <c r="F26" s="12" t="n">
        <f aca="false">SUM(O26:V26)</f>
        <v>4000.5</v>
      </c>
      <c r="G26" s="11" t="n">
        <f aca="false">IF(E26&gt;0,F26/E26,"")</f>
        <v>0.164035591274397</v>
      </c>
      <c r="H26" s="28" t="n">
        <v>1</v>
      </c>
      <c r="I26" s="29" t="n">
        <v>1.12</v>
      </c>
      <c r="J26" s="28" t="n">
        <v>24388</v>
      </c>
      <c r="K26" s="28"/>
      <c r="L26" s="28"/>
      <c r="M26" s="28"/>
      <c r="N26" s="28"/>
      <c r="O26" s="12" t="n">
        <v>75</v>
      </c>
      <c r="P26" s="12" t="n">
        <v>0.5</v>
      </c>
      <c r="Q26" s="12" t="n">
        <v>1650</v>
      </c>
      <c r="R26" s="12" t="n">
        <v>1838</v>
      </c>
      <c r="S26" s="12" t="n">
        <v>175</v>
      </c>
      <c r="T26" s="12" t="n">
        <v>134</v>
      </c>
      <c r="U26" s="12" t="n">
        <v>100</v>
      </c>
      <c r="V26" s="12" t="n">
        <v>28</v>
      </c>
    </row>
    <row r="27" customFormat="false" ht="15" hidden="false" customHeight="false" outlineLevel="0" collapsed="false">
      <c r="A27" s="26" t="n">
        <v>46253</v>
      </c>
      <c r="B27" s="27" t="s">
        <v>51</v>
      </c>
      <c r="C27" s="13" t="n">
        <v>42.6566</v>
      </c>
      <c r="D27" s="28" t="n">
        <f aca="false">'RC Movement'!E66</f>
        <v>33960</v>
      </c>
      <c r="E27" s="28" t="n">
        <f aca="false">SUM(J27:N27)</f>
        <v>26234</v>
      </c>
      <c r="F27" s="12" t="n">
        <f aca="false">SUM(O27:V27)</f>
        <v>4085.5</v>
      </c>
      <c r="G27" s="11" t="n">
        <f aca="false">IF(E27&gt;0,F27/E27,"")</f>
        <v>0.15573301822063</v>
      </c>
      <c r="H27" s="28" t="n">
        <v>1</v>
      </c>
      <c r="I27" s="29" t="n">
        <v>0.97</v>
      </c>
      <c r="J27" s="28" t="n">
        <v>26234</v>
      </c>
      <c r="K27" s="28"/>
      <c r="L27" s="28"/>
      <c r="M27" s="28"/>
      <c r="N27" s="28"/>
      <c r="O27" s="12" t="n">
        <v>50</v>
      </c>
      <c r="P27" s="12" t="n">
        <v>0.5</v>
      </c>
      <c r="Q27" s="12" t="n">
        <v>1650</v>
      </c>
      <c r="R27" s="12" t="n">
        <v>1889</v>
      </c>
      <c r="S27" s="12" t="n">
        <v>214</v>
      </c>
      <c r="T27" s="12" t="n">
        <v>178</v>
      </c>
      <c r="U27" s="12" t="n">
        <v>75</v>
      </c>
      <c r="V27" s="12" t="n">
        <v>29</v>
      </c>
    </row>
    <row r="28" customFormat="false" ht="15" hidden="false" customHeight="false" outlineLevel="0" collapsed="false">
      <c r="A28" s="26" t="n">
        <v>46254</v>
      </c>
      <c r="B28" s="27" t="s">
        <v>52</v>
      </c>
      <c r="C28" s="13" t="n">
        <v>42.3629</v>
      </c>
      <c r="D28" s="28" t="n">
        <f aca="false">'RC Movement'!E67</f>
        <v>38270</v>
      </c>
      <c r="E28" s="28" t="n">
        <f aca="false">SUM(J28:N28)</f>
        <v>28340</v>
      </c>
      <c r="F28" s="12" t="n">
        <f aca="false">SUM(O28:V28)</f>
        <v>3252.5</v>
      </c>
      <c r="G28" s="11" t="n">
        <f aca="false">IF(E28&gt;0,F28/E28,"")</f>
        <v>0.114767113620325</v>
      </c>
      <c r="H28" s="28" t="n">
        <v>1</v>
      </c>
      <c r="I28" s="29" t="n">
        <v>0.3</v>
      </c>
      <c r="J28" s="28" t="n">
        <v>28340</v>
      </c>
      <c r="K28" s="28"/>
      <c r="L28" s="28"/>
      <c r="M28" s="28"/>
      <c r="N28" s="28"/>
      <c r="O28" s="12" t="n">
        <v>75</v>
      </c>
      <c r="P28" s="12" t="n">
        <v>0.5</v>
      </c>
      <c r="Q28" s="12" t="n">
        <v>1650</v>
      </c>
      <c r="R28" s="12" t="n">
        <v>1050</v>
      </c>
      <c r="S28" s="12" t="n">
        <v>235</v>
      </c>
      <c r="T28" s="12" t="n">
        <v>137</v>
      </c>
      <c r="U28" s="12" t="n">
        <v>75</v>
      </c>
      <c r="V28" s="12" t="n">
        <v>30</v>
      </c>
    </row>
    <row r="29" customFormat="false" ht="15" hidden="false" customHeight="false" outlineLevel="0" collapsed="false">
      <c r="A29" s="26" t="n">
        <v>46255</v>
      </c>
      <c r="B29" s="27" t="s">
        <v>53</v>
      </c>
      <c r="C29" s="13" t="n">
        <v>42.1848</v>
      </c>
      <c r="D29" s="28" t="n">
        <f aca="false">'RC Movement'!E68</f>
        <v>32261</v>
      </c>
      <c r="E29" s="28" t="n">
        <f aca="false">SUM(J29:N29)</f>
        <v>25480</v>
      </c>
      <c r="F29" s="12" t="n">
        <f aca="false">SUM(O29:V29)</f>
        <v>3961.5</v>
      </c>
      <c r="G29" s="11" t="n">
        <f aca="false">IF(E29&gt;0,F29/E29,"")</f>
        <v>0.155474882260597</v>
      </c>
      <c r="H29" s="28" t="n">
        <v>1</v>
      </c>
      <c r="I29" s="29" t="n">
        <v>1.1</v>
      </c>
      <c r="J29" s="28" t="n">
        <v>25480</v>
      </c>
      <c r="K29" s="28"/>
      <c r="L29" s="28"/>
      <c r="M29" s="28"/>
      <c r="N29" s="28"/>
      <c r="O29" s="12" t="n">
        <v>100</v>
      </c>
      <c r="P29" s="12" t="n">
        <v>0.5</v>
      </c>
      <c r="Q29" s="12" t="n">
        <v>1650</v>
      </c>
      <c r="R29" s="12" t="n">
        <v>1829</v>
      </c>
      <c r="S29" s="12" t="n">
        <v>172</v>
      </c>
      <c r="T29" s="12" t="n">
        <v>132</v>
      </c>
      <c r="U29" s="12" t="n">
        <v>50</v>
      </c>
      <c r="V29" s="12" t="n">
        <v>28</v>
      </c>
    </row>
    <row r="30" customFormat="false" ht="15" hidden="false" customHeight="false" outlineLevel="0" collapsed="false">
      <c r="A30" s="30" t="n">
        <v>46256</v>
      </c>
      <c r="B30" s="31" t="s">
        <v>54</v>
      </c>
      <c r="C30" s="32"/>
      <c r="D30" s="33" t="n">
        <f aca="false">'RC Movement'!E69</f>
        <v>0</v>
      </c>
      <c r="E30" s="33" t="n">
        <f aca="false">SUM(J30:N30)</f>
        <v>0</v>
      </c>
      <c r="F30" s="34" t="n">
        <f aca="false">SUM(O30:V30)</f>
        <v>0</v>
      </c>
      <c r="G30" s="35" t="str">
        <f aca="false">IF(E30&gt;0,F30/E30,"")</f>
        <v/>
      </c>
      <c r="H30" s="33"/>
      <c r="I30" s="36"/>
      <c r="J30" s="33"/>
      <c r="K30" s="33"/>
      <c r="L30" s="33"/>
      <c r="M30" s="33"/>
      <c r="N30" s="33"/>
      <c r="O30" s="34"/>
      <c r="P30" s="34"/>
      <c r="Q30" s="34"/>
      <c r="R30" s="34"/>
      <c r="S30" s="34"/>
      <c r="T30" s="34"/>
      <c r="U30" s="34"/>
      <c r="V30" s="34"/>
    </row>
    <row r="31" customFormat="false" ht="15" hidden="false" customHeight="false" outlineLevel="0" collapsed="false">
      <c r="A31" s="30" t="n">
        <v>46257</v>
      </c>
      <c r="B31" s="31" t="s">
        <v>55</v>
      </c>
      <c r="C31" s="32"/>
      <c r="D31" s="33" t="n">
        <f aca="false">'RC Movement'!E70</f>
        <v>0</v>
      </c>
      <c r="E31" s="33" t="n">
        <f aca="false">SUM(J31:N31)</f>
        <v>0</v>
      </c>
      <c r="F31" s="34" t="n">
        <f aca="false">SUM(O31:V31)</f>
        <v>0</v>
      </c>
      <c r="G31" s="35" t="str">
        <f aca="false">IF(E31&gt;0,F31/E31,"")</f>
        <v/>
      </c>
      <c r="H31" s="33"/>
      <c r="I31" s="36"/>
      <c r="J31" s="33"/>
      <c r="K31" s="33"/>
      <c r="L31" s="33"/>
      <c r="M31" s="33"/>
      <c r="N31" s="33"/>
      <c r="O31" s="34"/>
      <c r="P31" s="34"/>
      <c r="Q31" s="34"/>
      <c r="R31" s="34"/>
      <c r="S31" s="34"/>
      <c r="T31" s="34"/>
      <c r="U31" s="34"/>
      <c r="V31" s="34"/>
    </row>
    <row r="32" customFormat="false" ht="15" hidden="false" customHeight="false" outlineLevel="0" collapsed="false">
      <c r="A32" s="26" t="n">
        <v>46258</v>
      </c>
      <c r="B32" s="27" t="s">
        <v>56</v>
      </c>
      <c r="C32" s="13" t="n">
        <v>42.7871</v>
      </c>
      <c r="D32" s="28" t="n">
        <f aca="false">'RC Movement'!E71</f>
        <v>43603</v>
      </c>
      <c r="E32" s="28" t="n">
        <f aca="false">SUM(J32:N32)</f>
        <v>24644</v>
      </c>
      <c r="F32" s="12" t="n">
        <f aca="false">SUM(O32:V32)</f>
        <v>4711.5</v>
      </c>
      <c r="G32" s="11" t="n">
        <f aca="false">IF(E32&gt;0,F32/E32,"")</f>
        <v>0.191182437915923</v>
      </c>
      <c r="H32" s="28" t="n">
        <v>1</v>
      </c>
      <c r="I32" s="29" t="n">
        <v>0.85</v>
      </c>
      <c r="J32" s="28" t="n">
        <v>16094</v>
      </c>
      <c r="K32" s="28" t="n">
        <v>8550</v>
      </c>
      <c r="L32" s="28"/>
      <c r="M32" s="28"/>
      <c r="N32" s="28"/>
      <c r="O32" s="12" t="n">
        <v>75</v>
      </c>
      <c r="P32" s="12" t="n">
        <v>0.5</v>
      </c>
      <c r="Q32" s="12" t="n">
        <v>1650</v>
      </c>
      <c r="R32" s="12" t="n">
        <v>2043</v>
      </c>
      <c r="S32" s="12" t="n">
        <v>648</v>
      </c>
      <c r="T32" s="12" t="n">
        <v>191</v>
      </c>
      <c r="U32" s="12" t="n">
        <v>75</v>
      </c>
      <c r="V32" s="12" t="n">
        <v>29</v>
      </c>
    </row>
    <row r="33" customFormat="false" ht="15" hidden="false" customHeight="false" outlineLevel="0" collapsed="false">
      <c r="A33" s="26" t="n">
        <v>46259</v>
      </c>
      <c r="B33" s="27" t="s">
        <v>50</v>
      </c>
      <c r="C33" s="13" t="n">
        <v>39.0616</v>
      </c>
      <c r="D33" s="28" t="n">
        <f aca="false">'RC Movement'!E72</f>
        <v>33665</v>
      </c>
      <c r="E33" s="28" t="n">
        <f aca="false">SUM(J33:N33)</f>
        <v>27420</v>
      </c>
      <c r="F33" s="12" t="n">
        <f aca="false">SUM(O33:V33)</f>
        <v>3816.5</v>
      </c>
      <c r="G33" s="11" t="n">
        <f aca="false">IF(E33&gt;0,F33/E33,"")</f>
        <v>0.139186725018235</v>
      </c>
      <c r="H33" s="28" t="n">
        <v>1</v>
      </c>
      <c r="I33" s="29" t="n">
        <v>0.57</v>
      </c>
      <c r="J33" s="28" t="n">
        <v>17160</v>
      </c>
      <c r="K33" s="28" t="n">
        <v>10260</v>
      </c>
      <c r="L33" s="28"/>
      <c r="M33" s="28"/>
      <c r="N33" s="28"/>
      <c r="O33" s="12" t="n">
        <v>100</v>
      </c>
      <c r="P33" s="12" t="n">
        <v>0.5</v>
      </c>
      <c r="Q33" s="12" t="n">
        <v>1650</v>
      </c>
      <c r="R33" s="12" t="n">
        <v>1176</v>
      </c>
      <c r="S33" s="12" t="n">
        <v>569</v>
      </c>
      <c r="T33" s="12" t="n">
        <v>194</v>
      </c>
      <c r="U33" s="12" t="n">
        <v>100</v>
      </c>
      <c r="V33" s="12" t="n">
        <v>27</v>
      </c>
    </row>
    <row r="34" customFormat="false" ht="15" hidden="false" customHeight="false" outlineLevel="0" collapsed="false">
      <c r="A34" s="26" t="n">
        <v>46260</v>
      </c>
      <c r="B34" s="27" t="s">
        <v>51</v>
      </c>
      <c r="C34" s="13" t="n">
        <v>40.9001</v>
      </c>
      <c r="D34" s="28" t="n">
        <f aca="false">'RC Movement'!E73</f>
        <v>35094</v>
      </c>
      <c r="E34" s="28" t="n">
        <f aca="false">SUM(J34:N34)</f>
        <v>25262</v>
      </c>
      <c r="F34" s="12" t="n">
        <f aca="false">SUM(O34:V34)</f>
        <v>4170.5</v>
      </c>
      <c r="G34" s="11" t="n">
        <f aca="false">IF(E34&gt;0,F34/E34,"")</f>
        <v>0.165089858285171</v>
      </c>
      <c r="H34" s="28" t="n">
        <v>1</v>
      </c>
      <c r="I34" s="29" t="n">
        <v>0.65</v>
      </c>
      <c r="J34" s="28" t="n">
        <v>15002</v>
      </c>
      <c r="K34" s="28" t="n">
        <v>10260</v>
      </c>
      <c r="L34" s="28"/>
      <c r="M34" s="28"/>
      <c r="N34" s="28"/>
      <c r="O34" s="12" t="n">
        <v>75</v>
      </c>
      <c r="P34" s="12" t="n">
        <v>0.5</v>
      </c>
      <c r="Q34" s="12" t="n">
        <v>1650</v>
      </c>
      <c r="R34" s="12" t="n">
        <v>1612</v>
      </c>
      <c r="S34" s="12" t="n">
        <v>510</v>
      </c>
      <c r="T34" s="12" t="n">
        <v>168</v>
      </c>
      <c r="U34" s="12" t="n">
        <v>125</v>
      </c>
      <c r="V34" s="12" t="n">
        <v>30</v>
      </c>
    </row>
    <row r="35" customFormat="false" ht="15" hidden="false" customHeight="false" outlineLevel="0" collapsed="false">
      <c r="A35" s="26" t="n">
        <v>46261</v>
      </c>
      <c r="B35" s="27" t="s">
        <v>52</v>
      </c>
      <c r="C35" s="13" t="n">
        <v>40.8118</v>
      </c>
      <c r="D35" s="28" t="n">
        <f aca="false">'RC Movement'!E74</f>
        <v>28213</v>
      </c>
      <c r="E35" s="28" t="n">
        <f aca="false">SUM(J35:N35)</f>
        <v>26820</v>
      </c>
      <c r="F35" s="12" t="n">
        <f aca="false">SUM(O35:V35)</f>
        <v>3387.5</v>
      </c>
      <c r="G35" s="11" t="n">
        <f aca="false">IF(E35&gt;0,F35/E35,"")</f>
        <v>0.126304996271439</v>
      </c>
      <c r="H35" s="28" t="n">
        <v>1</v>
      </c>
      <c r="I35" s="29" t="n">
        <v>0.23</v>
      </c>
      <c r="J35" s="28" t="n">
        <v>15990</v>
      </c>
      <c r="K35" s="28" t="n">
        <v>10830</v>
      </c>
      <c r="L35" s="28"/>
      <c r="M35" s="28"/>
      <c r="N35" s="28"/>
      <c r="O35" s="12" t="n">
        <v>120</v>
      </c>
      <c r="P35" s="12" t="n">
        <v>0.5</v>
      </c>
      <c r="Q35" s="12" t="n">
        <v>1650</v>
      </c>
      <c r="R35" s="12" t="n">
        <v>1075</v>
      </c>
      <c r="S35" s="12" t="n">
        <v>263</v>
      </c>
      <c r="T35" s="12" t="n">
        <v>141</v>
      </c>
      <c r="U35" s="12" t="n">
        <v>110</v>
      </c>
      <c r="V35" s="12" t="n">
        <v>28</v>
      </c>
    </row>
    <row r="36" customFormat="false" ht="15" hidden="false" customHeight="false" outlineLevel="0" collapsed="false">
      <c r="A36" s="26" t="n">
        <v>46262</v>
      </c>
      <c r="B36" s="27" t="s">
        <v>53</v>
      </c>
      <c r="C36" s="13" t="n">
        <v>41.3753</v>
      </c>
      <c r="D36" s="28" t="n">
        <f aca="false">'RC Movement'!E75</f>
        <v>17164</v>
      </c>
      <c r="E36" s="28" t="n">
        <f aca="false">SUM(J36:N36)</f>
        <v>25390</v>
      </c>
      <c r="F36" s="12" t="n">
        <f aca="false">SUM(O36:V36)</f>
        <v>3825.5</v>
      </c>
      <c r="G36" s="11" t="n">
        <f aca="false">IF(E36&gt;0,F36/E36,"")</f>
        <v>0.150669554942891</v>
      </c>
      <c r="H36" s="28" t="n">
        <v>1</v>
      </c>
      <c r="I36" s="29" t="n">
        <v>0.25</v>
      </c>
      <c r="J36" s="28" t="n">
        <v>14560</v>
      </c>
      <c r="K36" s="28" t="n">
        <v>10830</v>
      </c>
      <c r="L36" s="28"/>
      <c r="M36" s="28"/>
      <c r="N36" s="28"/>
      <c r="O36" s="12" t="n">
        <v>125</v>
      </c>
      <c r="P36" s="12" t="n">
        <v>0.5</v>
      </c>
      <c r="Q36" s="12" t="n">
        <v>1650</v>
      </c>
      <c r="R36" s="12" t="n">
        <v>1077</v>
      </c>
      <c r="S36" s="12" t="n">
        <v>668</v>
      </c>
      <c r="T36" s="12" t="n">
        <v>150</v>
      </c>
      <c r="U36" s="12" t="n">
        <v>125</v>
      </c>
      <c r="V36" s="12" t="n">
        <v>30</v>
      </c>
    </row>
    <row r="37" customFormat="false" ht="15" hidden="false" customHeight="false" outlineLevel="0" collapsed="false">
      <c r="A37" s="26" t="n">
        <v>46263</v>
      </c>
      <c r="B37" s="27" t="s">
        <v>54</v>
      </c>
      <c r="C37" s="13"/>
      <c r="D37" s="28" t="n">
        <f aca="false">'RC Movement'!E76</f>
        <v>0</v>
      </c>
      <c r="E37" s="28" t="n">
        <f aca="false">SUM(J37:N37)</f>
        <v>8048</v>
      </c>
      <c r="F37" s="12" t="n">
        <f aca="false">SUM(O37:V37)</f>
        <v>1509.5</v>
      </c>
      <c r="G37" s="11" t="n">
        <f aca="false">IF(E37&gt;0,F37/E37,"")</f>
        <v>0.187562127236581</v>
      </c>
      <c r="H37" s="28" t="n">
        <v>1</v>
      </c>
      <c r="I37" s="29" t="n">
        <v>0.18</v>
      </c>
      <c r="J37" s="28" t="n">
        <v>4628</v>
      </c>
      <c r="K37" s="28" t="n">
        <v>3420</v>
      </c>
      <c r="L37" s="28"/>
      <c r="M37" s="28"/>
      <c r="N37" s="28"/>
      <c r="O37" s="12" t="n">
        <v>50</v>
      </c>
      <c r="P37" s="12" t="n">
        <v>0.5</v>
      </c>
      <c r="Q37" s="12" t="n">
        <v>550</v>
      </c>
      <c r="R37" s="12" t="n">
        <v>550</v>
      </c>
      <c r="S37" s="12" t="n">
        <v>196</v>
      </c>
      <c r="T37" s="12" t="n">
        <v>97</v>
      </c>
      <c r="U37" s="12" t="n">
        <v>50</v>
      </c>
      <c r="V37" s="12" t="n">
        <v>16</v>
      </c>
    </row>
    <row r="38" customFormat="false" ht="15" hidden="false" customHeight="false" outlineLevel="0" collapsed="false">
      <c r="A38" s="15" t="s">
        <v>16</v>
      </c>
      <c r="B38" s="37" t="s">
        <v>114</v>
      </c>
      <c r="C38" s="19" t="n">
        <f aca="false">SUMPRODUCT(C9:C37,D9:D37)/SUMIF(C9:C37,"&gt;0",D9:D37)</f>
        <v>42.7720353402274</v>
      </c>
      <c r="D38" s="38" t="n">
        <f aca="false">SUM(D9:D37)</f>
        <v>697313</v>
      </c>
      <c r="E38" s="38" t="n">
        <f aca="false">SUM(E9:E37)</f>
        <v>553376</v>
      </c>
      <c r="F38" s="18" t="n">
        <f aca="false">SUM(F9:F37)</f>
        <v>78954.5</v>
      </c>
      <c r="G38" s="17" t="n">
        <f aca="false">IF(E38&gt;0,F38/E38,"")</f>
        <v>0.142677853755855</v>
      </c>
      <c r="H38" s="38" t="n">
        <f aca="false">SUM(H9:H37)</f>
        <v>23</v>
      </c>
      <c r="I38" s="39" t="n">
        <f aca="false">SUM(I9:I37)</f>
        <v>13.6</v>
      </c>
      <c r="J38" s="38" t="n">
        <f aca="false">SUM(J9:J37)</f>
        <v>499226</v>
      </c>
      <c r="K38" s="38" t="n">
        <f aca="false">SUM(K9:K37)</f>
        <v>54150</v>
      </c>
      <c r="L38" s="38" t="n">
        <f aca="false">SUM(L9:L37)</f>
        <v>0</v>
      </c>
      <c r="M38" s="38" t="n">
        <f aca="false">SUM(M9:M37)</f>
        <v>0</v>
      </c>
      <c r="N38" s="38" t="n">
        <f aca="false">SUM(N9:N37)</f>
        <v>0</v>
      </c>
      <c r="O38" s="18" t="n">
        <f aca="false">SUM(O9:O37)</f>
        <v>1675</v>
      </c>
      <c r="P38" s="18" t="n">
        <f aca="false">SUM(P9:P37)</f>
        <v>11.5</v>
      </c>
      <c r="Q38" s="18" t="n">
        <f aca="false">SUM(Q9:Q37)</f>
        <v>35170</v>
      </c>
      <c r="R38" s="18" t="n">
        <f aca="false">SUM(R9:R37)</f>
        <v>29578</v>
      </c>
      <c r="S38" s="18" t="n">
        <f aca="false">SUM(S9:S37)</f>
        <v>6596</v>
      </c>
      <c r="T38" s="18" t="n">
        <f aca="false">SUM(T9:T37)</f>
        <v>2959</v>
      </c>
      <c r="U38" s="18" t="n">
        <f aca="false">SUM(U9:U37)</f>
        <v>2315</v>
      </c>
      <c r="V38" s="18" t="n">
        <f aca="false">SUM(V9:V37)</f>
        <v>650</v>
      </c>
    </row>
    <row r="41" customFormat="false" ht="15" hidden="false" customHeight="false" outlineLevel="0" collapsed="false">
      <c r="A41" s="40" t="s">
        <v>58</v>
      </c>
      <c r="D41" s="41" t="s">
        <v>59</v>
      </c>
    </row>
    <row r="42" customFormat="false" ht="27.75" hidden="false" customHeight="true" outlineLevel="0" collapsed="false">
      <c r="A42" s="2" t="s">
        <v>60</v>
      </c>
      <c r="B42" s="2" t="s">
        <v>61</v>
      </c>
      <c r="C42" s="2" t="s">
        <v>62</v>
      </c>
      <c r="D42" s="2" t="s">
        <v>63</v>
      </c>
      <c r="E42" s="2" t="s">
        <v>64</v>
      </c>
      <c r="F42" s="3" t="s">
        <v>65</v>
      </c>
      <c r="G42" s="3" t="s">
        <v>66</v>
      </c>
      <c r="H42" s="5" t="s">
        <v>67</v>
      </c>
      <c r="I42" s="5" t="s">
        <v>68</v>
      </c>
      <c r="J42" s="7" t="s">
        <v>69</v>
      </c>
      <c r="K42" s="7" t="s">
        <v>70</v>
      </c>
      <c r="L42" s="7" t="s">
        <v>71</v>
      </c>
      <c r="M42" s="2" t="s">
        <v>72</v>
      </c>
    </row>
    <row r="43" customFormat="false" ht="15" hidden="false" customHeight="false" outlineLevel="0" collapsed="false">
      <c r="A43" s="27" t="s">
        <v>106</v>
      </c>
      <c r="B43" s="27" t="s">
        <v>107</v>
      </c>
      <c r="C43" s="26" t="n">
        <v>46230</v>
      </c>
      <c r="D43" s="26" t="n">
        <v>46239</v>
      </c>
      <c r="E43" s="27" t="s">
        <v>75</v>
      </c>
      <c r="F43" s="28" t="n">
        <f aca="false">'RC Movement'!F77</f>
        <v>54941</v>
      </c>
      <c r="G43" s="28" t="n">
        <v>73379</v>
      </c>
      <c r="H43" s="28" t="n">
        <v>4366</v>
      </c>
      <c r="I43" s="11" t="n">
        <f aca="false">IF(AND(E43="CLOSED",G43&gt;0),H43/G43,"")</f>
        <v>0.0594993117922021</v>
      </c>
      <c r="J43" s="13" t="n">
        <v>49</v>
      </c>
      <c r="K43" s="13" t="n">
        <v>52.0999</v>
      </c>
      <c r="L43" s="13" t="n">
        <f aca="false">IF(K43="","",K43-J43)</f>
        <v>3.0999</v>
      </c>
      <c r="M43" s="42" t="s">
        <v>76</v>
      </c>
    </row>
    <row r="44" customFormat="false" ht="15" hidden="false" customHeight="false" outlineLevel="0" collapsed="false">
      <c r="A44" s="27" t="s">
        <v>108</v>
      </c>
      <c r="B44" s="27" t="s">
        <v>109</v>
      </c>
      <c r="C44" s="26" t="n">
        <v>46231</v>
      </c>
      <c r="D44" s="26" t="n">
        <v>46241</v>
      </c>
      <c r="E44" s="27" t="s">
        <v>75</v>
      </c>
      <c r="F44" s="28" t="n">
        <f aca="false">'RC Movement'!G77</f>
        <v>45579</v>
      </c>
      <c r="G44" s="28" t="n">
        <v>59220</v>
      </c>
      <c r="H44" s="28" t="n">
        <v>507</v>
      </c>
      <c r="I44" s="11" t="n">
        <f aca="false">IF(AND(E44="CLOSED",G44&gt;0),H44/G44,"")</f>
        <v>0.0085612968591692</v>
      </c>
      <c r="J44" s="13" t="n">
        <v>48.7509</v>
      </c>
      <c r="K44" s="13" t="n">
        <v>49.1719</v>
      </c>
      <c r="L44" s="13" t="n">
        <f aca="false">IF(K44="","",K44-J44)</f>
        <v>0.420999999999999</v>
      </c>
      <c r="M44" s="42" t="s">
        <v>76</v>
      </c>
    </row>
    <row r="45" customFormat="false" ht="15" hidden="false" customHeight="false" outlineLevel="0" collapsed="false">
      <c r="A45" s="27" t="s">
        <v>110</v>
      </c>
      <c r="B45" s="27" t="s">
        <v>111</v>
      </c>
      <c r="C45" s="26" t="n">
        <v>46231</v>
      </c>
      <c r="D45" s="26" t="n">
        <v>46240</v>
      </c>
      <c r="E45" s="27" t="s">
        <v>75</v>
      </c>
      <c r="F45" s="28" t="n">
        <f aca="false">'RC Movement'!H77</f>
        <v>38289</v>
      </c>
      <c r="G45" s="28" t="n">
        <v>56234</v>
      </c>
      <c r="H45" s="28" t="n">
        <v>2722</v>
      </c>
      <c r="I45" s="11" t="n">
        <f aca="false">IF(AND(E45="CLOSED",G45&gt;0),H45/G45,"")</f>
        <v>0.0484048796102002</v>
      </c>
      <c r="J45" s="13" t="n">
        <v>48.1612</v>
      </c>
      <c r="K45" s="13" t="n">
        <v>50.611</v>
      </c>
      <c r="L45" s="13" t="n">
        <f aca="false">IF(K45="","",K45-J45)</f>
        <v>2.4498</v>
      </c>
      <c r="M45" s="42" t="s">
        <v>76</v>
      </c>
    </row>
    <row r="46" customFormat="false" ht="15" hidden="false" customHeight="false" outlineLevel="0" collapsed="false">
      <c r="A46" s="27" t="s">
        <v>115</v>
      </c>
      <c r="B46" s="27" t="s">
        <v>86</v>
      </c>
      <c r="C46" s="26" t="n">
        <v>46239</v>
      </c>
      <c r="D46" s="26" t="n">
        <v>46242</v>
      </c>
      <c r="E46" s="27" t="s">
        <v>75</v>
      </c>
      <c r="F46" s="28" t="n">
        <f aca="false">'RC Movement'!I77</f>
        <v>19185</v>
      </c>
      <c r="G46" s="28" t="n">
        <v>19185</v>
      </c>
      <c r="H46" s="28" t="n">
        <v>0</v>
      </c>
      <c r="I46" s="11" t="n">
        <f aca="false">IF(AND(E46="CLOSED",G46&gt;0),H46/G46,"")</f>
        <v>0</v>
      </c>
      <c r="J46" s="13" t="n">
        <v>39</v>
      </c>
      <c r="K46" s="13" t="n">
        <v>39</v>
      </c>
      <c r="L46" s="13" t="n">
        <f aca="false">IF(K46="","",K46-J46)</f>
        <v>0</v>
      </c>
      <c r="M46" s="42" t="s">
        <v>76</v>
      </c>
    </row>
    <row r="47" customFormat="false" ht="15" hidden="false" customHeight="false" outlineLevel="0" collapsed="false">
      <c r="A47" s="27" t="s">
        <v>116</v>
      </c>
      <c r="B47" s="27" t="s">
        <v>117</v>
      </c>
      <c r="C47" s="26" t="n">
        <v>46239</v>
      </c>
      <c r="D47" s="26" t="n">
        <v>46240</v>
      </c>
      <c r="E47" s="27" t="s">
        <v>75</v>
      </c>
      <c r="F47" s="28" t="n">
        <f aca="false">'RC Movement'!J77</f>
        <v>24790</v>
      </c>
      <c r="G47" s="28" t="n">
        <v>25010</v>
      </c>
      <c r="H47" s="28" t="n">
        <v>220</v>
      </c>
      <c r="I47" s="11" t="n">
        <f aca="false">IF(AND(E47="CLOSED",G47&gt;0),H47/G47,"")</f>
        <v>0.00879648140743703</v>
      </c>
      <c r="J47" s="13" t="n">
        <v>37.25</v>
      </c>
      <c r="K47" s="13" t="n">
        <v>37.5806</v>
      </c>
      <c r="L47" s="13" t="n">
        <f aca="false">IF(K47="","",K47-J47)</f>
        <v>0.330599999999997</v>
      </c>
      <c r="M47" s="42" t="s">
        <v>76</v>
      </c>
    </row>
    <row r="48" customFormat="false" ht="15" hidden="false" customHeight="false" outlineLevel="0" collapsed="false">
      <c r="A48" s="27" t="s">
        <v>118</v>
      </c>
      <c r="B48" s="27" t="s">
        <v>119</v>
      </c>
      <c r="C48" s="26" t="n">
        <v>46240</v>
      </c>
      <c r="D48" s="26" t="n">
        <v>46245</v>
      </c>
      <c r="E48" s="27" t="s">
        <v>75</v>
      </c>
      <c r="F48" s="28" t="n">
        <f aca="false">'RC Movement'!K77</f>
        <v>20191</v>
      </c>
      <c r="G48" s="28" t="n">
        <v>20205</v>
      </c>
      <c r="H48" s="28" t="n">
        <v>14</v>
      </c>
      <c r="I48" s="11" t="n">
        <f aca="false">IF(AND(E48="CLOSED",G48&gt;0),H48/G48,"")</f>
        <v>0.000692897797574858</v>
      </c>
      <c r="J48" s="13" t="n">
        <v>36</v>
      </c>
      <c r="K48" s="13" t="n">
        <v>36.025</v>
      </c>
      <c r="L48" s="13" t="n">
        <f aca="false">IF(K48="","",K48-J48)</f>
        <v>0.0249999999999986</v>
      </c>
      <c r="M48" s="42" t="s">
        <v>76</v>
      </c>
    </row>
    <row r="49" customFormat="false" ht="15" hidden="false" customHeight="false" outlineLevel="0" collapsed="false">
      <c r="A49" s="27" t="s">
        <v>120</v>
      </c>
      <c r="B49" s="27" t="s">
        <v>121</v>
      </c>
      <c r="C49" s="26" t="n">
        <v>46240</v>
      </c>
      <c r="D49" s="26" t="n">
        <v>46245</v>
      </c>
      <c r="E49" s="27" t="s">
        <v>75</v>
      </c>
      <c r="F49" s="28" t="n">
        <f aca="false">'RC Movement'!L77</f>
        <v>74400</v>
      </c>
      <c r="G49" s="28" t="n">
        <v>75175</v>
      </c>
      <c r="H49" s="28" t="n">
        <v>775</v>
      </c>
      <c r="I49" s="11" t="n">
        <f aca="false">IF(AND(E49="CLOSED",G49&gt;0),H49/G49,"")</f>
        <v>0.0103092783505155</v>
      </c>
      <c r="J49" s="13" t="n">
        <v>37.25</v>
      </c>
      <c r="K49" s="13" t="n">
        <v>37.638</v>
      </c>
      <c r="L49" s="13" t="n">
        <f aca="false">IF(K49="","",K49-J49)</f>
        <v>0.387999999999998</v>
      </c>
      <c r="M49" s="42" t="s">
        <v>76</v>
      </c>
    </row>
    <row r="50" customFormat="false" ht="15" hidden="false" customHeight="false" outlineLevel="0" collapsed="false">
      <c r="A50" s="27" t="s">
        <v>122</v>
      </c>
      <c r="B50" s="27" t="s">
        <v>123</v>
      </c>
      <c r="C50" s="26" t="n">
        <v>46242</v>
      </c>
      <c r="D50" s="26" t="n">
        <v>46251</v>
      </c>
      <c r="E50" s="27" t="s">
        <v>75</v>
      </c>
      <c r="F50" s="28" t="n">
        <f aca="false">'RC Movement'!M77</f>
        <v>58821</v>
      </c>
      <c r="G50" s="28" t="n">
        <v>59235</v>
      </c>
      <c r="H50" s="28" t="n">
        <v>414</v>
      </c>
      <c r="I50" s="11" t="n">
        <f aca="false">IF(AND(E50="CLOSED",G50&gt;0),H50/G50,"")</f>
        <v>0.00698911116738415</v>
      </c>
      <c r="J50" s="13" t="n">
        <v>48.4471</v>
      </c>
      <c r="K50" s="13" t="n">
        <v>48.7881</v>
      </c>
      <c r="L50" s="13" t="n">
        <f aca="false">IF(K50="","",K50-J50)</f>
        <v>0.341000000000001</v>
      </c>
      <c r="M50" s="42" t="s">
        <v>76</v>
      </c>
    </row>
    <row r="51" customFormat="false" ht="15" hidden="false" customHeight="false" outlineLevel="0" collapsed="false">
      <c r="A51" s="27" t="s">
        <v>124</v>
      </c>
      <c r="B51" s="27" t="s">
        <v>125</v>
      </c>
      <c r="C51" s="26" t="n">
        <v>46245</v>
      </c>
      <c r="D51" s="26" t="n">
        <v>46259</v>
      </c>
      <c r="E51" s="27" t="s">
        <v>75</v>
      </c>
      <c r="F51" s="28" t="n">
        <f aca="false">'RC Movement'!N77</f>
        <v>69483</v>
      </c>
      <c r="G51" s="28" t="n">
        <v>73870</v>
      </c>
      <c r="H51" s="28" t="n">
        <v>4387</v>
      </c>
      <c r="I51" s="11" t="n">
        <f aca="false">IF(AND(E51="CLOSED",G51&gt;0),H51/G51,"")</f>
        <v>0.0593881142547719</v>
      </c>
      <c r="J51" s="13" t="n">
        <v>42</v>
      </c>
      <c r="K51" s="13" t="n">
        <v>44.6518</v>
      </c>
      <c r="L51" s="13" t="n">
        <f aca="false">IF(K51="","",K51-J51)</f>
        <v>2.6518</v>
      </c>
      <c r="M51" s="42" t="s">
        <v>76</v>
      </c>
    </row>
    <row r="52" customFormat="false" ht="15" hidden="false" customHeight="false" outlineLevel="0" collapsed="false">
      <c r="A52" s="27" t="s">
        <v>126</v>
      </c>
      <c r="B52" s="27" t="s">
        <v>86</v>
      </c>
      <c r="C52" s="26" t="n">
        <v>46246</v>
      </c>
      <c r="D52" s="26" t="n">
        <v>46251</v>
      </c>
      <c r="E52" s="27" t="s">
        <v>75</v>
      </c>
      <c r="F52" s="28" t="n">
        <f aca="false">'RC Movement'!O77</f>
        <v>18650</v>
      </c>
      <c r="G52" s="28" t="n">
        <v>18650</v>
      </c>
      <c r="H52" s="28" t="n">
        <v>0</v>
      </c>
      <c r="I52" s="11" t="n">
        <f aca="false">IF(AND(E52="CLOSED",G52&gt;0),H52/G52,"")</f>
        <v>0</v>
      </c>
      <c r="J52" s="13" t="n">
        <v>39</v>
      </c>
      <c r="K52" s="13" t="n">
        <v>39</v>
      </c>
      <c r="L52" s="13" t="n">
        <f aca="false">IF(K52="","",K52-J52)</f>
        <v>0</v>
      </c>
      <c r="M52" s="42" t="s">
        <v>76</v>
      </c>
    </row>
    <row r="53" customFormat="false" ht="15" hidden="false" customHeight="false" outlineLevel="0" collapsed="false">
      <c r="A53" s="27" t="s">
        <v>127</v>
      </c>
      <c r="B53" s="27" t="s">
        <v>128</v>
      </c>
      <c r="C53" s="26" t="n">
        <v>46246</v>
      </c>
      <c r="D53" s="26" t="n">
        <v>46246</v>
      </c>
      <c r="E53" s="27" t="s">
        <v>75</v>
      </c>
      <c r="F53" s="28" t="n">
        <f aca="false">'RC Movement'!P77</f>
        <v>5335</v>
      </c>
      <c r="G53" s="28" t="n">
        <v>5340</v>
      </c>
      <c r="H53" s="28" t="n">
        <v>5</v>
      </c>
      <c r="I53" s="11" t="n">
        <f aca="false">IF(AND(E53="CLOSED",G53&gt;0),H53/G53,"")</f>
        <v>0.000936329588014981</v>
      </c>
      <c r="J53" s="13" t="n">
        <v>39</v>
      </c>
      <c r="K53" s="13" t="n">
        <v>39.0366</v>
      </c>
      <c r="L53" s="13" t="n">
        <f aca="false">IF(K53="","",K53-J53)</f>
        <v>0.0366</v>
      </c>
      <c r="M53" s="42" t="s">
        <v>76</v>
      </c>
    </row>
    <row r="54" customFormat="false" ht="15" hidden="false" customHeight="false" outlineLevel="0" collapsed="false">
      <c r="A54" s="27" t="s">
        <v>129</v>
      </c>
      <c r="B54" s="27" t="s">
        <v>130</v>
      </c>
      <c r="C54" s="26" t="n">
        <v>46246</v>
      </c>
      <c r="D54" s="26" t="n">
        <v>46258</v>
      </c>
      <c r="E54" s="27" t="s">
        <v>75</v>
      </c>
      <c r="F54" s="28" t="n">
        <f aca="false">'RC Movement'!Q77</f>
        <v>70520</v>
      </c>
      <c r="G54" s="28" t="n">
        <v>74995</v>
      </c>
      <c r="H54" s="28" t="n">
        <v>4475</v>
      </c>
      <c r="I54" s="11" t="n">
        <f aca="false">IF(AND(E54="CLOSED",G54&gt;0),H54/G54,"")</f>
        <v>0.0596706447096473</v>
      </c>
      <c r="J54" s="13" t="n">
        <v>48.25</v>
      </c>
      <c r="K54" s="13" t="n">
        <v>51.3118</v>
      </c>
      <c r="L54" s="13" t="n">
        <f aca="false">IF(K54="","",K54-J54)</f>
        <v>3.0618</v>
      </c>
      <c r="M54" s="42" t="s">
        <v>76</v>
      </c>
    </row>
    <row r="55" customFormat="false" ht="15" hidden="false" customHeight="false" outlineLevel="0" collapsed="false">
      <c r="A55" s="27" t="s">
        <v>131</v>
      </c>
      <c r="B55" s="27" t="s">
        <v>132</v>
      </c>
      <c r="C55" s="26" t="n">
        <v>46251</v>
      </c>
      <c r="D55" s="26" t="n">
        <v>46258</v>
      </c>
      <c r="E55" s="27" t="s">
        <v>75</v>
      </c>
      <c r="F55" s="28" t="n">
        <f aca="false">'RC Movement'!R77</f>
        <v>45425</v>
      </c>
      <c r="G55" s="28" t="n">
        <v>45982</v>
      </c>
      <c r="H55" s="28" t="n">
        <v>557</v>
      </c>
      <c r="I55" s="11" t="n">
        <f aca="false">IF(AND(E55="CLOSED",G55&gt;0),H55/G55,"")</f>
        <v>0.0121134356922274</v>
      </c>
      <c r="J55" s="13" t="n">
        <v>38</v>
      </c>
      <c r="K55" s="13" t="n">
        <v>38.466</v>
      </c>
      <c r="L55" s="13" t="n">
        <f aca="false">IF(K55="","",K55-J55)</f>
        <v>0.466000000000001</v>
      </c>
      <c r="M55" s="42" t="s">
        <v>76</v>
      </c>
    </row>
    <row r="56" customFormat="false" ht="15" hidden="false" customHeight="false" outlineLevel="0" collapsed="false">
      <c r="A56" s="27" t="s">
        <v>133</v>
      </c>
      <c r="B56" s="27" t="s">
        <v>86</v>
      </c>
      <c r="C56" s="26" t="n">
        <v>46252</v>
      </c>
      <c r="D56" s="26" t="n">
        <v>46254</v>
      </c>
      <c r="E56" s="27" t="s">
        <v>75</v>
      </c>
      <c r="F56" s="28" t="n">
        <f aca="false">'RC Movement'!S77</f>
        <v>19395</v>
      </c>
      <c r="G56" s="28" t="n">
        <v>19395</v>
      </c>
      <c r="H56" s="28" t="n">
        <v>0</v>
      </c>
      <c r="I56" s="11" t="n">
        <f aca="false">IF(AND(E56="CLOSED",G56&gt;0),H56/G56,"")</f>
        <v>0</v>
      </c>
      <c r="J56" s="13" t="n">
        <v>39</v>
      </c>
      <c r="K56" s="13" t="n">
        <v>39</v>
      </c>
      <c r="L56" s="13" t="n">
        <f aca="false">IF(K56="","",K56-J56)</f>
        <v>0</v>
      </c>
      <c r="M56" s="42" t="s">
        <v>76</v>
      </c>
    </row>
    <row r="57" customFormat="false" ht="15" hidden="false" customHeight="false" outlineLevel="0" collapsed="false">
      <c r="A57" s="27" t="s">
        <v>134</v>
      </c>
      <c r="B57" s="27" t="s">
        <v>86</v>
      </c>
      <c r="C57" s="26" t="n">
        <v>46255</v>
      </c>
      <c r="D57" s="26" t="n">
        <v>46258</v>
      </c>
      <c r="E57" s="27" t="s">
        <v>75</v>
      </c>
      <c r="F57" s="28" t="n">
        <f aca="false">'RC Movement'!T77</f>
        <v>20140</v>
      </c>
      <c r="G57" s="28" t="n">
        <v>20140</v>
      </c>
      <c r="H57" s="28" t="n">
        <v>0</v>
      </c>
      <c r="I57" s="11" t="n">
        <f aca="false">IF(AND(E57="CLOSED",G57&gt;0),H57/G57,"")</f>
        <v>0</v>
      </c>
      <c r="J57" s="13" t="n">
        <v>39</v>
      </c>
      <c r="K57" s="13" t="n">
        <v>39</v>
      </c>
      <c r="L57" s="13" t="n">
        <f aca="false">IF(K57="","",K57-J57)</f>
        <v>0</v>
      </c>
      <c r="M57" s="42" t="s">
        <v>76</v>
      </c>
    </row>
    <row r="58" customFormat="false" ht="15" hidden="false" customHeight="false" outlineLevel="0" collapsed="false">
      <c r="A58" s="27" t="s">
        <v>135</v>
      </c>
      <c r="B58" s="27" t="s">
        <v>136</v>
      </c>
      <c r="C58" s="26" t="n">
        <v>46258</v>
      </c>
      <c r="D58" s="26" t="n">
        <v>46263</v>
      </c>
      <c r="E58" s="27" t="s">
        <v>75</v>
      </c>
      <c r="F58" s="28" t="n">
        <f aca="false">'RC Movement'!U77</f>
        <v>35318</v>
      </c>
      <c r="G58" s="28" t="n">
        <v>41765</v>
      </c>
      <c r="H58" s="28" t="n">
        <v>328</v>
      </c>
      <c r="I58" s="11" t="n">
        <f aca="false">IF(AND(E58="CLOSED",G58&gt;0),H58/G58,"")</f>
        <v>0.00785346582066323</v>
      </c>
      <c r="J58" s="13" t="n">
        <v>39.5</v>
      </c>
      <c r="K58" s="13" t="n">
        <v>39.8127</v>
      </c>
      <c r="L58" s="13" t="n">
        <f aca="false">IF(K58="","",K58-J58)</f>
        <v>0.3127</v>
      </c>
      <c r="M58" s="42" t="s">
        <v>76</v>
      </c>
    </row>
    <row r="59" customFormat="false" ht="15" hidden="false" customHeight="false" outlineLevel="0" collapsed="false">
      <c r="A59" s="27" t="s">
        <v>137</v>
      </c>
      <c r="B59" s="27" t="s">
        <v>86</v>
      </c>
      <c r="C59" s="26" t="n">
        <v>46259</v>
      </c>
      <c r="D59" s="26" t="n">
        <v>46262</v>
      </c>
      <c r="E59" s="27" t="s">
        <v>75</v>
      </c>
      <c r="F59" s="28" t="n">
        <f aca="false">'RC Movement'!V77</f>
        <v>21370</v>
      </c>
      <c r="G59" s="28" t="n">
        <v>21370</v>
      </c>
      <c r="H59" s="28" t="n">
        <v>0</v>
      </c>
      <c r="I59" s="11" t="n">
        <f aca="false">IF(AND(E59="CLOSED",G59&gt;0),H59/G59,"")</f>
        <v>0</v>
      </c>
      <c r="J59" s="13" t="n">
        <v>39</v>
      </c>
      <c r="K59" s="13" t="n">
        <v>39</v>
      </c>
      <c r="L59" s="13" t="n">
        <f aca="false">IF(K59="","",K59-J59)</f>
        <v>0</v>
      </c>
      <c r="M59" s="42" t="s">
        <v>76</v>
      </c>
    </row>
    <row r="60" customFormat="false" ht="15" hidden="false" customHeight="false" outlineLevel="0" collapsed="false">
      <c r="A60" s="27" t="s">
        <v>138</v>
      </c>
      <c r="B60" s="27" t="s">
        <v>86</v>
      </c>
      <c r="C60" s="26" t="n">
        <v>46259</v>
      </c>
      <c r="D60" s="26" t="n">
        <v>46259</v>
      </c>
      <c r="E60" s="27" t="s">
        <v>75</v>
      </c>
      <c r="F60" s="28" t="n">
        <f aca="false">'RC Movement'!W77</f>
        <v>1607</v>
      </c>
      <c r="G60" s="28" t="n">
        <v>1615</v>
      </c>
      <c r="H60" s="28" t="n">
        <v>8</v>
      </c>
      <c r="I60" s="11" t="n">
        <f aca="false">IF(AND(E60="CLOSED",G60&gt;0),H60/G60,"")</f>
        <v>0.00495356037151703</v>
      </c>
      <c r="J60" s="13" t="n">
        <v>1.75</v>
      </c>
      <c r="K60" s="13" t="n">
        <v>1.7587</v>
      </c>
      <c r="L60" s="13" t="n">
        <f aca="false">IF(K60="","",K60-J60)</f>
        <v>0.00869999999999993</v>
      </c>
      <c r="M60" s="42" t="s">
        <v>76</v>
      </c>
    </row>
    <row r="61" customFormat="false" ht="15" hidden="false" customHeight="false" outlineLevel="0" collapsed="false">
      <c r="A61" s="27" t="s">
        <v>139</v>
      </c>
      <c r="B61" s="27" t="s">
        <v>140</v>
      </c>
      <c r="C61" s="26" t="n">
        <v>46259</v>
      </c>
      <c r="D61" s="26" t="n">
        <v>46275</v>
      </c>
      <c r="E61" s="27" t="s">
        <v>75</v>
      </c>
      <c r="F61" s="28" t="n">
        <f aca="false">'RC Movement'!X77</f>
        <v>21878</v>
      </c>
      <c r="G61" s="28" t="n">
        <v>74612</v>
      </c>
      <c r="H61" s="28" t="n">
        <v>727</v>
      </c>
      <c r="I61" s="11" t="n">
        <f aca="false">IF(AND(E61="CLOSED",G61&gt;0),H61/G61,"")</f>
        <v>0.00974374095319788</v>
      </c>
      <c r="J61" s="13" t="n">
        <v>39.5013</v>
      </c>
      <c r="K61" s="13" t="n">
        <v>39.89</v>
      </c>
      <c r="L61" s="13" t="n">
        <f aca="false">IF(K61="","",K61-J61)</f>
        <v>0.3887</v>
      </c>
      <c r="M61" s="42" t="s">
        <v>76</v>
      </c>
    </row>
    <row r="62" customFormat="false" ht="15" hidden="false" customHeight="false" outlineLevel="0" collapsed="false">
      <c r="A62" s="27" t="s">
        <v>141</v>
      </c>
      <c r="B62" s="27" t="s">
        <v>142</v>
      </c>
      <c r="C62" s="26" t="n">
        <v>46259</v>
      </c>
      <c r="D62" s="26" t="n">
        <v>46268</v>
      </c>
      <c r="E62" s="27" t="s">
        <v>75</v>
      </c>
      <c r="F62" s="28" t="n">
        <f aca="false">'RC Movement'!Y77</f>
        <v>31996</v>
      </c>
      <c r="G62" s="28" t="n">
        <v>64640</v>
      </c>
      <c r="H62" s="28" t="n">
        <v>1411</v>
      </c>
      <c r="I62" s="11" t="n">
        <f aca="false">IF(AND(E62="CLOSED",G62&gt;0),H62/G62,"")</f>
        <v>0.0218285891089109</v>
      </c>
      <c r="J62" s="13" t="n">
        <v>44.6269</v>
      </c>
      <c r="K62" s="13" t="n">
        <v>45.6228</v>
      </c>
      <c r="L62" s="13" t="n">
        <f aca="false">IF(K62="","",K62-J62)</f>
        <v>0.995899999999999</v>
      </c>
      <c r="M62" s="42" t="s">
        <v>76</v>
      </c>
    </row>
    <row r="63" customFormat="false" ht="15" hidden="false" customHeight="false" outlineLevel="0" collapsed="false">
      <c r="A63" s="15" t="s">
        <v>143</v>
      </c>
      <c r="B63" s="43" t="str">
        <f aca="false">COUNTIF(E43:E62,"CLOSED")&amp;" closed · "&amp;COUNTIF(E43:E62,"OPEN")&amp;" open · "&amp;COUNTIF(M43:M62,"Y")&amp;" in price set"</f>
        <v>20 closed · 0 open · 20 in price set</v>
      </c>
      <c r="C63" s="43"/>
      <c r="D63" s="43"/>
      <c r="E63" s="43"/>
      <c r="F63" s="38" t="n">
        <f aca="false">SUM(F43:F62)</f>
        <v>697313</v>
      </c>
      <c r="G63" s="38" t="n">
        <f aca="false">SUM(G43:G62)</f>
        <v>850017</v>
      </c>
      <c r="H63" s="38" t="n">
        <f aca="false">SUM(H43:H62)</f>
        <v>20916</v>
      </c>
      <c r="I63" s="17" t="n">
        <f aca="false">SUMIF(E43:E62,"CLOSED",H43:H62)/SUMIF(E43:E62,"CLOSED",G43:G62)</f>
        <v>0.0246065666921956</v>
      </c>
      <c r="J63" s="19" t="n">
        <f aca="false">SUMPRODUCT((M43:M62="Y")*F43:F62*J43:J62)/SUMPRODUCT((M43:M62="Y")*F43:F62)</f>
        <v>42.7720361025823</v>
      </c>
      <c r="K63" s="19" t="n">
        <f aca="false">SUMPRODUCT((M43:M62="Y")*F43:F62*K43:K62)/SUMPRODUCT((M43:M62="Y")*F43:F62)</f>
        <v>43.9392156159429</v>
      </c>
      <c r="L63" s="19" t="n">
        <f aca="false">SUMPRODUCT((M43:M62="Y")*J43:J62*G43:G62)/SUMPRODUCT((M43:M62="Y")*(G43:G62-H43:H62))-SUMPRODUCT((M43:M62="Y")*J43:J62*G43:G62)/SUMPRODUCT((M43:M62="Y")*G43:G62)</f>
        <v>1.08421648515181</v>
      </c>
      <c r="M63" s="44"/>
    </row>
  </sheetData>
  <mergeCells count="6">
    <mergeCell ref="A7:B7"/>
    <mergeCell ref="F7:G7"/>
    <mergeCell ref="H7:I7"/>
    <mergeCell ref="J7:N7"/>
    <mergeCell ref="O7:V7"/>
    <mergeCell ref="B63:E6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.16"/>
    <col collapsed="false" customWidth="true" hidden="false" outlineLevel="0" max="2" min="2" style="0" width="14"/>
    <col collapsed="false" customWidth="true" hidden="false" outlineLevel="0" max="6" min="3" style="0" width="12"/>
    <col collapsed="false" customWidth="true" hidden="false" outlineLevel="0" max="7" min="7" style="0" width="10"/>
    <col collapsed="false" customWidth="true" hidden="false" outlineLevel="0" max="10" min="8" style="0" width="12"/>
    <col collapsed="false" customWidth="true" hidden="false" outlineLevel="0" max="12" min="11" style="0" width="14"/>
    <col collapsed="false" customWidth="true" hidden="false" outlineLevel="0" max="13" min="13" style="0" width="13"/>
    <col collapsed="false" customWidth="true" hidden="false" outlineLevel="0" max="22" min="14" style="0" width="10"/>
  </cols>
  <sheetData>
    <row r="1" customFormat="false" ht="17.35" hidden="false" customHeight="false" outlineLevel="0" collapsed="false">
      <c r="A1" s="1" t="s">
        <v>144</v>
      </c>
    </row>
    <row r="3" customFormat="false" ht="30" hidden="false" customHeight="true" outlineLevel="0" collapsed="false">
      <c r="A3" s="21" t="s">
        <v>21</v>
      </c>
      <c r="B3" s="3" t="s">
        <v>2</v>
      </c>
      <c r="C3" s="4" t="s">
        <v>3</v>
      </c>
      <c r="D3" s="4" t="s">
        <v>4</v>
      </c>
      <c r="E3" s="5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5" t="s">
        <v>11</v>
      </c>
      <c r="L3" s="7" t="s">
        <v>12</v>
      </c>
      <c r="M3" s="7" t="s">
        <v>13</v>
      </c>
      <c r="N3" s="8" t="s">
        <v>14</v>
      </c>
    </row>
    <row r="4" customFormat="false" ht="15" hidden="false" customHeight="false" outlineLevel="0" collapsed="false">
      <c r="A4" s="9" t="s">
        <v>17</v>
      </c>
      <c r="B4" s="22" t="n">
        <f aca="false">D28/1000</f>
        <v>500.744</v>
      </c>
      <c r="C4" s="22" t="n">
        <f aca="false">E28/1000</f>
        <v>372.822</v>
      </c>
      <c r="D4" s="23" t="n">
        <f aca="false">E28/D28</f>
        <v>0.744536130238206</v>
      </c>
      <c r="E4" s="23" t="n">
        <f aca="false">1-D4</f>
        <v>0.255463869761794</v>
      </c>
      <c r="F4" s="24" t="n">
        <f aca="false">F28</f>
        <v>59283.5</v>
      </c>
      <c r="G4" s="23" t="n">
        <f aca="false">F28/E28</f>
        <v>0.159012880141193</v>
      </c>
      <c r="H4" s="25" t="n">
        <f aca="false">C28</f>
        <v>43.0602680836915</v>
      </c>
      <c r="I4" s="25" t="n">
        <f aca="false">K47</f>
        <v>44.0298325281777</v>
      </c>
      <c r="J4" s="25" t="n">
        <f aca="false">L47</f>
        <v>0.905953468020798</v>
      </c>
      <c r="K4" s="23" t="n">
        <f aca="false">I47</f>
        <v>0.0207727155537549</v>
      </c>
      <c r="L4" s="25" t="n">
        <f aca="false">H4/D4</f>
        <v>57.8350281938834</v>
      </c>
      <c r="M4" s="25" t="str">
        <f aca="false">IF(COUNTIF(M33:M46,"N")=0,I4/D4,"")</f>
        <v/>
      </c>
      <c r="N4" s="14" t="n">
        <f aca="false">SUMPRODUCT((M33:M46="Y")*F33:F46)</f>
        <v>362787</v>
      </c>
    </row>
    <row r="7" customFormat="false" ht="15" hidden="false" customHeight="true" outlineLevel="0" collapsed="false">
      <c r="A7" s="2" t="s">
        <v>22</v>
      </c>
      <c r="B7" s="2"/>
      <c r="C7" s="7" t="s">
        <v>23</v>
      </c>
      <c r="D7" s="3" t="s">
        <v>24</v>
      </c>
      <c r="E7" s="4" t="s">
        <v>25</v>
      </c>
      <c r="F7" s="6" t="s">
        <v>26</v>
      </c>
      <c r="G7" s="6"/>
      <c r="H7" s="2" t="s">
        <v>27</v>
      </c>
      <c r="I7" s="2"/>
      <c r="J7" s="4" t="s">
        <v>28</v>
      </c>
      <c r="K7" s="4"/>
      <c r="L7" s="4"/>
      <c r="M7" s="4"/>
      <c r="N7" s="4"/>
      <c r="O7" s="6" t="s">
        <v>29</v>
      </c>
      <c r="P7" s="6"/>
      <c r="Q7" s="6"/>
      <c r="R7" s="6"/>
      <c r="S7" s="6"/>
      <c r="T7" s="6"/>
      <c r="U7" s="6"/>
      <c r="V7" s="6"/>
    </row>
    <row r="8" customFormat="false" ht="27.75" hidden="false" customHeight="true" outlineLevel="0" collapsed="false">
      <c r="A8" s="2" t="s">
        <v>30</v>
      </c>
      <c r="B8" s="2" t="s">
        <v>22</v>
      </c>
      <c r="C8" s="7" t="s">
        <v>31</v>
      </c>
      <c r="D8" s="3" t="s">
        <v>32</v>
      </c>
      <c r="E8" s="4" t="s">
        <v>33</v>
      </c>
      <c r="F8" s="6" t="s">
        <v>34</v>
      </c>
      <c r="G8" s="6" t="s">
        <v>7</v>
      </c>
      <c r="H8" s="2" t="s">
        <v>35</v>
      </c>
      <c r="I8" s="2" t="s">
        <v>36</v>
      </c>
      <c r="J8" s="4" t="s">
        <v>37</v>
      </c>
      <c r="K8" s="4" t="s">
        <v>38</v>
      </c>
      <c r="L8" s="4" t="s">
        <v>39</v>
      </c>
      <c r="M8" s="4" t="s">
        <v>40</v>
      </c>
      <c r="N8" s="4" t="s">
        <v>41</v>
      </c>
      <c r="O8" s="6" t="s">
        <v>42</v>
      </c>
      <c r="P8" s="6" t="s">
        <v>43</v>
      </c>
      <c r="Q8" s="6" t="s">
        <v>44</v>
      </c>
      <c r="R8" s="6" t="s">
        <v>45</v>
      </c>
      <c r="S8" s="6" t="s">
        <v>46</v>
      </c>
      <c r="T8" s="6" t="s">
        <v>47</v>
      </c>
      <c r="U8" s="6" t="s">
        <v>48</v>
      </c>
      <c r="V8" s="6" t="s">
        <v>49</v>
      </c>
    </row>
    <row r="9" customFormat="false" ht="15" hidden="false" customHeight="false" outlineLevel="0" collapsed="false">
      <c r="A9" s="26" t="n">
        <v>46263</v>
      </c>
      <c r="B9" s="27" t="s">
        <v>54</v>
      </c>
      <c r="C9" s="13" t="n">
        <v>41.0811</v>
      </c>
      <c r="D9" s="28" t="n">
        <f aca="false">'RC Movement'!E86</f>
        <v>12314</v>
      </c>
      <c r="E9" s="28" t="n">
        <f aca="false">SUM(J9:N9)</f>
        <v>7506</v>
      </c>
      <c r="F9" s="12" t="n">
        <f aca="false">SUM(O9:V9)</f>
        <v>1528.5</v>
      </c>
      <c r="G9" s="11" t="n">
        <f aca="false">IF(E9&gt;0,F9/E9,"")</f>
        <v>0.203637090327738</v>
      </c>
      <c r="H9" s="28" t="n">
        <v>1</v>
      </c>
      <c r="I9" s="29" t="n">
        <v>0</v>
      </c>
      <c r="J9" s="28" t="n">
        <v>5226</v>
      </c>
      <c r="K9" s="28" t="n">
        <v>2280</v>
      </c>
      <c r="L9" s="28"/>
      <c r="M9" s="28"/>
      <c r="N9" s="28"/>
      <c r="O9" s="12" t="n">
        <v>55</v>
      </c>
      <c r="P9" s="12" t="n">
        <v>0.5</v>
      </c>
      <c r="Q9" s="12" t="n">
        <v>550</v>
      </c>
      <c r="R9" s="12" t="n">
        <v>550</v>
      </c>
      <c r="S9" s="12" t="n">
        <v>179</v>
      </c>
      <c r="T9" s="12" t="n">
        <v>74</v>
      </c>
      <c r="U9" s="12" t="n">
        <v>100</v>
      </c>
      <c r="V9" s="12" t="n">
        <v>20</v>
      </c>
    </row>
    <row r="10" customFormat="false" ht="15" hidden="false" customHeight="false" outlineLevel="0" collapsed="false">
      <c r="A10" s="30" t="n">
        <v>46264</v>
      </c>
      <c r="B10" s="31" t="s">
        <v>55</v>
      </c>
      <c r="C10" s="32"/>
      <c r="D10" s="33" t="n">
        <f aca="false">'RC Movement'!E87</f>
        <v>0</v>
      </c>
      <c r="E10" s="33" t="n">
        <f aca="false">SUM(J10:N10)</f>
        <v>0</v>
      </c>
      <c r="F10" s="34" t="n">
        <f aca="false">SUM(O10:V10)</f>
        <v>0</v>
      </c>
      <c r="G10" s="35" t="str">
        <f aca="false">IF(E10&gt;0,F10/E10,"")</f>
        <v/>
      </c>
      <c r="H10" s="33"/>
      <c r="I10" s="36"/>
      <c r="J10" s="33"/>
      <c r="K10" s="33"/>
      <c r="L10" s="33"/>
      <c r="M10" s="33"/>
      <c r="N10" s="33"/>
      <c r="O10" s="34"/>
      <c r="P10" s="34"/>
      <c r="Q10" s="34"/>
      <c r="R10" s="34"/>
      <c r="S10" s="34"/>
      <c r="T10" s="34"/>
      <c r="U10" s="34"/>
      <c r="V10" s="34"/>
    </row>
    <row r="11" customFormat="false" ht="15" hidden="false" customHeight="false" outlineLevel="0" collapsed="false">
      <c r="A11" s="30" t="n">
        <v>46265</v>
      </c>
      <c r="B11" s="31" t="s">
        <v>56</v>
      </c>
      <c r="C11" s="32"/>
      <c r="D11" s="33" t="n">
        <f aca="false">'RC Movement'!E88</f>
        <v>0</v>
      </c>
      <c r="E11" s="33" t="n">
        <f aca="false">SUM(J11:N11)</f>
        <v>0</v>
      </c>
      <c r="F11" s="34" t="n">
        <f aca="false">SUM(O11:V11)</f>
        <v>0</v>
      </c>
      <c r="G11" s="35" t="str">
        <f aca="false">IF(E11&gt;0,F11/E11,"")</f>
        <v/>
      </c>
      <c r="H11" s="33"/>
      <c r="I11" s="36"/>
      <c r="J11" s="33"/>
      <c r="K11" s="33"/>
      <c r="L11" s="33"/>
      <c r="M11" s="33"/>
      <c r="N11" s="33"/>
      <c r="O11" s="34"/>
      <c r="P11" s="34"/>
      <c r="Q11" s="34"/>
      <c r="R11" s="34"/>
      <c r="S11" s="34"/>
      <c r="T11" s="34"/>
      <c r="U11" s="34"/>
      <c r="V11" s="34"/>
    </row>
    <row r="12" customFormat="false" ht="15" hidden="false" customHeight="false" outlineLevel="0" collapsed="false">
      <c r="A12" s="26" t="n">
        <v>46266</v>
      </c>
      <c r="B12" s="27" t="s">
        <v>50</v>
      </c>
      <c r="C12" s="13" t="n">
        <v>41.4406</v>
      </c>
      <c r="D12" s="28" t="n">
        <f aca="false">'RC Movement'!E89</f>
        <v>41867</v>
      </c>
      <c r="E12" s="28" t="n">
        <f aca="false">SUM(J12:N12)</f>
        <v>25290</v>
      </c>
      <c r="F12" s="12" t="n">
        <f aca="false">SUM(O12:V12)</f>
        <v>3212.5</v>
      </c>
      <c r="G12" s="11" t="n">
        <f aca="false">IF(E12&gt;0,F12/E12,"")</f>
        <v>0.127026492684856</v>
      </c>
      <c r="H12" s="28" t="n">
        <v>1</v>
      </c>
      <c r="I12" s="29" t="n">
        <v>1.58</v>
      </c>
      <c r="J12" s="28" t="n">
        <v>15600</v>
      </c>
      <c r="K12" s="28" t="n">
        <v>9690</v>
      </c>
      <c r="L12" s="28"/>
      <c r="M12" s="28"/>
      <c r="N12" s="28"/>
      <c r="O12" s="12" t="n">
        <v>50</v>
      </c>
      <c r="P12" s="12" t="n">
        <v>0.5</v>
      </c>
      <c r="Q12" s="12" t="n">
        <v>1100</v>
      </c>
      <c r="R12" s="12" t="n">
        <v>1100</v>
      </c>
      <c r="S12" s="12" t="n">
        <v>608</v>
      </c>
      <c r="T12" s="12" t="n">
        <v>174</v>
      </c>
      <c r="U12" s="12" t="n">
        <v>150</v>
      </c>
      <c r="V12" s="12" t="n">
        <v>30</v>
      </c>
    </row>
    <row r="13" customFormat="false" ht="15" hidden="false" customHeight="false" outlineLevel="0" collapsed="false">
      <c r="A13" s="26" t="n">
        <v>46267</v>
      </c>
      <c r="B13" s="27" t="s">
        <v>51</v>
      </c>
      <c r="C13" s="13" t="n">
        <v>41.2271</v>
      </c>
      <c r="D13" s="28" t="n">
        <f aca="false">'RC Movement'!E90</f>
        <v>28656</v>
      </c>
      <c r="E13" s="28" t="n">
        <f aca="false">SUM(J13:N13)</f>
        <v>27990</v>
      </c>
      <c r="F13" s="12" t="n">
        <f aca="false">SUM(O13:V13)</f>
        <v>3941.5</v>
      </c>
      <c r="G13" s="11" t="n">
        <f aca="false">IF(E13&gt;0,F13/E13,"")</f>
        <v>0.14081814933905</v>
      </c>
      <c r="H13" s="28" t="n">
        <v>1</v>
      </c>
      <c r="I13" s="29" t="n">
        <v>0.25</v>
      </c>
      <c r="J13" s="28" t="n">
        <v>17160</v>
      </c>
      <c r="K13" s="28" t="n">
        <v>10830</v>
      </c>
      <c r="L13" s="28"/>
      <c r="M13" s="28"/>
      <c r="N13" s="28"/>
      <c r="O13" s="12" t="n">
        <v>75</v>
      </c>
      <c r="P13" s="12" t="n">
        <v>0.5</v>
      </c>
      <c r="Q13" s="12" t="n">
        <v>1650</v>
      </c>
      <c r="R13" s="12" t="n">
        <v>1108</v>
      </c>
      <c r="S13" s="12" t="n">
        <v>716</v>
      </c>
      <c r="T13" s="12" t="n">
        <v>239</v>
      </c>
      <c r="U13" s="12" t="n">
        <v>125</v>
      </c>
      <c r="V13" s="12" t="n">
        <v>28</v>
      </c>
    </row>
    <row r="14" customFormat="false" ht="15" hidden="false" customHeight="false" outlineLevel="0" collapsed="false">
      <c r="A14" s="26" t="n">
        <v>46268</v>
      </c>
      <c r="B14" s="27" t="s">
        <v>52</v>
      </c>
      <c r="C14" s="13" t="n">
        <v>40.9802</v>
      </c>
      <c r="D14" s="28" t="n">
        <f aca="false">'RC Movement'!E91</f>
        <v>35299</v>
      </c>
      <c r="E14" s="28" t="n">
        <f aca="false">SUM(J14:N14)</f>
        <v>27582</v>
      </c>
      <c r="F14" s="12" t="n">
        <f aca="false">SUM(O14:V14)</f>
        <v>4230.5</v>
      </c>
      <c r="G14" s="11" t="n">
        <f aca="false">IF(E14&gt;0,F14/E14,"")</f>
        <v>0.153379015299833</v>
      </c>
      <c r="H14" s="28" t="n">
        <v>1</v>
      </c>
      <c r="I14" s="29" t="n">
        <v>1.97</v>
      </c>
      <c r="J14" s="28" t="n">
        <v>19032</v>
      </c>
      <c r="K14" s="28" t="n">
        <v>8550</v>
      </c>
      <c r="L14" s="28"/>
      <c r="M14" s="28"/>
      <c r="N14" s="28"/>
      <c r="O14" s="12" t="n">
        <v>50</v>
      </c>
      <c r="P14" s="12" t="n">
        <v>0.5</v>
      </c>
      <c r="Q14" s="12" t="n">
        <v>1650</v>
      </c>
      <c r="R14" s="12" t="n">
        <v>1642</v>
      </c>
      <c r="S14" s="12" t="n">
        <v>569</v>
      </c>
      <c r="T14" s="12" t="n">
        <v>192</v>
      </c>
      <c r="U14" s="12" t="n">
        <v>100</v>
      </c>
      <c r="V14" s="12" t="n">
        <v>27</v>
      </c>
    </row>
    <row r="15" customFormat="false" ht="15" hidden="false" customHeight="false" outlineLevel="0" collapsed="false">
      <c r="A15" s="26" t="n">
        <v>46269</v>
      </c>
      <c r="B15" s="27" t="s">
        <v>53</v>
      </c>
      <c r="C15" s="13" t="n">
        <v>41.2774</v>
      </c>
      <c r="D15" s="28" t="n">
        <f aca="false">'RC Movement'!E92</f>
        <v>31255</v>
      </c>
      <c r="E15" s="28" t="n">
        <f aca="false">SUM(J15:N15)</f>
        <v>22768</v>
      </c>
      <c r="F15" s="12" t="n">
        <f aca="false">SUM(O15:V15)</f>
        <v>3373.5</v>
      </c>
      <c r="G15" s="11" t="n">
        <f aca="false">IF(E15&gt;0,F15/E15,"")</f>
        <v>0.148168482080112</v>
      </c>
      <c r="H15" s="28" t="n">
        <v>1</v>
      </c>
      <c r="I15" s="29" t="n">
        <v>0.12</v>
      </c>
      <c r="J15" s="28" t="n">
        <v>13078</v>
      </c>
      <c r="K15" s="28" t="n">
        <v>9690</v>
      </c>
      <c r="L15" s="28"/>
      <c r="M15" s="28"/>
      <c r="N15" s="28"/>
      <c r="O15" s="12" t="n">
        <v>75</v>
      </c>
      <c r="P15" s="12" t="n">
        <v>0.5</v>
      </c>
      <c r="Q15" s="12" t="n">
        <v>1100</v>
      </c>
      <c r="R15" s="12" t="n">
        <v>1100</v>
      </c>
      <c r="S15" s="12" t="n">
        <v>776</v>
      </c>
      <c r="T15" s="12" t="n">
        <v>167</v>
      </c>
      <c r="U15" s="12" t="n">
        <v>125</v>
      </c>
      <c r="V15" s="12" t="n">
        <v>30</v>
      </c>
    </row>
    <row r="16" customFormat="false" ht="15" hidden="false" customHeight="false" outlineLevel="0" collapsed="false">
      <c r="A16" s="26" t="n">
        <v>46270</v>
      </c>
      <c r="B16" s="27" t="s">
        <v>54</v>
      </c>
      <c r="C16" s="13" t="n">
        <v>44.0171</v>
      </c>
      <c r="D16" s="28" t="n">
        <f aca="false">'RC Movement'!E93</f>
        <v>31007</v>
      </c>
      <c r="E16" s="28" t="n">
        <f aca="false">SUM(J16:N16)</f>
        <v>27288</v>
      </c>
      <c r="F16" s="12" t="n">
        <f aca="false">SUM(O16:V16)</f>
        <v>5403.5</v>
      </c>
      <c r="G16" s="11" t="n">
        <f aca="false">IF(E16&gt;0,F16/E16,"")</f>
        <v>0.198017443564937</v>
      </c>
      <c r="H16" s="28" t="n">
        <v>1</v>
      </c>
      <c r="I16" s="29" t="n">
        <v>0.17</v>
      </c>
      <c r="J16" s="28" t="n">
        <v>16458</v>
      </c>
      <c r="K16" s="28" t="n">
        <v>10830</v>
      </c>
      <c r="L16" s="28"/>
      <c r="M16" s="28"/>
      <c r="N16" s="28"/>
      <c r="O16" s="12" t="n">
        <v>100</v>
      </c>
      <c r="P16" s="12" t="n">
        <v>0.5</v>
      </c>
      <c r="Q16" s="12" t="n">
        <v>2200</v>
      </c>
      <c r="R16" s="12" t="n">
        <v>2107</v>
      </c>
      <c r="S16" s="12" t="n">
        <v>657</v>
      </c>
      <c r="T16" s="12" t="n">
        <v>155</v>
      </c>
      <c r="U16" s="12" t="n">
        <v>155</v>
      </c>
      <c r="V16" s="12" t="n">
        <v>29</v>
      </c>
    </row>
    <row r="17" customFormat="false" ht="15" hidden="false" customHeight="false" outlineLevel="0" collapsed="false">
      <c r="A17" s="30" t="n">
        <v>46271</v>
      </c>
      <c r="B17" s="31" t="s">
        <v>55</v>
      </c>
      <c r="C17" s="32"/>
      <c r="D17" s="33" t="n">
        <f aca="false">'RC Movement'!E94</f>
        <v>0</v>
      </c>
      <c r="E17" s="33" t="n">
        <f aca="false">SUM(J17:N17)</f>
        <v>0</v>
      </c>
      <c r="F17" s="34" t="n">
        <f aca="false">SUM(O17:V17)</f>
        <v>0</v>
      </c>
      <c r="G17" s="35" t="str">
        <f aca="false">IF(E17&gt;0,F17/E17,"")</f>
        <v/>
      </c>
      <c r="H17" s="33"/>
      <c r="I17" s="36"/>
      <c r="J17" s="33"/>
      <c r="K17" s="33"/>
      <c r="L17" s="33"/>
      <c r="M17" s="33"/>
      <c r="N17" s="33"/>
      <c r="O17" s="34"/>
      <c r="P17" s="34"/>
      <c r="Q17" s="34"/>
      <c r="R17" s="34"/>
      <c r="S17" s="34"/>
      <c r="T17" s="34"/>
      <c r="U17" s="34"/>
      <c r="V17" s="34"/>
    </row>
    <row r="18" customFormat="false" ht="15" hidden="false" customHeight="false" outlineLevel="0" collapsed="false">
      <c r="A18" s="26" t="n">
        <v>46272</v>
      </c>
      <c r="B18" s="27" t="s">
        <v>56</v>
      </c>
      <c r="C18" s="13" t="n">
        <v>44.8498</v>
      </c>
      <c r="D18" s="28" t="n">
        <f aca="false">'RC Movement'!E95</f>
        <v>34406</v>
      </c>
      <c r="E18" s="28" t="n">
        <f aca="false">SUM(J18:N18)</f>
        <v>27600</v>
      </c>
      <c r="F18" s="12" t="n">
        <f aca="false">SUM(O18:V18)</f>
        <v>5062.5</v>
      </c>
      <c r="G18" s="11" t="n">
        <f aca="false">IF(E18&gt;0,F18/E18,"")</f>
        <v>0.183423913043478</v>
      </c>
      <c r="H18" s="28" t="n">
        <v>1</v>
      </c>
      <c r="I18" s="29" t="n">
        <v>0.17</v>
      </c>
      <c r="J18" s="28" t="n">
        <v>16770</v>
      </c>
      <c r="K18" s="28" t="n">
        <v>10830</v>
      </c>
      <c r="L18" s="28"/>
      <c r="M18" s="28"/>
      <c r="N18" s="28"/>
      <c r="O18" s="12" t="n">
        <v>75</v>
      </c>
      <c r="P18" s="12" t="n">
        <v>0.5</v>
      </c>
      <c r="Q18" s="12" t="n">
        <v>2200</v>
      </c>
      <c r="R18" s="12" t="n">
        <v>1555</v>
      </c>
      <c r="S18" s="12" t="n">
        <v>872</v>
      </c>
      <c r="T18" s="12" t="n">
        <v>183</v>
      </c>
      <c r="U18" s="12" t="n">
        <v>150</v>
      </c>
      <c r="V18" s="12" t="n">
        <v>27</v>
      </c>
    </row>
    <row r="19" customFormat="false" ht="15" hidden="false" customHeight="false" outlineLevel="0" collapsed="false">
      <c r="A19" s="26" t="n">
        <v>46273</v>
      </c>
      <c r="B19" s="27" t="s">
        <v>50</v>
      </c>
      <c r="C19" s="13" t="n">
        <v>43.7697</v>
      </c>
      <c r="D19" s="28" t="n">
        <f aca="false">'RC Movement'!E96</f>
        <v>38399</v>
      </c>
      <c r="E19" s="28" t="n">
        <f aca="false">SUM(J19:N19)</f>
        <v>19838</v>
      </c>
      <c r="F19" s="12" t="n">
        <f aca="false">SUM(O19:V19)</f>
        <v>3291.5</v>
      </c>
      <c r="G19" s="11" t="n">
        <f aca="false">IF(E19&gt;0,F19/E19,"")</f>
        <v>0.165918943441879</v>
      </c>
      <c r="H19" s="28" t="n">
        <v>1</v>
      </c>
      <c r="I19" s="29" t="n">
        <v>2.73</v>
      </c>
      <c r="J19" s="28" t="n">
        <v>12428</v>
      </c>
      <c r="K19" s="28" t="n">
        <v>7410</v>
      </c>
      <c r="L19" s="28"/>
      <c r="M19" s="28"/>
      <c r="N19" s="28"/>
      <c r="O19" s="12" t="n">
        <v>55</v>
      </c>
      <c r="P19" s="12" t="n">
        <v>0.5</v>
      </c>
      <c r="Q19" s="12" t="n">
        <v>1100</v>
      </c>
      <c r="R19" s="12" t="n">
        <v>1100</v>
      </c>
      <c r="S19" s="12" t="n">
        <v>770</v>
      </c>
      <c r="T19" s="12" t="n">
        <v>140</v>
      </c>
      <c r="U19" s="12" t="n">
        <v>100</v>
      </c>
      <c r="V19" s="12" t="n">
        <v>26</v>
      </c>
    </row>
    <row r="20" customFormat="false" ht="15" hidden="false" customHeight="false" outlineLevel="0" collapsed="false">
      <c r="A20" s="26" t="n">
        <v>46274</v>
      </c>
      <c r="B20" s="27" t="s">
        <v>51</v>
      </c>
      <c r="C20" s="13" t="n">
        <v>44.4955</v>
      </c>
      <c r="D20" s="28" t="n">
        <f aca="false">'RC Movement'!E97</f>
        <v>34480</v>
      </c>
      <c r="E20" s="28" t="n">
        <f aca="false">SUM(J20:N20)</f>
        <v>27300</v>
      </c>
      <c r="F20" s="12" t="n">
        <f aca="false">SUM(O20:V20)</f>
        <v>3622.5</v>
      </c>
      <c r="G20" s="11" t="n">
        <f aca="false">IF(E20&gt;0,F20/E20,"")</f>
        <v>0.132692307692308</v>
      </c>
      <c r="H20" s="28" t="n">
        <v>1</v>
      </c>
      <c r="I20" s="29" t="n">
        <v>0.08</v>
      </c>
      <c r="J20" s="28" t="n">
        <v>12480</v>
      </c>
      <c r="K20" s="28"/>
      <c r="L20" s="28"/>
      <c r="M20" s="28" t="n">
        <v>14820</v>
      </c>
      <c r="N20" s="28"/>
      <c r="O20" s="12" t="n">
        <v>50</v>
      </c>
      <c r="P20" s="12" t="n">
        <v>0.5</v>
      </c>
      <c r="Q20" s="12" t="n">
        <v>1650</v>
      </c>
      <c r="R20" s="12" t="n">
        <v>1573</v>
      </c>
      <c r="S20" s="12" t="n">
        <v>50</v>
      </c>
      <c r="T20" s="12" t="n">
        <v>149</v>
      </c>
      <c r="U20" s="12" t="n">
        <v>120</v>
      </c>
      <c r="V20" s="12" t="n">
        <v>30</v>
      </c>
    </row>
    <row r="21" customFormat="false" ht="15" hidden="false" customHeight="false" outlineLevel="0" collapsed="false">
      <c r="A21" s="26" t="n">
        <v>46275</v>
      </c>
      <c r="B21" s="27" t="s">
        <v>52</v>
      </c>
      <c r="C21" s="13" t="n">
        <v>46.0887</v>
      </c>
      <c r="D21" s="28" t="n">
        <f aca="false">'RC Movement'!E98</f>
        <v>31487</v>
      </c>
      <c r="E21" s="28" t="n">
        <f aca="false">SUM(J21:N21)</f>
        <v>29480</v>
      </c>
      <c r="F21" s="12" t="n">
        <f aca="false">SUM(O21:V21)</f>
        <v>3537.5</v>
      </c>
      <c r="G21" s="11" t="n">
        <f aca="false">IF(E21&gt;0,F21/E21,"")</f>
        <v>0.119996607869742</v>
      </c>
      <c r="H21" s="28" t="n">
        <v>1</v>
      </c>
      <c r="I21" s="29" t="n">
        <v>0.08</v>
      </c>
      <c r="J21" s="28" t="n">
        <v>13520</v>
      </c>
      <c r="K21" s="28"/>
      <c r="L21" s="28"/>
      <c r="M21" s="28" t="n">
        <v>15960</v>
      </c>
      <c r="N21" s="28"/>
      <c r="O21" s="12" t="n">
        <v>75</v>
      </c>
      <c r="P21" s="12" t="n">
        <v>0.5</v>
      </c>
      <c r="Q21" s="12" t="n">
        <v>1650</v>
      </c>
      <c r="R21" s="12" t="n">
        <v>1481</v>
      </c>
      <c r="S21" s="12" t="n">
        <v>80</v>
      </c>
      <c r="T21" s="12" t="n">
        <v>98</v>
      </c>
      <c r="U21" s="12" t="n">
        <v>125</v>
      </c>
      <c r="V21" s="12" t="n">
        <v>28</v>
      </c>
    </row>
    <row r="22" customFormat="false" ht="15" hidden="false" customHeight="false" outlineLevel="0" collapsed="false">
      <c r="A22" s="26" t="n">
        <v>46276</v>
      </c>
      <c r="B22" s="27" t="s">
        <v>53</v>
      </c>
      <c r="C22" s="13" t="n">
        <v>42.4726</v>
      </c>
      <c r="D22" s="28" t="n">
        <f aca="false">'RC Movement'!E99</f>
        <v>35468</v>
      </c>
      <c r="E22" s="28" t="n">
        <f aca="false">SUM(J22:N22)</f>
        <v>24030</v>
      </c>
      <c r="F22" s="12" t="n">
        <f aca="false">SUM(O22:V22)</f>
        <v>4069.5</v>
      </c>
      <c r="G22" s="11" t="n">
        <f aca="false">IF(E22&gt;0,F22/E22,"")</f>
        <v>0.169350811485643</v>
      </c>
      <c r="H22" s="28" t="n">
        <v>1</v>
      </c>
      <c r="I22" s="29" t="n">
        <v>1.45</v>
      </c>
      <c r="J22" s="28" t="n">
        <v>18330</v>
      </c>
      <c r="K22" s="28"/>
      <c r="L22" s="28" t="n">
        <v>5700</v>
      </c>
      <c r="M22" s="28"/>
      <c r="N22" s="28"/>
      <c r="O22" s="12" t="n">
        <v>60</v>
      </c>
      <c r="P22" s="12" t="n">
        <v>0.5</v>
      </c>
      <c r="Q22" s="12" t="n">
        <v>1650</v>
      </c>
      <c r="R22" s="12" t="n">
        <v>1594</v>
      </c>
      <c r="S22" s="12" t="n">
        <v>526</v>
      </c>
      <c r="T22" s="12" t="n">
        <v>80</v>
      </c>
      <c r="U22" s="12" t="n">
        <v>130</v>
      </c>
      <c r="V22" s="12" t="n">
        <v>29</v>
      </c>
    </row>
    <row r="23" customFormat="false" ht="15" hidden="false" customHeight="false" outlineLevel="0" collapsed="false">
      <c r="A23" s="26" t="n">
        <v>46277</v>
      </c>
      <c r="B23" s="27" t="s">
        <v>54</v>
      </c>
      <c r="C23" s="13" t="n">
        <v>42.8893</v>
      </c>
      <c r="D23" s="28" t="n">
        <f aca="false">'RC Movement'!E100</f>
        <v>34155</v>
      </c>
      <c r="E23" s="28" t="n">
        <f aca="false">SUM(J23:N23)</f>
        <v>26412</v>
      </c>
      <c r="F23" s="12" t="n">
        <f aca="false">SUM(O23:V23)</f>
        <v>3221.5</v>
      </c>
      <c r="G23" s="11" t="n">
        <f aca="false">IF(E23&gt;0,F23/E23,"")</f>
        <v>0.121971073754354</v>
      </c>
      <c r="H23" s="28" t="n">
        <v>1</v>
      </c>
      <c r="I23" s="29" t="n">
        <v>0.42</v>
      </c>
      <c r="J23" s="28" t="n">
        <v>19812</v>
      </c>
      <c r="K23" s="28"/>
      <c r="L23" s="28" t="n">
        <v>6600</v>
      </c>
      <c r="M23" s="28"/>
      <c r="N23" s="28"/>
      <c r="O23" s="12" t="n">
        <v>75</v>
      </c>
      <c r="P23" s="12" t="n">
        <v>0.5</v>
      </c>
      <c r="Q23" s="12" t="n">
        <v>1100</v>
      </c>
      <c r="R23" s="12" t="n">
        <v>1100</v>
      </c>
      <c r="S23" s="12" t="n">
        <v>637</v>
      </c>
      <c r="T23" s="12" t="n">
        <v>129</v>
      </c>
      <c r="U23" s="12" t="n">
        <v>150</v>
      </c>
      <c r="V23" s="12" t="n">
        <v>30</v>
      </c>
    </row>
    <row r="24" customFormat="false" ht="15" hidden="false" customHeight="false" outlineLevel="0" collapsed="false">
      <c r="A24" s="30" t="n">
        <v>46278</v>
      </c>
      <c r="B24" s="31" t="s">
        <v>55</v>
      </c>
      <c r="C24" s="32"/>
      <c r="D24" s="33" t="n">
        <f aca="false">'RC Movement'!E101</f>
        <v>0</v>
      </c>
      <c r="E24" s="33" t="n">
        <f aca="false">SUM(J24:N24)</f>
        <v>0</v>
      </c>
      <c r="F24" s="34" t="n">
        <f aca="false">SUM(O24:V24)</f>
        <v>0</v>
      </c>
      <c r="G24" s="35" t="str">
        <f aca="false">IF(E24&gt;0,F24/E24,"")</f>
        <v/>
      </c>
      <c r="H24" s="33"/>
      <c r="I24" s="36"/>
      <c r="J24" s="33"/>
      <c r="K24" s="33"/>
      <c r="L24" s="33"/>
      <c r="M24" s="33"/>
      <c r="N24" s="33"/>
      <c r="O24" s="34"/>
      <c r="P24" s="34"/>
      <c r="Q24" s="34"/>
      <c r="R24" s="34"/>
      <c r="S24" s="34"/>
      <c r="T24" s="34"/>
      <c r="U24" s="34"/>
      <c r="V24" s="34"/>
    </row>
    <row r="25" customFormat="false" ht="15" hidden="false" customHeight="false" outlineLevel="0" collapsed="false">
      <c r="A25" s="26" t="n">
        <v>46279</v>
      </c>
      <c r="B25" s="27" t="s">
        <v>56</v>
      </c>
      <c r="C25" s="13" t="n">
        <v>43.9329</v>
      </c>
      <c r="D25" s="28" t="n">
        <f aca="false">'RC Movement'!E102</f>
        <v>36450</v>
      </c>
      <c r="E25" s="28" t="n">
        <f aca="false">SUM(J25:N25)</f>
        <v>26460</v>
      </c>
      <c r="F25" s="12" t="n">
        <f aca="false">SUM(O25:V25)</f>
        <v>4888.5</v>
      </c>
      <c r="G25" s="11" t="n">
        <f aca="false">IF(E25&gt;0,F25/E25,"")</f>
        <v>0.184750566893424</v>
      </c>
      <c r="H25" s="28" t="n">
        <v>1</v>
      </c>
      <c r="I25" s="29" t="n">
        <v>1.83</v>
      </c>
      <c r="J25" s="28" t="n">
        <v>20410</v>
      </c>
      <c r="K25" s="28"/>
      <c r="L25" s="28" t="n">
        <v>6050</v>
      </c>
      <c r="M25" s="28"/>
      <c r="N25" s="28"/>
      <c r="O25" s="12" t="n">
        <v>50</v>
      </c>
      <c r="P25" s="12" t="n">
        <v>0.5</v>
      </c>
      <c r="Q25" s="12" t="n">
        <v>2200</v>
      </c>
      <c r="R25" s="12" t="n">
        <v>1739</v>
      </c>
      <c r="S25" s="12" t="n">
        <v>582</v>
      </c>
      <c r="T25" s="12" t="n">
        <v>114</v>
      </c>
      <c r="U25" s="12" t="n">
        <v>175</v>
      </c>
      <c r="V25" s="12" t="n">
        <v>28</v>
      </c>
    </row>
    <row r="26" customFormat="false" ht="15" hidden="false" customHeight="false" outlineLevel="0" collapsed="false">
      <c r="A26" s="26" t="n">
        <v>46280</v>
      </c>
      <c r="B26" s="27" t="s">
        <v>50</v>
      </c>
      <c r="C26" s="13" t="n">
        <v>43.4503</v>
      </c>
      <c r="D26" s="28" t="n">
        <f aca="false">'RC Movement'!E103</f>
        <v>40041</v>
      </c>
      <c r="E26" s="28" t="n">
        <f aca="false">SUM(J26:N26)</f>
        <v>25480</v>
      </c>
      <c r="F26" s="12" t="n">
        <f aca="false">SUM(O26:V26)</f>
        <v>5452.5</v>
      </c>
      <c r="G26" s="11" t="n">
        <f aca="false">IF(E26&gt;0,F26/E26,"")</f>
        <v>0.21399136577708</v>
      </c>
      <c r="H26" s="28" t="n">
        <v>1</v>
      </c>
      <c r="I26" s="29" t="n">
        <v>0.53</v>
      </c>
      <c r="J26" s="28" t="n">
        <v>18330</v>
      </c>
      <c r="K26" s="28"/>
      <c r="L26" s="28" t="n">
        <v>7150</v>
      </c>
      <c r="M26" s="28"/>
      <c r="N26" s="28"/>
      <c r="O26" s="12" t="n">
        <v>75</v>
      </c>
      <c r="P26" s="12" t="n">
        <v>0.5</v>
      </c>
      <c r="Q26" s="12" t="n">
        <v>2200</v>
      </c>
      <c r="R26" s="12" t="n">
        <v>2218</v>
      </c>
      <c r="S26" s="12" t="n">
        <v>678</v>
      </c>
      <c r="T26" s="12" t="n">
        <v>126</v>
      </c>
      <c r="U26" s="12" t="n">
        <v>125</v>
      </c>
      <c r="V26" s="12" t="n">
        <v>30</v>
      </c>
    </row>
    <row r="27" customFormat="false" ht="15" hidden="false" customHeight="false" outlineLevel="0" collapsed="false">
      <c r="A27" s="26" t="n">
        <v>46281</v>
      </c>
      <c r="B27" s="27" t="s">
        <v>51</v>
      </c>
      <c r="C27" s="13" t="n">
        <v>42.7725</v>
      </c>
      <c r="D27" s="28" t="n">
        <f aca="false">'RC Movement'!E104</f>
        <v>35460</v>
      </c>
      <c r="E27" s="28" t="n">
        <f aca="false">SUM(J27:N27)</f>
        <v>27798</v>
      </c>
      <c r="F27" s="12" t="n">
        <f aca="false">SUM(O27:V27)</f>
        <v>4447.5</v>
      </c>
      <c r="G27" s="11" t="n">
        <f aca="false">IF(E27&gt;0,F27/E27,"")</f>
        <v>0.159993524714008</v>
      </c>
      <c r="H27" s="28" t="n">
        <v>1</v>
      </c>
      <c r="I27" s="29" t="n">
        <v>0.95</v>
      </c>
      <c r="J27" s="28" t="n">
        <v>20098</v>
      </c>
      <c r="K27" s="28"/>
      <c r="L27" s="28" t="n">
        <v>7700</v>
      </c>
      <c r="M27" s="28"/>
      <c r="N27" s="28"/>
      <c r="O27" s="12" t="n">
        <v>50</v>
      </c>
      <c r="P27" s="12" t="n">
        <v>0.5</v>
      </c>
      <c r="Q27" s="12" t="n">
        <v>1650</v>
      </c>
      <c r="R27" s="12" t="n">
        <v>1709</v>
      </c>
      <c r="S27" s="12" t="n">
        <v>786</v>
      </c>
      <c r="T27" s="12" t="n">
        <v>125</v>
      </c>
      <c r="U27" s="12" t="n">
        <v>100</v>
      </c>
      <c r="V27" s="12" t="n">
        <v>27</v>
      </c>
    </row>
    <row r="28" customFormat="false" ht="15" hidden="false" customHeight="false" outlineLevel="0" collapsed="false">
      <c r="A28" s="15" t="s">
        <v>17</v>
      </c>
      <c r="B28" s="37" t="s">
        <v>145</v>
      </c>
      <c r="C28" s="19" t="n">
        <f aca="false">SUMPRODUCT(C9:C27,D9:D27)/SUMIF(C9:C27,"&gt;0",D9:D27)</f>
        <v>43.0602680836915</v>
      </c>
      <c r="D28" s="38" t="n">
        <f aca="false">SUM(D9:D27)</f>
        <v>500744</v>
      </c>
      <c r="E28" s="38" t="n">
        <f aca="false">SUM(E9:E27)</f>
        <v>372822</v>
      </c>
      <c r="F28" s="18" t="n">
        <f aca="false">SUM(F9:F27)</f>
        <v>59283.5</v>
      </c>
      <c r="G28" s="17" t="n">
        <f aca="false">IF(E28&gt;0,F28/E28,"")</f>
        <v>0.159012880141193</v>
      </c>
      <c r="H28" s="38" t="n">
        <f aca="false">SUM(H9:H27)</f>
        <v>15</v>
      </c>
      <c r="I28" s="39" t="n">
        <f aca="false">SUM(I9:I27)</f>
        <v>12.33</v>
      </c>
      <c r="J28" s="38" t="n">
        <f aca="false">SUM(J9:J27)</f>
        <v>238732</v>
      </c>
      <c r="K28" s="38" t="n">
        <f aca="false">SUM(K9:K27)</f>
        <v>70110</v>
      </c>
      <c r="L28" s="38" t="n">
        <f aca="false">SUM(L9:L27)</f>
        <v>33200</v>
      </c>
      <c r="M28" s="38" t="n">
        <f aca="false">SUM(M9:M27)</f>
        <v>30780</v>
      </c>
      <c r="N28" s="38" t="n">
        <f aca="false">SUM(N9:N27)</f>
        <v>0</v>
      </c>
      <c r="O28" s="18" t="n">
        <f aca="false">SUM(O9:O27)</f>
        <v>970</v>
      </c>
      <c r="P28" s="18" t="n">
        <f aca="false">SUM(P9:P27)</f>
        <v>7.5</v>
      </c>
      <c r="Q28" s="18" t="n">
        <f aca="false">SUM(Q9:Q27)</f>
        <v>23650</v>
      </c>
      <c r="R28" s="18" t="n">
        <f aca="false">SUM(R9:R27)</f>
        <v>21676</v>
      </c>
      <c r="S28" s="18" t="n">
        <f aca="false">SUM(S9:S27)</f>
        <v>8486</v>
      </c>
      <c r="T28" s="18" t="n">
        <f aca="false">SUM(T9:T27)</f>
        <v>2145</v>
      </c>
      <c r="U28" s="18" t="n">
        <f aca="false">SUM(U9:U27)</f>
        <v>1930</v>
      </c>
      <c r="V28" s="18" t="n">
        <f aca="false">SUM(V9:V27)</f>
        <v>419</v>
      </c>
    </row>
    <row r="31" customFormat="false" ht="15" hidden="false" customHeight="false" outlineLevel="0" collapsed="false">
      <c r="A31" s="40" t="s">
        <v>58</v>
      </c>
      <c r="D31" s="41" t="s">
        <v>59</v>
      </c>
    </row>
    <row r="32" customFormat="false" ht="27.75" hidden="false" customHeight="true" outlineLevel="0" collapsed="false">
      <c r="A32" s="2" t="s">
        <v>60</v>
      </c>
      <c r="B32" s="2" t="s">
        <v>61</v>
      </c>
      <c r="C32" s="2" t="s">
        <v>62</v>
      </c>
      <c r="D32" s="2" t="s">
        <v>63</v>
      </c>
      <c r="E32" s="2" t="s">
        <v>64</v>
      </c>
      <c r="F32" s="3" t="s">
        <v>65</v>
      </c>
      <c r="G32" s="3" t="s">
        <v>66</v>
      </c>
      <c r="H32" s="5" t="s">
        <v>67</v>
      </c>
      <c r="I32" s="5" t="s">
        <v>68</v>
      </c>
      <c r="J32" s="7" t="s">
        <v>69</v>
      </c>
      <c r="K32" s="7" t="s">
        <v>70</v>
      </c>
      <c r="L32" s="7" t="s">
        <v>71</v>
      </c>
      <c r="M32" s="2" t="s">
        <v>72</v>
      </c>
    </row>
    <row r="33" customFormat="false" ht="15" hidden="false" customHeight="false" outlineLevel="0" collapsed="false">
      <c r="A33" s="27" t="s">
        <v>135</v>
      </c>
      <c r="B33" s="27" t="s">
        <v>136</v>
      </c>
      <c r="C33" s="26" t="n">
        <v>46258</v>
      </c>
      <c r="D33" s="26" t="n">
        <v>46263</v>
      </c>
      <c r="E33" s="27" t="s">
        <v>75</v>
      </c>
      <c r="F33" s="28" t="n">
        <f aca="false">'RC Movement'!F105</f>
        <v>6119</v>
      </c>
      <c r="G33" s="28" t="n">
        <v>41765</v>
      </c>
      <c r="H33" s="28" t="n">
        <v>328</v>
      </c>
      <c r="I33" s="11" t="n">
        <f aca="false">IF(AND(E33="CLOSED",G33&gt;0),H33/G33,"")</f>
        <v>0.00785346582066323</v>
      </c>
      <c r="J33" s="13" t="n">
        <v>39.5</v>
      </c>
      <c r="K33" s="13" t="n">
        <v>39.8127</v>
      </c>
      <c r="L33" s="13" t="n">
        <f aca="false">IF(K33="","",K33-J33)</f>
        <v>0.3127</v>
      </c>
      <c r="M33" s="42" t="s">
        <v>76</v>
      </c>
    </row>
    <row r="34" customFormat="false" ht="15" hidden="false" customHeight="false" outlineLevel="0" collapsed="false">
      <c r="A34" s="27" t="s">
        <v>139</v>
      </c>
      <c r="B34" s="27" t="s">
        <v>140</v>
      </c>
      <c r="C34" s="26" t="n">
        <v>46259</v>
      </c>
      <c r="D34" s="26" t="n">
        <v>46275</v>
      </c>
      <c r="E34" s="27" t="s">
        <v>75</v>
      </c>
      <c r="F34" s="28" t="n">
        <f aca="false">'RC Movement'!G105</f>
        <v>52007</v>
      </c>
      <c r="G34" s="28" t="n">
        <v>74612</v>
      </c>
      <c r="H34" s="28" t="n">
        <v>727</v>
      </c>
      <c r="I34" s="11" t="n">
        <f aca="false">IF(AND(E34="CLOSED",G34&gt;0),H34/G34,"")</f>
        <v>0.00974374095319788</v>
      </c>
      <c r="J34" s="13" t="n">
        <v>39.5013</v>
      </c>
      <c r="K34" s="13" t="n">
        <v>39.89</v>
      </c>
      <c r="L34" s="13" t="n">
        <f aca="false">IF(K34="","",K34-J34)</f>
        <v>0.3887</v>
      </c>
      <c r="M34" s="42" t="s">
        <v>76</v>
      </c>
    </row>
    <row r="35" customFormat="false" ht="15" hidden="false" customHeight="false" outlineLevel="0" collapsed="false">
      <c r="A35" s="27" t="s">
        <v>141</v>
      </c>
      <c r="B35" s="27" t="s">
        <v>142</v>
      </c>
      <c r="C35" s="26" t="n">
        <v>46259</v>
      </c>
      <c r="D35" s="26" t="n">
        <v>46268</v>
      </c>
      <c r="E35" s="27" t="s">
        <v>75</v>
      </c>
      <c r="F35" s="28" t="n">
        <f aca="false">'RC Movement'!H105</f>
        <v>31233</v>
      </c>
      <c r="G35" s="28" t="n">
        <v>64640</v>
      </c>
      <c r="H35" s="28" t="n">
        <v>1411</v>
      </c>
      <c r="I35" s="11" t="n">
        <f aca="false">IF(AND(E35="CLOSED",G35&gt;0),H35/G35,"")</f>
        <v>0.0218285891089109</v>
      </c>
      <c r="J35" s="13" t="n">
        <v>44.6269</v>
      </c>
      <c r="K35" s="13" t="n">
        <v>45.6228</v>
      </c>
      <c r="L35" s="13" t="n">
        <f aca="false">IF(K35="","",K35-J35)</f>
        <v>0.995899999999999</v>
      </c>
      <c r="M35" s="42" t="s">
        <v>76</v>
      </c>
    </row>
    <row r="36" customFormat="false" ht="15" hidden="false" customHeight="false" outlineLevel="0" collapsed="false">
      <c r="A36" s="27" t="s">
        <v>146</v>
      </c>
      <c r="B36" s="27" t="s">
        <v>82</v>
      </c>
      <c r="C36" s="26" t="n">
        <v>46266</v>
      </c>
      <c r="D36" s="26" t="n">
        <v>46270</v>
      </c>
      <c r="E36" s="27" t="s">
        <v>75</v>
      </c>
      <c r="F36" s="28" t="n">
        <f aca="false">'RC Movement'!I105</f>
        <v>54490</v>
      </c>
      <c r="G36" s="28" t="n">
        <v>55060</v>
      </c>
      <c r="H36" s="28" t="n">
        <v>570</v>
      </c>
      <c r="I36" s="11" t="n">
        <f aca="false">IF(AND(E36="CLOSED",G36&gt;0),H36/G36,"")</f>
        <v>0.010352342898656</v>
      </c>
      <c r="J36" s="13" t="n">
        <v>39.5</v>
      </c>
      <c r="K36" s="13" t="n">
        <v>39.9132</v>
      </c>
      <c r="L36" s="13" t="n">
        <f aca="false">IF(K36="","",K36-J36)</f>
        <v>0.413200000000003</v>
      </c>
      <c r="M36" s="42" t="s">
        <v>76</v>
      </c>
    </row>
    <row r="37" customFormat="false" ht="15" hidden="false" customHeight="false" outlineLevel="0" collapsed="false">
      <c r="A37" s="27" t="s">
        <v>147</v>
      </c>
      <c r="B37" s="27" t="s">
        <v>86</v>
      </c>
      <c r="C37" s="26" t="n">
        <v>46267</v>
      </c>
      <c r="D37" s="26" t="n">
        <v>46269</v>
      </c>
      <c r="E37" s="27" t="s">
        <v>75</v>
      </c>
      <c r="F37" s="28" t="n">
        <f aca="false">'RC Movement'!J105</f>
        <v>19385</v>
      </c>
      <c r="G37" s="28" t="n">
        <v>19385</v>
      </c>
      <c r="H37" s="28" t="n">
        <v>0</v>
      </c>
      <c r="I37" s="11" t="n">
        <f aca="false">IF(AND(E37="CLOSED",G37&gt;0),H37/G37,"")</f>
        <v>0</v>
      </c>
      <c r="J37" s="13" t="n">
        <v>39</v>
      </c>
      <c r="K37" s="13" t="n">
        <v>39</v>
      </c>
      <c r="L37" s="13" t="n">
        <f aca="false">IF(K37="","",K37-J37)</f>
        <v>0</v>
      </c>
      <c r="M37" s="42" t="s">
        <v>76</v>
      </c>
    </row>
    <row r="38" customFormat="false" ht="15" hidden="false" customHeight="false" outlineLevel="0" collapsed="false">
      <c r="A38" s="27" t="s">
        <v>148</v>
      </c>
      <c r="B38" s="27" t="s">
        <v>149</v>
      </c>
      <c r="C38" s="26" t="n">
        <v>46268</v>
      </c>
      <c r="D38" s="26" t="n">
        <v>46273</v>
      </c>
      <c r="E38" s="27" t="s">
        <v>75</v>
      </c>
      <c r="F38" s="28" t="n">
        <f aca="false">'RC Movement'!K105</f>
        <v>55330</v>
      </c>
      <c r="G38" s="28" t="n">
        <v>58195</v>
      </c>
      <c r="H38" s="28" t="n">
        <v>2865</v>
      </c>
      <c r="I38" s="11" t="n">
        <f aca="false">IF(AND(E38="CLOSED",G38&gt;0),H38/G38,"")</f>
        <v>0.0492310335939514</v>
      </c>
      <c r="J38" s="13" t="n">
        <v>45.5432</v>
      </c>
      <c r="K38" s="13" t="n">
        <v>47.9015</v>
      </c>
      <c r="L38" s="13" t="n">
        <f aca="false">IF(K38="","",K38-J38)</f>
        <v>2.3583</v>
      </c>
      <c r="M38" s="42" t="s">
        <v>76</v>
      </c>
    </row>
    <row r="39" customFormat="false" ht="15" hidden="false" customHeight="false" outlineLevel="0" collapsed="false">
      <c r="A39" s="27" t="s">
        <v>150</v>
      </c>
      <c r="B39" s="27" t="s">
        <v>151</v>
      </c>
      <c r="C39" s="26" t="n">
        <v>46270</v>
      </c>
      <c r="D39" s="26" t="n">
        <v>46275</v>
      </c>
      <c r="E39" s="27" t="s">
        <v>75</v>
      </c>
      <c r="F39" s="28" t="n">
        <f aca="false">'RC Movement'!L105</f>
        <v>52148</v>
      </c>
      <c r="G39" s="28" t="n">
        <v>53705</v>
      </c>
      <c r="H39" s="28" t="n">
        <v>1557</v>
      </c>
      <c r="I39" s="11" t="n">
        <f aca="false">IF(AND(E39="CLOSED",G39&gt;0),H39/G39,"")</f>
        <v>0.0289917139931105</v>
      </c>
      <c r="J39" s="13" t="n">
        <v>48.6076</v>
      </c>
      <c r="K39" s="13" t="n">
        <v>50.0589</v>
      </c>
      <c r="L39" s="13" t="n">
        <f aca="false">IF(K39="","",K39-J39)</f>
        <v>1.4513</v>
      </c>
      <c r="M39" s="42" t="s">
        <v>76</v>
      </c>
    </row>
    <row r="40" customFormat="false" ht="15" hidden="false" customHeight="false" outlineLevel="0" collapsed="false">
      <c r="A40" s="27" t="s">
        <v>152</v>
      </c>
      <c r="B40" s="27" t="s">
        <v>86</v>
      </c>
      <c r="C40" s="26" t="n">
        <v>46272</v>
      </c>
      <c r="D40" s="26" t="n">
        <v>46274</v>
      </c>
      <c r="E40" s="27" t="s">
        <v>75</v>
      </c>
      <c r="F40" s="28" t="n">
        <f aca="false">'RC Movement'!M105</f>
        <v>19170</v>
      </c>
      <c r="G40" s="28" t="n">
        <v>19170</v>
      </c>
      <c r="H40" s="28" t="n">
        <v>0</v>
      </c>
      <c r="I40" s="11" t="n">
        <f aca="false">IF(AND(E40="CLOSED",G40&gt;0),H40/G40,"")</f>
        <v>0</v>
      </c>
      <c r="J40" s="13" t="n">
        <v>39</v>
      </c>
      <c r="K40" s="13" t="n">
        <v>39</v>
      </c>
      <c r="L40" s="13" t="n">
        <f aca="false">IF(K40="","",K40-J40)</f>
        <v>0</v>
      </c>
      <c r="M40" s="42" t="s">
        <v>76</v>
      </c>
    </row>
    <row r="41" customFormat="false" ht="15" hidden="false" customHeight="false" outlineLevel="0" collapsed="false">
      <c r="A41" s="27" t="s">
        <v>153</v>
      </c>
      <c r="B41" s="27" t="s">
        <v>154</v>
      </c>
      <c r="C41" s="26" t="n">
        <v>46274</v>
      </c>
      <c r="D41" s="26" t="n">
        <v>46279</v>
      </c>
      <c r="E41" s="27" t="s">
        <v>75</v>
      </c>
      <c r="F41" s="28" t="n">
        <f aca="false">'RC Movement'!N105</f>
        <v>53395</v>
      </c>
      <c r="G41" s="28" t="n">
        <v>55525</v>
      </c>
      <c r="H41" s="28" t="n">
        <v>2130</v>
      </c>
      <c r="I41" s="11" t="n">
        <f aca="false">IF(AND(E41="CLOSED",G41&gt;0),H41/G41,"")</f>
        <v>0.0383610986042323</v>
      </c>
      <c r="J41" s="13" t="n">
        <v>45.5664</v>
      </c>
      <c r="K41" s="13" t="n">
        <v>47.3841</v>
      </c>
      <c r="L41" s="13" t="n">
        <f aca="false">IF(K41="","",K41-J41)</f>
        <v>1.8177</v>
      </c>
      <c r="M41" s="42" t="s">
        <v>76</v>
      </c>
    </row>
    <row r="42" customFormat="false" ht="15" hidden="false" customHeight="false" outlineLevel="0" collapsed="false">
      <c r="A42" s="31" t="s">
        <v>155</v>
      </c>
      <c r="B42" s="31" t="s">
        <v>156</v>
      </c>
      <c r="C42" s="30" t="n">
        <v>46275</v>
      </c>
      <c r="D42" s="30"/>
      <c r="E42" s="31" t="s">
        <v>157</v>
      </c>
      <c r="F42" s="33" t="n">
        <f aca="false">'RC Movement'!O105</f>
        <v>34175</v>
      </c>
      <c r="G42" s="33" t="n">
        <v>52860</v>
      </c>
      <c r="H42" s="33"/>
      <c r="I42" s="35" t="str">
        <f aca="false">IF(AND(E42="CLOSED",G42&gt;0),H42/G42,"")</f>
        <v/>
      </c>
      <c r="J42" s="32" t="n">
        <v>48.8077</v>
      </c>
      <c r="K42" s="32"/>
      <c r="L42" s="32" t="str">
        <f aca="false">IF(K42="","",K42-J42)</f>
        <v/>
      </c>
      <c r="M42" s="45" t="s">
        <v>158</v>
      </c>
    </row>
    <row r="43" customFormat="false" ht="15" hidden="false" customHeight="false" outlineLevel="0" collapsed="false">
      <c r="A43" s="27" t="s">
        <v>159</v>
      </c>
      <c r="B43" s="27" t="s">
        <v>86</v>
      </c>
      <c r="C43" s="26" t="n">
        <v>46275</v>
      </c>
      <c r="D43" s="26" t="n">
        <v>46277</v>
      </c>
      <c r="E43" s="27" t="s">
        <v>75</v>
      </c>
      <c r="F43" s="28" t="n">
        <f aca="false">'RC Movement'!P105</f>
        <v>19510</v>
      </c>
      <c r="G43" s="28" t="n">
        <v>19510</v>
      </c>
      <c r="H43" s="28" t="n">
        <v>0</v>
      </c>
      <c r="I43" s="11" t="n">
        <f aca="false">IF(AND(E43="CLOSED",G43&gt;0),H43/G43,"")</f>
        <v>0</v>
      </c>
      <c r="J43" s="13" t="n">
        <v>39</v>
      </c>
      <c r="K43" s="13" t="n">
        <v>39</v>
      </c>
      <c r="L43" s="13" t="n">
        <f aca="false">IF(K43="","",K43-J43)</f>
        <v>0</v>
      </c>
      <c r="M43" s="42" t="s">
        <v>76</v>
      </c>
    </row>
    <row r="44" customFormat="false" ht="15" hidden="false" customHeight="false" outlineLevel="0" collapsed="false">
      <c r="A44" s="31" t="s">
        <v>160</v>
      </c>
      <c r="B44" s="31" t="s">
        <v>161</v>
      </c>
      <c r="C44" s="30" t="n">
        <v>46276</v>
      </c>
      <c r="D44" s="30"/>
      <c r="E44" s="31" t="s">
        <v>157</v>
      </c>
      <c r="F44" s="33" t="n">
        <f aca="false">'RC Movement'!Q105</f>
        <v>61713</v>
      </c>
      <c r="G44" s="33" t="n">
        <v>75577</v>
      </c>
      <c r="H44" s="33"/>
      <c r="I44" s="35" t="str">
        <f aca="false">IF(AND(E44="CLOSED",G44&gt;0),H44/G44,"")</f>
        <v/>
      </c>
      <c r="J44" s="32" t="n">
        <v>39.9167</v>
      </c>
      <c r="K44" s="32"/>
      <c r="L44" s="32" t="str">
        <f aca="false">IF(K44="","",K44-J44)</f>
        <v/>
      </c>
      <c r="M44" s="45" t="s">
        <v>158</v>
      </c>
    </row>
    <row r="45" customFormat="false" ht="15" hidden="false" customHeight="false" outlineLevel="0" collapsed="false">
      <c r="A45" s="31" t="s">
        <v>162</v>
      </c>
      <c r="B45" s="31" t="s">
        <v>163</v>
      </c>
      <c r="C45" s="30" t="n">
        <v>46279</v>
      </c>
      <c r="D45" s="30"/>
      <c r="E45" s="31" t="s">
        <v>157</v>
      </c>
      <c r="F45" s="33" t="n">
        <f aca="false">'RC Movement'!R105</f>
        <v>34019</v>
      </c>
      <c r="G45" s="33" t="n">
        <v>53675</v>
      </c>
      <c r="H45" s="33"/>
      <c r="I45" s="35" t="str">
        <f aca="false">IF(AND(E45="CLOSED",G45&gt;0),H45/G45,"")</f>
        <v/>
      </c>
      <c r="J45" s="32" t="n">
        <v>44.75</v>
      </c>
      <c r="K45" s="32"/>
      <c r="L45" s="32" t="str">
        <f aca="false">IF(K45="","",K45-J45)</f>
        <v/>
      </c>
      <c r="M45" s="45" t="s">
        <v>158</v>
      </c>
    </row>
    <row r="46" customFormat="false" ht="15" hidden="false" customHeight="false" outlineLevel="0" collapsed="false">
      <c r="A46" s="31" t="s">
        <v>164</v>
      </c>
      <c r="B46" s="31" t="s">
        <v>86</v>
      </c>
      <c r="C46" s="30" t="n">
        <v>46280</v>
      </c>
      <c r="D46" s="30"/>
      <c r="E46" s="31" t="s">
        <v>157</v>
      </c>
      <c r="F46" s="33" t="n">
        <f aca="false">'RC Movement'!S105</f>
        <v>8050</v>
      </c>
      <c r="G46" s="33" t="n">
        <v>18050</v>
      </c>
      <c r="H46" s="33"/>
      <c r="I46" s="35" t="str">
        <f aca="false">IF(AND(E46="CLOSED",G46&gt;0),H46/G46,"")</f>
        <v/>
      </c>
      <c r="J46" s="32" t="n">
        <v>39</v>
      </c>
      <c r="K46" s="32"/>
      <c r="L46" s="32" t="str">
        <f aca="false">IF(K46="","",K46-J46)</f>
        <v/>
      </c>
      <c r="M46" s="45" t="s">
        <v>158</v>
      </c>
    </row>
    <row r="47" customFormat="false" ht="15" hidden="false" customHeight="false" outlineLevel="0" collapsed="false">
      <c r="A47" s="15" t="s">
        <v>165</v>
      </c>
      <c r="B47" s="43" t="str">
        <f aca="false">COUNTIF(E33:E46,"CLOSED")&amp;" closed · "&amp;COUNTIF(E33:E46,"OPEN")&amp;" open · "&amp;COUNTIF(M33:M46,"Y")&amp;" in price set"</f>
        <v>10 closed · 4 open · 10 in price set</v>
      </c>
      <c r="C47" s="43"/>
      <c r="D47" s="43"/>
      <c r="E47" s="43"/>
      <c r="F47" s="38" t="n">
        <f aca="false">SUM(F33:F46)</f>
        <v>500744</v>
      </c>
      <c r="G47" s="38" t="n">
        <f aca="false">SUM(G33:G46)</f>
        <v>661729</v>
      </c>
      <c r="H47" s="38" t="n">
        <f aca="false">SUM(H33:H46)</f>
        <v>9588</v>
      </c>
      <c r="I47" s="17" t="n">
        <f aca="false">SUMIF(E33:E46,"CLOSED",H33:H46)/SUMIF(E33:E46,"CLOSED",G33:G46)</f>
        <v>0.0207727155537549</v>
      </c>
      <c r="J47" s="19" t="n">
        <f aca="false">SUMPRODUCT((M33:M46="Y")*F33:F46*J33:J46)/SUMPRODUCT((M33:M46="Y")*F33:F46)</f>
        <v>42.985219662226</v>
      </c>
      <c r="K47" s="19" t="n">
        <f aca="false">SUMPRODUCT((M33:M46="Y")*F33:F46*K33:K46)/SUMPRODUCT((M33:M46="Y")*F33:F46)</f>
        <v>44.0298325281777</v>
      </c>
      <c r="L47" s="19" t="n">
        <f aca="false">SUMPRODUCT((M33:M46="Y")*J33:J46*G33:G46)/SUMPRODUCT((M33:M46="Y")*(G33:G46-H33:H46))-SUMPRODUCT((M33:M46="Y")*J33:J46*G33:G46)/SUMPRODUCT((M33:M46="Y")*G33:G46)</f>
        <v>0.905953468020798</v>
      </c>
      <c r="M47" s="44"/>
    </row>
  </sheetData>
  <mergeCells count="6">
    <mergeCell ref="A7:B7"/>
    <mergeCell ref="F7:G7"/>
    <mergeCell ref="H7:I7"/>
    <mergeCell ref="J7:N7"/>
    <mergeCell ref="O7:V7"/>
    <mergeCell ref="B47:E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5" min="5" style="0" width="13"/>
    <col collapsed="false" customWidth="true" hidden="false" outlineLevel="0" max="25" min="6" style="0" width="15"/>
  </cols>
  <sheetData>
    <row r="1" customFormat="false" ht="17.35" hidden="false" customHeight="false" outlineLevel="0" collapsed="false">
      <c r="A1" s="1" t="s">
        <v>166</v>
      </c>
    </row>
    <row r="3" customFormat="false" ht="15" hidden="false" customHeight="false" outlineLevel="0" collapsed="false">
      <c r="A3" s="40" t="s">
        <v>167</v>
      </c>
    </row>
    <row r="4" customFormat="false" ht="15" hidden="false" customHeight="true" outlineLevel="0" collapsed="false">
      <c r="A4" s="2" t="s">
        <v>168</v>
      </c>
      <c r="B4" s="2" t="s">
        <v>30</v>
      </c>
      <c r="C4" s="2" t="s">
        <v>22</v>
      </c>
      <c r="D4" s="7" t="s">
        <v>169</v>
      </c>
      <c r="E4" s="3" t="s">
        <v>170</v>
      </c>
      <c r="F4" s="3" t="s">
        <v>73</v>
      </c>
      <c r="G4" s="3" t="s">
        <v>77</v>
      </c>
      <c r="H4" s="3" t="s">
        <v>79</v>
      </c>
      <c r="I4" s="3" t="s">
        <v>81</v>
      </c>
      <c r="J4" s="3" t="s">
        <v>83</v>
      </c>
      <c r="K4" s="3" t="s">
        <v>85</v>
      </c>
      <c r="L4" s="3" t="s">
        <v>87</v>
      </c>
      <c r="M4" s="3" t="s">
        <v>89</v>
      </c>
      <c r="N4" s="3" t="s">
        <v>91</v>
      </c>
      <c r="O4" s="3" t="s">
        <v>93</v>
      </c>
      <c r="P4" s="3" t="s">
        <v>95</v>
      </c>
      <c r="Q4" s="3" t="s">
        <v>97</v>
      </c>
      <c r="R4" s="3" t="s">
        <v>99</v>
      </c>
      <c r="S4" s="3" t="s">
        <v>101</v>
      </c>
      <c r="T4" s="3" t="s">
        <v>102</v>
      </c>
      <c r="U4" s="3" t="s">
        <v>104</v>
      </c>
      <c r="V4" s="3" t="s">
        <v>106</v>
      </c>
      <c r="W4" s="3" t="s">
        <v>108</v>
      </c>
      <c r="X4" s="3" t="s">
        <v>110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46" t="s">
        <v>74</v>
      </c>
      <c r="G5" s="46" t="s">
        <v>78</v>
      </c>
      <c r="H5" s="46" t="s">
        <v>80</v>
      </c>
      <c r="I5" s="46" t="s">
        <v>82</v>
      </c>
      <c r="J5" s="46" t="s">
        <v>84</v>
      </c>
      <c r="K5" s="46" t="s">
        <v>86</v>
      </c>
      <c r="L5" s="46" t="s">
        <v>88</v>
      </c>
      <c r="M5" s="46" t="s">
        <v>90</v>
      </c>
      <c r="N5" s="46" t="s">
        <v>92</v>
      </c>
      <c r="O5" s="46" t="s">
        <v>94</v>
      </c>
      <c r="P5" s="46" t="s">
        <v>96</v>
      </c>
      <c r="Q5" s="46" t="s">
        <v>98</v>
      </c>
      <c r="R5" s="46" t="s">
        <v>100</v>
      </c>
      <c r="S5" s="46" t="s">
        <v>86</v>
      </c>
      <c r="T5" s="46" t="s">
        <v>103</v>
      </c>
      <c r="U5" s="46" t="s">
        <v>105</v>
      </c>
      <c r="V5" s="46" t="s">
        <v>107</v>
      </c>
      <c r="W5" s="46" t="s">
        <v>109</v>
      </c>
      <c r="X5" s="46" t="s">
        <v>111</v>
      </c>
    </row>
    <row r="6" customFormat="false" ht="15" hidden="false" customHeight="false" outlineLevel="0" collapsed="false">
      <c r="A6" s="47" t="n">
        <v>1</v>
      </c>
      <c r="B6" s="26" t="n">
        <v>46203</v>
      </c>
      <c r="C6" s="27" t="s">
        <v>50</v>
      </c>
      <c r="D6" s="13" t="n">
        <v>44.0221</v>
      </c>
      <c r="E6" s="48" t="n">
        <f aca="false">SUM(F6:X6)</f>
        <v>18963</v>
      </c>
      <c r="F6" s="28" t="n">
        <v>2507</v>
      </c>
      <c r="G6" s="28" t="n">
        <v>11384</v>
      </c>
      <c r="H6" s="28" t="n">
        <v>1203</v>
      </c>
      <c r="I6" s="28" t="n">
        <v>1414</v>
      </c>
      <c r="J6" s="28" t="n">
        <v>2455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</row>
    <row r="7" customFormat="false" ht="15" hidden="false" customHeight="false" outlineLevel="0" collapsed="false">
      <c r="A7" s="47" t="n">
        <v>2</v>
      </c>
      <c r="B7" s="26" t="n">
        <v>46204</v>
      </c>
      <c r="C7" s="27" t="s">
        <v>51</v>
      </c>
      <c r="D7" s="13" t="n">
        <v>42.7426</v>
      </c>
      <c r="E7" s="48" t="n">
        <f aca="false">SUM(F7:X7)</f>
        <v>36226</v>
      </c>
      <c r="F7" s="28" t="n">
        <v>5658</v>
      </c>
      <c r="G7" s="28" t="n">
        <v>12473</v>
      </c>
      <c r="H7" s="28" t="n">
        <v>2576</v>
      </c>
      <c r="I7" s="28"/>
      <c r="J7" s="28" t="n">
        <v>5519</v>
      </c>
      <c r="K7" s="28" t="n">
        <v>10000</v>
      </c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</row>
    <row r="8" customFormat="false" ht="15" hidden="false" customHeight="false" outlineLevel="0" collapsed="false">
      <c r="A8" s="47" t="n">
        <v>3</v>
      </c>
      <c r="B8" s="26" t="n">
        <v>46205</v>
      </c>
      <c r="C8" s="27" t="s">
        <v>52</v>
      </c>
      <c r="D8" s="13" t="n">
        <v>43.3234</v>
      </c>
      <c r="E8" s="48" t="n">
        <f aca="false">SUM(F8:X8)</f>
        <v>30992</v>
      </c>
      <c r="F8" s="28" t="n">
        <v>5430</v>
      </c>
      <c r="G8" s="28" t="n">
        <v>11831</v>
      </c>
      <c r="H8" s="28" t="n">
        <v>2754</v>
      </c>
      <c r="I8" s="28"/>
      <c r="J8" s="28" t="n">
        <v>4977</v>
      </c>
      <c r="K8" s="28" t="n">
        <v>6000</v>
      </c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</row>
    <row r="9" customFormat="false" ht="15" hidden="false" customHeight="false" outlineLevel="0" collapsed="false">
      <c r="A9" s="47" t="n">
        <v>4</v>
      </c>
      <c r="B9" s="26" t="n">
        <v>46206</v>
      </c>
      <c r="C9" s="27" t="s">
        <v>53</v>
      </c>
      <c r="D9" s="13" t="n">
        <v>44.246</v>
      </c>
      <c r="E9" s="48" t="n">
        <f aca="false">SUM(F9:X9)</f>
        <v>33040</v>
      </c>
      <c r="F9" s="28" t="n">
        <v>7142</v>
      </c>
      <c r="G9" s="28" t="n">
        <v>11686</v>
      </c>
      <c r="H9" s="28" t="n">
        <v>3784</v>
      </c>
      <c r="I9" s="28"/>
      <c r="J9" s="28" t="n">
        <v>7003</v>
      </c>
      <c r="K9" s="28" t="n">
        <v>3425</v>
      </c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</row>
    <row r="10" customFormat="false" ht="15" hidden="false" customHeight="false" outlineLevel="0" collapsed="false">
      <c r="A10" s="47" t="n">
        <v>5</v>
      </c>
      <c r="B10" s="26" t="n">
        <v>46207</v>
      </c>
      <c r="C10" s="27" t="s">
        <v>54</v>
      </c>
      <c r="D10" s="13" t="n">
        <v>44.6338</v>
      </c>
      <c r="E10" s="48" t="n">
        <f aca="false">SUM(F10:X10)</f>
        <v>35066</v>
      </c>
      <c r="F10" s="28" t="n">
        <v>6629</v>
      </c>
      <c r="G10" s="28" t="n">
        <v>11694</v>
      </c>
      <c r="H10" s="28" t="n">
        <v>3541</v>
      </c>
      <c r="I10" s="28"/>
      <c r="J10" s="28" t="n">
        <v>7119</v>
      </c>
      <c r="K10" s="28"/>
      <c r="L10" s="28" t="n">
        <v>6083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</row>
    <row r="11" customFormat="false" ht="15" hidden="false" customHeight="false" outlineLevel="0" collapsed="false">
      <c r="A11" s="49" t="n">
        <v>6</v>
      </c>
      <c r="B11" s="30" t="n">
        <v>46208</v>
      </c>
      <c r="C11" s="31" t="s">
        <v>55</v>
      </c>
      <c r="D11" s="32"/>
      <c r="E11" s="50" t="n">
        <f aca="false">SUM(F11:X11)</f>
        <v>0</v>
      </c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</row>
    <row r="12" customFormat="false" ht="15" hidden="false" customHeight="false" outlineLevel="0" collapsed="false">
      <c r="A12" s="47" t="n">
        <v>7</v>
      </c>
      <c r="B12" s="26" t="n">
        <v>46209</v>
      </c>
      <c r="C12" s="27" t="s">
        <v>56</v>
      </c>
      <c r="D12" s="13" t="n">
        <v>45.2625</v>
      </c>
      <c r="E12" s="48" t="n">
        <f aca="false">SUM(F12:X12)</f>
        <v>33892</v>
      </c>
      <c r="F12" s="28" t="n">
        <v>6834</v>
      </c>
      <c r="G12" s="28"/>
      <c r="H12" s="28" t="n">
        <v>3690</v>
      </c>
      <c r="I12" s="28"/>
      <c r="J12" s="28" t="n">
        <v>6792</v>
      </c>
      <c r="K12" s="28"/>
      <c r="L12" s="28" t="n">
        <v>16576</v>
      </c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</row>
    <row r="13" customFormat="false" ht="15" hidden="false" customHeight="false" outlineLevel="0" collapsed="false">
      <c r="A13" s="47" t="n">
        <v>8</v>
      </c>
      <c r="B13" s="26" t="n">
        <v>46210</v>
      </c>
      <c r="C13" s="27" t="s">
        <v>50</v>
      </c>
      <c r="D13" s="13" t="n">
        <v>45.4369</v>
      </c>
      <c r="E13" s="48" t="n">
        <f aca="false">SUM(F13:X13)</f>
        <v>32944</v>
      </c>
      <c r="F13" s="28" t="n">
        <v>7658</v>
      </c>
      <c r="G13" s="28"/>
      <c r="H13" s="28" t="n">
        <v>3650</v>
      </c>
      <c r="I13" s="28"/>
      <c r="J13" s="28" t="n">
        <v>6501</v>
      </c>
      <c r="K13" s="28"/>
      <c r="L13" s="28" t="n">
        <v>15135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</row>
    <row r="14" customFormat="false" ht="15" hidden="false" customHeight="false" outlineLevel="0" collapsed="false">
      <c r="A14" s="47" t="n">
        <v>9</v>
      </c>
      <c r="B14" s="26" t="n">
        <v>46211</v>
      </c>
      <c r="C14" s="27" t="s">
        <v>51</v>
      </c>
      <c r="D14" s="13" t="n">
        <v>44.6154</v>
      </c>
      <c r="E14" s="48" t="n">
        <f aca="false">SUM(F14:X14)</f>
        <v>36171</v>
      </c>
      <c r="F14" s="28" t="n">
        <v>7463</v>
      </c>
      <c r="G14" s="28"/>
      <c r="H14" s="28" t="n">
        <v>3598</v>
      </c>
      <c r="I14" s="28"/>
      <c r="J14" s="28" t="n">
        <v>6824</v>
      </c>
      <c r="K14" s="28"/>
      <c r="L14" s="28" t="n">
        <v>15286</v>
      </c>
      <c r="M14" s="28" t="n">
        <v>3000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</row>
    <row r="15" customFormat="false" ht="15" hidden="false" customHeight="false" outlineLevel="0" collapsed="false">
      <c r="A15" s="47" t="n">
        <v>10</v>
      </c>
      <c r="B15" s="26" t="n">
        <v>46212</v>
      </c>
      <c r="C15" s="27" t="s">
        <v>52</v>
      </c>
      <c r="D15" s="13" t="n">
        <v>41.1244</v>
      </c>
      <c r="E15" s="48" t="n">
        <f aca="false">SUM(F15:X15)</f>
        <v>38644</v>
      </c>
      <c r="F15" s="28" t="n">
        <v>2172</v>
      </c>
      <c r="G15" s="28"/>
      <c r="H15" s="28" t="n">
        <v>1257</v>
      </c>
      <c r="I15" s="28"/>
      <c r="J15" s="28" t="n">
        <v>2042</v>
      </c>
      <c r="K15" s="28"/>
      <c r="L15" s="28"/>
      <c r="M15" s="28" t="n">
        <v>16605</v>
      </c>
      <c r="N15" s="28" t="n">
        <v>16568</v>
      </c>
      <c r="O15" s="28"/>
      <c r="P15" s="28"/>
      <c r="Q15" s="28"/>
      <c r="R15" s="28"/>
      <c r="S15" s="28"/>
      <c r="T15" s="28"/>
      <c r="U15" s="28"/>
      <c r="V15" s="28"/>
      <c r="W15" s="28"/>
      <c r="X15" s="28"/>
    </row>
    <row r="16" customFormat="false" ht="15" hidden="false" customHeight="false" outlineLevel="0" collapsed="false">
      <c r="A16" s="47" t="n">
        <v>11</v>
      </c>
      <c r="B16" s="26" t="n">
        <v>46213</v>
      </c>
      <c r="C16" s="27" t="s">
        <v>53</v>
      </c>
      <c r="D16" s="13" t="n">
        <v>45.7043</v>
      </c>
      <c r="E16" s="48" t="n">
        <f aca="false">SUM(F16:X16)</f>
        <v>36541</v>
      </c>
      <c r="F16" s="28" t="n">
        <v>7747</v>
      </c>
      <c r="G16" s="28"/>
      <c r="H16" s="28" t="n">
        <v>3887</v>
      </c>
      <c r="I16" s="28"/>
      <c r="J16" s="28" t="n">
        <v>7845</v>
      </c>
      <c r="K16" s="28"/>
      <c r="L16" s="28"/>
      <c r="M16" s="28"/>
      <c r="N16" s="28" t="n">
        <v>17062</v>
      </c>
      <c r="O16" s="28"/>
      <c r="P16" s="28"/>
      <c r="Q16" s="28"/>
      <c r="R16" s="28"/>
      <c r="S16" s="28"/>
      <c r="T16" s="28"/>
      <c r="U16" s="28"/>
      <c r="V16" s="28"/>
      <c r="W16" s="28"/>
      <c r="X16" s="28"/>
    </row>
    <row r="17" customFormat="false" ht="15" hidden="false" customHeight="false" outlineLevel="0" collapsed="false">
      <c r="A17" s="47" t="n">
        <v>12</v>
      </c>
      <c r="B17" s="26" t="n">
        <v>46214</v>
      </c>
      <c r="C17" s="27" t="s">
        <v>54</v>
      </c>
      <c r="D17" s="13" t="n">
        <v>45.2004</v>
      </c>
      <c r="E17" s="48" t="n">
        <f aca="false">SUM(F17:X17)</f>
        <v>37409</v>
      </c>
      <c r="F17" s="28" t="n">
        <v>4710</v>
      </c>
      <c r="G17" s="28"/>
      <c r="H17" s="28" t="n">
        <v>2777</v>
      </c>
      <c r="I17" s="28"/>
      <c r="J17" s="28" t="n">
        <v>9432</v>
      </c>
      <c r="K17" s="28"/>
      <c r="L17" s="28"/>
      <c r="M17" s="28"/>
      <c r="N17" s="28" t="n">
        <v>20490</v>
      </c>
      <c r="O17" s="28"/>
      <c r="P17" s="28"/>
      <c r="Q17" s="28"/>
      <c r="R17" s="28"/>
      <c r="S17" s="28"/>
      <c r="T17" s="28"/>
      <c r="U17" s="28"/>
      <c r="V17" s="28"/>
      <c r="W17" s="28"/>
      <c r="X17" s="28"/>
    </row>
    <row r="18" customFormat="false" ht="15" hidden="false" customHeight="false" outlineLevel="0" collapsed="false">
      <c r="A18" s="49" t="n">
        <v>13</v>
      </c>
      <c r="B18" s="30" t="n">
        <v>46215</v>
      </c>
      <c r="C18" s="31" t="s">
        <v>55</v>
      </c>
      <c r="D18" s="32"/>
      <c r="E18" s="50" t="n">
        <f aca="false">SUM(F18:X18)</f>
        <v>0</v>
      </c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</row>
    <row r="19" customFormat="false" ht="15" hidden="false" customHeight="false" outlineLevel="0" collapsed="false">
      <c r="A19" s="47" t="n">
        <v>14</v>
      </c>
      <c r="B19" s="26" t="n">
        <v>46216</v>
      </c>
      <c r="C19" s="27" t="s">
        <v>56</v>
      </c>
      <c r="D19" s="13" t="n">
        <v>48.4234</v>
      </c>
      <c r="E19" s="48" t="n">
        <f aca="false">SUM(F19:X19)</f>
        <v>25492</v>
      </c>
      <c r="F19" s="28"/>
      <c r="G19" s="28"/>
      <c r="H19" s="28"/>
      <c r="I19" s="28"/>
      <c r="J19" s="28"/>
      <c r="K19" s="28"/>
      <c r="L19" s="28"/>
      <c r="M19" s="28"/>
      <c r="N19" s="28"/>
      <c r="O19" s="28" t="n">
        <v>16154</v>
      </c>
      <c r="P19" s="28" t="n">
        <v>9338</v>
      </c>
      <c r="Q19" s="28"/>
      <c r="R19" s="28"/>
      <c r="S19" s="28"/>
      <c r="T19" s="28"/>
      <c r="U19" s="28"/>
      <c r="V19" s="28"/>
      <c r="W19" s="28"/>
      <c r="X19" s="28"/>
    </row>
    <row r="20" customFormat="false" ht="15" hidden="false" customHeight="false" outlineLevel="0" collapsed="false">
      <c r="A20" s="47" t="n">
        <v>15</v>
      </c>
      <c r="B20" s="26" t="n">
        <v>46217</v>
      </c>
      <c r="C20" s="27" t="s">
        <v>50</v>
      </c>
      <c r="D20" s="13" t="n">
        <v>48.1897</v>
      </c>
      <c r="E20" s="48" t="n">
        <f aca="false">SUM(F20:X20)</f>
        <v>42356</v>
      </c>
      <c r="F20" s="28"/>
      <c r="G20" s="28"/>
      <c r="H20" s="28"/>
      <c r="I20" s="28"/>
      <c r="J20" s="28"/>
      <c r="K20" s="28"/>
      <c r="L20" s="28"/>
      <c r="M20" s="28"/>
      <c r="N20" s="28"/>
      <c r="O20" s="28" t="n">
        <v>20553</v>
      </c>
      <c r="P20" s="28" t="n">
        <v>21803</v>
      </c>
      <c r="Q20" s="28"/>
      <c r="R20" s="28"/>
      <c r="S20" s="28"/>
      <c r="T20" s="28"/>
      <c r="U20" s="28"/>
      <c r="V20" s="28"/>
      <c r="W20" s="28"/>
      <c r="X20" s="28"/>
    </row>
    <row r="21" customFormat="false" ht="15" hidden="false" customHeight="false" outlineLevel="0" collapsed="false">
      <c r="A21" s="47" t="n">
        <v>16</v>
      </c>
      <c r="B21" s="26" t="n">
        <v>46218</v>
      </c>
      <c r="C21" s="27" t="s">
        <v>51</v>
      </c>
      <c r="D21" s="13" t="n">
        <v>48.2329</v>
      </c>
      <c r="E21" s="48" t="n">
        <f aca="false">SUM(F21:X21)</f>
        <v>10366</v>
      </c>
      <c r="F21" s="28"/>
      <c r="G21" s="28"/>
      <c r="H21" s="28"/>
      <c r="I21" s="28"/>
      <c r="J21" s="28"/>
      <c r="K21" s="28"/>
      <c r="L21" s="28"/>
      <c r="M21" s="28"/>
      <c r="N21" s="28"/>
      <c r="O21" s="28" t="n">
        <v>5315</v>
      </c>
      <c r="P21" s="28" t="n">
        <v>5051</v>
      </c>
      <c r="Q21" s="28"/>
      <c r="R21" s="28"/>
      <c r="S21" s="28"/>
      <c r="T21" s="28"/>
      <c r="U21" s="28"/>
      <c r="V21" s="28"/>
      <c r="W21" s="28"/>
      <c r="X21" s="28"/>
    </row>
    <row r="22" customFormat="false" ht="15" hidden="false" customHeight="false" outlineLevel="0" collapsed="false">
      <c r="A22" s="47" t="n">
        <v>17</v>
      </c>
      <c r="B22" s="26" t="n">
        <v>46219</v>
      </c>
      <c r="C22" s="27" t="s">
        <v>52</v>
      </c>
      <c r="D22" s="13" t="n">
        <v>48.1946</v>
      </c>
      <c r="E22" s="48" t="n">
        <f aca="false">SUM(F22:X22)</f>
        <v>19966</v>
      </c>
      <c r="F22" s="28"/>
      <c r="G22" s="28"/>
      <c r="H22" s="28"/>
      <c r="I22" s="28"/>
      <c r="J22" s="28"/>
      <c r="K22" s="28"/>
      <c r="L22" s="28"/>
      <c r="M22" s="28"/>
      <c r="N22" s="28"/>
      <c r="O22" s="28" t="n">
        <v>9751</v>
      </c>
      <c r="P22" s="28" t="n">
        <v>10215</v>
      </c>
      <c r="Q22" s="28"/>
      <c r="R22" s="28"/>
      <c r="S22" s="28"/>
      <c r="T22" s="28"/>
      <c r="U22" s="28"/>
      <c r="V22" s="28"/>
      <c r="W22" s="28"/>
      <c r="X22" s="28"/>
    </row>
    <row r="23" customFormat="false" ht="15" hidden="false" customHeight="false" outlineLevel="0" collapsed="false">
      <c r="A23" s="47" t="n">
        <v>18</v>
      </c>
      <c r="B23" s="26" t="n">
        <v>46220</v>
      </c>
      <c r="C23" s="27" t="s">
        <v>53</v>
      </c>
      <c r="D23" s="13"/>
      <c r="E23" s="48" t="n">
        <f aca="false">SUM(F23:X23)</f>
        <v>0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</row>
    <row r="24" customFormat="false" ht="15" hidden="false" customHeight="false" outlineLevel="0" collapsed="false">
      <c r="A24" s="49" t="n">
        <v>19</v>
      </c>
      <c r="B24" s="30" t="n">
        <v>46221</v>
      </c>
      <c r="C24" s="31" t="s">
        <v>54</v>
      </c>
      <c r="D24" s="32"/>
      <c r="E24" s="50" t="n">
        <f aca="false">SUM(F24:X24)</f>
        <v>0</v>
      </c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</row>
    <row r="25" customFormat="false" ht="15" hidden="false" customHeight="false" outlineLevel="0" collapsed="false">
      <c r="A25" s="49" t="n">
        <v>20</v>
      </c>
      <c r="B25" s="30" t="n">
        <v>46222</v>
      </c>
      <c r="C25" s="31" t="s">
        <v>55</v>
      </c>
      <c r="D25" s="32"/>
      <c r="E25" s="50" t="n">
        <f aca="false">SUM(F25:X25)</f>
        <v>0</v>
      </c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</row>
    <row r="26" customFormat="false" ht="15" hidden="false" customHeight="false" outlineLevel="0" collapsed="false">
      <c r="A26" s="47" t="n">
        <v>21</v>
      </c>
      <c r="B26" s="26" t="n">
        <v>46223</v>
      </c>
      <c r="C26" s="27" t="s">
        <v>56</v>
      </c>
      <c r="D26" s="13" t="n">
        <v>45.4203</v>
      </c>
      <c r="E26" s="48" t="n">
        <f aca="false">SUM(F26:X26)</f>
        <v>22126</v>
      </c>
      <c r="F26" s="28"/>
      <c r="G26" s="28"/>
      <c r="H26" s="28"/>
      <c r="I26" s="28"/>
      <c r="J26" s="28"/>
      <c r="K26" s="28"/>
      <c r="L26" s="28"/>
      <c r="M26" s="28"/>
      <c r="N26" s="28"/>
      <c r="O26" s="28" t="n">
        <v>2346</v>
      </c>
      <c r="P26" s="28" t="n">
        <v>10921</v>
      </c>
      <c r="Q26" s="28" t="n">
        <v>8859</v>
      </c>
      <c r="R26" s="28"/>
      <c r="S26" s="28"/>
      <c r="T26" s="28"/>
      <c r="U26" s="28"/>
      <c r="V26" s="28"/>
      <c r="W26" s="28"/>
      <c r="X26" s="28"/>
    </row>
    <row r="27" customFormat="false" ht="15" hidden="false" customHeight="false" outlineLevel="0" collapsed="false">
      <c r="A27" s="47" t="n">
        <v>22</v>
      </c>
      <c r="B27" s="26" t="n">
        <v>46224</v>
      </c>
      <c r="C27" s="27" t="s">
        <v>50</v>
      </c>
      <c r="D27" s="13" t="n">
        <v>41.962</v>
      </c>
      <c r="E27" s="48" t="n">
        <f aca="false">SUM(F27:X27)</f>
        <v>31699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 t="n">
        <v>4646</v>
      </c>
      <c r="Q27" s="28" t="n">
        <v>11167</v>
      </c>
      <c r="R27" s="28" t="n">
        <v>5886</v>
      </c>
      <c r="S27" s="28" t="n">
        <v>10000</v>
      </c>
      <c r="T27" s="28"/>
      <c r="U27" s="28"/>
      <c r="V27" s="28"/>
      <c r="W27" s="28"/>
      <c r="X27" s="28"/>
    </row>
    <row r="28" customFormat="false" ht="15" hidden="false" customHeight="false" outlineLevel="0" collapsed="false">
      <c r="A28" s="47" t="n">
        <v>23</v>
      </c>
      <c r="B28" s="26" t="n">
        <v>46225</v>
      </c>
      <c r="C28" s="27" t="s">
        <v>51</v>
      </c>
      <c r="D28" s="13" t="n">
        <v>44.3621</v>
      </c>
      <c r="E28" s="48" t="n">
        <f aca="false">SUM(F28:X28)</f>
        <v>40763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 t="n">
        <v>6731</v>
      </c>
      <c r="R28" s="28" t="n">
        <v>16229</v>
      </c>
      <c r="S28" s="28" t="n">
        <v>8925</v>
      </c>
      <c r="T28" s="28" t="n">
        <v>8878</v>
      </c>
      <c r="U28" s="28"/>
      <c r="V28" s="28"/>
      <c r="W28" s="28"/>
      <c r="X28" s="28"/>
    </row>
    <row r="29" customFormat="false" ht="15" hidden="false" customHeight="false" outlineLevel="0" collapsed="false">
      <c r="A29" s="47" t="n">
        <v>24</v>
      </c>
      <c r="B29" s="26" t="n">
        <v>46226</v>
      </c>
      <c r="C29" s="27" t="s">
        <v>52</v>
      </c>
      <c r="D29" s="13" t="n">
        <v>46.7782</v>
      </c>
      <c r="E29" s="48" t="n">
        <f aca="false">SUM(F29:X29)</f>
        <v>42142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 t="n">
        <v>9080</v>
      </c>
      <c r="R29" s="28" t="n">
        <v>15900</v>
      </c>
      <c r="S29" s="28"/>
      <c r="T29" s="28" t="n">
        <v>17162</v>
      </c>
      <c r="U29" s="28"/>
      <c r="V29" s="28"/>
      <c r="W29" s="28"/>
      <c r="X29" s="28"/>
    </row>
    <row r="30" customFormat="false" ht="15" hidden="false" customHeight="false" outlineLevel="0" collapsed="false">
      <c r="A30" s="47" t="n">
        <v>25</v>
      </c>
      <c r="B30" s="26" t="n">
        <v>46227</v>
      </c>
      <c r="C30" s="27" t="s">
        <v>53</v>
      </c>
      <c r="D30" s="13" t="n">
        <v>46.2208</v>
      </c>
      <c r="E30" s="48" t="n">
        <f aca="false">SUM(F30:X30)</f>
        <v>41500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 t="n">
        <v>6443</v>
      </c>
      <c r="R30" s="28" t="n">
        <v>12237</v>
      </c>
      <c r="S30" s="28"/>
      <c r="T30" s="28" t="n">
        <v>12235</v>
      </c>
      <c r="U30" s="28" t="n">
        <v>10585</v>
      </c>
      <c r="V30" s="28"/>
      <c r="W30" s="28"/>
      <c r="X30" s="28"/>
    </row>
    <row r="31" customFormat="false" ht="15" hidden="false" customHeight="false" outlineLevel="0" collapsed="false">
      <c r="A31" s="47" t="n">
        <v>26</v>
      </c>
      <c r="B31" s="26" t="n">
        <v>46228</v>
      </c>
      <c r="C31" s="27" t="s">
        <v>54</v>
      </c>
      <c r="D31" s="13" t="n">
        <v>45.6054</v>
      </c>
      <c r="E31" s="48" t="n">
        <f aca="false">SUM(F31:X31)</f>
        <v>31019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 t="n">
        <v>3617</v>
      </c>
      <c r="R31" s="28" t="n">
        <v>5952</v>
      </c>
      <c r="S31" s="28"/>
      <c r="T31" s="28" t="n">
        <v>6144</v>
      </c>
      <c r="U31" s="28" t="n">
        <v>15306</v>
      </c>
      <c r="V31" s="28"/>
      <c r="W31" s="28"/>
      <c r="X31" s="28"/>
    </row>
    <row r="32" customFormat="false" ht="15" hidden="false" customHeight="false" outlineLevel="0" collapsed="false">
      <c r="A32" s="49" t="n">
        <v>27</v>
      </c>
      <c r="B32" s="30" t="n">
        <v>46229</v>
      </c>
      <c r="C32" s="31" t="s">
        <v>55</v>
      </c>
      <c r="D32" s="32"/>
      <c r="E32" s="50" t="n">
        <f aca="false">SUM(F32:X32)</f>
        <v>0</v>
      </c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</row>
    <row r="33" customFormat="false" ht="15" hidden="false" customHeight="false" outlineLevel="0" collapsed="false">
      <c r="A33" s="47" t="n">
        <v>28</v>
      </c>
      <c r="B33" s="26" t="n">
        <v>46230</v>
      </c>
      <c r="C33" s="27" t="s">
        <v>56</v>
      </c>
      <c r="D33" s="13" t="n">
        <v>46.5932</v>
      </c>
      <c r="E33" s="48" t="n">
        <f aca="false">SUM(F33:X33)</f>
        <v>42584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 t="n">
        <v>9816</v>
      </c>
      <c r="S33" s="28"/>
      <c r="T33" s="28" t="n">
        <v>9408</v>
      </c>
      <c r="U33" s="28" t="n">
        <v>18796</v>
      </c>
      <c r="V33" s="28" t="n">
        <v>4564</v>
      </c>
      <c r="W33" s="28"/>
      <c r="X33" s="28"/>
    </row>
    <row r="34" customFormat="false" ht="15" hidden="false" customHeight="false" outlineLevel="0" collapsed="false">
      <c r="A34" s="47" t="n">
        <v>29</v>
      </c>
      <c r="B34" s="26" t="n">
        <v>46231</v>
      </c>
      <c r="C34" s="27" t="s">
        <v>50</v>
      </c>
      <c r="D34" s="13" t="n">
        <v>46.4774</v>
      </c>
      <c r="E34" s="48" t="n">
        <f aca="false">SUM(F34:X34)</f>
        <v>30499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 t="n">
        <v>4677</v>
      </c>
      <c r="U34" s="28" t="n">
        <v>15452</v>
      </c>
      <c r="V34" s="28" t="n">
        <v>3143</v>
      </c>
      <c r="W34" s="28" t="n">
        <v>2114</v>
      </c>
      <c r="X34" s="28" t="n">
        <v>5113</v>
      </c>
    </row>
    <row r="35" customFormat="false" ht="15" hidden="false" customHeight="false" outlineLevel="0" collapsed="false">
      <c r="A35" s="47" t="n">
        <v>30</v>
      </c>
      <c r="B35" s="26" t="n">
        <v>46232</v>
      </c>
      <c r="C35" s="27" t="s">
        <v>51</v>
      </c>
      <c r="D35" s="13" t="n">
        <v>48.1486</v>
      </c>
      <c r="E35" s="48" t="n">
        <f aca="false">SUM(F35:X35)</f>
        <v>30834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 t="n">
        <v>3339</v>
      </c>
      <c r="V35" s="28" t="n">
        <v>6365</v>
      </c>
      <c r="W35" s="28" t="n">
        <v>11020</v>
      </c>
      <c r="X35" s="28" t="n">
        <v>10110</v>
      </c>
    </row>
    <row r="36" customFormat="false" ht="15" hidden="false" customHeight="false" outlineLevel="0" collapsed="false">
      <c r="A36" s="47" t="n">
        <v>31</v>
      </c>
      <c r="B36" s="26" t="n">
        <v>46233</v>
      </c>
      <c r="C36" s="27" t="s">
        <v>52</v>
      </c>
      <c r="D36" s="13"/>
      <c r="E36" s="48" t="n">
        <f aca="false">SUM(F36:X36)</f>
        <v>0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</row>
    <row r="37" customFormat="false" ht="15" hidden="false" customHeight="false" outlineLevel="0" collapsed="false">
      <c r="A37" s="47" t="n">
        <v>32</v>
      </c>
      <c r="B37" s="26" t="n">
        <v>46234</v>
      </c>
      <c r="C37" s="27" t="s">
        <v>53</v>
      </c>
      <c r="D37" s="13"/>
      <c r="E37" s="48" t="n">
        <f aca="false">SUM(F37:X37)</f>
        <v>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</row>
    <row r="38" customFormat="false" ht="15" hidden="false" customHeight="false" outlineLevel="0" collapsed="false">
      <c r="A38" s="47" t="n">
        <v>33</v>
      </c>
      <c r="B38" s="26" t="n">
        <v>46235</v>
      </c>
      <c r="C38" s="27" t="s">
        <v>54</v>
      </c>
      <c r="D38" s="13"/>
      <c r="E38" s="48" t="n">
        <f aca="false">SUM(F38:X38)</f>
        <v>0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</row>
    <row r="39" customFormat="false" ht="15" hidden="false" customHeight="false" outlineLevel="0" collapsed="false">
      <c r="A39" s="44"/>
      <c r="B39" s="51" t="s">
        <v>171</v>
      </c>
      <c r="C39" s="44"/>
      <c r="D39" s="19" t="n">
        <f aca="false">SUMPRODUCT(D6:D38,E6:E38)/SUMIF(D6:D38,"&gt;0",E6:E38)</f>
        <v>45.3377189854768</v>
      </c>
      <c r="E39" s="38" t="n">
        <f aca="false">SUM(E6:E38)</f>
        <v>781234</v>
      </c>
      <c r="F39" s="38" t="n">
        <f aca="false">SUM(F6:F38)</f>
        <v>63950</v>
      </c>
      <c r="G39" s="38" t="n">
        <f aca="false">SUM(G6:G38)</f>
        <v>59068</v>
      </c>
      <c r="H39" s="38" t="n">
        <f aca="false">SUM(H6:H38)</f>
        <v>32717</v>
      </c>
      <c r="I39" s="38" t="n">
        <f aca="false">SUM(I6:I38)</f>
        <v>1414</v>
      </c>
      <c r="J39" s="38" t="n">
        <f aca="false">SUM(J6:J38)</f>
        <v>66509</v>
      </c>
      <c r="K39" s="38" t="n">
        <f aca="false">SUM(K6:K38)</f>
        <v>19425</v>
      </c>
      <c r="L39" s="38" t="n">
        <f aca="false">SUM(L6:L38)</f>
        <v>53080</v>
      </c>
      <c r="M39" s="38" t="n">
        <f aca="false">SUM(M6:M38)</f>
        <v>19605</v>
      </c>
      <c r="N39" s="38" t="n">
        <f aca="false">SUM(N6:N38)</f>
        <v>54120</v>
      </c>
      <c r="O39" s="38" t="n">
        <f aca="false">SUM(O6:O38)</f>
        <v>54119</v>
      </c>
      <c r="P39" s="38" t="n">
        <f aca="false">SUM(P6:P38)</f>
        <v>61974</v>
      </c>
      <c r="Q39" s="38" t="n">
        <f aca="false">SUM(Q6:Q38)</f>
        <v>45897</v>
      </c>
      <c r="R39" s="38" t="n">
        <f aca="false">SUM(R6:R38)</f>
        <v>66020</v>
      </c>
      <c r="S39" s="38" t="n">
        <f aca="false">SUM(S6:S38)</f>
        <v>18925</v>
      </c>
      <c r="T39" s="38" t="n">
        <f aca="false">SUM(T6:T38)</f>
        <v>58504</v>
      </c>
      <c r="U39" s="38" t="n">
        <f aca="false">SUM(U6:U38)</f>
        <v>63478</v>
      </c>
      <c r="V39" s="38" t="n">
        <f aca="false">SUM(V6:V38)</f>
        <v>14072</v>
      </c>
      <c r="W39" s="38" t="n">
        <f aca="false">SUM(W6:W38)</f>
        <v>13134</v>
      </c>
      <c r="X39" s="38" t="n">
        <f aca="false">SUM(X6:X38)</f>
        <v>15223</v>
      </c>
    </row>
    <row r="40" customFormat="false" ht="15" hidden="false" customHeight="false" outlineLevel="0" collapsed="false">
      <c r="A40" s="52"/>
      <c r="B40" s="53" t="s">
        <v>172</v>
      </c>
      <c r="C40" s="52"/>
      <c r="D40" s="52"/>
      <c r="E40" s="52"/>
      <c r="F40" s="54" t="n">
        <f aca="false">IF('JULY 2026'!J47="","",'JULY 2026'!J47)</f>
        <v>49</v>
      </c>
      <c r="G40" s="54" t="n">
        <f aca="false">IF('JULY 2026'!J48="","",'JULY 2026'!J48)</f>
        <v>41.913</v>
      </c>
      <c r="H40" s="54" t="n">
        <f aca="false">IF('JULY 2026'!J49="","",'JULY 2026'!J49)</f>
        <v>47.6616</v>
      </c>
      <c r="I40" s="54" t="n">
        <f aca="false">IF('JULY 2026'!J50="","",'JULY 2026'!J50)</f>
        <v>48.25</v>
      </c>
      <c r="J40" s="54" t="n">
        <f aca="false">IF('JULY 2026'!J51="","",'JULY 2026'!J51)</f>
        <v>44.5</v>
      </c>
      <c r="K40" s="54" t="n">
        <f aca="false">IF('JULY 2026'!J52="","",'JULY 2026'!J52)</f>
        <v>38</v>
      </c>
      <c r="L40" s="54" t="n">
        <f aca="false">IF('JULY 2026'!J53="","",'JULY 2026'!J53)</f>
        <v>43.5</v>
      </c>
      <c r="M40" s="54" t="n">
        <f aca="false">IF('JULY 2026'!J54="","",'JULY 2026'!J54)</f>
        <v>36</v>
      </c>
      <c r="N40" s="54" t="n">
        <f aca="false">IF('JULY 2026'!J55="","",'JULY 2026'!J55)</f>
        <v>44.3158</v>
      </c>
      <c r="O40" s="54" t="n">
        <f aca="false">IF('JULY 2026'!J56="","",'JULY 2026'!J56)</f>
        <v>49</v>
      </c>
      <c r="P40" s="54" t="n">
        <f aca="false">IF('JULY 2026'!J57="","",'JULY 2026'!J57)</f>
        <v>47.4258</v>
      </c>
      <c r="Q40" s="54" t="n">
        <f aca="false">IF('JULY 2026'!J58="","",'JULY 2026'!J58)</f>
        <v>42</v>
      </c>
      <c r="R40" s="54" t="n">
        <f aca="false">IF('JULY 2026'!J59="","",'JULY 2026'!J59)</f>
        <v>47.7061</v>
      </c>
      <c r="S40" s="54" t="n">
        <f aca="false">IF('JULY 2026'!J60="","",'JULY 2026'!J60)</f>
        <v>36</v>
      </c>
      <c r="T40" s="54" t="n">
        <f aca="false">IF('JULY 2026'!J61="","",'JULY 2026'!J61)</f>
        <v>48.4466</v>
      </c>
      <c r="U40" s="54" t="n">
        <f aca="false">IF('JULY 2026'!J62="","",'JULY 2026'!J62)</f>
        <v>44.5</v>
      </c>
      <c r="V40" s="54" t="n">
        <f aca="false">IF('JULY 2026'!J63="","",'JULY 2026'!J63)</f>
        <v>49</v>
      </c>
      <c r="W40" s="54" t="n">
        <f aca="false">IF('JULY 2026'!J64="","",'JULY 2026'!J64)</f>
        <v>48.7509</v>
      </c>
      <c r="X40" s="54" t="n">
        <f aca="false">IF('JULY 2026'!J65="","",'JULY 2026'!J65)</f>
        <v>48.1612</v>
      </c>
    </row>
    <row r="41" customFormat="false" ht="15" hidden="false" customHeight="false" outlineLevel="0" collapsed="false">
      <c r="A41" s="52"/>
      <c r="B41" s="53" t="s">
        <v>173</v>
      </c>
      <c r="C41" s="52"/>
      <c r="D41" s="52"/>
      <c r="E41" s="52"/>
      <c r="F41" s="55" t="n">
        <f aca="false">IF('JULY 2026'!I47="","",'JULY 2026'!I47)</f>
        <v>0.154749002088345</v>
      </c>
      <c r="G41" s="55" t="n">
        <f aca="false">IF('JULY 2026'!I48="","",'JULY 2026'!I48)</f>
        <v>0.00500294786490356</v>
      </c>
      <c r="H41" s="55" t="n">
        <f aca="false">IF('JULY 2026'!I49="","",'JULY 2026'!I49)</f>
        <v>0.0675368185942626</v>
      </c>
      <c r="I41" s="55" t="n">
        <f aca="false">IF('JULY 2026'!I50="","",'JULY 2026'!I50)</f>
        <v>0.034594383081657</v>
      </c>
      <c r="J41" s="55" t="n">
        <f aca="false">IF('JULY 2026'!I51="","",'JULY 2026'!I51)</f>
        <v>0.0454395407247937</v>
      </c>
      <c r="K41" s="55" t="n">
        <f aca="false">IF('JULY 2026'!I52="","",'JULY 2026'!I52)</f>
        <v>0</v>
      </c>
      <c r="L41" s="55" t="n">
        <f aca="false">IF('JULY 2026'!I53="","",'JULY 2026'!I53)</f>
        <v>0.00496766332364795</v>
      </c>
      <c r="M41" s="55" t="n">
        <f aca="false">IF('JULY 2026'!I54="","",'JULY 2026'!I54)</f>
        <v>0</v>
      </c>
      <c r="N41" s="55" t="n">
        <f aca="false">IF('JULY 2026'!I55="","",'JULY 2026'!I55)</f>
        <v>0.00697247706422018</v>
      </c>
      <c r="O41" s="55" t="n">
        <f aca="false">IF('JULY 2026'!I56="","",'JULY 2026'!I56)</f>
        <v>0.0367713802616357</v>
      </c>
      <c r="P41" s="55" t="n">
        <f aca="false">IF('JULY 2026'!I57="","",'JULY 2026'!I57)</f>
        <v>0.0414662439099838</v>
      </c>
      <c r="Q41" s="55" t="n">
        <f aca="false">IF('JULY 2026'!I58="","",'JULY 2026'!I58)</f>
        <v>0.10558316281789</v>
      </c>
      <c r="R41" s="55" t="n">
        <f aca="false">IF('JULY 2026'!I59="","",'JULY 2026'!I59)</f>
        <v>0.0433270540501377</v>
      </c>
      <c r="S41" s="55" t="n">
        <f aca="false">IF('JULY 2026'!I60="","",'JULY 2026'!I60)</f>
        <v>0</v>
      </c>
      <c r="T41" s="55" t="n">
        <f aca="false">IF('JULY 2026'!I61="","",'JULY 2026'!I61)</f>
        <v>0.0494882209585703</v>
      </c>
      <c r="U41" s="55" t="n">
        <f aca="false">IF('JULY 2026'!I62="","",'JULY 2026'!I62)</f>
        <v>0.0163024949635828</v>
      </c>
      <c r="V41" s="55" t="n">
        <f aca="false">IF('JULY 2026'!I63="","",'JULY 2026'!I63)</f>
        <v>0.0594993117922021</v>
      </c>
      <c r="W41" s="55" t="n">
        <f aca="false">IF('JULY 2026'!I64="","",'JULY 2026'!I64)</f>
        <v>0.0085612968591692</v>
      </c>
      <c r="X41" s="55" t="n">
        <f aca="false">IF('JULY 2026'!I65="","",'JULY 2026'!I65)</f>
        <v>0.0484048796102002</v>
      </c>
    </row>
    <row r="42" customFormat="false" ht="15" hidden="false" customHeight="false" outlineLevel="0" collapsed="false">
      <c r="A42" s="52"/>
      <c r="B42" s="53" t="s">
        <v>174</v>
      </c>
      <c r="C42" s="52"/>
      <c r="D42" s="52"/>
      <c r="E42" s="52"/>
      <c r="F42" s="54" t="n">
        <f aca="false">IF('JULY 2026'!K47="","",'JULY 2026'!K47)</f>
        <v>57.9709</v>
      </c>
      <c r="G42" s="54" t="n">
        <f aca="false">IF('JULY 2026'!K48="","",'JULY 2026'!K48)</f>
        <v>42.1238</v>
      </c>
      <c r="H42" s="54" t="n">
        <f aca="false">IF('JULY 2026'!K49="","",'JULY 2026'!K49)</f>
        <v>51.1136</v>
      </c>
      <c r="I42" s="54" t="n">
        <f aca="false">IF('JULY 2026'!K50="","",'JULY 2026'!K50)</f>
        <v>49.979</v>
      </c>
      <c r="J42" s="54" t="n">
        <f aca="false">IF('JULY 2026'!K51="","",'JULY 2026'!K51)</f>
        <v>46.6183</v>
      </c>
      <c r="K42" s="54" t="n">
        <f aca="false">IF('JULY 2026'!K52="","",'JULY 2026'!K52)</f>
        <v>38</v>
      </c>
      <c r="L42" s="54" t="n">
        <f aca="false">IF('JULY 2026'!K53="","",'JULY 2026'!K53)</f>
        <v>43.7172</v>
      </c>
      <c r="M42" s="54" t="n">
        <f aca="false">IF('JULY 2026'!K54="","",'JULY 2026'!K54)</f>
        <v>36</v>
      </c>
      <c r="N42" s="54" t="n">
        <f aca="false">IF('JULY 2026'!K55="","",'JULY 2026'!K55)</f>
        <v>44.6269</v>
      </c>
      <c r="O42" s="54" t="n">
        <f aca="false">IF('JULY 2026'!K56="","",'JULY 2026'!K56)</f>
        <v>50.8706</v>
      </c>
      <c r="P42" s="54" t="n">
        <f aca="false">IF('JULY 2026'!K57="","",'JULY 2026'!K57)</f>
        <v>49.4774</v>
      </c>
      <c r="Q42" s="54" t="n">
        <f aca="false">IF('JULY 2026'!K58="","",'JULY 2026'!K58)</f>
        <v>46.958</v>
      </c>
      <c r="R42" s="54" t="n">
        <f aca="false">IF('JULY 2026'!K59="","",'JULY 2026'!K59)</f>
        <v>49.8667</v>
      </c>
      <c r="S42" s="54" t="n">
        <f aca="false">IF('JULY 2026'!K60="","",'JULY 2026'!K60)</f>
        <v>36</v>
      </c>
      <c r="T42" s="54" t="n">
        <f aca="false">IF('JULY 2026'!K61="","",'JULY 2026'!K61)</f>
        <v>50.9689</v>
      </c>
      <c r="U42" s="54" t="n">
        <f aca="false">IF('JULY 2026'!K62="","",'JULY 2026'!K62)</f>
        <v>45.2375</v>
      </c>
      <c r="V42" s="54" t="n">
        <f aca="false">IF('JULY 2026'!K63="","",'JULY 2026'!K63)</f>
        <v>52.0999</v>
      </c>
      <c r="W42" s="54" t="n">
        <f aca="false">IF('JULY 2026'!K64="","",'JULY 2026'!K64)</f>
        <v>49.1719</v>
      </c>
      <c r="X42" s="54" t="n">
        <f aca="false">IF('JULY 2026'!K65="","",'JULY 2026'!K65)</f>
        <v>50.611</v>
      </c>
    </row>
    <row r="45" customFormat="false" ht="15" hidden="false" customHeight="false" outlineLevel="0" collapsed="false">
      <c r="A45" s="40" t="s">
        <v>175</v>
      </c>
    </row>
    <row r="46" customFormat="false" ht="22.35" hidden="false" customHeight="true" outlineLevel="0" collapsed="false">
      <c r="A46" s="2" t="s">
        <v>168</v>
      </c>
      <c r="B46" s="2" t="s">
        <v>30</v>
      </c>
      <c r="C46" s="2" t="s">
        <v>22</v>
      </c>
      <c r="D46" s="7" t="s">
        <v>169</v>
      </c>
      <c r="E46" s="3" t="s">
        <v>170</v>
      </c>
      <c r="F46" s="3" t="s">
        <v>106</v>
      </c>
      <c r="G46" s="3" t="s">
        <v>108</v>
      </c>
      <c r="H46" s="3" t="s">
        <v>110</v>
      </c>
      <c r="I46" s="3" t="s">
        <v>115</v>
      </c>
      <c r="J46" s="3" t="s">
        <v>116</v>
      </c>
      <c r="K46" s="3" t="s">
        <v>118</v>
      </c>
      <c r="L46" s="3" t="s">
        <v>120</v>
      </c>
      <c r="M46" s="3" t="s">
        <v>122</v>
      </c>
      <c r="N46" s="3" t="s">
        <v>124</v>
      </c>
      <c r="O46" s="3" t="s">
        <v>126</v>
      </c>
      <c r="P46" s="3" t="s">
        <v>127</v>
      </c>
      <c r="Q46" s="3" t="s">
        <v>129</v>
      </c>
      <c r="R46" s="3" t="s">
        <v>131</v>
      </c>
      <c r="S46" s="3" t="s">
        <v>133</v>
      </c>
      <c r="T46" s="3" t="s">
        <v>134</v>
      </c>
      <c r="U46" s="3" t="s">
        <v>135</v>
      </c>
      <c r="V46" s="3" t="s">
        <v>137</v>
      </c>
      <c r="W46" s="3" t="s">
        <v>138</v>
      </c>
      <c r="X46" s="3" t="s">
        <v>139</v>
      </c>
      <c r="Y46" s="3" t="s">
        <v>141</v>
      </c>
    </row>
    <row r="47" customFormat="false" ht="15" hidden="false" customHeight="false" outlineLevel="0" collapsed="false">
      <c r="A47" s="2"/>
      <c r="B47" s="2"/>
      <c r="C47" s="2"/>
      <c r="D47" s="2"/>
      <c r="E47" s="2"/>
      <c r="F47" s="46" t="s">
        <v>107</v>
      </c>
      <c r="G47" s="46" t="s">
        <v>109</v>
      </c>
      <c r="H47" s="46" t="s">
        <v>111</v>
      </c>
      <c r="I47" s="46" t="s">
        <v>86</v>
      </c>
      <c r="J47" s="46" t="s">
        <v>117</v>
      </c>
      <c r="K47" s="46" t="s">
        <v>119</v>
      </c>
      <c r="L47" s="46" t="s">
        <v>121</v>
      </c>
      <c r="M47" s="46" t="s">
        <v>123</v>
      </c>
      <c r="N47" s="46" t="s">
        <v>125</v>
      </c>
      <c r="O47" s="46" t="s">
        <v>86</v>
      </c>
      <c r="P47" s="46" t="s">
        <v>128</v>
      </c>
      <c r="Q47" s="46" t="s">
        <v>130</v>
      </c>
      <c r="R47" s="46" t="s">
        <v>132</v>
      </c>
      <c r="S47" s="46" t="s">
        <v>86</v>
      </c>
      <c r="T47" s="46" t="s">
        <v>86</v>
      </c>
      <c r="U47" s="46" t="s">
        <v>136</v>
      </c>
      <c r="V47" s="46" t="s">
        <v>86</v>
      </c>
      <c r="W47" s="46" t="s">
        <v>86</v>
      </c>
      <c r="X47" s="46" t="s">
        <v>140</v>
      </c>
      <c r="Y47" s="46" t="s">
        <v>142</v>
      </c>
    </row>
    <row r="48" customFormat="false" ht="15" hidden="false" customHeight="false" outlineLevel="0" collapsed="false">
      <c r="A48" s="47" t="n">
        <v>1</v>
      </c>
      <c r="B48" s="26" t="n">
        <v>46235</v>
      </c>
      <c r="C48" s="27" t="s">
        <v>54</v>
      </c>
      <c r="D48" s="13" t="n">
        <v>48.5774</v>
      </c>
      <c r="E48" s="48" t="n">
        <f aca="false">SUM(F48:Y48)</f>
        <v>30326</v>
      </c>
      <c r="F48" s="28" t="n">
        <v>6375</v>
      </c>
      <c r="G48" s="28" t="n">
        <v>12336</v>
      </c>
      <c r="H48" s="28" t="n">
        <v>11615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customFormat="false" ht="15" hidden="false" customHeight="false" outlineLevel="0" collapsed="false">
      <c r="A49" s="49" t="n">
        <v>2</v>
      </c>
      <c r="B49" s="30" t="n">
        <v>46236</v>
      </c>
      <c r="C49" s="31" t="s">
        <v>55</v>
      </c>
      <c r="D49" s="32"/>
      <c r="E49" s="50" t="n">
        <f aca="false">SUM(F49:Y49)</f>
        <v>0</v>
      </c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</row>
    <row r="50" customFormat="false" ht="15" hidden="false" customHeight="false" outlineLevel="0" collapsed="false">
      <c r="A50" s="47" t="n">
        <v>3</v>
      </c>
      <c r="B50" s="26" t="n">
        <v>46237</v>
      </c>
      <c r="C50" s="27" t="s">
        <v>56</v>
      </c>
      <c r="D50" s="13" t="n">
        <v>48.7898</v>
      </c>
      <c r="E50" s="48" t="n">
        <f aca="false">SUM(F50:Y50)</f>
        <v>32421</v>
      </c>
      <c r="F50" s="28" t="n">
        <v>19901</v>
      </c>
      <c r="G50" s="28" t="n">
        <v>6252</v>
      </c>
      <c r="H50" s="28" t="n">
        <v>6268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customFormat="false" ht="15" hidden="false" customHeight="false" outlineLevel="0" collapsed="false">
      <c r="A51" s="47" t="n">
        <v>4</v>
      </c>
      <c r="B51" s="26" t="n">
        <v>46238</v>
      </c>
      <c r="C51" s="27" t="s">
        <v>50</v>
      </c>
      <c r="D51" s="13" t="n">
        <v>48.7881</v>
      </c>
      <c r="E51" s="48" t="n">
        <f aca="false">SUM(F51:Y51)</f>
        <v>32242</v>
      </c>
      <c r="F51" s="28" t="n">
        <v>19560</v>
      </c>
      <c r="G51" s="28" t="n">
        <v>6451</v>
      </c>
      <c r="H51" s="28" t="n">
        <v>6231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customFormat="false" ht="15" hidden="false" customHeight="false" outlineLevel="0" collapsed="false">
      <c r="A52" s="47" t="n">
        <v>5</v>
      </c>
      <c r="B52" s="26" t="n">
        <v>46239</v>
      </c>
      <c r="C52" s="27" t="s">
        <v>51</v>
      </c>
      <c r="D52" s="13" t="n">
        <v>46.0675</v>
      </c>
      <c r="E52" s="48" t="n">
        <f aca="false">SUM(F52:Y52)</f>
        <v>37085</v>
      </c>
      <c r="F52" s="28" t="n">
        <v>9105</v>
      </c>
      <c r="G52" s="28" t="n">
        <v>10028</v>
      </c>
      <c r="H52" s="28" t="n">
        <v>9404</v>
      </c>
      <c r="I52" s="28" t="n">
        <v>1185</v>
      </c>
      <c r="J52" s="28" t="n">
        <v>7363</v>
      </c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customFormat="false" ht="15" hidden="false" customHeight="false" outlineLevel="0" collapsed="false">
      <c r="A53" s="47" t="n">
        <v>6</v>
      </c>
      <c r="B53" s="26" t="n">
        <v>46240</v>
      </c>
      <c r="C53" s="27" t="s">
        <v>52</v>
      </c>
      <c r="D53" s="13" t="n">
        <v>40.6858</v>
      </c>
      <c r="E53" s="48" t="n">
        <f aca="false">SUM(F53:Y53)</f>
        <v>38998</v>
      </c>
      <c r="F53" s="28"/>
      <c r="G53" s="28" t="n">
        <v>7086</v>
      </c>
      <c r="H53" s="28" t="n">
        <v>4771</v>
      </c>
      <c r="I53" s="28" t="n">
        <v>2000</v>
      </c>
      <c r="J53" s="28" t="n">
        <v>17427</v>
      </c>
      <c r="K53" s="28" t="n">
        <v>2452</v>
      </c>
      <c r="L53" s="28" t="n">
        <v>5262</v>
      </c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customFormat="false" ht="15" hidden="false" customHeight="false" outlineLevel="0" collapsed="false">
      <c r="A54" s="47" t="n">
        <v>7</v>
      </c>
      <c r="B54" s="26" t="n">
        <v>46241</v>
      </c>
      <c r="C54" s="27" t="s">
        <v>53</v>
      </c>
      <c r="D54" s="13" t="n">
        <v>39.093</v>
      </c>
      <c r="E54" s="48" t="n">
        <f aca="false">SUM(F54:Y54)</f>
        <v>26525</v>
      </c>
      <c r="F54" s="28"/>
      <c r="G54" s="28" t="n">
        <v>3426</v>
      </c>
      <c r="H54" s="28"/>
      <c r="I54" s="28" t="n">
        <v>8000</v>
      </c>
      <c r="J54" s="28"/>
      <c r="K54" s="28" t="n">
        <v>3613</v>
      </c>
      <c r="L54" s="28" t="n">
        <v>11486</v>
      </c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customFormat="false" ht="15" hidden="false" customHeight="false" outlineLevel="0" collapsed="false">
      <c r="A55" s="47" t="n">
        <v>8</v>
      </c>
      <c r="B55" s="26" t="n">
        <v>46242</v>
      </c>
      <c r="C55" s="27" t="s">
        <v>54</v>
      </c>
      <c r="D55" s="13" t="n">
        <v>38.8398</v>
      </c>
      <c r="E55" s="48" t="n">
        <f aca="false">SUM(F55:Y55)</f>
        <v>36105</v>
      </c>
      <c r="F55" s="28"/>
      <c r="G55" s="28"/>
      <c r="H55" s="28"/>
      <c r="I55" s="28" t="n">
        <v>8000</v>
      </c>
      <c r="J55" s="28"/>
      <c r="K55" s="28" t="n">
        <v>5535</v>
      </c>
      <c r="L55" s="28" t="n">
        <v>18076</v>
      </c>
      <c r="M55" s="28" t="n">
        <v>4494</v>
      </c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customFormat="false" ht="15" hidden="false" customHeight="false" outlineLevel="0" collapsed="false">
      <c r="A56" s="49" t="n">
        <v>9</v>
      </c>
      <c r="B56" s="30" t="n">
        <v>46243</v>
      </c>
      <c r="C56" s="31" t="s">
        <v>55</v>
      </c>
      <c r="D56" s="32"/>
      <c r="E56" s="50" t="n">
        <f aca="false">SUM(F56:Y56)</f>
        <v>0</v>
      </c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</row>
    <row r="57" customFormat="false" ht="15" hidden="false" customHeight="false" outlineLevel="0" collapsed="false">
      <c r="A57" s="47" t="n">
        <v>10</v>
      </c>
      <c r="B57" s="26" t="n">
        <v>46244</v>
      </c>
      <c r="C57" s="27" t="s">
        <v>56</v>
      </c>
      <c r="D57" s="13" t="n">
        <v>39.2725</v>
      </c>
      <c r="E57" s="48" t="n">
        <f aca="false">SUM(F57:Y57)</f>
        <v>28492</v>
      </c>
      <c r="F57" s="28"/>
      <c r="G57" s="28"/>
      <c r="H57" s="28"/>
      <c r="I57" s="28"/>
      <c r="J57" s="28"/>
      <c r="K57" s="28" t="n">
        <v>5630</v>
      </c>
      <c r="L57" s="28" t="n">
        <v>17087</v>
      </c>
      <c r="M57" s="28" t="n">
        <v>5775</v>
      </c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customFormat="false" ht="15" hidden="false" customHeight="false" outlineLevel="0" collapsed="false">
      <c r="A58" s="47" t="n">
        <v>11</v>
      </c>
      <c r="B58" s="26" t="n">
        <v>46245</v>
      </c>
      <c r="C58" s="27" t="s">
        <v>50</v>
      </c>
      <c r="D58" s="13" t="n">
        <v>39.6142</v>
      </c>
      <c r="E58" s="48" t="n">
        <f aca="false">SUM(F58:Y58)</f>
        <v>35359</v>
      </c>
      <c r="F58" s="28"/>
      <c r="G58" s="28"/>
      <c r="H58" s="28"/>
      <c r="I58" s="28"/>
      <c r="J58" s="28"/>
      <c r="K58" s="28" t="n">
        <v>2961</v>
      </c>
      <c r="L58" s="28" t="n">
        <v>22489</v>
      </c>
      <c r="M58" s="28" t="n">
        <v>6240</v>
      </c>
      <c r="N58" s="28" t="n">
        <v>3669</v>
      </c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customFormat="false" ht="15" hidden="false" customHeight="false" outlineLevel="0" collapsed="false">
      <c r="A59" s="47" t="n">
        <v>12</v>
      </c>
      <c r="B59" s="26" t="n">
        <v>46246</v>
      </c>
      <c r="C59" s="27" t="s">
        <v>51</v>
      </c>
      <c r="D59" s="13" t="n">
        <v>44.7178</v>
      </c>
      <c r="E59" s="48" t="n">
        <f aca="false">SUM(F59:Y59)</f>
        <v>32228</v>
      </c>
      <c r="F59" s="28"/>
      <c r="G59" s="28"/>
      <c r="H59" s="28"/>
      <c r="I59" s="28"/>
      <c r="J59" s="28"/>
      <c r="K59" s="28"/>
      <c r="L59" s="28"/>
      <c r="M59" s="28" t="n">
        <v>5177</v>
      </c>
      <c r="N59" s="28" t="n">
        <v>6041</v>
      </c>
      <c r="O59" s="28" t="n">
        <v>3000</v>
      </c>
      <c r="P59" s="28" t="n">
        <v>5335</v>
      </c>
      <c r="Q59" s="28" t="n">
        <v>12675</v>
      </c>
      <c r="R59" s="28"/>
      <c r="S59" s="28"/>
      <c r="T59" s="28"/>
      <c r="U59" s="28"/>
      <c r="V59" s="28"/>
      <c r="W59" s="28"/>
      <c r="X59" s="28"/>
      <c r="Y59" s="28"/>
    </row>
    <row r="60" customFormat="false" ht="15" hidden="false" customHeight="false" outlineLevel="0" collapsed="false">
      <c r="A60" s="47" t="n">
        <v>13</v>
      </c>
      <c r="B60" s="26" t="n">
        <v>46247</v>
      </c>
      <c r="C60" s="27" t="s">
        <v>52</v>
      </c>
      <c r="D60" s="13" t="n">
        <v>46.2764</v>
      </c>
      <c r="E60" s="48" t="n">
        <f aca="false">SUM(F60:Y60)</f>
        <v>20068</v>
      </c>
      <c r="F60" s="28"/>
      <c r="G60" s="28"/>
      <c r="H60" s="28"/>
      <c r="I60" s="28"/>
      <c r="J60" s="28"/>
      <c r="K60" s="28"/>
      <c r="L60" s="28"/>
      <c r="M60" s="28" t="n">
        <v>9731</v>
      </c>
      <c r="N60" s="28" t="n">
        <v>2204</v>
      </c>
      <c r="O60" s="28" t="n">
        <v>3000</v>
      </c>
      <c r="P60" s="28"/>
      <c r="Q60" s="28" t="n">
        <v>5133</v>
      </c>
      <c r="R60" s="28"/>
      <c r="S60" s="28"/>
      <c r="T60" s="28"/>
      <c r="U60" s="28"/>
      <c r="V60" s="28"/>
      <c r="W60" s="28"/>
      <c r="X60" s="28"/>
      <c r="Y60" s="28"/>
    </row>
    <row r="61" customFormat="false" ht="15" hidden="false" customHeight="false" outlineLevel="0" collapsed="false">
      <c r="A61" s="47" t="n">
        <v>14</v>
      </c>
      <c r="B61" s="26" t="n">
        <v>46248</v>
      </c>
      <c r="C61" s="27" t="s">
        <v>53</v>
      </c>
      <c r="D61" s="13" t="n">
        <v>46.5818</v>
      </c>
      <c r="E61" s="48" t="n">
        <f aca="false">SUM(F61:Y61)</f>
        <v>17565</v>
      </c>
      <c r="F61" s="28"/>
      <c r="G61" s="28"/>
      <c r="H61" s="28"/>
      <c r="I61" s="28"/>
      <c r="J61" s="28"/>
      <c r="K61" s="28"/>
      <c r="L61" s="28"/>
      <c r="M61" s="28" t="n">
        <v>12611</v>
      </c>
      <c r="N61" s="28" t="n">
        <v>1164</v>
      </c>
      <c r="O61" s="28" t="n">
        <v>2650</v>
      </c>
      <c r="P61" s="28"/>
      <c r="Q61" s="28" t="n">
        <v>1140</v>
      </c>
      <c r="R61" s="28"/>
      <c r="S61" s="28"/>
      <c r="T61" s="28"/>
      <c r="U61" s="28"/>
      <c r="V61" s="28"/>
      <c r="W61" s="28"/>
      <c r="X61" s="28"/>
      <c r="Y61" s="28"/>
    </row>
    <row r="62" customFormat="false" ht="15" hidden="false" customHeight="false" outlineLevel="0" collapsed="false">
      <c r="A62" s="49" t="n">
        <v>15</v>
      </c>
      <c r="B62" s="30" t="n">
        <v>46249</v>
      </c>
      <c r="C62" s="31" t="s">
        <v>54</v>
      </c>
      <c r="D62" s="32"/>
      <c r="E62" s="50" t="n">
        <f aca="false">SUM(F62:Y62)</f>
        <v>0</v>
      </c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</row>
    <row r="63" customFormat="false" ht="15" hidden="false" customHeight="false" outlineLevel="0" collapsed="false">
      <c r="A63" s="49" t="n">
        <v>16</v>
      </c>
      <c r="B63" s="30" t="n">
        <v>46250</v>
      </c>
      <c r="C63" s="31" t="s">
        <v>55</v>
      </c>
      <c r="D63" s="32"/>
      <c r="E63" s="50" t="n">
        <f aca="false">SUM(F63:Y63)</f>
        <v>0</v>
      </c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</row>
    <row r="64" customFormat="false" ht="15" hidden="false" customHeight="false" outlineLevel="0" collapsed="false">
      <c r="A64" s="47" t="n">
        <v>17</v>
      </c>
      <c r="B64" s="26" t="n">
        <v>46251</v>
      </c>
      <c r="C64" s="27" t="s">
        <v>56</v>
      </c>
      <c r="D64" s="13" t="n">
        <v>44.2478</v>
      </c>
      <c r="E64" s="48" t="n">
        <f aca="false">SUM(F64:Y64)</f>
        <v>34120</v>
      </c>
      <c r="F64" s="28"/>
      <c r="G64" s="28"/>
      <c r="H64" s="28"/>
      <c r="I64" s="28"/>
      <c r="J64" s="28"/>
      <c r="K64" s="28"/>
      <c r="L64" s="28"/>
      <c r="M64" s="28" t="n">
        <v>14793</v>
      </c>
      <c r="N64" s="28" t="n">
        <v>3194</v>
      </c>
      <c r="O64" s="28" t="n">
        <v>10000</v>
      </c>
      <c r="P64" s="28"/>
      <c r="Q64" s="28" t="n">
        <v>3498</v>
      </c>
      <c r="R64" s="28" t="n">
        <v>2635</v>
      </c>
      <c r="S64" s="28"/>
      <c r="T64" s="28"/>
      <c r="U64" s="28"/>
      <c r="V64" s="28"/>
      <c r="W64" s="28"/>
      <c r="X64" s="28"/>
      <c r="Y64" s="28"/>
    </row>
    <row r="65" customFormat="false" ht="15" hidden="false" customHeight="false" outlineLevel="0" collapsed="false">
      <c r="A65" s="47" t="n">
        <v>18</v>
      </c>
      <c r="B65" s="26" t="n">
        <v>46252</v>
      </c>
      <c r="C65" s="27" t="s">
        <v>50</v>
      </c>
      <c r="D65" s="13" t="n">
        <v>39.8626</v>
      </c>
      <c r="E65" s="48" t="n">
        <f aca="false">SUM(F65:Y65)</f>
        <v>33549</v>
      </c>
      <c r="F65" s="28"/>
      <c r="G65" s="28"/>
      <c r="H65" s="28"/>
      <c r="I65" s="28"/>
      <c r="J65" s="28"/>
      <c r="K65" s="28"/>
      <c r="L65" s="28"/>
      <c r="M65" s="28"/>
      <c r="N65" s="28" t="n">
        <v>4125</v>
      </c>
      <c r="O65" s="28"/>
      <c r="P65" s="28"/>
      <c r="Q65" s="28" t="n">
        <v>4194</v>
      </c>
      <c r="R65" s="28" t="n">
        <v>22230</v>
      </c>
      <c r="S65" s="28" t="n">
        <v>3000</v>
      </c>
      <c r="T65" s="28"/>
      <c r="U65" s="28"/>
      <c r="V65" s="28"/>
      <c r="W65" s="28"/>
      <c r="X65" s="28"/>
      <c r="Y65" s="28"/>
    </row>
    <row r="66" customFormat="false" ht="15" hidden="false" customHeight="false" outlineLevel="0" collapsed="false">
      <c r="A66" s="47" t="n">
        <v>19</v>
      </c>
      <c r="B66" s="26" t="n">
        <v>46253</v>
      </c>
      <c r="C66" s="27" t="s">
        <v>51</v>
      </c>
      <c r="D66" s="13" t="n">
        <v>42.6566</v>
      </c>
      <c r="E66" s="48" t="n">
        <f aca="false">SUM(F66:Y66)</f>
        <v>33960</v>
      </c>
      <c r="F66" s="28"/>
      <c r="G66" s="28"/>
      <c r="H66" s="28"/>
      <c r="I66" s="28"/>
      <c r="J66" s="28"/>
      <c r="K66" s="28"/>
      <c r="L66" s="28"/>
      <c r="M66" s="28"/>
      <c r="N66" s="28" t="n">
        <v>11541</v>
      </c>
      <c r="O66" s="28"/>
      <c r="P66" s="28"/>
      <c r="Q66" s="28" t="n">
        <v>10339</v>
      </c>
      <c r="R66" s="28" t="n">
        <v>6080</v>
      </c>
      <c r="S66" s="28" t="n">
        <v>6000</v>
      </c>
      <c r="T66" s="28"/>
      <c r="U66" s="28"/>
      <c r="V66" s="28"/>
      <c r="W66" s="28"/>
      <c r="X66" s="28"/>
      <c r="Y66" s="28"/>
    </row>
    <row r="67" customFormat="false" ht="15" hidden="false" customHeight="false" outlineLevel="0" collapsed="false">
      <c r="A67" s="47" t="n">
        <v>20</v>
      </c>
      <c r="B67" s="26" t="n">
        <v>46254</v>
      </c>
      <c r="C67" s="27" t="s">
        <v>52</v>
      </c>
      <c r="D67" s="13" t="n">
        <v>42.3629</v>
      </c>
      <c r="E67" s="48" t="n">
        <f aca="false">SUM(F67:Y67)</f>
        <v>38270</v>
      </c>
      <c r="F67" s="28"/>
      <c r="G67" s="28"/>
      <c r="H67" s="28"/>
      <c r="I67" s="28"/>
      <c r="J67" s="28"/>
      <c r="K67" s="28"/>
      <c r="L67" s="28"/>
      <c r="M67" s="28"/>
      <c r="N67" s="28" t="n">
        <v>11432</v>
      </c>
      <c r="O67" s="28"/>
      <c r="P67" s="28"/>
      <c r="Q67" s="28" t="n">
        <v>10814</v>
      </c>
      <c r="R67" s="28" t="n">
        <v>5629</v>
      </c>
      <c r="S67" s="28" t="n">
        <v>10395</v>
      </c>
      <c r="T67" s="28"/>
      <c r="U67" s="28"/>
      <c r="V67" s="28"/>
      <c r="W67" s="28"/>
      <c r="X67" s="28"/>
      <c r="Y67" s="28"/>
    </row>
    <row r="68" customFormat="false" ht="15" hidden="false" customHeight="false" outlineLevel="0" collapsed="false">
      <c r="A68" s="47" t="n">
        <v>21</v>
      </c>
      <c r="B68" s="26" t="n">
        <v>46255</v>
      </c>
      <c r="C68" s="27" t="s">
        <v>53</v>
      </c>
      <c r="D68" s="13" t="n">
        <v>42.1848</v>
      </c>
      <c r="E68" s="48" t="n">
        <f aca="false">SUM(F68:Y68)</f>
        <v>32261</v>
      </c>
      <c r="F68" s="28"/>
      <c r="G68" s="28"/>
      <c r="H68" s="28"/>
      <c r="I68" s="28"/>
      <c r="J68" s="28"/>
      <c r="K68" s="28"/>
      <c r="L68" s="28"/>
      <c r="M68" s="28"/>
      <c r="N68" s="28" t="n">
        <v>8753</v>
      </c>
      <c r="O68" s="28"/>
      <c r="P68" s="28"/>
      <c r="Q68" s="28" t="n">
        <v>8780</v>
      </c>
      <c r="R68" s="28" t="n">
        <v>4728</v>
      </c>
      <c r="S68" s="28"/>
      <c r="T68" s="28" t="n">
        <v>10000</v>
      </c>
      <c r="U68" s="28"/>
      <c r="V68" s="28"/>
      <c r="W68" s="28"/>
      <c r="X68" s="28"/>
      <c r="Y68" s="28"/>
    </row>
    <row r="69" customFormat="false" ht="15" hidden="false" customHeight="false" outlineLevel="0" collapsed="false">
      <c r="A69" s="49" t="n">
        <v>22</v>
      </c>
      <c r="B69" s="30" t="n">
        <v>46256</v>
      </c>
      <c r="C69" s="31" t="s">
        <v>54</v>
      </c>
      <c r="D69" s="32"/>
      <c r="E69" s="50" t="n">
        <f aca="false">SUM(F69:Y69)</f>
        <v>0</v>
      </c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</row>
    <row r="70" customFormat="false" ht="15" hidden="false" customHeight="false" outlineLevel="0" collapsed="false">
      <c r="A70" s="49" t="n">
        <v>23</v>
      </c>
      <c r="B70" s="30" t="n">
        <v>46257</v>
      </c>
      <c r="C70" s="31" t="s">
        <v>55</v>
      </c>
      <c r="D70" s="32"/>
      <c r="E70" s="50" t="n">
        <f aca="false">SUM(F70:Y70)</f>
        <v>0</v>
      </c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</row>
    <row r="71" customFormat="false" ht="15" hidden="false" customHeight="false" outlineLevel="0" collapsed="false">
      <c r="A71" s="47" t="n">
        <v>24</v>
      </c>
      <c r="B71" s="26" t="n">
        <v>46258</v>
      </c>
      <c r="C71" s="27" t="s">
        <v>56</v>
      </c>
      <c r="D71" s="13" t="n">
        <v>42.7871</v>
      </c>
      <c r="E71" s="48" t="n">
        <f aca="false">SUM(F71:Y71)</f>
        <v>43603</v>
      </c>
      <c r="F71" s="28"/>
      <c r="G71" s="28"/>
      <c r="H71" s="28"/>
      <c r="I71" s="28"/>
      <c r="J71" s="28"/>
      <c r="K71" s="28"/>
      <c r="L71" s="28"/>
      <c r="M71" s="28"/>
      <c r="N71" s="28" t="n">
        <v>13019</v>
      </c>
      <c r="O71" s="28"/>
      <c r="P71" s="28"/>
      <c r="Q71" s="28" t="n">
        <v>13947</v>
      </c>
      <c r="R71" s="28" t="n">
        <v>4123</v>
      </c>
      <c r="S71" s="28"/>
      <c r="T71" s="28" t="n">
        <v>10140</v>
      </c>
      <c r="U71" s="28" t="n">
        <v>2374</v>
      </c>
      <c r="V71" s="28"/>
      <c r="W71" s="28"/>
      <c r="X71" s="28"/>
      <c r="Y71" s="28"/>
    </row>
    <row r="72" customFormat="false" ht="15" hidden="false" customHeight="false" outlineLevel="0" collapsed="false">
      <c r="A72" s="47" t="n">
        <v>25</v>
      </c>
      <c r="B72" s="26" t="n">
        <v>46259</v>
      </c>
      <c r="C72" s="27" t="s">
        <v>50</v>
      </c>
      <c r="D72" s="13" t="n">
        <v>39.0616</v>
      </c>
      <c r="E72" s="48" t="n">
        <f aca="false">SUM(F72:Y72)</f>
        <v>33665</v>
      </c>
      <c r="F72" s="28"/>
      <c r="G72" s="28"/>
      <c r="H72" s="28"/>
      <c r="I72" s="28"/>
      <c r="J72" s="28"/>
      <c r="K72" s="28"/>
      <c r="L72" s="28"/>
      <c r="M72" s="28"/>
      <c r="N72" s="28" t="n">
        <v>4341</v>
      </c>
      <c r="O72" s="28"/>
      <c r="P72" s="28"/>
      <c r="Q72" s="28"/>
      <c r="R72" s="28"/>
      <c r="S72" s="28"/>
      <c r="T72" s="28"/>
      <c r="U72" s="28" t="n">
        <v>8681</v>
      </c>
      <c r="V72" s="28" t="n">
        <v>3000</v>
      </c>
      <c r="W72" s="28" t="n">
        <v>1607</v>
      </c>
      <c r="X72" s="28" t="n">
        <v>8909</v>
      </c>
      <c r="Y72" s="28" t="n">
        <v>7127</v>
      </c>
    </row>
    <row r="73" customFormat="false" ht="15" hidden="false" customHeight="false" outlineLevel="0" collapsed="false">
      <c r="A73" s="47" t="n">
        <v>26</v>
      </c>
      <c r="B73" s="26" t="n">
        <v>46260</v>
      </c>
      <c r="C73" s="27" t="s">
        <v>51</v>
      </c>
      <c r="D73" s="13" t="n">
        <v>40.9001</v>
      </c>
      <c r="E73" s="48" t="n">
        <f aca="false">SUM(F73:Y73)</f>
        <v>35094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 t="n">
        <v>9987</v>
      </c>
      <c r="V73" s="28" t="n">
        <v>9000</v>
      </c>
      <c r="W73" s="28"/>
      <c r="X73" s="28" t="n">
        <v>5647</v>
      </c>
      <c r="Y73" s="28" t="n">
        <v>10460</v>
      </c>
    </row>
    <row r="74" customFormat="false" ht="15" hidden="false" customHeight="false" outlineLevel="0" collapsed="false">
      <c r="A74" s="47" t="n">
        <v>27</v>
      </c>
      <c r="B74" s="26" t="n">
        <v>46261</v>
      </c>
      <c r="C74" s="27" t="s">
        <v>52</v>
      </c>
      <c r="D74" s="13" t="n">
        <v>40.8118</v>
      </c>
      <c r="E74" s="48" t="n">
        <f aca="false">SUM(F74:Y74)</f>
        <v>28213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 t="n">
        <v>7830</v>
      </c>
      <c r="V74" s="28" t="n">
        <v>8000</v>
      </c>
      <c r="W74" s="28"/>
      <c r="X74" s="28" t="n">
        <v>4385</v>
      </c>
      <c r="Y74" s="28" t="n">
        <v>7998</v>
      </c>
    </row>
    <row r="75" customFormat="false" ht="15" hidden="false" customHeight="false" outlineLevel="0" collapsed="false">
      <c r="A75" s="47" t="n">
        <v>28</v>
      </c>
      <c r="B75" s="26" t="n">
        <v>46262</v>
      </c>
      <c r="C75" s="27" t="s">
        <v>53</v>
      </c>
      <c r="D75" s="13" t="n">
        <v>41.3753</v>
      </c>
      <c r="E75" s="48" t="n">
        <f aca="false">SUM(F75:Y75)</f>
        <v>17164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 t="n">
        <v>6446</v>
      </c>
      <c r="V75" s="28" t="n">
        <v>1370</v>
      </c>
      <c r="W75" s="28"/>
      <c r="X75" s="28" t="n">
        <v>2937</v>
      </c>
      <c r="Y75" s="28" t="n">
        <v>6411</v>
      </c>
    </row>
    <row r="76" customFormat="false" ht="15" hidden="false" customHeight="false" outlineLevel="0" collapsed="false">
      <c r="A76" s="47" t="n">
        <v>29</v>
      </c>
      <c r="B76" s="26" t="n">
        <v>46263</v>
      </c>
      <c r="C76" s="27" t="s">
        <v>54</v>
      </c>
      <c r="D76" s="13"/>
      <c r="E76" s="48" t="n">
        <f aca="false">SUM(F76:Y76)</f>
        <v>0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customFormat="false" ht="15" hidden="false" customHeight="false" outlineLevel="0" collapsed="false">
      <c r="A77" s="44"/>
      <c r="B77" s="51" t="s">
        <v>171</v>
      </c>
      <c r="C77" s="44"/>
      <c r="D77" s="19" t="n">
        <f aca="false">SUMPRODUCT(D48:D76,E48:E76)/SUMIF(D48:D76,"&gt;0",E48:E76)</f>
        <v>42.7720353402274</v>
      </c>
      <c r="E77" s="38" t="n">
        <f aca="false">SUM(E48:E76)</f>
        <v>697313</v>
      </c>
      <c r="F77" s="38" t="n">
        <f aca="false">SUM(F48:F76)</f>
        <v>54941</v>
      </c>
      <c r="G77" s="38" t="n">
        <f aca="false">SUM(G48:G76)</f>
        <v>45579</v>
      </c>
      <c r="H77" s="38" t="n">
        <f aca="false">SUM(H48:H76)</f>
        <v>38289</v>
      </c>
      <c r="I77" s="38" t="n">
        <f aca="false">SUM(I48:I76)</f>
        <v>19185</v>
      </c>
      <c r="J77" s="38" t="n">
        <f aca="false">SUM(J48:J76)</f>
        <v>24790</v>
      </c>
      <c r="K77" s="38" t="n">
        <f aca="false">SUM(K48:K76)</f>
        <v>20191</v>
      </c>
      <c r="L77" s="38" t="n">
        <f aca="false">SUM(L48:L76)</f>
        <v>74400</v>
      </c>
      <c r="M77" s="38" t="n">
        <f aca="false">SUM(M48:M76)</f>
        <v>58821</v>
      </c>
      <c r="N77" s="38" t="n">
        <f aca="false">SUM(N48:N76)</f>
        <v>69483</v>
      </c>
      <c r="O77" s="38" t="n">
        <f aca="false">SUM(O48:O76)</f>
        <v>18650</v>
      </c>
      <c r="P77" s="38" t="n">
        <f aca="false">SUM(P48:P76)</f>
        <v>5335</v>
      </c>
      <c r="Q77" s="38" t="n">
        <f aca="false">SUM(Q48:Q76)</f>
        <v>70520</v>
      </c>
      <c r="R77" s="38" t="n">
        <f aca="false">SUM(R48:R76)</f>
        <v>45425</v>
      </c>
      <c r="S77" s="38" t="n">
        <f aca="false">SUM(S48:S76)</f>
        <v>19395</v>
      </c>
      <c r="T77" s="38" t="n">
        <f aca="false">SUM(T48:T76)</f>
        <v>20140</v>
      </c>
      <c r="U77" s="38" t="n">
        <f aca="false">SUM(U48:U76)</f>
        <v>35318</v>
      </c>
      <c r="V77" s="38" t="n">
        <f aca="false">SUM(V48:V76)</f>
        <v>21370</v>
      </c>
      <c r="W77" s="38" t="n">
        <f aca="false">SUM(W48:W76)</f>
        <v>1607</v>
      </c>
      <c r="X77" s="38" t="n">
        <f aca="false">SUM(X48:X76)</f>
        <v>21878</v>
      </c>
      <c r="Y77" s="38" t="n">
        <f aca="false">SUM(Y48:Y76)</f>
        <v>31996</v>
      </c>
    </row>
    <row r="78" customFormat="false" ht="15" hidden="false" customHeight="false" outlineLevel="0" collapsed="false">
      <c r="A78" s="52"/>
      <c r="B78" s="53" t="s">
        <v>172</v>
      </c>
      <c r="C78" s="52"/>
      <c r="D78" s="52"/>
      <c r="E78" s="52"/>
      <c r="F78" s="54" t="n">
        <f aca="false">IF('AUGUST 2026'!J43="","",'AUGUST 2026'!J43)</f>
        <v>49</v>
      </c>
      <c r="G78" s="54" t="n">
        <f aca="false">IF('AUGUST 2026'!J44="","",'AUGUST 2026'!J44)</f>
        <v>48.7509</v>
      </c>
      <c r="H78" s="54" t="n">
        <f aca="false">IF('AUGUST 2026'!J45="","",'AUGUST 2026'!J45)</f>
        <v>48.1612</v>
      </c>
      <c r="I78" s="54" t="n">
        <f aca="false">IF('AUGUST 2026'!J46="","",'AUGUST 2026'!J46)</f>
        <v>39</v>
      </c>
      <c r="J78" s="54" t="n">
        <f aca="false">IF('AUGUST 2026'!J47="","",'AUGUST 2026'!J47)</f>
        <v>37.25</v>
      </c>
      <c r="K78" s="54" t="n">
        <f aca="false">IF('AUGUST 2026'!J48="","",'AUGUST 2026'!J48)</f>
        <v>36</v>
      </c>
      <c r="L78" s="54" t="n">
        <f aca="false">IF('AUGUST 2026'!J49="","",'AUGUST 2026'!J49)</f>
        <v>37.25</v>
      </c>
      <c r="M78" s="54" t="n">
        <f aca="false">IF('AUGUST 2026'!J50="","",'AUGUST 2026'!J50)</f>
        <v>48.4471</v>
      </c>
      <c r="N78" s="54" t="n">
        <f aca="false">IF('AUGUST 2026'!J51="","",'AUGUST 2026'!J51)</f>
        <v>42</v>
      </c>
      <c r="O78" s="54" t="n">
        <f aca="false">IF('AUGUST 2026'!J52="","",'AUGUST 2026'!J52)</f>
        <v>39</v>
      </c>
      <c r="P78" s="54" t="n">
        <f aca="false">IF('AUGUST 2026'!J53="","",'AUGUST 2026'!J53)</f>
        <v>39</v>
      </c>
      <c r="Q78" s="54" t="n">
        <f aca="false">IF('AUGUST 2026'!J54="","",'AUGUST 2026'!J54)</f>
        <v>48.25</v>
      </c>
      <c r="R78" s="54" t="n">
        <f aca="false">IF('AUGUST 2026'!J55="","",'AUGUST 2026'!J55)</f>
        <v>38</v>
      </c>
      <c r="S78" s="54" t="n">
        <f aca="false">IF('AUGUST 2026'!J56="","",'AUGUST 2026'!J56)</f>
        <v>39</v>
      </c>
      <c r="T78" s="54" t="n">
        <f aca="false">IF('AUGUST 2026'!J57="","",'AUGUST 2026'!J57)</f>
        <v>39</v>
      </c>
      <c r="U78" s="54" t="n">
        <f aca="false">IF('AUGUST 2026'!J58="","",'AUGUST 2026'!J58)</f>
        <v>39.5</v>
      </c>
      <c r="V78" s="54" t="n">
        <f aca="false">IF('AUGUST 2026'!J59="","",'AUGUST 2026'!J59)</f>
        <v>39</v>
      </c>
      <c r="W78" s="54" t="n">
        <f aca="false">IF('AUGUST 2026'!J60="","",'AUGUST 2026'!J60)</f>
        <v>1.75</v>
      </c>
      <c r="X78" s="54" t="n">
        <f aca="false">IF('AUGUST 2026'!J61="","",'AUGUST 2026'!J61)</f>
        <v>39.5013</v>
      </c>
      <c r="Y78" s="54" t="n">
        <f aca="false">IF('AUGUST 2026'!J62="","",'AUGUST 2026'!J62)</f>
        <v>44.6269</v>
      </c>
    </row>
    <row r="79" customFormat="false" ht="15" hidden="false" customHeight="false" outlineLevel="0" collapsed="false">
      <c r="A79" s="52"/>
      <c r="B79" s="53" t="s">
        <v>173</v>
      </c>
      <c r="C79" s="52"/>
      <c r="D79" s="52"/>
      <c r="E79" s="52"/>
      <c r="F79" s="55" t="n">
        <f aca="false">IF('AUGUST 2026'!I43="","",'AUGUST 2026'!I43)</f>
        <v>0.0594993117922021</v>
      </c>
      <c r="G79" s="55" t="n">
        <f aca="false">IF('AUGUST 2026'!I44="","",'AUGUST 2026'!I44)</f>
        <v>0.0085612968591692</v>
      </c>
      <c r="H79" s="55" t="n">
        <f aca="false">IF('AUGUST 2026'!I45="","",'AUGUST 2026'!I45)</f>
        <v>0.0484048796102002</v>
      </c>
      <c r="I79" s="55" t="n">
        <f aca="false">IF('AUGUST 2026'!I46="","",'AUGUST 2026'!I46)</f>
        <v>0</v>
      </c>
      <c r="J79" s="55" t="n">
        <f aca="false">IF('AUGUST 2026'!I47="","",'AUGUST 2026'!I47)</f>
        <v>0.00879648140743703</v>
      </c>
      <c r="K79" s="55" t="n">
        <f aca="false">IF('AUGUST 2026'!I48="","",'AUGUST 2026'!I48)</f>
        <v>0.000692897797574858</v>
      </c>
      <c r="L79" s="55" t="n">
        <f aca="false">IF('AUGUST 2026'!I49="","",'AUGUST 2026'!I49)</f>
        <v>0.0103092783505155</v>
      </c>
      <c r="M79" s="55" t="n">
        <f aca="false">IF('AUGUST 2026'!I50="","",'AUGUST 2026'!I50)</f>
        <v>0.00698911116738415</v>
      </c>
      <c r="N79" s="55" t="n">
        <f aca="false">IF('AUGUST 2026'!I51="","",'AUGUST 2026'!I51)</f>
        <v>0.0593881142547719</v>
      </c>
      <c r="O79" s="55" t="n">
        <f aca="false">IF('AUGUST 2026'!I52="","",'AUGUST 2026'!I52)</f>
        <v>0</v>
      </c>
      <c r="P79" s="55" t="n">
        <f aca="false">IF('AUGUST 2026'!I53="","",'AUGUST 2026'!I53)</f>
        <v>0.000936329588014981</v>
      </c>
      <c r="Q79" s="55" t="n">
        <f aca="false">IF('AUGUST 2026'!I54="","",'AUGUST 2026'!I54)</f>
        <v>0.0596706447096473</v>
      </c>
      <c r="R79" s="55" t="n">
        <f aca="false">IF('AUGUST 2026'!I55="","",'AUGUST 2026'!I55)</f>
        <v>0.0121134356922274</v>
      </c>
      <c r="S79" s="55" t="n">
        <f aca="false">IF('AUGUST 2026'!I56="","",'AUGUST 2026'!I56)</f>
        <v>0</v>
      </c>
      <c r="T79" s="55" t="n">
        <f aca="false">IF('AUGUST 2026'!I57="","",'AUGUST 2026'!I57)</f>
        <v>0</v>
      </c>
      <c r="U79" s="55" t="n">
        <f aca="false">IF('AUGUST 2026'!I58="","",'AUGUST 2026'!I58)</f>
        <v>0.00785346582066323</v>
      </c>
      <c r="V79" s="55" t="n">
        <f aca="false">IF('AUGUST 2026'!I59="","",'AUGUST 2026'!I59)</f>
        <v>0</v>
      </c>
      <c r="W79" s="55" t="n">
        <f aca="false">IF('AUGUST 2026'!I60="","",'AUGUST 2026'!I60)</f>
        <v>0.00495356037151703</v>
      </c>
      <c r="X79" s="55" t="n">
        <f aca="false">IF('AUGUST 2026'!I61="","",'AUGUST 2026'!I61)</f>
        <v>0.00974374095319788</v>
      </c>
      <c r="Y79" s="55" t="n">
        <f aca="false">IF('AUGUST 2026'!I62="","",'AUGUST 2026'!I62)</f>
        <v>0.0218285891089109</v>
      </c>
    </row>
    <row r="80" customFormat="false" ht="15" hidden="false" customHeight="false" outlineLevel="0" collapsed="false">
      <c r="A80" s="52"/>
      <c r="B80" s="53" t="s">
        <v>174</v>
      </c>
      <c r="C80" s="52"/>
      <c r="D80" s="52"/>
      <c r="E80" s="52"/>
      <c r="F80" s="54" t="n">
        <f aca="false">IF('AUGUST 2026'!K43="","",'AUGUST 2026'!K43)</f>
        <v>52.0999</v>
      </c>
      <c r="G80" s="54" t="n">
        <f aca="false">IF('AUGUST 2026'!K44="","",'AUGUST 2026'!K44)</f>
        <v>49.1719</v>
      </c>
      <c r="H80" s="54" t="n">
        <f aca="false">IF('AUGUST 2026'!K45="","",'AUGUST 2026'!K45)</f>
        <v>50.611</v>
      </c>
      <c r="I80" s="54" t="n">
        <f aca="false">IF('AUGUST 2026'!K46="","",'AUGUST 2026'!K46)</f>
        <v>39</v>
      </c>
      <c r="J80" s="54" t="n">
        <f aca="false">IF('AUGUST 2026'!K47="","",'AUGUST 2026'!K47)</f>
        <v>37.5806</v>
      </c>
      <c r="K80" s="54" t="n">
        <f aca="false">IF('AUGUST 2026'!K48="","",'AUGUST 2026'!K48)</f>
        <v>36.025</v>
      </c>
      <c r="L80" s="54" t="n">
        <f aca="false">IF('AUGUST 2026'!K49="","",'AUGUST 2026'!K49)</f>
        <v>37.638</v>
      </c>
      <c r="M80" s="54" t="n">
        <f aca="false">IF('AUGUST 2026'!K50="","",'AUGUST 2026'!K50)</f>
        <v>48.7881</v>
      </c>
      <c r="N80" s="54" t="n">
        <f aca="false">IF('AUGUST 2026'!K51="","",'AUGUST 2026'!K51)</f>
        <v>44.6518</v>
      </c>
      <c r="O80" s="54" t="n">
        <f aca="false">IF('AUGUST 2026'!K52="","",'AUGUST 2026'!K52)</f>
        <v>39</v>
      </c>
      <c r="P80" s="54" t="n">
        <f aca="false">IF('AUGUST 2026'!K53="","",'AUGUST 2026'!K53)</f>
        <v>39.0366</v>
      </c>
      <c r="Q80" s="54" t="n">
        <f aca="false">IF('AUGUST 2026'!K54="","",'AUGUST 2026'!K54)</f>
        <v>51.3118</v>
      </c>
      <c r="R80" s="54" t="n">
        <f aca="false">IF('AUGUST 2026'!K55="","",'AUGUST 2026'!K55)</f>
        <v>38.466</v>
      </c>
      <c r="S80" s="54" t="n">
        <f aca="false">IF('AUGUST 2026'!K56="","",'AUGUST 2026'!K56)</f>
        <v>39</v>
      </c>
      <c r="T80" s="54" t="n">
        <f aca="false">IF('AUGUST 2026'!K57="","",'AUGUST 2026'!K57)</f>
        <v>39</v>
      </c>
      <c r="U80" s="54" t="n">
        <f aca="false">IF('AUGUST 2026'!K58="","",'AUGUST 2026'!K58)</f>
        <v>39.8127</v>
      </c>
      <c r="V80" s="54" t="n">
        <f aca="false">IF('AUGUST 2026'!K59="","",'AUGUST 2026'!K59)</f>
        <v>39</v>
      </c>
      <c r="W80" s="54" t="n">
        <f aca="false">IF('AUGUST 2026'!K60="","",'AUGUST 2026'!K60)</f>
        <v>1.7587</v>
      </c>
      <c r="X80" s="54" t="n">
        <f aca="false">IF('AUGUST 2026'!K61="","",'AUGUST 2026'!K61)</f>
        <v>39.89</v>
      </c>
      <c r="Y80" s="54" t="n">
        <f aca="false">IF('AUGUST 2026'!K62="","",'AUGUST 2026'!K62)</f>
        <v>45.6228</v>
      </c>
    </row>
    <row r="83" customFormat="false" ht="15" hidden="false" customHeight="false" outlineLevel="0" collapsed="false">
      <c r="A83" s="40" t="s">
        <v>176</v>
      </c>
    </row>
    <row r="84" customFormat="false" ht="22.35" hidden="false" customHeight="true" outlineLevel="0" collapsed="false">
      <c r="A84" s="2" t="s">
        <v>168</v>
      </c>
      <c r="B84" s="2" t="s">
        <v>30</v>
      </c>
      <c r="C84" s="2" t="s">
        <v>22</v>
      </c>
      <c r="D84" s="7" t="s">
        <v>169</v>
      </c>
      <c r="E84" s="3" t="s">
        <v>170</v>
      </c>
      <c r="F84" s="3" t="s">
        <v>135</v>
      </c>
      <c r="G84" s="3" t="s">
        <v>139</v>
      </c>
      <c r="H84" s="3" t="s">
        <v>141</v>
      </c>
      <c r="I84" s="3" t="s">
        <v>146</v>
      </c>
      <c r="J84" s="3" t="s">
        <v>147</v>
      </c>
      <c r="K84" s="3" t="s">
        <v>148</v>
      </c>
      <c r="L84" s="3" t="s">
        <v>150</v>
      </c>
      <c r="M84" s="3" t="s">
        <v>152</v>
      </c>
      <c r="N84" s="3" t="s">
        <v>153</v>
      </c>
      <c r="O84" s="3" t="s">
        <v>155</v>
      </c>
      <c r="P84" s="3" t="s">
        <v>159</v>
      </c>
      <c r="Q84" s="3" t="s">
        <v>160</v>
      </c>
      <c r="R84" s="3" t="s">
        <v>162</v>
      </c>
      <c r="S84" s="3" t="s">
        <v>164</v>
      </c>
    </row>
    <row r="85" customFormat="false" ht="15" hidden="false" customHeight="false" outlineLevel="0" collapsed="false">
      <c r="A85" s="2"/>
      <c r="B85" s="2"/>
      <c r="C85" s="2"/>
      <c r="D85" s="2"/>
      <c r="E85" s="2"/>
      <c r="F85" s="46" t="s">
        <v>136</v>
      </c>
      <c r="G85" s="46" t="s">
        <v>140</v>
      </c>
      <c r="H85" s="46" t="s">
        <v>142</v>
      </c>
      <c r="I85" s="46" t="s">
        <v>82</v>
      </c>
      <c r="J85" s="46" t="s">
        <v>86</v>
      </c>
      <c r="K85" s="46" t="s">
        <v>149</v>
      </c>
      <c r="L85" s="46" t="s">
        <v>151</v>
      </c>
      <c r="M85" s="46" t="s">
        <v>86</v>
      </c>
      <c r="N85" s="46" t="s">
        <v>154</v>
      </c>
      <c r="O85" s="46" t="s">
        <v>156</v>
      </c>
      <c r="P85" s="46" t="s">
        <v>86</v>
      </c>
      <c r="Q85" s="46" t="s">
        <v>161</v>
      </c>
      <c r="R85" s="46" t="s">
        <v>163</v>
      </c>
      <c r="S85" s="46" t="s">
        <v>86</v>
      </c>
    </row>
    <row r="86" customFormat="false" ht="15" hidden="false" customHeight="false" outlineLevel="0" collapsed="false">
      <c r="A86" s="47" t="n">
        <v>1</v>
      </c>
      <c r="B86" s="26" t="n">
        <v>46263</v>
      </c>
      <c r="C86" s="27" t="s">
        <v>54</v>
      </c>
      <c r="D86" s="13" t="n">
        <v>41.0811</v>
      </c>
      <c r="E86" s="48" t="n">
        <f aca="false">SUM(F86:S86)</f>
        <v>12314</v>
      </c>
      <c r="F86" s="28" t="n">
        <v>6119</v>
      </c>
      <c r="G86" s="28" t="n">
        <v>2398</v>
      </c>
      <c r="H86" s="28" t="n">
        <v>3797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</row>
    <row r="87" customFormat="false" ht="15" hidden="false" customHeight="false" outlineLevel="0" collapsed="false">
      <c r="A87" s="49" t="n">
        <v>2</v>
      </c>
      <c r="B87" s="30" t="n">
        <v>46264</v>
      </c>
      <c r="C87" s="31" t="s">
        <v>55</v>
      </c>
      <c r="D87" s="32"/>
      <c r="E87" s="50" t="n">
        <f aca="false">SUM(F87:S87)</f>
        <v>0</v>
      </c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</row>
    <row r="88" customFormat="false" ht="15" hidden="false" customHeight="false" outlineLevel="0" collapsed="false">
      <c r="A88" s="49" t="n">
        <v>3</v>
      </c>
      <c r="B88" s="30" t="n">
        <v>46265</v>
      </c>
      <c r="C88" s="31" t="s">
        <v>56</v>
      </c>
      <c r="D88" s="32"/>
      <c r="E88" s="50" t="n">
        <f aca="false">SUM(F88:S88)</f>
        <v>0</v>
      </c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</row>
    <row r="89" customFormat="false" ht="15" hidden="false" customHeight="false" outlineLevel="0" collapsed="false">
      <c r="A89" s="47" t="n">
        <v>4</v>
      </c>
      <c r="B89" s="26" t="n">
        <v>46266</v>
      </c>
      <c r="C89" s="27" t="s">
        <v>50</v>
      </c>
      <c r="D89" s="13" t="n">
        <v>41.4406</v>
      </c>
      <c r="E89" s="48" t="n">
        <f aca="false">SUM(F89:S89)</f>
        <v>41867</v>
      </c>
      <c r="F89" s="28"/>
      <c r="G89" s="28" t="n">
        <v>8468</v>
      </c>
      <c r="H89" s="28" t="n">
        <v>15845</v>
      </c>
      <c r="I89" s="28" t="n">
        <v>17554</v>
      </c>
      <c r="J89" s="28"/>
      <c r="K89" s="28"/>
      <c r="L89" s="28"/>
      <c r="M89" s="28"/>
      <c r="N89" s="28"/>
      <c r="O89" s="28"/>
      <c r="P89" s="28"/>
      <c r="Q89" s="28"/>
      <c r="R89" s="28"/>
      <c r="S89" s="28"/>
    </row>
    <row r="90" customFormat="false" ht="15" hidden="false" customHeight="false" outlineLevel="0" collapsed="false">
      <c r="A90" s="47" t="n">
        <v>5</v>
      </c>
      <c r="B90" s="26" t="n">
        <v>46267</v>
      </c>
      <c r="C90" s="27" t="s">
        <v>51</v>
      </c>
      <c r="D90" s="13" t="n">
        <v>41.2271</v>
      </c>
      <c r="E90" s="48" t="n">
        <f aca="false">SUM(F90:S90)</f>
        <v>28656</v>
      </c>
      <c r="F90" s="28"/>
      <c r="G90" s="28" t="n">
        <v>5084</v>
      </c>
      <c r="H90" s="28" t="n">
        <v>10042</v>
      </c>
      <c r="I90" s="28" t="n">
        <v>9530</v>
      </c>
      <c r="J90" s="28" t="n">
        <v>4000</v>
      </c>
      <c r="K90" s="28"/>
      <c r="L90" s="28"/>
      <c r="M90" s="28"/>
      <c r="N90" s="28"/>
      <c r="O90" s="28"/>
      <c r="P90" s="28"/>
      <c r="Q90" s="28"/>
      <c r="R90" s="28"/>
      <c r="S90" s="28"/>
    </row>
    <row r="91" customFormat="false" ht="15" hidden="false" customHeight="false" outlineLevel="0" collapsed="false">
      <c r="A91" s="47" t="n">
        <v>6</v>
      </c>
      <c r="B91" s="26" t="n">
        <v>46268</v>
      </c>
      <c r="C91" s="27" t="s">
        <v>52</v>
      </c>
      <c r="D91" s="13" t="n">
        <v>40.9802</v>
      </c>
      <c r="E91" s="48" t="n">
        <f aca="false">SUM(F91:S91)</f>
        <v>35299</v>
      </c>
      <c r="F91" s="28"/>
      <c r="G91" s="28" t="n">
        <v>5002</v>
      </c>
      <c r="H91" s="28" t="n">
        <v>1549</v>
      </c>
      <c r="I91" s="28" t="n">
        <v>10590</v>
      </c>
      <c r="J91" s="28" t="n">
        <v>10000</v>
      </c>
      <c r="K91" s="28" t="n">
        <v>8158</v>
      </c>
      <c r="L91" s="28"/>
      <c r="M91" s="28"/>
      <c r="N91" s="28"/>
      <c r="O91" s="28"/>
      <c r="P91" s="28"/>
      <c r="Q91" s="28"/>
      <c r="R91" s="28"/>
      <c r="S91" s="28"/>
    </row>
    <row r="92" customFormat="false" ht="15" hidden="false" customHeight="false" outlineLevel="0" collapsed="false">
      <c r="A92" s="47" t="n">
        <v>7</v>
      </c>
      <c r="B92" s="26" t="n">
        <v>46269</v>
      </c>
      <c r="C92" s="27" t="s">
        <v>53</v>
      </c>
      <c r="D92" s="13" t="n">
        <v>41.2774</v>
      </c>
      <c r="E92" s="48" t="n">
        <f aca="false">SUM(F92:S92)</f>
        <v>31255</v>
      </c>
      <c r="F92" s="28"/>
      <c r="G92" s="28" t="n">
        <v>4743</v>
      </c>
      <c r="H92" s="28"/>
      <c r="I92" s="28" t="n">
        <v>11490</v>
      </c>
      <c r="J92" s="28" t="n">
        <v>5385</v>
      </c>
      <c r="K92" s="28" t="n">
        <v>9637</v>
      </c>
      <c r="L92" s="28"/>
      <c r="M92" s="28"/>
      <c r="N92" s="28"/>
      <c r="O92" s="28"/>
      <c r="P92" s="28"/>
      <c r="Q92" s="28"/>
      <c r="R92" s="28"/>
      <c r="S92" s="28"/>
    </row>
    <row r="93" customFormat="false" ht="15" hidden="false" customHeight="false" outlineLevel="0" collapsed="false">
      <c r="A93" s="47" t="n">
        <v>8</v>
      </c>
      <c r="B93" s="26" t="n">
        <v>46270</v>
      </c>
      <c r="C93" s="27" t="s">
        <v>54</v>
      </c>
      <c r="D93" s="13" t="n">
        <v>44.0171</v>
      </c>
      <c r="E93" s="48" t="n">
        <f aca="false">SUM(F93:S93)</f>
        <v>31007</v>
      </c>
      <c r="F93" s="28"/>
      <c r="G93" s="28" t="n">
        <v>6216</v>
      </c>
      <c r="H93" s="28"/>
      <c r="I93" s="28" t="n">
        <v>5326</v>
      </c>
      <c r="J93" s="28"/>
      <c r="K93" s="28" t="n">
        <v>12148</v>
      </c>
      <c r="L93" s="28" t="n">
        <v>7317</v>
      </c>
      <c r="M93" s="28"/>
      <c r="N93" s="28"/>
      <c r="O93" s="28"/>
      <c r="P93" s="28"/>
      <c r="Q93" s="28"/>
      <c r="R93" s="28"/>
      <c r="S93" s="28"/>
    </row>
    <row r="94" customFormat="false" ht="15" hidden="false" customHeight="false" outlineLevel="0" collapsed="false">
      <c r="A94" s="49" t="n">
        <v>9</v>
      </c>
      <c r="B94" s="30" t="n">
        <v>46271</v>
      </c>
      <c r="C94" s="31" t="s">
        <v>55</v>
      </c>
      <c r="D94" s="32"/>
      <c r="E94" s="50" t="n">
        <f aca="false">SUM(F94:S94)</f>
        <v>0</v>
      </c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</row>
    <row r="95" customFormat="false" ht="15" hidden="false" customHeight="false" outlineLevel="0" collapsed="false">
      <c r="A95" s="47" t="n">
        <v>10</v>
      </c>
      <c r="B95" s="26" t="n">
        <v>46272</v>
      </c>
      <c r="C95" s="27" t="s">
        <v>56</v>
      </c>
      <c r="D95" s="13" t="n">
        <v>44.8498</v>
      </c>
      <c r="E95" s="48" t="n">
        <f aca="false">SUM(F95:S95)</f>
        <v>34406</v>
      </c>
      <c r="F95" s="28"/>
      <c r="G95" s="28" t="n">
        <v>5880</v>
      </c>
      <c r="H95" s="28"/>
      <c r="I95" s="28"/>
      <c r="J95" s="28"/>
      <c r="K95" s="28" t="n">
        <v>12178</v>
      </c>
      <c r="L95" s="28" t="n">
        <v>12348</v>
      </c>
      <c r="M95" s="28" t="n">
        <v>4000</v>
      </c>
      <c r="N95" s="28"/>
      <c r="O95" s="28"/>
      <c r="P95" s="28"/>
      <c r="Q95" s="28"/>
      <c r="R95" s="28"/>
      <c r="S95" s="28"/>
    </row>
    <row r="96" customFormat="false" ht="15" hidden="false" customHeight="false" outlineLevel="0" collapsed="false">
      <c r="A96" s="47" t="n">
        <v>11</v>
      </c>
      <c r="B96" s="26" t="n">
        <v>46273</v>
      </c>
      <c r="C96" s="27" t="s">
        <v>50</v>
      </c>
      <c r="D96" s="13" t="n">
        <v>43.7697</v>
      </c>
      <c r="E96" s="48" t="n">
        <f aca="false">SUM(F96:S96)</f>
        <v>38399</v>
      </c>
      <c r="F96" s="28"/>
      <c r="G96" s="28" t="n">
        <v>5405</v>
      </c>
      <c r="H96" s="28"/>
      <c r="I96" s="28"/>
      <c r="J96" s="28"/>
      <c r="K96" s="28" t="n">
        <v>13209</v>
      </c>
      <c r="L96" s="28" t="n">
        <v>9785</v>
      </c>
      <c r="M96" s="28" t="n">
        <v>10000</v>
      </c>
      <c r="N96" s="28"/>
      <c r="O96" s="28"/>
      <c r="P96" s="28"/>
      <c r="Q96" s="28"/>
      <c r="R96" s="28"/>
      <c r="S96" s="28"/>
    </row>
    <row r="97" customFormat="false" ht="15" hidden="false" customHeight="false" outlineLevel="0" collapsed="false">
      <c r="A97" s="47" t="n">
        <v>12</v>
      </c>
      <c r="B97" s="26" t="n">
        <v>46274</v>
      </c>
      <c r="C97" s="27" t="s">
        <v>51</v>
      </c>
      <c r="D97" s="13" t="n">
        <v>44.4955</v>
      </c>
      <c r="E97" s="48" t="n">
        <f aca="false">SUM(F97:S97)</f>
        <v>34480</v>
      </c>
      <c r="F97" s="28"/>
      <c r="G97" s="28" t="n">
        <v>6128</v>
      </c>
      <c r="H97" s="28"/>
      <c r="I97" s="28"/>
      <c r="J97" s="28"/>
      <c r="K97" s="28"/>
      <c r="L97" s="28" t="n">
        <v>11242</v>
      </c>
      <c r="M97" s="28" t="n">
        <v>5170</v>
      </c>
      <c r="N97" s="28" t="n">
        <v>11940</v>
      </c>
      <c r="O97" s="28"/>
      <c r="P97" s="28"/>
      <c r="Q97" s="28"/>
      <c r="R97" s="28"/>
      <c r="S97" s="28"/>
    </row>
    <row r="98" customFormat="false" ht="15" hidden="false" customHeight="false" outlineLevel="0" collapsed="false">
      <c r="A98" s="47" t="n">
        <v>13</v>
      </c>
      <c r="B98" s="26" t="n">
        <v>46275</v>
      </c>
      <c r="C98" s="27" t="s">
        <v>52</v>
      </c>
      <c r="D98" s="13" t="n">
        <v>46.0887</v>
      </c>
      <c r="E98" s="48" t="n">
        <f aca="false">SUM(F98:S98)</f>
        <v>31487</v>
      </c>
      <c r="F98" s="28"/>
      <c r="G98" s="28" t="n">
        <v>2683</v>
      </c>
      <c r="H98" s="28"/>
      <c r="I98" s="28"/>
      <c r="J98" s="28"/>
      <c r="K98" s="28"/>
      <c r="L98" s="28" t="n">
        <v>11456</v>
      </c>
      <c r="M98" s="28"/>
      <c r="N98" s="28" t="n">
        <v>11951</v>
      </c>
      <c r="O98" s="28" t="n">
        <v>3397</v>
      </c>
      <c r="P98" s="28" t="n">
        <v>2000</v>
      </c>
      <c r="Q98" s="28"/>
      <c r="R98" s="28"/>
      <c r="S98" s="28"/>
    </row>
    <row r="99" customFormat="false" ht="15" hidden="false" customHeight="false" outlineLevel="0" collapsed="false">
      <c r="A99" s="47" t="n">
        <v>14</v>
      </c>
      <c r="B99" s="26" t="n">
        <v>46276</v>
      </c>
      <c r="C99" s="27" t="s">
        <v>53</v>
      </c>
      <c r="D99" s="13" t="n">
        <v>42.4726</v>
      </c>
      <c r="E99" s="48" t="n">
        <f aca="false">SUM(F99:S99)</f>
        <v>35468</v>
      </c>
      <c r="F99" s="28"/>
      <c r="G99" s="28"/>
      <c r="H99" s="28"/>
      <c r="I99" s="28"/>
      <c r="J99" s="28"/>
      <c r="K99" s="28"/>
      <c r="L99" s="28"/>
      <c r="M99" s="28"/>
      <c r="N99" s="28" t="n">
        <v>9537</v>
      </c>
      <c r="O99" s="28" t="n">
        <v>5167</v>
      </c>
      <c r="P99" s="28" t="n">
        <v>10000</v>
      </c>
      <c r="Q99" s="28" t="n">
        <v>10764</v>
      </c>
      <c r="R99" s="28"/>
      <c r="S99" s="28"/>
    </row>
    <row r="100" customFormat="false" ht="15" hidden="false" customHeight="false" outlineLevel="0" collapsed="false">
      <c r="A100" s="47" t="n">
        <v>15</v>
      </c>
      <c r="B100" s="26" t="n">
        <v>46277</v>
      </c>
      <c r="C100" s="27" t="s">
        <v>54</v>
      </c>
      <c r="D100" s="13" t="n">
        <v>42.8893</v>
      </c>
      <c r="E100" s="48" t="n">
        <f aca="false">SUM(F100:S100)</f>
        <v>34155</v>
      </c>
      <c r="F100" s="28"/>
      <c r="G100" s="28"/>
      <c r="H100" s="28"/>
      <c r="I100" s="28"/>
      <c r="J100" s="28"/>
      <c r="K100" s="28"/>
      <c r="L100" s="28"/>
      <c r="M100" s="28"/>
      <c r="N100" s="28" t="n">
        <v>10740</v>
      </c>
      <c r="O100" s="28" t="n">
        <v>5369</v>
      </c>
      <c r="P100" s="28" t="n">
        <v>7510</v>
      </c>
      <c r="Q100" s="28" t="n">
        <v>10536</v>
      </c>
      <c r="R100" s="28"/>
      <c r="S100" s="28"/>
    </row>
    <row r="101" customFormat="false" ht="15" hidden="false" customHeight="false" outlineLevel="0" collapsed="false">
      <c r="A101" s="49" t="n">
        <v>16</v>
      </c>
      <c r="B101" s="30" t="n">
        <v>46278</v>
      </c>
      <c r="C101" s="31" t="s">
        <v>55</v>
      </c>
      <c r="D101" s="32"/>
      <c r="E101" s="50" t="n">
        <f aca="false">SUM(F101:S101)</f>
        <v>0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</row>
    <row r="102" customFormat="false" ht="15" hidden="false" customHeight="false" outlineLevel="0" collapsed="false">
      <c r="A102" s="47" t="n">
        <v>17</v>
      </c>
      <c r="B102" s="26" t="n">
        <v>46279</v>
      </c>
      <c r="C102" s="27" t="s">
        <v>56</v>
      </c>
      <c r="D102" s="13" t="n">
        <v>43.9329</v>
      </c>
      <c r="E102" s="48" t="n">
        <f aca="false">SUM(F102:S102)</f>
        <v>36450</v>
      </c>
      <c r="F102" s="28"/>
      <c r="G102" s="28"/>
      <c r="H102" s="28"/>
      <c r="I102" s="28"/>
      <c r="J102" s="28"/>
      <c r="K102" s="28"/>
      <c r="L102" s="28"/>
      <c r="M102" s="28"/>
      <c r="N102" s="28" t="n">
        <v>9227</v>
      </c>
      <c r="O102" s="28" t="n">
        <v>6589</v>
      </c>
      <c r="P102" s="28"/>
      <c r="Q102" s="28" t="n">
        <v>13252</v>
      </c>
      <c r="R102" s="28" t="n">
        <v>7382</v>
      </c>
      <c r="S102" s="28"/>
    </row>
    <row r="103" customFormat="false" ht="15" hidden="false" customHeight="false" outlineLevel="0" collapsed="false">
      <c r="A103" s="47" t="n">
        <v>18</v>
      </c>
      <c r="B103" s="26" t="n">
        <v>46280</v>
      </c>
      <c r="C103" s="27" t="s">
        <v>50</v>
      </c>
      <c r="D103" s="13" t="n">
        <v>43.4503</v>
      </c>
      <c r="E103" s="48" t="n">
        <f aca="false">SUM(F103:S103)</f>
        <v>40041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 t="n">
        <v>7386</v>
      </c>
      <c r="P103" s="28"/>
      <c r="Q103" s="28" t="n">
        <v>14589</v>
      </c>
      <c r="R103" s="28" t="n">
        <v>16066</v>
      </c>
      <c r="S103" s="28" t="n">
        <v>2000</v>
      </c>
    </row>
    <row r="104" customFormat="false" ht="15" hidden="false" customHeight="false" outlineLevel="0" collapsed="false">
      <c r="A104" s="47" t="n">
        <v>19</v>
      </c>
      <c r="B104" s="26" t="n">
        <v>46281</v>
      </c>
      <c r="C104" s="27" t="s">
        <v>51</v>
      </c>
      <c r="D104" s="13" t="n">
        <v>42.7725</v>
      </c>
      <c r="E104" s="48" t="n">
        <f aca="false">SUM(F104:S104)</f>
        <v>35460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 t="n">
        <v>6267</v>
      </c>
      <c r="P104" s="28"/>
      <c r="Q104" s="28" t="n">
        <v>12572</v>
      </c>
      <c r="R104" s="28" t="n">
        <v>10571</v>
      </c>
      <c r="S104" s="28" t="n">
        <v>6050</v>
      </c>
    </row>
    <row r="105" customFormat="false" ht="15" hidden="false" customHeight="false" outlineLevel="0" collapsed="false">
      <c r="A105" s="44"/>
      <c r="B105" s="51" t="s">
        <v>171</v>
      </c>
      <c r="C105" s="44"/>
      <c r="D105" s="19" t="n">
        <f aca="false">SUMPRODUCT(D86:D104,E86:E104)/SUMIF(D86:D104,"&gt;0",E86:E104)</f>
        <v>43.0602680836915</v>
      </c>
      <c r="E105" s="38" t="n">
        <f aca="false">SUM(E86:E104)</f>
        <v>500744</v>
      </c>
      <c r="F105" s="38" t="n">
        <f aca="false">SUM(F86:F104)</f>
        <v>6119</v>
      </c>
      <c r="G105" s="38" t="n">
        <f aca="false">SUM(G86:G104)</f>
        <v>52007</v>
      </c>
      <c r="H105" s="38" t="n">
        <f aca="false">SUM(H86:H104)</f>
        <v>31233</v>
      </c>
      <c r="I105" s="38" t="n">
        <f aca="false">SUM(I86:I104)</f>
        <v>54490</v>
      </c>
      <c r="J105" s="38" t="n">
        <f aca="false">SUM(J86:J104)</f>
        <v>19385</v>
      </c>
      <c r="K105" s="38" t="n">
        <f aca="false">SUM(K86:K104)</f>
        <v>55330</v>
      </c>
      <c r="L105" s="38" t="n">
        <f aca="false">SUM(L86:L104)</f>
        <v>52148</v>
      </c>
      <c r="M105" s="38" t="n">
        <f aca="false">SUM(M86:M104)</f>
        <v>19170</v>
      </c>
      <c r="N105" s="38" t="n">
        <f aca="false">SUM(N86:N104)</f>
        <v>53395</v>
      </c>
      <c r="O105" s="38" t="n">
        <f aca="false">SUM(O86:O104)</f>
        <v>34175</v>
      </c>
      <c r="P105" s="38" t="n">
        <f aca="false">SUM(P86:P104)</f>
        <v>19510</v>
      </c>
      <c r="Q105" s="38" t="n">
        <f aca="false">SUM(Q86:Q104)</f>
        <v>61713</v>
      </c>
      <c r="R105" s="38" t="n">
        <f aca="false">SUM(R86:R104)</f>
        <v>34019</v>
      </c>
      <c r="S105" s="38" t="n">
        <f aca="false">SUM(S86:S104)</f>
        <v>8050</v>
      </c>
    </row>
    <row r="106" customFormat="false" ht="15" hidden="false" customHeight="false" outlineLevel="0" collapsed="false">
      <c r="A106" s="52"/>
      <c r="B106" s="53" t="s">
        <v>172</v>
      </c>
      <c r="C106" s="52"/>
      <c r="D106" s="52"/>
      <c r="E106" s="52"/>
      <c r="F106" s="54" t="n">
        <f aca="false">IF('SEPTEMBER 2026'!J33="","",'SEPTEMBER 2026'!J33)</f>
        <v>39.5</v>
      </c>
      <c r="G106" s="54" t="n">
        <f aca="false">IF('SEPTEMBER 2026'!J34="","",'SEPTEMBER 2026'!J34)</f>
        <v>39.5013</v>
      </c>
      <c r="H106" s="54" t="n">
        <f aca="false">IF('SEPTEMBER 2026'!J35="","",'SEPTEMBER 2026'!J35)</f>
        <v>44.6269</v>
      </c>
      <c r="I106" s="54" t="n">
        <f aca="false">IF('SEPTEMBER 2026'!J36="","",'SEPTEMBER 2026'!J36)</f>
        <v>39.5</v>
      </c>
      <c r="J106" s="54" t="n">
        <f aca="false">IF('SEPTEMBER 2026'!J37="","",'SEPTEMBER 2026'!J37)</f>
        <v>39</v>
      </c>
      <c r="K106" s="54" t="n">
        <f aca="false">IF('SEPTEMBER 2026'!J38="","",'SEPTEMBER 2026'!J38)</f>
        <v>45.5432</v>
      </c>
      <c r="L106" s="54" t="n">
        <f aca="false">IF('SEPTEMBER 2026'!J39="","",'SEPTEMBER 2026'!J39)</f>
        <v>48.6076</v>
      </c>
      <c r="M106" s="54" t="n">
        <f aca="false">IF('SEPTEMBER 2026'!J40="","",'SEPTEMBER 2026'!J40)</f>
        <v>39</v>
      </c>
      <c r="N106" s="54" t="n">
        <f aca="false">IF('SEPTEMBER 2026'!J41="","",'SEPTEMBER 2026'!J41)</f>
        <v>45.5664</v>
      </c>
      <c r="O106" s="54" t="n">
        <f aca="false">IF('SEPTEMBER 2026'!J42="","",'SEPTEMBER 2026'!J42)</f>
        <v>48.8077</v>
      </c>
      <c r="P106" s="54" t="n">
        <f aca="false">IF('SEPTEMBER 2026'!J43="","",'SEPTEMBER 2026'!J43)</f>
        <v>39</v>
      </c>
      <c r="Q106" s="54" t="n">
        <f aca="false">IF('SEPTEMBER 2026'!J44="","",'SEPTEMBER 2026'!J44)</f>
        <v>39.9167</v>
      </c>
      <c r="R106" s="54" t="n">
        <f aca="false">IF('SEPTEMBER 2026'!J45="","",'SEPTEMBER 2026'!J45)</f>
        <v>44.75</v>
      </c>
      <c r="S106" s="54" t="n">
        <f aca="false">IF('SEPTEMBER 2026'!J46="","",'SEPTEMBER 2026'!J46)</f>
        <v>39</v>
      </c>
    </row>
    <row r="107" customFormat="false" ht="15" hidden="false" customHeight="false" outlineLevel="0" collapsed="false">
      <c r="A107" s="52"/>
      <c r="B107" s="53" t="s">
        <v>173</v>
      </c>
      <c r="C107" s="52"/>
      <c r="D107" s="52"/>
      <c r="E107" s="52"/>
      <c r="F107" s="55" t="n">
        <f aca="false">IF('SEPTEMBER 2026'!I33="","",'SEPTEMBER 2026'!I33)</f>
        <v>0.00785346582066323</v>
      </c>
      <c r="G107" s="55" t="n">
        <f aca="false">IF('SEPTEMBER 2026'!I34="","",'SEPTEMBER 2026'!I34)</f>
        <v>0.00974374095319788</v>
      </c>
      <c r="H107" s="55" t="n">
        <f aca="false">IF('SEPTEMBER 2026'!I35="","",'SEPTEMBER 2026'!I35)</f>
        <v>0.0218285891089109</v>
      </c>
      <c r="I107" s="55" t="n">
        <f aca="false">IF('SEPTEMBER 2026'!I36="","",'SEPTEMBER 2026'!I36)</f>
        <v>0.010352342898656</v>
      </c>
      <c r="J107" s="55" t="n">
        <f aca="false">IF('SEPTEMBER 2026'!I37="","",'SEPTEMBER 2026'!I37)</f>
        <v>0</v>
      </c>
      <c r="K107" s="55" t="n">
        <f aca="false">IF('SEPTEMBER 2026'!I38="","",'SEPTEMBER 2026'!I38)</f>
        <v>0.0492310335939514</v>
      </c>
      <c r="L107" s="55" t="n">
        <f aca="false">IF('SEPTEMBER 2026'!I39="","",'SEPTEMBER 2026'!I39)</f>
        <v>0.0289917139931105</v>
      </c>
      <c r="M107" s="55" t="n">
        <f aca="false">IF('SEPTEMBER 2026'!I40="","",'SEPTEMBER 2026'!I40)</f>
        <v>0</v>
      </c>
      <c r="N107" s="55" t="n">
        <f aca="false">IF('SEPTEMBER 2026'!I41="","",'SEPTEMBER 2026'!I41)</f>
        <v>0.0383610986042323</v>
      </c>
      <c r="O107" s="55" t="str">
        <f aca="false">IF('SEPTEMBER 2026'!I42="","",'SEPTEMBER 2026'!I42)</f>
        <v/>
      </c>
      <c r="P107" s="55" t="n">
        <f aca="false">IF('SEPTEMBER 2026'!I43="","",'SEPTEMBER 2026'!I43)</f>
        <v>0</v>
      </c>
      <c r="Q107" s="55" t="str">
        <f aca="false">IF('SEPTEMBER 2026'!I44="","",'SEPTEMBER 2026'!I44)</f>
        <v/>
      </c>
      <c r="R107" s="55" t="str">
        <f aca="false">IF('SEPTEMBER 2026'!I45="","",'SEPTEMBER 2026'!I45)</f>
        <v/>
      </c>
      <c r="S107" s="55" t="str">
        <f aca="false">IF('SEPTEMBER 2026'!I46="","",'SEPTEMBER 2026'!I46)</f>
        <v/>
      </c>
    </row>
    <row r="108" customFormat="false" ht="15" hidden="false" customHeight="false" outlineLevel="0" collapsed="false">
      <c r="A108" s="52"/>
      <c r="B108" s="53" t="s">
        <v>174</v>
      </c>
      <c r="C108" s="52"/>
      <c r="D108" s="52"/>
      <c r="E108" s="52"/>
      <c r="F108" s="54" t="n">
        <f aca="false">IF('SEPTEMBER 2026'!K33="","",'SEPTEMBER 2026'!K33)</f>
        <v>39.8127</v>
      </c>
      <c r="G108" s="54" t="n">
        <f aca="false">IF('SEPTEMBER 2026'!K34="","",'SEPTEMBER 2026'!K34)</f>
        <v>39.89</v>
      </c>
      <c r="H108" s="54" t="n">
        <f aca="false">IF('SEPTEMBER 2026'!K35="","",'SEPTEMBER 2026'!K35)</f>
        <v>45.6228</v>
      </c>
      <c r="I108" s="54" t="n">
        <f aca="false">IF('SEPTEMBER 2026'!K36="","",'SEPTEMBER 2026'!K36)</f>
        <v>39.9132</v>
      </c>
      <c r="J108" s="54" t="n">
        <f aca="false">IF('SEPTEMBER 2026'!K37="","",'SEPTEMBER 2026'!K37)</f>
        <v>39</v>
      </c>
      <c r="K108" s="54" t="n">
        <f aca="false">IF('SEPTEMBER 2026'!K38="","",'SEPTEMBER 2026'!K38)</f>
        <v>47.9015</v>
      </c>
      <c r="L108" s="54" t="n">
        <f aca="false">IF('SEPTEMBER 2026'!K39="","",'SEPTEMBER 2026'!K39)</f>
        <v>50.0589</v>
      </c>
      <c r="M108" s="54" t="n">
        <f aca="false">IF('SEPTEMBER 2026'!K40="","",'SEPTEMBER 2026'!K40)</f>
        <v>39</v>
      </c>
      <c r="N108" s="54" t="n">
        <f aca="false">IF('SEPTEMBER 2026'!K41="","",'SEPTEMBER 2026'!K41)</f>
        <v>47.3841</v>
      </c>
      <c r="O108" s="54" t="str">
        <f aca="false">IF('SEPTEMBER 2026'!K42="","",'SEPTEMBER 2026'!K42)</f>
        <v/>
      </c>
      <c r="P108" s="54" t="n">
        <f aca="false">IF('SEPTEMBER 2026'!K43="","",'SEPTEMBER 2026'!K43)</f>
        <v>39</v>
      </c>
      <c r="Q108" s="54" t="str">
        <f aca="false">IF('SEPTEMBER 2026'!K44="","",'SEPTEMBER 2026'!K44)</f>
        <v/>
      </c>
      <c r="R108" s="54" t="str">
        <f aca="false">IF('SEPTEMBER 2026'!K45="","",'SEPTEMBER 2026'!K45)</f>
        <v/>
      </c>
      <c r="S108" s="54" t="str">
        <f aca="false">IF('SEPTEMBER 2026'!K46="","",'SEPTEMBER 2026'!K46)</f>
        <v/>
      </c>
    </row>
  </sheetData>
  <mergeCells count="15">
    <mergeCell ref="A4:A5"/>
    <mergeCell ref="B4:B5"/>
    <mergeCell ref="C4:C5"/>
    <mergeCell ref="D4:D5"/>
    <mergeCell ref="E4:E5"/>
    <mergeCell ref="A46:A47"/>
    <mergeCell ref="B46:B47"/>
    <mergeCell ref="C46:C47"/>
    <mergeCell ref="D46:D47"/>
    <mergeCell ref="E46:E47"/>
    <mergeCell ref="A84:A85"/>
    <mergeCell ref="B84:B85"/>
    <mergeCell ref="C84:C85"/>
    <mergeCell ref="D84:D85"/>
    <mergeCell ref="E84:E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1"/>
  </cols>
  <sheetData>
    <row r="1" customFormat="false" ht="17.35" hidden="false" customHeight="false" outlineLevel="0" collapsed="false">
      <c r="A1" s="1" t="s">
        <v>177</v>
      </c>
    </row>
    <row r="2" customFormat="false" ht="15" hidden="false" customHeight="false" outlineLevel="0" collapsed="false">
      <c r="A2" s="41" t="s">
        <v>178</v>
      </c>
    </row>
    <row r="4" customFormat="false" ht="15" hidden="false" customHeight="false" outlineLevel="0" collapsed="false">
      <c r="A4" s="2" t="s">
        <v>1</v>
      </c>
      <c r="B4" s="2" t="s">
        <v>179</v>
      </c>
      <c r="C4" s="2" t="s">
        <v>180</v>
      </c>
      <c r="D4" s="2" t="s">
        <v>181</v>
      </c>
      <c r="E4" s="2" t="s">
        <v>182</v>
      </c>
      <c r="F4" s="2" t="s">
        <v>183</v>
      </c>
      <c r="G4" s="2" t="s">
        <v>184</v>
      </c>
    </row>
    <row r="5" customFormat="false" ht="15" hidden="false" customHeight="false" outlineLevel="0" collapsed="false">
      <c r="A5" s="27" t="s">
        <v>15</v>
      </c>
      <c r="B5" s="27" t="s">
        <v>185</v>
      </c>
      <c r="C5" s="28" t="n">
        <f aca="false">IF('JULY 2026'!D42="","",'JULY 2026'!D42)</f>
        <v>781234</v>
      </c>
      <c r="D5" s="28" t="n">
        <v>781234</v>
      </c>
      <c r="E5" s="28" t="n">
        <f aca="false">IF(OR(C5="",D5=""),"",C5-D5)</f>
        <v>0</v>
      </c>
      <c r="F5" s="56" t="str">
        <f aca="false">IF(AND(C5="",D5=""),"OK (blank on purpose)",IF(OR(C5="",D5=""),"CHECK",IF(ABS(E5)&lt;=G5,"OK","CHECK")))</f>
        <v>OK</v>
      </c>
      <c r="G5" s="57" t="n">
        <v>0.5</v>
      </c>
    </row>
    <row r="6" customFormat="false" ht="15" hidden="false" customHeight="false" outlineLevel="0" collapsed="false">
      <c r="A6" s="27" t="s">
        <v>15</v>
      </c>
      <c r="B6" s="27" t="s">
        <v>186</v>
      </c>
      <c r="C6" s="28" t="n">
        <f aca="false">IF('JULY 2026'!E42="","",'JULY 2026'!E42)</f>
        <v>621201</v>
      </c>
      <c r="D6" s="28" t="n">
        <v>621201</v>
      </c>
      <c r="E6" s="28" t="n">
        <f aca="false">IF(OR(C6="",D6=""),"",C6-D6)</f>
        <v>0</v>
      </c>
      <c r="F6" s="56" t="str">
        <f aca="false">IF(AND(C6="",D6=""),"OK (blank on purpose)",IF(OR(C6="",D6=""),"CHECK",IF(ABS(E6)&lt;=G6,"OK","CHECK")))</f>
        <v>OK</v>
      </c>
      <c r="G6" s="57" t="n">
        <v>0.5</v>
      </c>
    </row>
    <row r="7" customFormat="false" ht="15" hidden="false" customHeight="false" outlineLevel="0" collapsed="false">
      <c r="A7" s="27" t="s">
        <v>15</v>
      </c>
      <c r="B7" s="27" t="s">
        <v>187</v>
      </c>
      <c r="C7" s="58" t="n">
        <f aca="false">IF('JULY 2026'!D4="","",'JULY 2026'!D4)</f>
        <v>0.795153564745006</v>
      </c>
      <c r="D7" s="58" t="n">
        <v>0.795154</v>
      </c>
      <c r="E7" s="58" t="n">
        <f aca="false">IF(OR(C7="",D7=""),"",C7-D7)</f>
        <v>-4.3525499404673E-007</v>
      </c>
      <c r="F7" s="56" t="str">
        <f aca="false">IF(AND(C7="",D7=""),"OK (blank on purpose)",IF(OR(C7="",D7=""),"CHECK",IF(ABS(E7)&lt;=G7,"OK","CHECK")))</f>
        <v>OK</v>
      </c>
      <c r="G7" s="57" t="n">
        <v>5E-005</v>
      </c>
    </row>
    <row r="8" customFormat="false" ht="15" hidden="false" customHeight="false" outlineLevel="0" collapsed="false">
      <c r="A8" s="27" t="s">
        <v>15</v>
      </c>
      <c r="B8" s="27" t="s">
        <v>188</v>
      </c>
      <c r="C8" s="58" t="n">
        <f aca="false">IF('JULY 2026'!E4="","",'JULY 2026'!E4)</f>
        <v>0.204846435254994</v>
      </c>
      <c r="D8" s="58" t="n">
        <v>0.204846</v>
      </c>
      <c r="E8" s="58" t="n">
        <f aca="false">IF(OR(C8="",D8=""),"",C8-D8)</f>
        <v>4.35254994018974E-007</v>
      </c>
      <c r="F8" s="56" t="str">
        <f aca="false">IF(AND(C8="",D8=""),"OK (blank on purpose)",IF(OR(C8="",D8=""),"CHECK",IF(ABS(E8)&lt;=G8,"OK","CHECK")))</f>
        <v>OK</v>
      </c>
      <c r="G8" s="57" t="n">
        <v>5E-005</v>
      </c>
    </row>
    <row r="9" customFormat="false" ht="15" hidden="false" customHeight="false" outlineLevel="0" collapsed="false">
      <c r="A9" s="27" t="s">
        <v>15</v>
      </c>
      <c r="B9" s="27" t="s">
        <v>189</v>
      </c>
      <c r="C9" s="12" t="n">
        <f aca="false">IF('JULY 2026'!F4="","",'JULY 2026'!F4)</f>
        <v>106506.5</v>
      </c>
      <c r="D9" s="12" t="n">
        <v>106506.5</v>
      </c>
      <c r="E9" s="12" t="n">
        <f aca="false">IF(OR(C9="",D9=""),"",C9-D9)</f>
        <v>0</v>
      </c>
      <c r="F9" s="56" t="str">
        <f aca="false">IF(AND(C9="",D9=""),"OK (blank on purpose)",IF(OR(C9="",D9=""),"CHECK",IF(ABS(E9)&lt;=G9,"OK","CHECK")))</f>
        <v>OK</v>
      </c>
      <c r="G9" s="57" t="n">
        <v>0.05</v>
      </c>
    </row>
    <row r="10" customFormat="false" ht="15" hidden="false" customHeight="false" outlineLevel="0" collapsed="false">
      <c r="A10" s="27" t="s">
        <v>15</v>
      </c>
      <c r="B10" s="27" t="s">
        <v>190</v>
      </c>
      <c r="C10" s="58" t="n">
        <f aca="false">IF('JULY 2026'!G4="","",'JULY 2026'!G4)</f>
        <v>0.171452557223829</v>
      </c>
      <c r="D10" s="58" t="n">
        <v>0.171453</v>
      </c>
      <c r="E10" s="58" t="n">
        <f aca="false">IF(OR(C10="",D10=""),"",C10-D10)</f>
        <v>-4.42776170672676E-007</v>
      </c>
      <c r="F10" s="56" t="str">
        <f aca="false">IF(AND(C10="",D10=""),"OK (blank on purpose)",IF(OR(C10="",D10=""),"CHECK",IF(ABS(E10)&lt;=G10,"OK","CHECK")))</f>
        <v>OK</v>
      </c>
      <c r="G10" s="57" t="n">
        <v>5E-005</v>
      </c>
    </row>
    <row r="11" customFormat="false" ht="15" hidden="false" customHeight="false" outlineLevel="0" collapsed="false">
      <c r="A11" s="27" t="s">
        <v>15</v>
      </c>
      <c r="B11" s="27" t="s">
        <v>191</v>
      </c>
      <c r="C11" s="59" t="n">
        <f aca="false">IF('JULY 2026'!H4="","",'JULY 2026'!H4)</f>
        <v>45.3377189854768</v>
      </c>
      <c r="D11" s="59" t="n">
        <v>45.3377</v>
      </c>
      <c r="E11" s="60" t="n">
        <f aca="false">IF(OR(C11="",D11=""),"",C11-D11)</f>
        <v>1.89854768279929E-005</v>
      </c>
      <c r="F11" s="56" t="str">
        <f aca="false">IF(AND(C11="",D11=""),"OK (blank on purpose)",IF(OR(C11="",D11=""),"CHECK",IF(ABS(E11)&lt;=G11,"OK","CHECK")))</f>
        <v>OK</v>
      </c>
      <c r="G11" s="57" t="n">
        <v>0.005</v>
      </c>
    </row>
    <row r="12" customFormat="false" ht="15" hidden="false" customHeight="false" outlineLevel="0" collapsed="false">
      <c r="A12" s="27" t="s">
        <v>15</v>
      </c>
      <c r="B12" s="27" t="s">
        <v>192</v>
      </c>
      <c r="C12" s="59" t="n">
        <f aca="false">IF('JULY 2026'!I4="","",'JULY 2026'!I4)</f>
        <v>47.5779977948988</v>
      </c>
      <c r="D12" s="59" t="n">
        <v>47.578</v>
      </c>
      <c r="E12" s="60" t="n">
        <f aca="false">IF(OR(C12="",D12=""),"",C12-D12)</f>
        <v>-2.20510116832884E-006</v>
      </c>
      <c r="F12" s="56" t="str">
        <f aca="false">IF(AND(C12="",D12=""),"OK (blank on purpose)",IF(OR(C12="",D12=""),"CHECK",IF(ABS(E12)&lt;=G12,"OK","CHECK")))</f>
        <v>OK</v>
      </c>
      <c r="G12" s="57" t="n">
        <v>0.005</v>
      </c>
    </row>
    <row r="13" customFormat="false" ht="15" hidden="false" customHeight="false" outlineLevel="0" collapsed="false">
      <c r="A13" s="27" t="s">
        <v>15</v>
      </c>
      <c r="B13" s="27" t="s">
        <v>193</v>
      </c>
      <c r="C13" s="59" t="n">
        <f aca="false">IF('JULY 2026'!J4="","",'JULY 2026'!J4)</f>
        <v>2.17148932488073</v>
      </c>
      <c r="D13" s="59" t="n">
        <v>2.1715</v>
      </c>
      <c r="E13" s="60" t="n">
        <f aca="false">IF(OR(C13="",D13=""),"",C13-D13)</f>
        <v>-1.0675119268555E-005</v>
      </c>
      <c r="F13" s="56" t="str">
        <f aca="false">IF(AND(C13="",D13=""),"OK (blank on purpose)",IF(OR(C13="",D13=""),"CHECK",IF(ABS(E13)&lt;=G13,"OK","CHECK")))</f>
        <v>OK</v>
      </c>
      <c r="G13" s="57" t="n">
        <v>0.005</v>
      </c>
    </row>
    <row r="14" customFormat="false" ht="15" hidden="false" customHeight="false" outlineLevel="0" collapsed="false">
      <c r="A14" s="27" t="s">
        <v>15</v>
      </c>
      <c r="B14" s="27" t="s">
        <v>194</v>
      </c>
      <c r="C14" s="58" t="n">
        <f aca="false">IF('JULY 2026'!K4="","",'JULY 2026'!K4)</f>
        <v>0.0449976006084781</v>
      </c>
      <c r="D14" s="58" t="n">
        <v>0.044998</v>
      </c>
      <c r="E14" s="58" t="n">
        <f aca="false">IF(OR(C14="",D14=""),"",C14-D14)</f>
        <v>-3.99391521903325E-007</v>
      </c>
      <c r="F14" s="56" t="str">
        <f aca="false">IF(AND(C14="",D14=""),"OK (blank on purpose)",IF(OR(C14="",D14=""),"CHECK",IF(ABS(E14)&lt;=G14,"OK","CHECK")))</f>
        <v>OK</v>
      </c>
      <c r="G14" s="57" t="n">
        <v>5E-005</v>
      </c>
    </row>
    <row r="15" customFormat="false" ht="15" hidden="false" customHeight="false" outlineLevel="0" collapsed="false">
      <c r="A15" s="27" t="s">
        <v>15</v>
      </c>
      <c r="B15" s="27" t="s">
        <v>195</v>
      </c>
      <c r="C15" s="59" t="n">
        <f aca="false">IF('JULY 2026'!L4="","",'JULY 2026'!L4)</f>
        <v>57.0175636451004</v>
      </c>
      <c r="D15" s="59" t="n">
        <v>57.0176</v>
      </c>
      <c r="E15" s="60" t="n">
        <f aca="false">IF(OR(C15="",D15=""),"",C15-D15)</f>
        <v>-3.63548996205054E-005</v>
      </c>
      <c r="F15" s="56" t="str">
        <f aca="false">IF(AND(C15="",D15=""),"OK (blank on purpose)",IF(OR(C15="",D15=""),"CHECK",IF(ABS(E15)&lt;=G15,"OK","CHECK")))</f>
        <v>OK</v>
      </c>
      <c r="G15" s="57" t="n">
        <v>0.005</v>
      </c>
    </row>
    <row r="16" customFormat="false" ht="15" hidden="false" customHeight="false" outlineLevel="0" collapsed="false">
      <c r="A16" s="27" t="s">
        <v>15</v>
      </c>
      <c r="B16" s="27" t="s">
        <v>196</v>
      </c>
      <c r="C16" s="59" t="n">
        <f aca="false">IF('JULY 2026'!M4="","",'JULY 2026'!M4)</f>
        <v>59.8349801904697</v>
      </c>
      <c r="D16" s="59" t="n">
        <v>59.835</v>
      </c>
      <c r="E16" s="60" t="n">
        <f aca="false">IF(OR(C16="",D16=""),"",C16-D16)</f>
        <v>-1.98095302579304E-005</v>
      </c>
      <c r="F16" s="56" t="str">
        <f aca="false">IF(AND(C16="",D16=""),"OK (blank on purpose)",IF(OR(C16="",D16=""),"CHECK",IF(ABS(E16)&lt;=G16,"OK","CHECK")))</f>
        <v>OK</v>
      </c>
      <c r="G16" s="57" t="n">
        <v>0.005</v>
      </c>
    </row>
    <row r="17" customFormat="false" ht="15" hidden="false" customHeight="false" outlineLevel="0" collapsed="false">
      <c r="A17" s="27" t="s">
        <v>15</v>
      </c>
      <c r="B17" s="27" t="s">
        <v>197</v>
      </c>
      <c r="C17" s="28" t="n">
        <f aca="false">IF('JULY 2026'!N4="","",'JULY 2026'!N4)</f>
        <v>781234</v>
      </c>
      <c r="D17" s="28" t="n">
        <v>781234</v>
      </c>
      <c r="E17" s="28" t="n">
        <f aca="false">IF(OR(C17="",D17=""),"",C17-D17)</f>
        <v>0</v>
      </c>
      <c r="F17" s="56" t="str">
        <f aca="false">IF(AND(C17="",D17=""),"OK (blank on purpose)",IF(OR(C17="",D17=""),"CHECK",IF(ABS(E17)&lt;=G17,"OK","CHECK")))</f>
        <v>OK</v>
      </c>
      <c r="G17" s="57" t="n">
        <v>0.5</v>
      </c>
    </row>
    <row r="18" customFormat="false" ht="15" hidden="false" customHeight="false" outlineLevel="0" collapsed="false">
      <c r="A18" s="27" t="s">
        <v>16</v>
      </c>
      <c r="B18" s="27" t="s">
        <v>185</v>
      </c>
      <c r="C18" s="28" t="n">
        <f aca="false">IF('AUGUST 2026'!D38="","",'AUGUST 2026'!D38)</f>
        <v>697313</v>
      </c>
      <c r="D18" s="28" t="n">
        <v>697313</v>
      </c>
      <c r="E18" s="28" t="n">
        <f aca="false">IF(OR(C18="",D18=""),"",C18-D18)</f>
        <v>0</v>
      </c>
      <c r="F18" s="56" t="str">
        <f aca="false">IF(AND(C18="",D18=""),"OK (blank on purpose)",IF(OR(C18="",D18=""),"CHECK",IF(ABS(E18)&lt;=G18,"OK","CHECK")))</f>
        <v>OK</v>
      </c>
      <c r="G18" s="57" t="n">
        <v>0.5</v>
      </c>
    </row>
    <row r="19" customFormat="false" ht="15" hidden="false" customHeight="false" outlineLevel="0" collapsed="false">
      <c r="A19" s="27" t="s">
        <v>16</v>
      </c>
      <c r="B19" s="27" t="s">
        <v>186</v>
      </c>
      <c r="C19" s="28" t="n">
        <f aca="false">IF('AUGUST 2026'!E38="","",'AUGUST 2026'!E38)</f>
        <v>553376</v>
      </c>
      <c r="D19" s="28" t="n">
        <v>553376</v>
      </c>
      <c r="E19" s="28" t="n">
        <f aca="false">IF(OR(C19="",D19=""),"",C19-D19)</f>
        <v>0</v>
      </c>
      <c r="F19" s="56" t="str">
        <f aca="false">IF(AND(C19="",D19=""),"OK (blank on purpose)",IF(OR(C19="",D19=""),"CHECK",IF(ABS(E19)&lt;=G19,"OK","CHECK")))</f>
        <v>OK</v>
      </c>
      <c r="G19" s="57" t="n">
        <v>0.5</v>
      </c>
    </row>
    <row r="20" customFormat="false" ht="15" hidden="false" customHeight="false" outlineLevel="0" collapsed="false">
      <c r="A20" s="27" t="s">
        <v>16</v>
      </c>
      <c r="B20" s="27" t="s">
        <v>187</v>
      </c>
      <c r="C20" s="58" t="n">
        <f aca="false">IF('AUGUST 2026'!D4="","",'AUGUST 2026'!D4)</f>
        <v>0.793583369304746</v>
      </c>
      <c r="D20" s="58" t="n">
        <v>0.793583</v>
      </c>
      <c r="E20" s="58" t="n">
        <f aca="false">IF(OR(C20="",D20=""),"",C20-D20)</f>
        <v>3.6930474545116E-007</v>
      </c>
      <c r="F20" s="56" t="str">
        <f aca="false">IF(AND(C20="",D20=""),"OK (blank on purpose)",IF(OR(C20="",D20=""),"CHECK",IF(ABS(E20)&lt;=G20,"OK","CHECK")))</f>
        <v>OK</v>
      </c>
      <c r="G20" s="57" t="n">
        <v>5E-005</v>
      </c>
    </row>
    <row r="21" customFormat="false" ht="15" hidden="false" customHeight="false" outlineLevel="0" collapsed="false">
      <c r="A21" s="27" t="s">
        <v>16</v>
      </c>
      <c r="B21" s="27" t="s">
        <v>188</v>
      </c>
      <c r="C21" s="58" t="n">
        <f aca="false">IF('AUGUST 2026'!E4="","",'AUGUST 2026'!E4)</f>
        <v>0.206416630695255</v>
      </c>
      <c r="D21" s="58" t="n">
        <v>0.206417</v>
      </c>
      <c r="E21" s="58" t="n">
        <f aca="false">IF(OR(C21="",D21=""),"",C21-D21)</f>
        <v>-3.69304745478916E-007</v>
      </c>
      <c r="F21" s="56" t="str">
        <f aca="false">IF(AND(C21="",D21=""),"OK (blank on purpose)",IF(OR(C21="",D21=""),"CHECK",IF(ABS(E21)&lt;=G21,"OK","CHECK")))</f>
        <v>OK</v>
      </c>
      <c r="G21" s="57" t="n">
        <v>5E-005</v>
      </c>
    </row>
    <row r="22" customFormat="false" ht="15" hidden="false" customHeight="false" outlineLevel="0" collapsed="false">
      <c r="A22" s="27" t="s">
        <v>16</v>
      </c>
      <c r="B22" s="27" t="s">
        <v>189</v>
      </c>
      <c r="C22" s="12" t="n">
        <f aca="false">IF('AUGUST 2026'!F4="","",'AUGUST 2026'!F4)</f>
        <v>78954.5</v>
      </c>
      <c r="D22" s="12" t="n">
        <v>78954.5</v>
      </c>
      <c r="E22" s="12" t="n">
        <f aca="false">IF(OR(C22="",D22=""),"",C22-D22)</f>
        <v>0</v>
      </c>
      <c r="F22" s="56" t="str">
        <f aca="false">IF(AND(C22="",D22=""),"OK (blank on purpose)",IF(OR(C22="",D22=""),"CHECK",IF(ABS(E22)&lt;=G22,"OK","CHECK")))</f>
        <v>OK</v>
      </c>
      <c r="G22" s="57" t="n">
        <v>0.05</v>
      </c>
    </row>
    <row r="23" customFormat="false" ht="15" hidden="false" customHeight="false" outlineLevel="0" collapsed="false">
      <c r="A23" s="27" t="s">
        <v>16</v>
      </c>
      <c r="B23" s="27" t="s">
        <v>190</v>
      </c>
      <c r="C23" s="58" t="n">
        <f aca="false">IF('AUGUST 2026'!G4="","",'AUGUST 2026'!G4)</f>
        <v>0.142677853755855</v>
      </c>
      <c r="D23" s="58" t="n">
        <v>0.142678</v>
      </c>
      <c r="E23" s="58" t="n">
        <f aca="false">IF(OR(C23="",D23=""),"",C23-D23)</f>
        <v>-1.46244145016183E-007</v>
      </c>
      <c r="F23" s="56" t="str">
        <f aca="false">IF(AND(C23="",D23=""),"OK (blank on purpose)",IF(OR(C23="",D23=""),"CHECK",IF(ABS(E23)&lt;=G23,"OK","CHECK")))</f>
        <v>OK</v>
      </c>
      <c r="G23" s="57" t="n">
        <v>5E-005</v>
      </c>
    </row>
    <row r="24" customFormat="false" ht="15" hidden="false" customHeight="false" outlineLevel="0" collapsed="false">
      <c r="A24" s="27" t="s">
        <v>16</v>
      </c>
      <c r="B24" s="27" t="s">
        <v>191</v>
      </c>
      <c r="C24" s="59" t="n">
        <f aca="false">IF('AUGUST 2026'!H4="","",'AUGUST 2026'!H4)</f>
        <v>42.7720353402274</v>
      </c>
      <c r="D24" s="59" t="n">
        <v>42.772</v>
      </c>
      <c r="E24" s="60" t="n">
        <f aca="false">IF(OR(C24="",D24=""),"",C24-D24)</f>
        <v>3.53402274129167E-005</v>
      </c>
      <c r="F24" s="56" t="str">
        <f aca="false">IF(AND(C24="",D24=""),"OK (blank on purpose)",IF(OR(C24="",D24=""),"CHECK",IF(ABS(E24)&lt;=G24,"OK","CHECK")))</f>
        <v>OK</v>
      </c>
      <c r="G24" s="57" t="n">
        <v>0.005</v>
      </c>
    </row>
    <row r="25" customFormat="false" ht="15" hidden="false" customHeight="false" outlineLevel="0" collapsed="false">
      <c r="A25" s="27" t="s">
        <v>16</v>
      </c>
      <c r="B25" s="27" t="s">
        <v>192</v>
      </c>
      <c r="C25" s="59" t="n">
        <f aca="false">IF('AUGUST 2026'!I4="","",'AUGUST 2026'!I4)</f>
        <v>43.9392156159429</v>
      </c>
      <c r="D25" s="59" t="n">
        <v>43.9392</v>
      </c>
      <c r="E25" s="60" t="n">
        <f aca="false">IF(OR(C25="",D25=""),"",C25-D25)</f>
        <v>1.56159429138825E-005</v>
      </c>
      <c r="F25" s="56" t="str">
        <f aca="false">IF(AND(C25="",D25=""),"OK (blank on purpose)",IF(OR(C25="",D25=""),"CHECK",IF(ABS(E25)&lt;=G25,"OK","CHECK")))</f>
        <v>OK</v>
      </c>
      <c r="G25" s="57" t="n">
        <v>0.005</v>
      </c>
    </row>
    <row r="26" customFormat="false" ht="15" hidden="false" customHeight="false" outlineLevel="0" collapsed="false">
      <c r="A26" s="27" t="s">
        <v>16</v>
      </c>
      <c r="B26" s="27" t="s">
        <v>193</v>
      </c>
      <c r="C26" s="59" t="n">
        <f aca="false">IF('AUGUST 2026'!J4="","",'AUGUST 2026'!J4)</f>
        <v>1.08421648515181</v>
      </c>
      <c r="D26" s="59" t="n">
        <v>1.0842</v>
      </c>
      <c r="E26" s="60" t="n">
        <f aca="false">IF(OR(C26="",D26=""),"",C26-D26)</f>
        <v>1.64851518063003E-005</v>
      </c>
      <c r="F26" s="56" t="str">
        <f aca="false">IF(AND(C26="",D26=""),"OK (blank on purpose)",IF(OR(C26="",D26=""),"CHECK",IF(ABS(E26)&lt;=G26,"OK","CHECK")))</f>
        <v>OK</v>
      </c>
      <c r="G26" s="57" t="n">
        <v>0.005</v>
      </c>
    </row>
    <row r="27" customFormat="false" ht="15" hidden="false" customHeight="false" outlineLevel="0" collapsed="false">
      <c r="A27" s="27" t="s">
        <v>16</v>
      </c>
      <c r="B27" s="27" t="s">
        <v>194</v>
      </c>
      <c r="C27" s="58" t="n">
        <f aca="false">IF('AUGUST 2026'!K4="","",'AUGUST 2026'!K4)</f>
        <v>0.0246065666921956</v>
      </c>
      <c r="D27" s="58" t="n">
        <v>0.024607</v>
      </c>
      <c r="E27" s="58" t="n">
        <f aca="false">IF(OR(C27="",D27=""),"",C27-D27)</f>
        <v>-4.3330780443232E-007</v>
      </c>
      <c r="F27" s="56" t="str">
        <f aca="false">IF(AND(C27="",D27=""),"OK (blank on purpose)",IF(OR(C27="",D27=""),"CHECK",IF(ABS(E27)&lt;=G27,"OK","CHECK")))</f>
        <v>OK</v>
      </c>
      <c r="G27" s="57" t="n">
        <v>5E-005</v>
      </c>
    </row>
    <row r="28" customFormat="false" ht="15" hidden="false" customHeight="false" outlineLevel="0" collapsed="false">
      <c r="A28" s="27" t="s">
        <v>16</v>
      </c>
      <c r="B28" s="27" t="s">
        <v>195</v>
      </c>
      <c r="C28" s="59" t="n">
        <f aca="false">IF('AUGUST 2026'!L4="","",'AUGUST 2026'!L4)</f>
        <v>53.8973433600301</v>
      </c>
      <c r="D28" s="59" t="n">
        <v>53.8974</v>
      </c>
      <c r="E28" s="60" t="n">
        <f aca="false">IF(OR(C28="",D28=""),"",C28-D28)</f>
        <v>-5.66399699337694E-005</v>
      </c>
      <c r="F28" s="56" t="str">
        <f aca="false">IF(AND(C28="",D28=""),"OK (blank on purpose)",IF(OR(C28="",D28=""),"CHECK",IF(ABS(E28)&lt;=G28,"OK","CHECK")))</f>
        <v>OK</v>
      </c>
      <c r="G28" s="57" t="n">
        <v>0.005</v>
      </c>
    </row>
    <row r="29" customFormat="false" ht="15" hidden="false" customHeight="false" outlineLevel="0" collapsed="false">
      <c r="A29" s="27" t="s">
        <v>16</v>
      </c>
      <c r="B29" s="27" t="s">
        <v>196</v>
      </c>
      <c r="C29" s="59" t="n">
        <f aca="false">IF('AUGUST 2026'!M4="","",'AUGUST 2026'!M4)</f>
        <v>55.3681154563985</v>
      </c>
      <c r="D29" s="59" t="n">
        <v>55.3681</v>
      </c>
      <c r="E29" s="60" t="n">
        <f aca="false">IF(OR(C29="",D29=""),"",C29-D29)</f>
        <v>1.54563985432787E-005</v>
      </c>
      <c r="F29" s="56" t="str">
        <f aca="false">IF(AND(C29="",D29=""),"OK (blank on purpose)",IF(OR(C29="",D29=""),"CHECK",IF(ABS(E29)&lt;=G29,"OK","CHECK")))</f>
        <v>OK</v>
      </c>
      <c r="G29" s="57" t="n">
        <v>0.005</v>
      </c>
    </row>
    <row r="30" customFormat="false" ht="15" hidden="false" customHeight="false" outlineLevel="0" collapsed="false">
      <c r="A30" s="27" t="s">
        <v>16</v>
      </c>
      <c r="B30" s="27" t="s">
        <v>197</v>
      </c>
      <c r="C30" s="28" t="n">
        <f aca="false">IF('AUGUST 2026'!N4="","",'AUGUST 2026'!N4)</f>
        <v>697313</v>
      </c>
      <c r="D30" s="28" t="n">
        <v>697313</v>
      </c>
      <c r="E30" s="28" t="n">
        <f aca="false">IF(OR(C30="",D30=""),"",C30-D30)</f>
        <v>0</v>
      </c>
      <c r="F30" s="56" t="str">
        <f aca="false">IF(AND(C30="",D30=""),"OK (blank on purpose)",IF(OR(C30="",D30=""),"CHECK",IF(ABS(E30)&lt;=G30,"OK","CHECK")))</f>
        <v>OK</v>
      </c>
      <c r="G30" s="57" t="n">
        <v>0.5</v>
      </c>
    </row>
    <row r="31" customFormat="false" ht="15" hidden="false" customHeight="false" outlineLevel="0" collapsed="false">
      <c r="A31" s="27" t="s">
        <v>17</v>
      </c>
      <c r="B31" s="27" t="s">
        <v>185</v>
      </c>
      <c r="C31" s="28" t="n">
        <f aca="false">IF('SEPTEMBER 2026'!D28="","",'SEPTEMBER 2026'!D28)</f>
        <v>500744</v>
      </c>
      <c r="D31" s="28" t="n">
        <v>500744</v>
      </c>
      <c r="E31" s="28" t="n">
        <f aca="false">IF(OR(C31="",D31=""),"",C31-D31)</f>
        <v>0</v>
      </c>
      <c r="F31" s="56" t="str">
        <f aca="false">IF(AND(C31="",D31=""),"OK (blank on purpose)",IF(OR(C31="",D31=""),"CHECK",IF(ABS(E31)&lt;=G31,"OK","CHECK")))</f>
        <v>OK</v>
      </c>
      <c r="G31" s="57" t="n">
        <v>0.5</v>
      </c>
    </row>
    <row r="32" customFormat="false" ht="15" hidden="false" customHeight="false" outlineLevel="0" collapsed="false">
      <c r="A32" s="27" t="s">
        <v>17</v>
      </c>
      <c r="B32" s="27" t="s">
        <v>186</v>
      </c>
      <c r="C32" s="28" t="n">
        <f aca="false">IF('SEPTEMBER 2026'!E28="","",'SEPTEMBER 2026'!E28)</f>
        <v>372822</v>
      </c>
      <c r="D32" s="28" t="n">
        <v>372822</v>
      </c>
      <c r="E32" s="28" t="n">
        <f aca="false">IF(OR(C32="",D32=""),"",C32-D32)</f>
        <v>0</v>
      </c>
      <c r="F32" s="56" t="str">
        <f aca="false">IF(AND(C32="",D32=""),"OK (blank on purpose)",IF(OR(C32="",D32=""),"CHECK",IF(ABS(E32)&lt;=G32,"OK","CHECK")))</f>
        <v>OK</v>
      </c>
      <c r="G32" s="57" t="n">
        <v>0.5</v>
      </c>
    </row>
    <row r="33" customFormat="false" ht="15" hidden="false" customHeight="false" outlineLevel="0" collapsed="false">
      <c r="A33" s="27" t="s">
        <v>17</v>
      </c>
      <c r="B33" s="27" t="s">
        <v>187</v>
      </c>
      <c r="C33" s="58" t="n">
        <f aca="false">IF('SEPTEMBER 2026'!D4="","",'SEPTEMBER 2026'!D4)</f>
        <v>0.744536130238206</v>
      </c>
      <c r="D33" s="58" t="n">
        <v>0.744536</v>
      </c>
      <c r="E33" s="58" t="n">
        <f aca="false">IF(OR(C33="",D33=""),"",C33-D33)</f>
        <v>1.30238205553468E-007</v>
      </c>
      <c r="F33" s="56" t="str">
        <f aca="false">IF(AND(C33="",D33=""),"OK (blank on purpose)",IF(OR(C33="",D33=""),"CHECK",IF(ABS(E33)&lt;=G33,"OK","CHECK")))</f>
        <v>OK</v>
      </c>
      <c r="G33" s="57" t="n">
        <v>5E-005</v>
      </c>
    </row>
    <row r="34" customFormat="false" ht="15" hidden="false" customHeight="false" outlineLevel="0" collapsed="false">
      <c r="A34" s="27" t="s">
        <v>17</v>
      </c>
      <c r="B34" s="27" t="s">
        <v>188</v>
      </c>
      <c r="C34" s="58" t="n">
        <f aca="false">IF('SEPTEMBER 2026'!E4="","",'SEPTEMBER 2026'!E4)</f>
        <v>0.255463869761794</v>
      </c>
      <c r="D34" s="58" t="n">
        <v>0.255464</v>
      </c>
      <c r="E34" s="58" t="n">
        <f aca="false">IF(OR(C34="",D34=""),"",C34-D34)</f>
        <v>-1.30238205553468E-007</v>
      </c>
      <c r="F34" s="56" t="str">
        <f aca="false">IF(AND(C34="",D34=""),"OK (blank on purpose)",IF(OR(C34="",D34=""),"CHECK",IF(ABS(E34)&lt;=G34,"OK","CHECK")))</f>
        <v>OK</v>
      </c>
      <c r="G34" s="57" t="n">
        <v>5E-005</v>
      </c>
    </row>
    <row r="35" customFormat="false" ht="15" hidden="false" customHeight="false" outlineLevel="0" collapsed="false">
      <c r="A35" s="27" t="s">
        <v>17</v>
      </c>
      <c r="B35" s="27" t="s">
        <v>189</v>
      </c>
      <c r="C35" s="12" t="n">
        <f aca="false">IF('SEPTEMBER 2026'!F4="","",'SEPTEMBER 2026'!F4)</f>
        <v>59283.5</v>
      </c>
      <c r="D35" s="12" t="n">
        <v>59283.5</v>
      </c>
      <c r="E35" s="12" t="n">
        <f aca="false">IF(OR(C35="",D35=""),"",C35-D35)</f>
        <v>0</v>
      </c>
      <c r="F35" s="56" t="str">
        <f aca="false">IF(AND(C35="",D35=""),"OK (blank on purpose)",IF(OR(C35="",D35=""),"CHECK",IF(ABS(E35)&lt;=G35,"OK","CHECK")))</f>
        <v>OK</v>
      </c>
      <c r="G35" s="57" t="n">
        <v>0.05</v>
      </c>
    </row>
    <row r="36" customFormat="false" ht="15" hidden="false" customHeight="false" outlineLevel="0" collapsed="false">
      <c r="A36" s="27" t="s">
        <v>17</v>
      </c>
      <c r="B36" s="27" t="s">
        <v>190</v>
      </c>
      <c r="C36" s="58" t="n">
        <f aca="false">IF('SEPTEMBER 2026'!G4="","",'SEPTEMBER 2026'!G4)</f>
        <v>0.159012880141193</v>
      </c>
      <c r="D36" s="58" t="n">
        <v>0.159013</v>
      </c>
      <c r="E36" s="58" t="n">
        <f aca="false">IF(OR(C36="",D36=""),"",C36-D36)</f>
        <v>-1.19858806602036E-007</v>
      </c>
      <c r="F36" s="56" t="str">
        <f aca="false">IF(AND(C36="",D36=""),"OK (blank on purpose)",IF(OR(C36="",D36=""),"CHECK",IF(ABS(E36)&lt;=G36,"OK","CHECK")))</f>
        <v>OK</v>
      </c>
      <c r="G36" s="57" t="n">
        <v>5E-005</v>
      </c>
    </row>
    <row r="37" customFormat="false" ht="15" hidden="false" customHeight="false" outlineLevel="0" collapsed="false">
      <c r="A37" s="27" t="s">
        <v>17</v>
      </c>
      <c r="B37" s="27" t="s">
        <v>191</v>
      </c>
      <c r="C37" s="59" t="n">
        <f aca="false">IF('SEPTEMBER 2026'!H4="","",'SEPTEMBER 2026'!H4)</f>
        <v>43.0602680836915</v>
      </c>
      <c r="D37" s="59" t="n">
        <v>43.0603</v>
      </c>
      <c r="E37" s="60" t="n">
        <f aca="false">IF(OR(C37="",D37=""),"",C37-D37)</f>
        <v>-3.19163085293894E-005</v>
      </c>
      <c r="F37" s="56" t="str">
        <f aca="false">IF(AND(C37="",D37=""),"OK (blank on purpose)",IF(OR(C37="",D37=""),"CHECK",IF(ABS(E37)&lt;=G37,"OK","CHECK")))</f>
        <v>OK</v>
      </c>
      <c r="G37" s="57" t="n">
        <v>0.005</v>
      </c>
    </row>
    <row r="38" customFormat="false" ht="15" hidden="false" customHeight="false" outlineLevel="0" collapsed="false">
      <c r="A38" s="27" t="s">
        <v>17</v>
      </c>
      <c r="B38" s="27" t="s">
        <v>192</v>
      </c>
      <c r="C38" s="59" t="n">
        <f aca="false">IF('SEPTEMBER 2026'!I4="","",'SEPTEMBER 2026'!I4)</f>
        <v>44.0298325281777</v>
      </c>
      <c r="D38" s="59" t="n">
        <v>44.0298</v>
      </c>
      <c r="E38" s="60" t="n">
        <f aca="false">IF(OR(C38="",D38=""),"",C38-D38)</f>
        <v>3.25281776909492E-005</v>
      </c>
      <c r="F38" s="56" t="str">
        <f aca="false">IF(AND(C38="",D38=""),"OK (blank on purpose)",IF(OR(C38="",D38=""),"CHECK",IF(ABS(E38)&lt;=G38,"OK","CHECK")))</f>
        <v>OK</v>
      </c>
      <c r="G38" s="57" t="n">
        <v>0.005</v>
      </c>
    </row>
    <row r="39" customFormat="false" ht="15" hidden="false" customHeight="false" outlineLevel="0" collapsed="false">
      <c r="A39" s="27" t="s">
        <v>17</v>
      </c>
      <c r="B39" s="27" t="s">
        <v>193</v>
      </c>
      <c r="C39" s="59" t="n">
        <f aca="false">IF('SEPTEMBER 2026'!J4="","",'SEPTEMBER 2026'!J4)</f>
        <v>0.905953468020798</v>
      </c>
      <c r="D39" s="59" t="n">
        <v>0.906</v>
      </c>
      <c r="E39" s="60" t="n">
        <f aca="false">IF(OR(C39="",D39=""),"",C39-D39)</f>
        <v>-4.65319792025687E-005</v>
      </c>
      <c r="F39" s="56" t="str">
        <f aca="false">IF(AND(C39="",D39=""),"OK (blank on purpose)",IF(OR(C39="",D39=""),"CHECK",IF(ABS(E39)&lt;=G39,"OK","CHECK")))</f>
        <v>OK</v>
      </c>
      <c r="G39" s="57" t="n">
        <v>0.005</v>
      </c>
    </row>
    <row r="40" customFormat="false" ht="15" hidden="false" customHeight="false" outlineLevel="0" collapsed="false">
      <c r="A40" s="27" t="s">
        <v>17</v>
      </c>
      <c r="B40" s="27" t="s">
        <v>194</v>
      </c>
      <c r="C40" s="58" t="n">
        <f aca="false">IF('SEPTEMBER 2026'!K4="","",'SEPTEMBER 2026'!K4)</f>
        <v>0.0207727155537549</v>
      </c>
      <c r="D40" s="58" t="n">
        <v>0.020773</v>
      </c>
      <c r="E40" s="58" t="n">
        <f aca="false">IF(OR(C40="",D40=""),"",C40-D40)</f>
        <v>-2.84446245075315E-007</v>
      </c>
      <c r="F40" s="56" t="str">
        <f aca="false">IF(AND(C40="",D40=""),"OK (blank on purpose)",IF(OR(C40="",D40=""),"CHECK",IF(ABS(E40)&lt;=G40,"OK","CHECK")))</f>
        <v>OK</v>
      </c>
      <c r="G40" s="57" t="n">
        <v>5E-005</v>
      </c>
    </row>
    <row r="41" customFormat="false" ht="15" hidden="false" customHeight="false" outlineLevel="0" collapsed="false">
      <c r="A41" s="27" t="s">
        <v>17</v>
      </c>
      <c r="B41" s="27" t="s">
        <v>195</v>
      </c>
      <c r="C41" s="59" t="n">
        <f aca="false">IF('SEPTEMBER 2026'!L4="","",'SEPTEMBER 2026'!L4)</f>
        <v>57.8350281938834</v>
      </c>
      <c r="D41" s="59" t="n">
        <v>57.835</v>
      </c>
      <c r="E41" s="60" t="n">
        <f aca="false">IF(OR(C41="",D41=""),"",C41-D41)</f>
        <v>2.81938834092443E-005</v>
      </c>
      <c r="F41" s="56" t="str">
        <f aca="false">IF(AND(C41="",D41=""),"OK (blank on purpose)",IF(OR(C41="",D41=""),"CHECK",IF(ABS(E41)&lt;=G41,"OK","CHECK")))</f>
        <v>OK</v>
      </c>
      <c r="G41" s="57" t="n">
        <v>0.005</v>
      </c>
    </row>
    <row r="42" customFormat="false" ht="15" hidden="false" customHeight="false" outlineLevel="0" collapsed="false">
      <c r="A42" s="27" t="s">
        <v>17</v>
      </c>
      <c r="B42" s="27" t="s">
        <v>196</v>
      </c>
      <c r="C42" s="59" t="str">
        <f aca="false">IF('SEPTEMBER 2026'!M4="","",'SEPTEMBER 2026'!M4)</f>
        <v/>
      </c>
      <c r="D42" s="59"/>
      <c r="E42" s="60" t="str">
        <f aca="false">IF(OR(C42="",D42=""),"",C42-D42)</f>
        <v/>
      </c>
      <c r="F42" s="56" t="str">
        <f aca="false">IF(AND(C42="",D42=""),"OK (blank on purpose)",IF(OR(C42="",D42=""),"CHECK",IF(ABS(E42)&lt;=G42,"OK","CHECK")))</f>
        <v>OK (blank on purpose)</v>
      </c>
      <c r="G42" s="57" t="n">
        <v>0.005</v>
      </c>
    </row>
    <row r="43" customFormat="false" ht="15" hidden="false" customHeight="false" outlineLevel="0" collapsed="false">
      <c r="A43" s="27" t="s">
        <v>17</v>
      </c>
      <c r="B43" s="27" t="s">
        <v>197</v>
      </c>
      <c r="C43" s="28" t="n">
        <f aca="false">IF('SEPTEMBER 2026'!N4="","",'SEPTEMBER 2026'!N4)</f>
        <v>362787</v>
      </c>
      <c r="D43" s="28" t="n">
        <v>362787</v>
      </c>
      <c r="E43" s="28" t="n">
        <f aca="false">IF(OR(C43="",D43=""),"",C43-D43)</f>
        <v>0</v>
      </c>
      <c r="F43" s="56" t="str">
        <f aca="false">IF(AND(C43="",D43=""),"OK (blank on purpose)",IF(OR(C43="",D43=""),"CHECK",IF(ABS(E43)&lt;=G43,"OK","CHECK")))</f>
        <v>OK</v>
      </c>
      <c r="G43" s="57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2026-09-17T07:32:01Z</dcterms:created>
  <dc:creator>openpyxl</dc:creator>
  <dc:description/>
  <dc:language>en-PH</dc:language>
  <cp:lastModifiedBy/>
  <dcterms:modified xsi:type="dcterms:W3CDTF">2026-09-17T07:32:01Z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