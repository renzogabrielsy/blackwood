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tmp/claude-501/-Users-renzosy-blackwood/b5fd31fe-c77b-4558-9e23-0781a66fd174/scratchpad/xlsx/"/>
    </mc:Choice>
  </mc:AlternateContent>
  <xr:revisionPtr revIDLastSave="0" documentId="13_ncr:1_{5E29ACFD-5CCA-324C-B69E-F8841CC3B683}" xr6:coauthVersionLast="47" xr6:coauthVersionMax="47" xr10:uidLastSave="{00000000-0000-0000-0000-000000000000}"/>
  <bookViews>
    <workbookView xWindow="0" yWindow="660" windowWidth="30240" windowHeight="18980" tabRatio="500" activeTab="4" xr2:uid="{00000000-000D-0000-FFFF-FFFF00000000}"/>
  </bookViews>
  <sheets>
    <sheet name="EOQ Summary" sheetId="1" r:id="rId1"/>
    <sheet name="JULY 2026" sheetId="2" r:id="rId2"/>
    <sheet name="AUGUST 2026" sheetId="3" r:id="rId3"/>
    <sheet name="SEPTEMBER 2026" sheetId="4" r:id="rId4"/>
    <sheet name="RC Movement" sheetId="5" r:id="rId5"/>
    <sheet name="Chec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9" i="5" l="1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D11" i="4" s="1"/>
  <c r="E87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X40" i="5"/>
  <c r="W40" i="5"/>
  <c r="V40" i="5"/>
  <c r="U40" i="5"/>
  <c r="T40" i="5"/>
  <c r="S40" i="5"/>
  <c r="R40" i="5"/>
  <c r="Q40" i="5"/>
  <c r="P40" i="5"/>
  <c r="O40" i="5"/>
  <c r="N40" i="5"/>
  <c r="M40" i="5"/>
  <c r="F55" i="2" s="1"/>
  <c r="L40" i="5"/>
  <c r="K40" i="5"/>
  <c r="J40" i="5"/>
  <c r="I40" i="5"/>
  <c r="H40" i="5"/>
  <c r="G40" i="5"/>
  <c r="F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L48" i="4"/>
  <c r="I48" i="4"/>
  <c r="K5" i="4" s="1"/>
  <c r="H48" i="4"/>
  <c r="G48" i="4"/>
  <c r="B48" i="4"/>
  <c r="L47" i="4"/>
  <c r="I47" i="4"/>
  <c r="S108" i="5" s="1"/>
  <c r="F47" i="4"/>
  <c r="L46" i="4"/>
  <c r="I46" i="4"/>
  <c r="R108" i="5" s="1"/>
  <c r="F46" i="4"/>
  <c r="L45" i="4"/>
  <c r="I45" i="4"/>
  <c r="Q108" i="5" s="1"/>
  <c r="F45" i="4"/>
  <c r="L44" i="4"/>
  <c r="I44" i="4"/>
  <c r="P108" i="5" s="1"/>
  <c r="F44" i="4"/>
  <c r="L43" i="4"/>
  <c r="I43" i="4"/>
  <c r="O108" i="5" s="1"/>
  <c r="F43" i="4"/>
  <c r="L42" i="4"/>
  <c r="I42" i="4"/>
  <c r="N108" i="5" s="1"/>
  <c r="F42" i="4"/>
  <c r="L41" i="4"/>
  <c r="I41" i="4"/>
  <c r="M108" i="5" s="1"/>
  <c r="F41" i="4"/>
  <c r="L40" i="4"/>
  <c r="I40" i="4"/>
  <c r="L108" i="5" s="1"/>
  <c r="F40" i="4"/>
  <c r="L39" i="4"/>
  <c r="I39" i="4"/>
  <c r="K108" i="5" s="1"/>
  <c r="F39" i="4"/>
  <c r="L38" i="4"/>
  <c r="I38" i="4"/>
  <c r="J108" i="5" s="1"/>
  <c r="F38" i="4"/>
  <c r="L37" i="4"/>
  <c r="I37" i="4"/>
  <c r="I108" i="5" s="1"/>
  <c r="F37" i="4"/>
  <c r="L36" i="4"/>
  <c r="I36" i="4"/>
  <c r="H108" i="5" s="1"/>
  <c r="F36" i="4"/>
  <c r="L35" i="4"/>
  <c r="I35" i="4"/>
  <c r="G108" i="5" s="1"/>
  <c r="F35" i="4"/>
  <c r="L34" i="4"/>
  <c r="I34" i="4"/>
  <c r="F108" i="5" s="1"/>
  <c r="F34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F28" i="4"/>
  <c r="E28" i="4"/>
  <c r="G28" i="4" s="1"/>
  <c r="D28" i="4"/>
  <c r="F27" i="4"/>
  <c r="E27" i="4"/>
  <c r="G27" i="4" s="1"/>
  <c r="D27" i="4"/>
  <c r="F26" i="4"/>
  <c r="E26" i="4"/>
  <c r="G26" i="4" s="1"/>
  <c r="D26" i="4"/>
  <c r="F25" i="4"/>
  <c r="E25" i="4"/>
  <c r="G25" i="4" s="1"/>
  <c r="D25" i="4"/>
  <c r="F24" i="4"/>
  <c r="E24" i="4"/>
  <c r="G24" i="4" s="1"/>
  <c r="D24" i="4"/>
  <c r="F23" i="4"/>
  <c r="E23" i="4"/>
  <c r="G23" i="4" s="1"/>
  <c r="D23" i="4"/>
  <c r="F22" i="4"/>
  <c r="E22" i="4"/>
  <c r="G22" i="4" s="1"/>
  <c r="D22" i="4"/>
  <c r="F21" i="4"/>
  <c r="E21" i="4"/>
  <c r="G21" i="4" s="1"/>
  <c r="D21" i="4"/>
  <c r="F20" i="4"/>
  <c r="E20" i="4"/>
  <c r="G20" i="4" s="1"/>
  <c r="D20" i="4"/>
  <c r="F19" i="4"/>
  <c r="E19" i="4"/>
  <c r="G19" i="4" s="1"/>
  <c r="D19" i="4"/>
  <c r="F18" i="4"/>
  <c r="E18" i="4"/>
  <c r="G18" i="4" s="1"/>
  <c r="D18" i="4"/>
  <c r="F17" i="4"/>
  <c r="E17" i="4"/>
  <c r="G17" i="4" s="1"/>
  <c r="D17" i="4"/>
  <c r="F16" i="4"/>
  <c r="E16" i="4"/>
  <c r="G16" i="4" s="1"/>
  <c r="D16" i="4"/>
  <c r="F15" i="4"/>
  <c r="E15" i="4"/>
  <c r="G15" i="4" s="1"/>
  <c r="D15" i="4"/>
  <c r="F14" i="4"/>
  <c r="E14" i="4"/>
  <c r="G14" i="4" s="1"/>
  <c r="D14" i="4"/>
  <c r="F13" i="4"/>
  <c r="E13" i="4"/>
  <c r="G13" i="4" s="1"/>
  <c r="D13" i="4"/>
  <c r="F12" i="4"/>
  <c r="E12" i="4"/>
  <c r="D12" i="4"/>
  <c r="G11" i="4"/>
  <c r="F11" i="4"/>
  <c r="F29" i="4" s="1"/>
  <c r="E11" i="4"/>
  <c r="F10" i="4"/>
  <c r="E10" i="4"/>
  <c r="G10" i="4" s="1"/>
  <c r="M5" i="4"/>
  <c r="C42" i="6" s="1"/>
  <c r="J5" i="4"/>
  <c r="C39" i="6" s="1"/>
  <c r="L64" i="3"/>
  <c r="I64" i="3"/>
  <c r="K5" i="3" s="1"/>
  <c r="H64" i="3"/>
  <c r="G64" i="3"/>
  <c r="B64" i="3"/>
  <c r="L63" i="3"/>
  <c r="I63" i="3"/>
  <c r="Y80" i="5" s="1"/>
  <c r="F63" i="3"/>
  <c r="L62" i="3"/>
  <c r="I62" i="3"/>
  <c r="X80" i="5" s="1"/>
  <c r="F62" i="3"/>
  <c r="L61" i="3"/>
  <c r="I61" i="3"/>
  <c r="W80" i="5" s="1"/>
  <c r="F61" i="3"/>
  <c r="L60" i="3"/>
  <c r="I60" i="3"/>
  <c r="V80" i="5" s="1"/>
  <c r="F60" i="3"/>
  <c r="L59" i="3"/>
  <c r="I59" i="3"/>
  <c r="U80" i="5" s="1"/>
  <c r="F59" i="3"/>
  <c r="L58" i="3"/>
  <c r="I58" i="3"/>
  <c r="T80" i="5" s="1"/>
  <c r="F58" i="3"/>
  <c r="L57" i="3"/>
  <c r="I57" i="3"/>
  <c r="S80" i="5" s="1"/>
  <c r="F57" i="3"/>
  <c r="L56" i="3"/>
  <c r="I56" i="3"/>
  <c r="R80" i="5" s="1"/>
  <c r="F56" i="3"/>
  <c r="L55" i="3"/>
  <c r="I55" i="3"/>
  <c r="Q80" i="5" s="1"/>
  <c r="F55" i="3"/>
  <c r="L54" i="3"/>
  <c r="I54" i="3"/>
  <c r="P80" i="5" s="1"/>
  <c r="F54" i="3"/>
  <c r="L53" i="3"/>
  <c r="I53" i="3"/>
  <c r="O80" i="5" s="1"/>
  <c r="F53" i="3"/>
  <c r="L52" i="3"/>
  <c r="I52" i="3"/>
  <c r="N80" i="5" s="1"/>
  <c r="F52" i="3"/>
  <c r="L51" i="3"/>
  <c r="I51" i="3"/>
  <c r="M80" i="5" s="1"/>
  <c r="F51" i="3"/>
  <c r="L50" i="3"/>
  <c r="I50" i="3"/>
  <c r="L80" i="5" s="1"/>
  <c r="F50" i="3"/>
  <c r="L49" i="3"/>
  <c r="I49" i="3"/>
  <c r="K80" i="5" s="1"/>
  <c r="F49" i="3"/>
  <c r="L48" i="3"/>
  <c r="I48" i="3"/>
  <c r="J80" i="5" s="1"/>
  <c r="F48" i="3"/>
  <c r="L47" i="3"/>
  <c r="I47" i="3"/>
  <c r="I80" i="5" s="1"/>
  <c r="F47" i="3"/>
  <c r="L46" i="3"/>
  <c r="I46" i="3"/>
  <c r="H80" i="5" s="1"/>
  <c r="F46" i="3"/>
  <c r="L45" i="3"/>
  <c r="I45" i="3"/>
  <c r="G80" i="5" s="1"/>
  <c r="F45" i="3"/>
  <c r="L44" i="3"/>
  <c r="I44" i="3"/>
  <c r="F80" i="5" s="1"/>
  <c r="F44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F38" i="3"/>
  <c r="E38" i="3"/>
  <c r="G38" i="3" s="1"/>
  <c r="D38" i="3"/>
  <c r="F37" i="3"/>
  <c r="E37" i="3"/>
  <c r="G37" i="3" s="1"/>
  <c r="D37" i="3"/>
  <c r="F36" i="3"/>
  <c r="E36" i="3"/>
  <c r="G36" i="3" s="1"/>
  <c r="D36" i="3"/>
  <c r="F35" i="3"/>
  <c r="E35" i="3"/>
  <c r="G35" i="3" s="1"/>
  <c r="D35" i="3"/>
  <c r="F34" i="3"/>
  <c r="E34" i="3"/>
  <c r="G34" i="3" s="1"/>
  <c r="D34" i="3"/>
  <c r="F33" i="3"/>
  <c r="E33" i="3"/>
  <c r="G33" i="3" s="1"/>
  <c r="D33" i="3"/>
  <c r="F32" i="3"/>
  <c r="E32" i="3"/>
  <c r="G32" i="3" s="1"/>
  <c r="D32" i="3"/>
  <c r="F31" i="3"/>
  <c r="E31" i="3"/>
  <c r="G31" i="3" s="1"/>
  <c r="D31" i="3"/>
  <c r="F30" i="3"/>
  <c r="E30" i="3"/>
  <c r="G30" i="3" s="1"/>
  <c r="D30" i="3"/>
  <c r="F29" i="3"/>
  <c r="E29" i="3"/>
  <c r="G29" i="3" s="1"/>
  <c r="D29" i="3"/>
  <c r="F28" i="3"/>
  <c r="E28" i="3"/>
  <c r="G28" i="3" s="1"/>
  <c r="D28" i="3"/>
  <c r="F27" i="3"/>
  <c r="E27" i="3"/>
  <c r="G27" i="3" s="1"/>
  <c r="D27" i="3"/>
  <c r="F26" i="3"/>
  <c r="E26" i="3"/>
  <c r="G26" i="3" s="1"/>
  <c r="D26" i="3"/>
  <c r="F25" i="3"/>
  <c r="E25" i="3"/>
  <c r="G25" i="3" s="1"/>
  <c r="D25" i="3"/>
  <c r="F24" i="3"/>
  <c r="E24" i="3"/>
  <c r="G24" i="3" s="1"/>
  <c r="D24" i="3"/>
  <c r="F23" i="3"/>
  <c r="E23" i="3"/>
  <c r="G23" i="3" s="1"/>
  <c r="D23" i="3"/>
  <c r="F22" i="3"/>
  <c r="E22" i="3"/>
  <c r="G22" i="3" s="1"/>
  <c r="D22" i="3"/>
  <c r="F21" i="3"/>
  <c r="E21" i="3"/>
  <c r="G21" i="3" s="1"/>
  <c r="D21" i="3"/>
  <c r="F20" i="3"/>
  <c r="E20" i="3"/>
  <c r="G20" i="3" s="1"/>
  <c r="D20" i="3"/>
  <c r="F19" i="3"/>
  <c r="E19" i="3"/>
  <c r="G19" i="3" s="1"/>
  <c r="D19" i="3"/>
  <c r="F18" i="3"/>
  <c r="E18" i="3"/>
  <c r="G18" i="3" s="1"/>
  <c r="D18" i="3"/>
  <c r="F17" i="3"/>
  <c r="E17" i="3"/>
  <c r="G17" i="3" s="1"/>
  <c r="D17" i="3"/>
  <c r="F16" i="3"/>
  <c r="E16" i="3"/>
  <c r="G16" i="3" s="1"/>
  <c r="D16" i="3"/>
  <c r="F15" i="3"/>
  <c r="E15" i="3"/>
  <c r="G15" i="3" s="1"/>
  <c r="D15" i="3"/>
  <c r="F14" i="3"/>
  <c r="E14" i="3"/>
  <c r="G14" i="3" s="1"/>
  <c r="D14" i="3"/>
  <c r="F13" i="3"/>
  <c r="E13" i="3"/>
  <c r="G13" i="3" s="1"/>
  <c r="D13" i="3"/>
  <c r="F12" i="3"/>
  <c r="E12" i="3"/>
  <c r="G12" i="3" s="1"/>
  <c r="D12" i="3"/>
  <c r="F11" i="3"/>
  <c r="E11" i="3"/>
  <c r="G11" i="3" s="1"/>
  <c r="D11" i="3"/>
  <c r="F10" i="3"/>
  <c r="F39" i="3" s="1"/>
  <c r="E10" i="3"/>
  <c r="D10" i="3"/>
  <c r="N5" i="3"/>
  <c r="C30" i="6" s="1"/>
  <c r="J5" i="3"/>
  <c r="C26" i="6" s="1"/>
  <c r="L67" i="2"/>
  <c r="J5" i="2" s="1"/>
  <c r="I67" i="2"/>
  <c r="K5" i="2" s="1"/>
  <c r="H67" i="2"/>
  <c r="G67" i="2"/>
  <c r="B67" i="2"/>
  <c r="L66" i="2"/>
  <c r="I66" i="2"/>
  <c r="X42" i="5" s="1"/>
  <c r="F66" i="2"/>
  <c r="L65" i="2"/>
  <c r="I65" i="2"/>
  <c r="W42" i="5" s="1"/>
  <c r="F65" i="2"/>
  <c r="L64" i="2"/>
  <c r="I64" i="2"/>
  <c r="V42" i="5" s="1"/>
  <c r="F64" i="2"/>
  <c r="L63" i="2"/>
  <c r="I63" i="2"/>
  <c r="U42" i="5" s="1"/>
  <c r="F63" i="2"/>
  <c r="L62" i="2"/>
  <c r="I62" i="2"/>
  <c r="T42" i="5" s="1"/>
  <c r="F62" i="2"/>
  <c r="L61" i="2"/>
  <c r="I61" i="2"/>
  <c r="S42" i="5" s="1"/>
  <c r="F61" i="2"/>
  <c r="L60" i="2"/>
  <c r="I60" i="2"/>
  <c r="R42" i="5" s="1"/>
  <c r="F60" i="2"/>
  <c r="L59" i="2"/>
  <c r="I59" i="2"/>
  <c r="Q42" i="5" s="1"/>
  <c r="F59" i="2"/>
  <c r="L58" i="2"/>
  <c r="I58" i="2"/>
  <c r="P42" i="5" s="1"/>
  <c r="F58" i="2"/>
  <c r="L57" i="2"/>
  <c r="I57" i="2"/>
  <c r="O42" i="5" s="1"/>
  <c r="F57" i="2"/>
  <c r="L56" i="2"/>
  <c r="I56" i="2"/>
  <c r="N42" i="5" s="1"/>
  <c r="F56" i="2"/>
  <c r="L55" i="2"/>
  <c r="I55" i="2"/>
  <c r="M42" i="5" s="1"/>
  <c r="L54" i="2"/>
  <c r="I54" i="2"/>
  <c r="L42" i="5" s="1"/>
  <c r="F54" i="2"/>
  <c r="L53" i="2"/>
  <c r="I53" i="2"/>
  <c r="K42" i="5" s="1"/>
  <c r="F53" i="2"/>
  <c r="L52" i="2"/>
  <c r="I52" i="2"/>
  <c r="J42" i="5" s="1"/>
  <c r="F52" i="2"/>
  <c r="L51" i="2"/>
  <c r="I51" i="2"/>
  <c r="I42" i="5" s="1"/>
  <c r="F51" i="2"/>
  <c r="L50" i="2"/>
  <c r="I50" i="2"/>
  <c r="H42" i="5" s="1"/>
  <c r="F50" i="2"/>
  <c r="L49" i="2"/>
  <c r="I49" i="2"/>
  <c r="G42" i="5" s="1"/>
  <c r="F49" i="2"/>
  <c r="L48" i="2"/>
  <c r="I48" i="2"/>
  <c r="F42" i="5" s="1"/>
  <c r="F48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F42" i="2"/>
  <c r="E42" i="2"/>
  <c r="G42" i="2" s="1"/>
  <c r="D42" i="2"/>
  <c r="F41" i="2"/>
  <c r="E41" i="2"/>
  <c r="G41" i="2" s="1"/>
  <c r="D41" i="2"/>
  <c r="F40" i="2"/>
  <c r="E40" i="2"/>
  <c r="G40" i="2" s="1"/>
  <c r="D40" i="2"/>
  <c r="F39" i="2"/>
  <c r="E39" i="2"/>
  <c r="G39" i="2" s="1"/>
  <c r="D39" i="2"/>
  <c r="F38" i="2"/>
  <c r="E38" i="2"/>
  <c r="G38" i="2" s="1"/>
  <c r="D38" i="2"/>
  <c r="F37" i="2"/>
  <c r="E37" i="2"/>
  <c r="G37" i="2" s="1"/>
  <c r="D37" i="2"/>
  <c r="F36" i="2"/>
  <c r="E36" i="2"/>
  <c r="G36" i="2" s="1"/>
  <c r="D36" i="2"/>
  <c r="F35" i="2"/>
  <c r="E35" i="2"/>
  <c r="G35" i="2" s="1"/>
  <c r="D35" i="2"/>
  <c r="F34" i="2"/>
  <c r="E34" i="2"/>
  <c r="G34" i="2" s="1"/>
  <c r="D34" i="2"/>
  <c r="F33" i="2"/>
  <c r="E33" i="2"/>
  <c r="G33" i="2" s="1"/>
  <c r="D33" i="2"/>
  <c r="F32" i="2"/>
  <c r="E32" i="2"/>
  <c r="G32" i="2" s="1"/>
  <c r="D32" i="2"/>
  <c r="F31" i="2"/>
  <c r="E31" i="2"/>
  <c r="G31" i="2" s="1"/>
  <c r="D31" i="2"/>
  <c r="F30" i="2"/>
  <c r="E30" i="2"/>
  <c r="G30" i="2" s="1"/>
  <c r="D30" i="2"/>
  <c r="F29" i="2"/>
  <c r="E29" i="2"/>
  <c r="G29" i="2" s="1"/>
  <c r="D29" i="2"/>
  <c r="F28" i="2"/>
  <c r="E28" i="2"/>
  <c r="G28" i="2" s="1"/>
  <c r="D28" i="2"/>
  <c r="F27" i="2"/>
  <c r="E27" i="2"/>
  <c r="G27" i="2" s="1"/>
  <c r="D27" i="2"/>
  <c r="F26" i="2"/>
  <c r="E26" i="2"/>
  <c r="G26" i="2" s="1"/>
  <c r="D26" i="2"/>
  <c r="F25" i="2"/>
  <c r="E25" i="2"/>
  <c r="G25" i="2" s="1"/>
  <c r="D25" i="2"/>
  <c r="F24" i="2"/>
  <c r="E24" i="2"/>
  <c r="G24" i="2" s="1"/>
  <c r="D24" i="2"/>
  <c r="F23" i="2"/>
  <c r="E23" i="2"/>
  <c r="G23" i="2" s="1"/>
  <c r="D23" i="2"/>
  <c r="F22" i="2"/>
  <c r="E22" i="2"/>
  <c r="G22" i="2" s="1"/>
  <c r="D22" i="2"/>
  <c r="F21" i="2"/>
  <c r="E21" i="2"/>
  <c r="G21" i="2" s="1"/>
  <c r="D21" i="2"/>
  <c r="F20" i="2"/>
  <c r="E20" i="2"/>
  <c r="G20" i="2" s="1"/>
  <c r="D20" i="2"/>
  <c r="F19" i="2"/>
  <c r="E19" i="2"/>
  <c r="G19" i="2" s="1"/>
  <c r="D19" i="2"/>
  <c r="F18" i="2"/>
  <c r="E18" i="2"/>
  <c r="G18" i="2" s="1"/>
  <c r="D18" i="2"/>
  <c r="F17" i="2"/>
  <c r="E17" i="2"/>
  <c r="G17" i="2" s="1"/>
  <c r="D17" i="2"/>
  <c r="F16" i="2"/>
  <c r="E16" i="2"/>
  <c r="G16" i="2" s="1"/>
  <c r="D16" i="2"/>
  <c r="F15" i="2"/>
  <c r="E15" i="2"/>
  <c r="G15" i="2" s="1"/>
  <c r="D15" i="2"/>
  <c r="F14" i="2"/>
  <c r="E14" i="2"/>
  <c r="G14" i="2" s="1"/>
  <c r="D14" i="2"/>
  <c r="F13" i="2"/>
  <c r="E13" i="2"/>
  <c r="G13" i="2" s="1"/>
  <c r="D13" i="2"/>
  <c r="F12" i="2"/>
  <c r="E12" i="2"/>
  <c r="G12" i="2" s="1"/>
  <c r="D12" i="2"/>
  <c r="F11" i="2"/>
  <c r="E11" i="2"/>
  <c r="G11" i="2" s="1"/>
  <c r="D11" i="2"/>
  <c r="F10" i="2"/>
  <c r="F43" i="2" s="1"/>
  <c r="E10" i="2"/>
  <c r="D10" i="2"/>
  <c r="M6" i="1"/>
  <c r="J6" i="1"/>
  <c r="N5" i="1"/>
  <c r="J5" i="1"/>
  <c r="E106" i="5" l="1"/>
  <c r="D10" i="4"/>
  <c r="D106" i="5"/>
  <c r="K67" i="2"/>
  <c r="I5" i="2" s="1"/>
  <c r="F67" i="2"/>
  <c r="J67" i="2"/>
  <c r="N5" i="2"/>
  <c r="D40" i="5"/>
  <c r="E40" i="5"/>
  <c r="K6" i="1"/>
  <c r="C40" i="6"/>
  <c r="J48" i="4"/>
  <c r="K48" i="4"/>
  <c r="I5" i="4" s="1"/>
  <c r="N5" i="4"/>
  <c r="F48" i="4"/>
  <c r="E29" i="4"/>
  <c r="G12" i="4"/>
  <c r="F5" i="4"/>
  <c r="G5" i="4"/>
  <c r="E42" i="6"/>
  <c r="F42" i="6"/>
  <c r="E39" i="6"/>
  <c r="F39" i="6" s="1"/>
  <c r="C27" i="6"/>
  <c r="K5" i="1"/>
  <c r="K64" i="3"/>
  <c r="I5" i="3" s="1"/>
  <c r="F64" i="3"/>
  <c r="J64" i="3"/>
  <c r="F5" i="3"/>
  <c r="G10" i="3"/>
  <c r="E39" i="3"/>
  <c r="G5" i="3" s="1"/>
  <c r="C39" i="3"/>
  <c r="H5" i="3" s="1"/>
  <c r="D39" i="3"/>
  <c r="E30" i="6"/>
  <c r="F30" i="6"/>
  <c r="E26" i="6"/>
  <c r="F26" i="6"/>
  <c r="C13" i="6"/>
  <c r="J4" i="1"/>
  <c r="C14" i="6"/>
  <c r="K4" i="1"/>
  <c r="F5" i="2"/>
  <c r="E43" i="2"/>
  <c r="G5" i="2" s="1"/>
  <c r="G10" i="2"/>
  <c r="D43" i="2"/>
  <c r="C43" i="2"/>
  <c r="H5" i="2" s="1"/>
  <c r="C29" i="4" l="1"/>
  <c r="H5" i="4" s="1"/>
  <c r="D29" i="4"/>
  <c r="C12" i="6"/>
  <c r="I4" i="1"/>
  <c r="N4" i="1"/>
  <c r="C17" i="6"/>
  <c r="E40" i="6"/>
  <c r="F40" i="6"/>
  <c r="C38" i="6"/>
  <c r="I6" i="1"/>
  <c r="N6" i="1"/>
  <c r="C43" i="6"/>
  <c r="C5" i="4"/>
  <c r="C6" i="1" s="1"/>
  <c r="C32" i="6"/>
  <c r="G29" i="4"/>
  <c r="D5" i="4"/>
  <c r="F6" i="1"/>
  <c r="C35" i="6"/>
  <c r="C36" i="6"/>
  <c r="G6" i="1"/>
  <c r="E27" i="6"/>
  <c r="F27" i="6"/>
  <c r="M5" i="3"/>
  <c r="C25" i="6"/>
  <c r="I5" i="1"/>
  <c r="C23" i="6"/>
  <c r="G5" i="1"/>
  <c r="C22" i="6"/>
  <c r="F5" i="1"/>
  <c r="G39" i="3"/>
  <c r="C19" i="6"/>
  <c r="C5" i="3"/>
  <c r="C5" i="1" s="1"/>
  <c r="D5" i="3"/>
  <c r="L5" i="3"/>
  <c r="C24" i="6"/>
  <c r="H5" i="1"/>
  <c r="C18" i="6"/>
  <c r="B5" i="3"/>
  <c r="B5" i="1" s="1"/>
  <c r="E13" i="6"/>
  <c r="F13" i="6"/>
  <c r="E14" i="6"/>
  <c r="F14" i="6"/>
  <c r="F4" i="1"/>
  <c r="F7" i="1" s="1"/>
  <c r="C9" i="6"/>
  <c r="C10" i="6"/>
  <c r="G4" i="1"/>
  <c r="G43" i="2"/>
  <c r="C6" i="6"/>
  <c r="C5" i="2"/>
  <c r="C4" i="1" s="1"/>
  <c r="C7" i="1" s="1"/>
  <c r="D5" i="2"/>
  <c r="M5" i="2" s="1"/>
  <c r="C5" i="6"/>
  <c r="B5" i="2"/>
  <c r="B4" i="1" s="1"/>
  <c r="L5" i="2"/>
  <c r="H4" i="1"/>
  <c r="C11" i="6"/>
  <c r="H6" i="1" l="1"/>
  <c r="L5" i="4"/>
  <c r="C37" i="6"/>
  <c r="C31" i="6"/>
  <c r="B5" i="4"/>
  <c r="B6" i="1" s="1"/>
  <c r="B7" i="1" s="1"/>
  <c r="D7" i="1" s="1"/>
  <c r="E7" i="1" s="1"/>
  <c r="C16" i="6"/>
  <c r="M4" i="1"/>
  <c r="E12" i="6"/>
  <c r="F12" i="6"/>
  <c r="K7" i="1"/>
  <c r="J7" i="1"/>
  <c r="N7" i="1"/>
  <c r="E17" i="6"/>
  <c r="F17" i="6"/>
  <c r="E38" i="6"/>
  <c r="F38" i="6"/>
  <c r="E43" i="6"/>
  <c r="F43" i="6" s="1"/>
  <c r="E32" i="6"/>
  <c r="F32" i="6"/>
  <c r="D6" i="1"/>
  <c r="C33" i="6"/>
  <c r="E5" i="4"/>
  <c r="E35" i="6"/>
  <c r="F35" i="6" s="1"/>
  <c r="E36" i="6"/>
  <c r="F36" i="6"/>
  <c r="C29" i="6"/>
  <c r="M5" i="1"/>
  <c r="E25" i="6"/>
  <c r="F25" i="6"/>
  <c r="E23" i="6"/>
  <c r="F23" i="6"/>
  <c r="E22" i="6"/>
  <c r="F22" i="6"/>
  <c r="E19" i="6"/>
  <c r="F19" i="6"/>
  <c r="E5" i="3"/>
  <c r="C20" i="6"/>
  <c r="D5" i="1"/>
  <c r="C28" i="6"/>
  <c r="L5" i="1"/>
  <c r="E24" i="6"/>
  <c r="F24" i="6"/>
  <c r="E18" i="6"/>
  <c r="F18" i="6"/>
  <c r="E9" i="6"/>
  <c r="F9" i="6"/>
  <c r="E10" i="6"/>
  <c r="F10" i="6"/>
  <c r="E6" i="6"/>
  <c r="F6" i="6"/>
  <c r="E5" i="2"/>
  <c r="D4" i="1"/>
  <c r="C7" i="6"/>
  <c r="E5" i="6"/>
  <c r="F5" i="6"/>
  <c r="C15" i="6"/>
  <c r="L4" i="1"/>
  <c r="E11" i="6"/>
  <c r="F11" i="6"/>
  <c r="G7" i="1"/>
  <c r="I7" i="1"/>
  <c r="C41" i="6" l="1"/>
  <c r="L6" i="1"/>
  <c r="E37" i="6"/>
  <c r="F37" i="6"/>
  <c r="E31" i="6"/>
  <c r="F31" i="6"/>
  <c r="E16" i="6"/>
  <c r="F16" i="6"/>
  <c r="E33" i="6"/>
  <c r="F33" i="6"/>
  <c r="C34" i="6"/>
  <c r="E6" i="1"/>
  <c r="E29" i="6"/>
  <c r="F29" i="6"/>
  <c r="C21" i="6"/>
  <c r="E5" i="1"/>
  <c r="E20" i="6"/>
  <c r="F20" i="6"/>
  <c r="E28" i="6"/>
  <c r="F28" i="6"/>
  <c r="E4" i="1"/>
  <c r="C8" i="6"/>
  <c r="E7" i="6"/>
  <c r="F7" i="6" s="1"/>
  <c r="E15" i="6"/>
  <c r="F15" i="6"/>
  <c r="M7" i="1"/>
  <c r="H7" i="1"/>
  <c r="L7" i="1" s="1"/>
  <c r="E41" i="6" l="1"/>
  <c r="F41" i="6"/>
  <c r="E34" i="6"/>
  <c r="F34" i="6"/>
  <c r="E21" i="6"/>
  <c r="F21" i="6"/>
  <c r="F8" i="6"/>
  <c r="B9" i="1" s="1"/>
  <c r="E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5" authorId="0" shapeId="0" xr:uid="{00000000-0006-0000-0100-000003000000}">
      <text>
        <r>
          <rPr>
            <sz val="10"/>
            <rFont val="Arial"/>
            <family val="2"/>
          </rPr>
          <t>Blank on purpose until every block this campaign fed is CLOSED and fully priced.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5" authorId="0" shapeId="0" xr:uid="{00000000-0006-0000-0200-000003000000}">
      <text>
        <r>
          <rPr>
            <sz val="10"/>
            <rFont val="Arial"/>
            <family val="2"/>
          </rPr>
          <t>Blank on purpose until every block this campaign fed is CLOSED and fully priced.</t>
        </r>
      </text>
    </comment>
    <comment ref="J64" authorId="0" shapeId="0" xr:uid="{00000000-0006-0000-0200-000001000000}">
      <text>
        <r>
          <rPr>
            <sz val="10"/>
            <rFont val="Arial"/>
            <family val="2"/>
          </rPr>
          <t>Block price weighted by this campaign's fed kg, over the blocks inside the price set (closed and fully priced).</t>
        </r>
      </text>
    </comment>
    <comment ref="L64" authorId="0" shapeId="0" xr:uid="{00000000-0006-0000-0200-000002000000}">
      <text>
        <r>
          <rPr>
            <sz val="10"/>
            <rFont val="Arial"/>
            <family val="2"/>
          </rP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5" authorId="0" shapeId="0" xr:uid="{00000000-0006-0000-0300-000007000000}">
      <text>
        <r>
          <rPr>
            <sz val="10"/>
            <rFont val="Arial"/>
            <family val="2"/>
          </rPr>
          <t>Blank on purpose until every block this campaign fed is CLOSED and fully priced.</t>
        </r>
      </text>
    </comment>
    <comment ref="H43" authorId="0" shapeId="0" xr:uid="{00000000-0006-0000-0300-000001000000}">
      <text>
        <r>
          <rPr>
            <sz val="10"/>
            <rFont val="Arial"/>
            <family val="2"/>
          </rPr>
          <t>Still open — 18,685 kg remains in the pile. Not a loss yet.</t>
        </r>
      </text>
    </comment>
    <comment ref="H45" authorId="0" shapeId="0" xr:uid="{00000000-0006-0000-0300-000002000000}">
      <text>
        <r>
          <rPr>
            <sz val="10"/>
            <rFont val="Arial"/>
            <family val="2"/>
          </rPr>
          <t>Still open — 13,864 kg remains in the pile. Not a loss yet.</t>
        </r>
      </text>
    </comment>
    <comment ref="H46" authorId="0" shapeId="0" xr:uid="{00000000-0006-0000-0300-000003000000}">
      <text>
        <r>
          <rPr>
            <sz val="10"/>
            <rFont val="Arial"/>
            <family val="2"/>
          </rPr>
          <t>Still open — 19,656 kg remains in the pile. Not a loss yet.</t>
        </r>
      </text>
    </comment>
    <comment ref="H47" authorId="0" shapeId="0" xr:uid="{00000000-0006-0000-0300-000004000000}">
      <text>
        <r>
          <rPr>
            <sz val="10"/>
            <rFont val="Arial"/>
            <family val="2"/>
          </rPr>
          <t>Still open — 10,000 kg remains in the pile. Not a loss yet.</t>
        </r>
      </text>
    </comment>
    <comment ref="J48" authorId="0" shapeId="0" xr:uid="{00000000-0006-0000-0300-000005000000}">
      <text>
        <r>
          <rPr>
            <sz val="10"/>
            <rFont val="Arial"/>
            <family val="2"/>
          </rPr>
          <t>Block price weighted by this campaign's fed kg, over the blocks inside the price set (closed and fully priced).</t>
        </r>
      </text>
    </comment>
    <comment ref="L48" authorId="0" shapeId="0" xr:uid="{00000000-0006-0000-0300-000006000000}">
      <text>
        <r>
          <rPr>
            <sz val="10"/>
            <rFont val="Arial"/>
            <family val="2"/>
          </rP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sharedStrings.xml><?xml version="1.0" encoding="utf-8"?>
<sst xmlns="http://schemas.openxmlformats.org/spreadsheetml/2006/main" count="814" uniqueCount="202">
  <si>
    <t>EOQ SUMMARY — Q3 2026</t>
  </si>
  <si>
    <t>CAMPAIGN</t>
  </si>
  <si>
    <t>RC FED (t)</t>
  </si>
  <si>
    <t>PRODUCED (t)</t>
  </si>
  <si>
    <t>YIELD</t>
  </si>
  <si>
    <t>LOSS</t>
  </si>
  <si>
    <t>WASTE (kg)</t>
  </si>
  <si>
    <t>WASTE %</t>
  </si>
  <si>
    <t>FED PRICE (₱/kg)</t>
  </si>
  <si>
    <t>ACTUAL FED PRICE (₱/kg)</t>
  </si>
  <si>
    <t>RESIKO COST (₱/kg)</t>
  </si>
  <si>
    <t>RESIKO LOSS</t>
  </si>
  <si>
    <t>PC COST (₱/kg)</t>
  </si>
  <si>
    <t>TRUE PC COST (₱/kg)</t>
  </si>
  <si>
    <t>fed kg in price set</t>
  </si>
  <si>
    <t>JULY 2026</t>
  </si>
  <si>
    <t>AUGUST 2026</t>
  </si>
  <si>
    <t>SEPTEMBER 2026</t>
  </si>
  <si>
    <t>GROUP · Q3 2026</t>
  </si>
  <si>
    <t>CHECKS</t>
  </si>
  <si>
    <t>JULY 2026 — PLANT OPERATIONS</t>
  </si>
  <si>
    <t>2026-06-30 → 2026-08-01 · 33 days · 5 rest · blue = database value · black = formula · green = link to another tab</t>
  </si>
  <si>
    <t>EOM ROLLUP</t>
  </si>
  <si>
    <t>DAY</t>
  </si>
  <si>
    <t>PRICE</t>
  </si>
  <si>
    <t>FED</t>
  </si>
  <si>
    <t>PRODUCED</t>
  </si>
  <si>
    <t>WASTE</t>
  </si>
  <si>
    <t>SHIFT</t>
  </si>
  <si>
    <t>GRADES</t>
  </si>
  <si>
    <t>WASTE STREAMS</t>
  </si>
  <si>
    <t>DATE</t>
  </si>
  <si>
    <t>FED PRICE ₱/kg</t>
  </si>
  <si>
    <t>TTL FED kg</t>
  </si>
  <si>
    <t>TTL PROD kg</t>
  </si>
  <si>
    <t>WASTE kg</t>
  </si>
  <si>
    <t>SHIFTS</t>
  </si>
  <si>
    <t>DT HRS</t>
  </si>
  <si>
    <t>3X50 kg</t>
  </si>
  <si>
    <t>6X50 kg</t>
  </si>
  <si>
    <t>8X50 kg</t>
  </si>
  <si>
    <t>2X6 kg</t>
  </si>
  <si>
    <t>4X8 kg</t>
  </si>
  <si>
    <t>TRML 1 kg</t>
  </si>
  <si>
    <t>TRML 2 kg</t>
  </si>
  <si>
    <t>RS1A kg</t>
  </si>
  <si>
    <t>RS1B kg</t>
  </si>
  <si>
    <t>RS2/3 kg</t>
  </si>
  <si>
    <t>RS5 kg</t>
  </si>
  <si>
    <t>BF kg</t>
  </si>
  <si>
    <t>GRITS kg</t>
  </si>
  <si>
    <t>Tue</t>
  </si>
  <si>
    <t>Wed</t>
  </si>
  <si>
    <t>Thu</t>
  </si>
  <si>
    <t>Fri</t>
  </si>
  <si>
    <t>Sat</t>
  </si>
  <si>
    <t>Sun</t>
  </si>
  <si>
    <t>Mon</t>
  </si>
  <si>
    <t>33 d</t>
  </si>
  <si>
    <t>BLOCKS USED</t>
  </si>
  <si>
    <t>FED WT is this campaign's kg (linked to the RC Movement tab), not the block's lifetime. RESIKO is only a loss once the block is CLOSED.</t>
  </si>
  <si>
    <t>BATCH</t>
  </si>
  <si>
    <t>BLOCK LOC</t>
  </si>
  <si>
    <t>DATE OPEN</t>
  </si>
  <si>
    <t>DATE CLOSE</t>
  </si>
  <si>
    <t>STATE</t>
  </si>
  <si>
    <t>FED WT kg</t>
  </si>
  <si>
    <t>ARRV WT kg</t>
  </si>
  <si>
    <t>RESIKO kg</t>
  </si>
  <si>
    <t>RESIKO LOSS %</t>
  </si>
  <si>
    <t>BLOCK PRICE ₱/kg</t>
  </si>
  <si>
    <t>ACTUAL PRICE ₱/kg</t>
  </si>
  <si>
    <t>RESIKO PRICE ₱/kg</t>
  </si>
  <si>
    <t>IN PRICE SET</t>
  </si>
  <si>
    <t>FEB-26-BLK4</t>
  </si>
  <si>
    <t>A-7C</t>
  </si>
  <si>
    <t>CLOSED</t>
  </si>
  <si>
    <t>Y</t>
  </si>
  <si>
    <t>JULY-25-BLK9</t>
  </si>
  <si>
    <t>C-11B</t>
  </si>
  <si>
    <t>MARCH-26-BLK26</t>
  </si>
  <si>
    <t>A-5B</t>
  </si>
  <si>
    <t>MARCH-26-BLK9</t>
  </si>
  <si>
    <t>C-6A</t>
  </si>
  <si>
    <t>OCT-25-BLK25</t>
  </si>
  <si>
    <t>D-7B</t>
  </si>
  <si>
    <t>JUNE-26-FEED7</t>
  </si>
  <si>
    <t>—</t>
  </si>
  <si>
    <t>AUG-25-BLK2</t>
  </si>
  <si>
    <t>C-12A</t>
  </si>
  <si>
    <t>JULY-26-FEED1</t>
  </si>
  <si>
    <t>FOR FEEDING</t>
  </si>
  <si>
    <t>AUG-25-BLK4</t>
  </si>
  <si>
    <t>C-12B</t>
  </si>
  <si>
    <t>FEB-26-BLK1</t>
  </si>
  <si>
    <t>A-7B</t>
  </si>
  <si>
    <t>JAN-26-BLK3</t>
  </si>
  <si>
    <t>A-9B</t>
  </si>
  <si>
    <t>NOV-25-BLK7</t>
  </si>
  <si>
    <t>D-15A</t>
  </si>
  <si>
    <t>JAN-26-BLK1</t>
  </si>
  <si>
    <t>A-9A</t>
  </si>
  <si>
    <t>JULY-26-FEED2</t>
  </si>
  <si>
    <t>JAN-26-BLK19</t>
  </si>
  <si>
    <t>A-8C</t>
  </si>
  <si>
    <t>OCT-25-BLK10</t>
  </si>
  <si>
    <t>D-7C</t>
  </si>
  <si>
    <t>JAN-26-BLK15</t>
  </si>
  <si>
    <t>A-11A</t>
  </si>
  <si>
    <t>JAN-26-BLK18</t>
  </si>
  <si>
    <t>A-8B</t>
  </si>
  <si>
    <t>JAN-26-BLK22</t>
  </si>
  <si>
    <t>A-7A</t>
  </si>
  <si>
    <t>19 blocks</t>
  </si>
  <si>
    <t>AUGUST 2026 — PLANT OPERATIONS</t>
  </si>
  <si>
    <t>2026-08-01 → 2026-08-29 · 29 days · 6 rest · blue = database value · black = formula · green = link to another tab</t>
  </si>
  <si>
    <t>29 d</t>
  </si>
  <si>
    <t>AUG-26-FEED1</t>
  </si>
  <si>
    <t>JULY-26-BLK14</t>
  </si>
  <si>
    <t>D-13C</t>
  </si>
  <si>
    <t>JULY-26-BLK12</t>
  </si>
  <si>
    <t>D-20B</t>
  </si>
  <si>
    <t>JULY-26-BLK2</t>
  </si>
  <si>
    <t>D-13D</t>
  </si>
  <si>
    <t>JAN-26-BLK14</t>
  </si>
  <si>
    <t>A-8A</t>
  </si>
  <si>
    <t>NOV-25-BLK17</t>
  </si>
  <si>
    <t>D-15B</t>
  </si>
  <si>
    <t>AUG-26-FEED2</t>
  </si>
  <si>
    <t>AUGUST-26-BLK3</t>
  </si>
  <si>
    <t>D-12D</t>
  </si>
  <si>
    <t>MARCH-26-BLK17</t>
  </si>
  <si>
    <t>A-5A</t>
  </si>
  <si>
    <t>JUNE-26-BLK6</t>
  </si>
  <si>
    <t>D-20D</t>
  </si>
  <si>
    <t>AUGUST-26-FEED3</t>
  </si>
  <si>
    <t>AUGUST-26-FEED4</t>
  </si>
  <si>
    <t>JULY-26-BLK13</t>
  </si>
  <si>
    <t>C-6B</t>
  </si>
  <si>
    <t>AUG-26-FEED5</t>
  </si>
  <si>
    <t>AUG-26-RECOOKED1</t>
  </si>
  <si>
    <t>JULY-26-BLK5</t>
  </si>
  <si>
    <t>A-17C</t>
  </si>
  <si>
    <t>SEPT-25-BLK4</t>
  </si>
  <si>
    <t>D-7D</t>
  </si>
  <si>
    <t>20 blocks</t>
  </si>
  <si>
    <t>SEPTEMBER 2026 — PLANT OPERATIONS</t>
  </si>
  <si>
    <t>2026-08-29 → 2026-09-16 · 19 days · 4 rest · blue = database value · black = formula · green = link to another tab</t>
  </si>
  <si>
    <t>19 d</t>
  </si>
  <si>
    <t>JULY-26-BLK10</t>
  </si>
  <si>
    <t>SEPTEMBER-26-FEED1</t>
  </si>
  <si>
    <t>NOV-25-BLK13</t>
  </si>
  <si>
    <t>D-8A</t>
  </si>
  <si>
    <t>FEB-26-BLK12</t>
  </si>
  <si>
    <t>A-6C</t>
  </si>
  <si>
    <t>SEPT-26-FEED2</t>
  </si>
  <si>
    <t>NOV-25-BLK12</t>
  </si>
  <si>
    <t>D-8B</t>
  </si>
  <si>
    <t>FEB-26-BLK9</t>
  </si>
  <si>
    <t>A-6B</t>
  </si>
  <si>
    <t>OPEN</t>
  </si>
  <si>
    <t>N</t>
  </si>
  <si>
    <t>SEPT-26-FEED3</t>
  </si>
  <si>
    <t>JUNE-26-BLK2</t>
  </si>
  <si>
    <t>A-17B</t>
  </si>
  <si>
    <t>NOV-25-BLK5</t>
  </si>
  <si>
    <t>D-8C</t>
  </si>
  <si>
    <t>SEPT-26-FEED4</t>
  </si>
  <si>
    <t>14 blocks</t>
  </si>
  <si>
    <t>RC MOVEMENT — Q3 2026</t>
  </si>
  <si>
    <t>One table per campaign, stacked. Blue = database value · black = formula · green = link to another tab. kg fed by block per day; the footer is this campaign's kg, the block's delivered ₱/kg, its resiko loss and its actual ₱/kg.</t>
  </si>
  <si>
    <t>JULY 2026 · 2026-06-30 → 2026-08-01 · 33 days · 19 blocks</t>
  </si>
  <si>
    <t>#</t>
  </si>
  <si>
    <t>FED ₱/kg</t>
  </si>
  <si>
    <t>TOTAL FED kg</t>
  </si>
  <si>
    <t>FED kg (this campaign)</t>
  </si>
  <si>
    <t>₱/KG (block price)</t>
  </si>
  <si>
    <t>LOSS % (resiko)</t>
  </si>
  <si>
    <t>ACTUAL ₱/kg</t>
  </si>
  <si>
    <t>AUGUST 2026 · 2026-08-01 → 2026-08-29 · 29 days · 20 blocks</t>
  </si>
  <si>
    <t>SEPTEMBER 2026 · 2026-08-29 → 2026-09-16 · 19 days · 14 blocks</t>
  </si>
  <si>
    <t>CHECKS — the workbook's formulas against the database's own figures</t>
  </si>
  <si>
    <t>WORKBOOK is a live link to the formula cell. DATABASE is the figure the Blackwood views published on 2026-09-17. A row reads CHECK when they differ by more than the tolerance.</t>
  </si>
  <si>
    <t>FIGURE</t>
  </si>
  <si>
    <t>WORKBOOK</t>
  </si>
  <si>
    <t>DATABASE</t>
  </si>
  <si>
    <t>DIFFERENCE</t>
  </si>
  <si>
    <t>STATUS</t>
  </si>
  <si>
    <t>TOLERANCE</t>
  </si>
  <si>
    <t>RC fed kg</t>
  </si>
  <si>
    <t>Produced kg</t>
  </si>
  <si>
    <t>Yield</t>
  </si>
  <si>
    <t>Loss</t>
  </si>
  <si>
    <t>Waste kg</t>
  </si>
  <si>
    <t>Waste %</t>
  </si>
  <si>
    <t>Fed price</t>
  </si>
  <si>
    <t>Actual fed price</t>
  </si>
  <si>
    <t>Resiko cost</t>
  </si>
  <si>
    <t>Resiko loss</t>
  </si>
  <si>
    <t>PC cost</t>
  </si>
  <si>
    <t>True PC cost</t>
  </si>
  <si>
    <t>Fed kg in price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</si>
</sst>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"/>
    <numFmt numFmtId="165" formatCode="0.00%;\-0.00%;;@"/>
    <numFmt numFmtId="166" formatCode="#,##0.0;\-#,##0.0;;@"/>
    <numFmt numFmtId="167" formatCode="\₱#,##0.00;&quot;-₱&quot;#,##0.00;;@"/>
    <numFmt numFmtId="168" formatCode="#,##0;\-#,##0;;@"/>
    <numFmt numFmtId="169" formatCode="yyyy/mm/dd"/>
    <numFmt numFmtId="170" formatCode="0.00;\-0.00;;@"/>
    <numFmt numFmtId="171" formatCode="0.#####"/>
    <numFmt numFmtId="172" formatCode="0.0000%"/>
    <numFmt numFmtId="173" formatCode="\₱0.0000"/>
    <numFmt numFmtId="174" formatCode="0.0000"/>
  </numFmts>
  <fonts count="1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9"/>
      <color rgb="FF666666"/>
      <name val="Arial"/>
      <family val="2"/>
    </font>
    <font>
      <b/>
      <sz val="9"/>
      <name val="Arial"/>
      <family val="2"/>
    </font>
    <font>
      <sz val="9"/>
      <color rgb="FF999999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charset val="1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color rgb="FF666666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EDED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EDEDED"/>
      </patternFill>
    </fill>
    <fill>
      <patternFill patternType="solid">
        <fgColor rgb="FFE4DFEC"/>
        <bgColor rgb="FFDDEBF7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165" fontId="6" fillId="8" borderId="2" xfId="0" applyNumberFormat="1" applyFont="1" applyFill="1" applyBorder="1" applyAlignment="1">
      <alignment horizontal="right" vertical="center"/>
    </xf>
    <xf numFmtId="166" fontId="6" fillId="8" borderId="2" xfId="0" applyNumberFormat="1" applyFont="1" applyFill="1" applyBorder="1" applyAlignment="1">
      <alignment horizontal="right" vertical="center"/>
    </xf>
    <xf numFmtId="167" fontId="6" fillId="8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9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67" fontId="9" fillId="0" borderId="1" xfId="0" applyNumberFormat="1" applyFont="1" applyBorder="1" applyAlignment="1">
      <alignment horizontal="right" vertical="center"/>
    </xf>
    <xf numFmtId="168" fontId="7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68" fontId="9" fillId="0" borderId="1" xfId="0" applyNumberFormat="1" applyFont="1" applyBorder="1" applyAlignment="1">
      <alignment horizontal="right" vertical="center"/>
    </xf>
    <xf numFmtId="170" fontId="9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9" fontId="8" fillId="9" borderId="1" xfId="0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167" fontId="9" fillId="9" borderId="1" xfId="0" applyNumberFormat="1" applyFont="1" applyFill="1" applyBorder="1" applyAlignment="1">
      <alignment horizontal="right" vertical="center"/>
    </xf>
    <xf numFmtId="168" fontId="7" fillId="9" borderId="1" xfId="0" applyNumberFormat="1" applyFont="1" applyFill="1" applyBorder="1" applyAlignment="1">
      <alignment horizontal="right" vertical="center"/>
    </xf>
    <xf numFmtId="168" fontId="8" fillId="9" borderId="1" xfId="0" applyNumberFormat="1" applyFont="1" applyFill="1" applyBorder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5" fontId="8" fillId="9" borderId="1" xfId="0" applyNumberFormat="1" applyFont="1" applyFill="1" applyBorder="1" applyAlignment="1">
      <alignment horizontal="right" vertical="center"/>
    </xf>
    <xf numFmtId="168" fontId="9" fillId="9" borderId="1" xfId="0" applyNumberFormat="1" applyFont="1" applyFill="1" applyBorder="1" applyAlignment="1">
      <alignment horizontal="right" vertical="center"/>
    </xf>
    <xf numFmtId="170" fontId="9" fillId="9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0" fontId="5" fillId="8" borderId="2" xfId="0" applyFont="1" applyFill="1" applyBorder="1"/>
    <xf numFmtId="168" fontId="6" fillId="8" borderId="2" xfId="0" applyNumberFormat="1" applyFont="1" applyFill="1" applyBorder="1" applyAlignment="1">
      <alignment horizontal="right" vertical="center"/>
    </xf>
    <xf numFmtId="170" fontId="6" fillId="8" borderId="2" xfId="0" applyNumberFormat="1" applyFont="1" applyFill="1" applyBorder="1" applyAlignment="1">
      <alignment horizontal="right" vertical="center"/>
    </xf>
    <xf numFmtId="0" fontId="6" fillId="0" borderId="0" xfId="0" applyFont="1"/>
    <xf numFmtId="169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7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8" fillId="8" borderId="2" xfId="0" applyFont="1" applyFill="1" applyBorder="1"/>
    <xf numFmtId="169" fontId="9" fillId="9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167" fontId="8" fillId="9" borderId="1" xfId="0" applyNumberFormat="1" applyFont="1" applyFill="1" applyBorder="1" applyAlignment="1">
      <alignment horizontal="right" vertical="center"/>
    </xf>
    <xf numFmtId="0" fontId="9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168" fontId="6" fillId="9" borderId="1" xfId="0" applyNumberFormat="1" applyFont="1" applyFill="1" applyBorder="1" applyAlignment="1">
      <alignment horizontal="right" vertical="center"/>
    </xf>
    <xf numFmtId="0" fontId="6" fillId="8" borderId="2" xfId="0" applyFont="1" applyFill="1" applyBorder="1"/>
    <xf numFmtId="0" fontId="8" fillId="8" borderId="1" xfId="0" applyFont="1" applyFill="1" applyBorder="1"/>
    <xf numFmtId="0" fontId="4" fillId="8" borderId="1" xfId="0" applyFont="1" applyFill="1" applyBorder="1"/>
    <xf numFmtId="167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171" fontId="5" fillId="0" borderId="1" xfId="0" applyNumberFormat="1" applyFont="1" applyBorder="1" applyAlignment="1">
      <alignment horizontal="right" vertical="center"/>
    </xf>
    <xf numFmtId="172" fontId="7" fillId="0" borderId="1" xfId="0" applyNumberFormat="1" applyFont="1" applyBorder="1" applyAlignment="1">
      <alignment horizontal="right" vertical="center"/>
    </xf>
    <xf numFmtId="172" fontId="9" fillId="0" borderId="1" xfId="0" applyNumberFormat="1" applyFont="1" applyBorder="1" applyAlignment="1">
      <alignment horizontal="right" vertical="center"/>
    </xf>
    <xf numFmtId="172" fontId="8" fillId="0" borderId="1" xfId="0" applyNumberFormat="1" applyFont="1" applyBorder="1" applyAlignment="1">
      <alignment horizontal="right" vertical="center"/>
    </xf>
    <xf numFmtId="173" fontId="7" fillId="0" borderId="1" xfId="0" applyNumberFormat="1" applyFont="1" applyBorder="1" applyAlignment="1">
      <alignment horizontal="right" vertical="center"/>
    </xf>
    <xf numFmtId="173" fontId="9" fillId="0" borderId="1" xfId="0" applyNumberFormat="1" applyFont="1" applyBorder="1" applyAlignment="1">
      <alignment horizontal="right" vertical="center"/>
    </xf>
    <xf numFmtId="174" fontId="8" fillId="0" borderId="1" xfId="0" applyNumberFormat="1" applyFont="1" applyBorder="1" applyAlignment="1">
      <alignment horizontal="right" vertical="center"/>
    </xf>
    <xf numFmtId="0" fontId="0" fillId="0" borderId="0" xfId="0" applyFont="1"/>
    <xf numFmtId="0" fontId="10" fillId="0" borderId="0" xfId="0" applyFont="1"/>
    <xf numFmtId="0" fontId="11" fillId="0" borderId="1" xfId="0" applyFont="1" applyBorder="1" applyAlignment="1">
      <alignment horizontal="left" vertical="center"/>
    </xf>
    <xf numFmtId="164" fontId="11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168" fontId="15" fillId="0" borderId="1" xfId="0" applyNumberFormat="1" applyFont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164" fontId="13" fillId="8" borderId="2" xfId="0" applyNumberFormat="1" applyFont="1" applyFill="1" applyBorder="1" applyAlignment="1">
      <alignment horizontal="right" vertical="center"/>
    </xf>
    <xf numFmtId="165" fontId="13" fillId="8" borderId="2" xfId="0" applyNumberFormat="1" applyFont="1" applyFill="1" applyBorder="1" applyAlignment="1">
      <alignment horizontal="right" vertical="center"/>
    </xf>
    <xf numFmtId="166" fontId="13" fillId="8" borderId="2" xfId="0" applyNumberFormat="1" applyFont="1" applyFill="1" applyBorder="1" applyAlignment="1">
      <alignment horizontal="right" vertical="center"/>
    </xf>
    <xf numFmtId="167" fontId="13" fillId="8" borderId="2" xfId="0" applyNumberFormat="1" applyFont="1" applyFill="1" applyBorder="1" applyAlignment="1">
      <alignment horizontal="right" vertical="center"/>
    </xf>
    <xf numFmtId="168" fontId="15" fillId="8" borderId="2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8" fontId="11" fillId="0" borderId="1" xfId="0" applyNumberFormat="1" applyFont="1" applyBorder="1" applyAlignment="1">
      <alignment horizontal="right" vertical="center"/>
    </xf>
    <xf numFmtId="168" fontId="11" fillId="8" borderId="2" xfId="0" applyNumberFormat="1" applyFont="1" applyFill="1" applyBorder="1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2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8" fontId="17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167" fontId="18" fillId="0" borderId="1" xfId="0" applyNumberFormat="1" applyFont="1" applyBorder="1" applyAlignment="1">
      <alignment horizontal="right" vertical="center"/>
    </xf>
    <xf numFmtId="168" fontId="18" fillId="0" borderId="1" xfId="0" applyNumberFormat="1" applyFont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170" fontId="18" fillId="0" borderId="1" xfId="0" applyNumberFormat="1" applyFont="1" applyBorder="1" applyAlignment="1">
      <alignment horizontal="right" vertical="center"/>
    </xf>
    <xf numFmtId="0" fontId="18" fillId="9" borderId="1" xfId="0" applyFont="1" applyFill="1" applyBorder="1" applyAlignment="1">
      <alignment horizontal="left" vertical="center"/>
    </xf>
    <xf numFmtId="167" fontId="18" fillId="9" borderId="1" xfId="0" applyNumberFormat="1" applyFont="1" applyFill="1" applyBorder="1" applyAlignment="1">
      <alignment horizontal="right" vertical="center"/>
    </xf>
    <xf numFmtId="168" fontId="18" fillId="9" borderId="1" xfId="0" applyNumberFormat="1" applyFont="1" applyFill="1" applyBorder="1" applyAlignment="1">
      <alignment horizontal="right" vertical="center"/>
    </xf>
    <xf numFmtId="166" fontId="18" fillId="9" borderId="1" xfId="0" applyNumberFormat="1" applyFont="1" applyFill="1" applyBorder="1" applyAlignment="1">
      <alignment horizontal="right" vertical="center"/>
    </xf>
    <xf numFmtId="165" fontId="18" fillId="9" borderId="1" xfId="0" applyNumberFormat="1" applyFont="1" applyFill="1" applyBorder="1" applyAlignment="1">
      <alignment horizontal="right" vertical="center"/>
    </xf>
    <xf numFmtId="170" fontId="18" fillId="9" borderId="1" xfId="0" applyNumberFormat="1" applyFont="1" applyFill="1" applyBorder="1" applyAlignment="1">
      <alignment horizontal="right" vertical="center"/>
    </xf>
    <xf numFmtId="0" fontId="11" fillId="8" borderId="2" xfId="0" applyFont="1" applyFill="1" applyBorder="1" applyAlignment="1">
      <alignment horizontal="left" vertical="center"/>
    </xf>
    <xf numFmtId="0" fontId="17" fillId="8" borderId="2" xfId="0" applyFont="1" applyFill="1" applyBorder="1"/>
    <xf numFmtId="167" fontId="11" fillId="8" borderId="2" xfId="0" applyNumberFormat="1" applyFont="1" applyFill="1" applyBorder="1" applyAlignment="1">
      <alignment horizontal="right" vertical="center"/>
    </xf>
    <xf numFmtId="166" fontId="11" fillId="8" borderId="2" xfId="0" applyNumberFormat="1" applyFont="1" applyFill="1" applyBorder="1" applyAlignment="1">
      <alignment horizontal="right" vertical="center"/>
    </xf>
    <xf numFmtId="165" fontId="11" fillId="8" borderId="2" xfId="0" applyNumberFormat="1" applyFont="1" applyFill="1" applyBorder="1" applyAlignment="1">
      <alignment horizontal="right" vertical="center"/>
    </xf>
    <xf numFmtId="170" fontId="11" fillId="8" borderId="2" xfId="0" applyNumberFormat="1" applyFont="1" applyFill="1" applyBorder="1" applyAlignment="1">
      <alignment horizontal="right" vertical="center"/>
    </xf>
    <xf numFmtId="0" fontId="11" fillId="0" borderId="0" xfId="0" applyFont="1"/>
    <xf numFmtId="0" fontId="18" fillId="0" borderId="1" xfId="0" applyFont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/>
    </xf>
    <xf numFmtId="0" fontId="18" fillId="8" borderId="2" xfId="0" applyFont="1" applyFill="1" applyBorder="1"/>
    <xf numFmtId="0" fontId="12" fillId="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7" fillId="0" borderId="1" xfId="0" applyFont="1" applyBorder="1" applyAlignment="1">
      <alignment horizontal="right" vertical="center"/>
    </xf>
    <xf numFmtId="0" fontId="17" fillId="9" borderId="1" xfId="0" applyFont="1" applyFill="1" applyBorder="1" applyAlignment="1">
      <alignment horizontal="right" vertical="center"/>
    </xf>
    <xf numFmtId="168" fontId="11" fillId="9" borderId="1" xfId="0" applyNumberFormat="1" applyFont="1" applyFill="1" applyBorder="1" applyAlignment="1">
      <alignment horizontal="right" vertical="center"/>
    </xf>
    <xf numFmtId="14" fontId="18" fillId="0" borderId="1" xfId="0" applyNumberFormat="1" applyFont="1" applyBorder="1" applyAlignment="1">
      <alignment horizontal="left" vertical="center"/>
    </xf>
    <xf numFmtId="14" fontId="18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zoomScale="130" zoomScaleNormal="130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L15" sqref="L15"/>
    </sheetView>
  </sheetViews>
  <sheetFormatPr baseColWidth="10" defaultColWidth="8.6640625" defaultRowHeight="15" x14ac:dyDescent="0.2"/>
  <cols>
    <col min="1" max="1" width="22" style="83" customWidth="1"/>
    <col min="2" max="2" width="12" style="83" customWidth="1"/>
    <col min="3" max="3" width="13" style="83" customWidth="1"/>
    <col min="4" max="5" width="10" style="83" customWidth="1"/>
    <col min="6" max="6" width="13" style="83" customWidth="1"/>
    <col min="7" max="7" width="10" style="83" customWidth="1"/>
    <col min="8" max="8" width="13" style="83" customWidth="1"/>
    <col min="9" max="9" width="15" style="83" customWidth="1"/>
    <col min="10" max="10" width="14" style="83" customWidth="1"/>
    <col min="11" max="11" width="12" style="83" customWidth="1"/>
    <col min="12" max="12" width="13" style="83" customWidth="1"/>
    <col min="13" max="13" width="14" style="83" customWidth="1"/>
    <col min="14" max="14" width="13" style="83" customWidth="1"/>
    <col min="15" max="16384" width="8.6640625" style="83"/>
  </cols>
  <sheetData>
    <row r="1" spans="1:14" x14ac:dyDescent="0.2">
      <c r="A1" s="91" t="s">
        <v>0</v>
      </c>
    </row>
    <row r="3" spans="1:14" ht="31.5" customHeight="1" x14ac:dyDescent="0.2">
      <c r="A3" s="93" t="s">
        <v>1</v>
      </c>
      <c r="B3" s="94" t="s">
        <v>2</v>
      </c>
      <c r="C3" s="95" t="s">
        <v>3</v>
      </c>
      <c r="D3" s="95" t="s">
        <v>4</v>
      </c>
      <c r="E3" s="96" t="s">
        <v>5</v>
      </c>
      <c r="F3" s="97" t="s">
        <v>6</v>
      </c>
      <c r="G3" s="97" t="s">
        <v>7</v>
      </c>
      <c r="H3" s="98" t="s">
        <v>8</v>
      </c>
      <c r="I3" s="98" t="s">
        <v>9</v>
      </c>
      <c r="J3" s="98" t="s">
        <v>10</v>
      </c>
      <c r="K3" s="96" t="s">
        <v>11</v>
      </c>
      <c r="L3" s="98" t="s">
        <v>12</v>
      </c>
      <c r="M3" s="98" t="s">
        <v>13</v>
      </c>
      <c r="N3" s="99" t="s">
        <v>14</v>
      </c>
    </row>
    <row r="4" spans="1:14" s="84" customFormat="1" x14ac:dyDescent="0.2">
      <c r="A4" s="100" t="s">
        <v>15</v>
      </c>
      <c r="B4" s="101">
        <f>'JULY 2026'!B5</f>
        <v>781.23400000000004</v>
      </c>
      <c r="C4" s="101">
        <f>'JULY 2026'!C5</f>
        <v>621.20100000000002</v>
      </c>
      <c r="D4" s="102">
        <f>'JULY 2026'!D5</f>
        <v>0.79515356474500598</v>
      </c>
      <c r="E4" s="102">
        <f>'JULY 2026'!E5</f>
        <v>0.20484643525499402</v>
      </c>
      <c r="F4" s="103">
        <f>'JULY 2026'!F5</f>
        <v>106506.5</v>
      </c>
      <c r="G4" s="102">
        <f>'JULY 2026'!G5</f>
        <v>0.17145255722382932</v>
      </c>
      <c r="H4" s="104">
        <f>'JULY 2026'!H5</f>
        <v>45.337718985476826</v>
      </c>
      <c r="I4" s="104">
        <f>'JULY 2026'!I5</f>
        <v>47.577997794898842</v>
      </c>
      <c r="J4" s="104">
        <f>'JULY 2026'!J5</f>
        <v>2.1714893248807314</v>
      </c>
      <c r="K4" s="102">
        <f>'JULY 2026'!K5</f>
        <v>4.49976006084781E-2</v>
      </c>
      <c r="L4" s="104">
        <f>'JULY 2026'!L5</f>
        <v>57.017563645100381</v>
      </c>
      <c r="M4" s="104">
        <f>IF('JULY 2026'!M5="","",'JULY 2026'!M5)</f>
        <v>59.834980190469757</v>
      </c>
      <c r="N4" s="105">
        <f>'JULY 2026'!N5</f>
        <v>781234</v>
      </c>
    </row>
    <row r="5" spans="1:14" s="84" customFormat="1" x14ac:dyDescent="0.2">
      <c r="A5" s="100" t="s">
        <v>16</v>
      </c>
      <c r="B5" s="101">
        <f>'AUGUST 2026'!B5</f>
        <v>697.31299999999999</v>
      </c>
      <c r="C5" s="101">
        <f>'AUGUST 2026'!C5</f>
        <v>553.37599999999998</v>
      </c>
      <c r="D5" s="102">
        <f>'AUGUST 2026'!D5</f>
        <v>0.79358336930474549</v>
      </c>
      <c r="E5" s="102">
        <f>'AUGUST 2026'!E5</f>
        <v>0.20641663069525451</v>
      </c>
      <c r="F5" s="103">
        <f>'AUGUST 2026'!F5</f>
        <v>78954.5</v>
      </c>
      <c r="G5" s="102">
        <f>'AUGUST 2026'!G5</f>
        <v>0.14267785375585498</v>
      </c>
      <c r="H5" s="104">
        <f>'AUGUST 2026'!H5</f>
        <v>42.772035340227426</v>
      </c>
      <c r="I5" s="104">
        <f>'AUGUST 2026'!I5</f>
        <v>43.939215615942921</v>
      </c>
      <c r="J5" s="104">
        <f>'AUGUST 2026'!J5</f>
        <v>1.0842164851518064</v>
      </c>
      <c r="K5" s="102">
        <f>'AUGUST 2026'!K5</f>
        <v>2.4606566692195568E-2</v>
      </c>
      <c r="L5" s="104">
        <f>'AUGUST 2026'!L5</f>
        <v>53.897343360030085</v>
      </c>
      <c r="M5" s="104">
        <f>IF('AUGUST 2026'!M5="","",'AUGUST 2026'!M5)</f>
        <v>55.368115456398556</v>
      </c>
      <c r="N5" s="105">
        <f>'AUGUST 2026'!N5</f>
        <v>697313</v>
      </c>
    </row>
    <row r="6" spans="1:14" s="84" customFormat="1" x14ac:dyDescent="0.2">
      <c r="A6" s="100" t="s">
        <v>17</v>
      </c>
      <c r="B6" s="101">
        <f>'SEPTEMBER 2026'!B5</f>
        <v>500.74400000000003</v>
      </c>
      <c r="C6" s="101">
        <f>'SEPTEMBER 2026'!C5</f>
        <v>372.822</v>
      </c>
      <c r="D6" s="102">
        <f>'SEPTEMBER 2026'!D5</f>
        <v>0.74453613023820553</v>
      </c>
      <c r="E6" s="102">
        <f>'SEPTEMBER 2026'!E5</f>
        <v>0.25546386976179447</v>
      </c>
      <c r="F6" s="103">
        <f>'SEPTEMBER 2026'!F5</f>
        <v>59283.5</v>
      </c>
      <c r="G6" s="102">
        <f>'SEPTEMBER 2026'!G5</f>
        <v>0.15901288014119339</v>
      </c>
      <c r="H6" s="104">
        <f>'SEPTEMBER 2026'!H5</f>
        <v>43.060268083691469</v>
      </c>
      <c r="I6" s="104">
        <f>'SEPTEMBER 2026'!I5</f>
        <v>44.029832528177693</v>
      </c>
      <c r="J6" s="104">
        <f>'SEPTEMBER 2026'!J5</f>
        <v>0.90595346802079746</v>
      </c>
      <c r="K6" s="102">
        <f>'SEPTEMBER 2026'!K5</f>
        <v>2.0772715553754924E-2</v>
      </c>
      <c r="L6" s="104">
        <f>'SEPTEMBER 2026'!L5</f>
        <v>57.83502819388341</v>
      </c>
      <c r="M6" s="104" t="str">
        <f>IF('SEPTEMBER 2026'!M5="","",'SEPTEMBER 2026'!M5)</f>
        <v/>
      </c>
      <c r="N6" s="105">
        <f>'SEPTEMBER 2026'!N5</f>
        <v>362787</v>
      </c>
    </row>
    <row r="7" spans="1:14" x14ac:dyDescent="0.2">
      <c r="A7" s="106" t="s">
        <v>18</v>
      </c>
      <c r="B7" s="107">
        <f>SUM(B4:B6)</f>
        <v>1979.2910000000002</v>
      </c>
      <c r="C7" s="107">
        <f>SUM(C4:C6)</f>
        <v>1547.3989999999999</v>
      </c>
      <c r="D7" s="108">
        <f>C7/B7</f>
        <v>0.78179459210394009</v>
      </c>
      <c r="E7" s="108">
        <f>1-D7</f>
        <v>0.21820540789605991</v>
      </c>
      <c r="F7" s="109">
        <f>SUM(F4:F6)</f>
        <v>244744.5</v>
      </c>
      <c r="G7" s="108">
        <f>F7/(C7*1000)</f>
        <v>0.15816508864229586</v>
      </c>
      <c r="H7" s="110">
        <f>SUMPRODUCT(H4:H6,B4:B6)/SUM(B4:B6)</f>
        <v>43.857641304083131</v>
      </c>
      <c r="I7" s="110">
        <f>SUMPRODUCT(I4:I6,N4:N6)/SUM(N4:N6)</f>
        <v>45.500917618150758</v>
      </c>
      <c r="J7" s="110">
        <f>SUMPRODUCT(J4:J6,N4:N6)/SUM(N4:N6)</f>
        <v>1.510398266662863</v>
      </c>
      <c r="K7" s="108">
        <f>SUMPRODUCT(K4:K6,N4:N6)/SUM(N4:N6)</f>
        <v>3.2502634237568433E-2</v>
      </c>
      <c r="L7" s="110">
        <f>H7/D7</f>
        <v>56.098675722551214</v>
      </c>
      <c r="M7" s="110" t="str">
        <f>IF(COUNTBLANK(M4:M6)=0,I7/D7,"")</f>
        <v/>
      </c>
      <c r="N7" s="111">
        <f>SUM(N4:N6)</f>
        <v>1841334</v>
      </c>
    </row>
    <row r="9" spans="1:14" hidden="1" x14ac:dyDescent="0.2">
      <c r="A9" s="112" t="s">
        <v>19</v>
      </c>
      <c r="B9" s="113" t="str">
        <f>IF(COUNTIF(Checks!F:F,"CHECK")=0,"All "&amp;COUNTIF(Checks!F:F,"OK*")&amp;" checks agree with the database",COUNTIF(Checks!F:F,"CHECK")&amp;" of "&amp;(COUNTIF(Checks!F:F,"OK*")+COUNTIF(Checks!F:F,"CHECK"))&amp;" checks differ — see the Checks tab")</f>
        <v>All 39 checks agree with the database</v>
      </c>
      <c r="C9" s="113"/>
      <c r="D9" s="113"/>
      <c r="E9" s="113"/>
      <c r="F9" s="113"/>
      <c r="G9" s="113"/>
      <c r="H9" s="113"/>
    </row>
    <row r="11" spans="1:14" x14ac:dyDescent="0.2">
      <c r="A11" s="91"/>
    </row>
    <row r="12" spans="1:14" x14ac:dyDescent="0.2">
      <c r="A12" s="92"/>
    </row>
    <row r="13" spans="1:14" x14ac:dyDescent="0.2">
      <c r="A13" s="92"/>
    </row>
    <row r="14" spans="1:14" x14ac:dyDescent="0.2">
      <c r="A14" s="92"/>
    </row>
    <row r="15" spans="1:14" x14ac:dyDescent="0.2">
      <c r="A15" s="92"/>
    </row>
    <row r="16" spans="1:14" x14ac:dyDescent="0.2">
      <c r="A16" s="92"/>
    </row>
  </sheetData>
  <mergeCells count="1">
    <mergeCell ref="B9:H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7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32" sqref="G32"/>
    </sheetView>
  </sheetViews>
  <sheetFormatPr baseColWidth="10" defaultColWidth="8.6640625" defaultRowHeight="15" x14ac:dyDescent="0.2"/>
  <cols>
    <col min="1" max="1" width="18.1640625" style="83" customWidth="1"/>
    <col min="2" max="2" width="14" style="83" customWidth="1"/>
    <col min="3" max="6" width="12" style="83" customWidth="1"/>
    <col min="7" max="7" width="10" style="83" customWidth="1"/>
    <col min="8" max="10" width="12" style="83" customWidth="1"/>
    <col min="11" max="12" width="14" style="83" customWidth="1"/>
    <col min="13" max="13" width="13" style="83" customWidth="1"/>
    <col min="14" max="22" width="10" style="83" customWidth="1"/>
    <col min="23" max="16384" width="8.6640625" style="83"/>
  </cols>
  <sheetData>
    <row r="1" spans="1:22" ht="18" x14ac:dyDescent="0.2">
      <c r="A1" s="116" t="s">
        <v>20</v>
      </c>
    </row>
    <row r="2" spans="1:22" x14ac:dyDescent="0.2">
      <c r="A2" s="117" t="s">
        <v>21</v>
      </c>
    </row>
    <row r="4" spans="1:22" ht="30" customHeight="1" x14ac:dyDescent="0.2">
      <c r="A4" s="118" t="s">
        <v>22</v>
      </c>
      <c r="B4" s="119" t="s">
        <v>2</v>
      </c>
      <c r="C4" s="120" t="s">
        <v>3</v>
      </c>
      <c r="D4" s="120" t="s">
        <v>4</v>
      </c>
      <c r="E4" s="121" t="s">
        <v>5</v>
      </c>
      <c r="F4" s="122" t="s">
        <v>6</v>
      </c>
      <c r="G4" s="122" t="s">
        <v>7</v>
      </c>
      <c r="H4" s="123" t="s">
        <v>8</v>
      </c>
      <c r="I4" s="123" t="s">
        <v>9</v>
      </c>
      <c r="J4" s="123" t="s">
        <v>10</v>
      </c>
      <c r="K4" s="121" t="s">
        <v>11</v>
      </c>
      <c r="L4" s="123" t="s">
        <v>12</v>
      </c>
      <c r="M4" s="123" t="s">
        <v>13</v>
      </c>
      <c r="N4" s="124" t="s">
        <v>14</v>
      </c>
    </row>
    <row r="5" spans="1:22" x14ac:dyDescent="0.2">
      <c r="A5" s="85" t="s">
        <v>15</v>
      </c>
      <c r="B5" s="86">
        <f>D43/1000</f>
        <v>781.23400000000004</v>
      </c>
      <c r="C5" s="86">
        <f>E43/1000</f>
        <v>621.20100000000002</v>
      </c>
      <c r="D5" s="87">
        <f>E43/D43</f>
        <v>0.79515356474500598</v>
      </c>
      <c r="E5" s="87">
        <f>1-D5</f>
        <v>0.20484643525499402</v>
      </c>
      <c r="F5" s="88">
        <f>F43</f>
        <v>106506.5</v>
      </c>
      <c r="G5" s="87">
        <f>F43/E43</f>
        <v>0.17145255722382932</v>
      </c>
      <c r="H5" s="89">
        <f>C43</f>
        <v>45.337718985476826</v>
      </c>
      <c r="I5" s="89">
        <f>K67</f>
        <v>47.577997794898842</v>
      </c>
      <c r="J5" s="89">
        <f>L67</f>
        <v>2.1714893248807314</v>
      </c>
      <c r="K5" s="87">
        <f>I67</f>
        <v>4.49976006084781E-2</v>
      </c>
      <c r="L5" s="89">
        <f>H5/D5</f>
        <v>57.017563645100381</v>
      </c>
      <c r="M5" s="89">
        <f>IF(COUNTIF(M48:M66,"N")=0,I5/D5,"")</f>
        <v>59.834980190469757</v>
      </c>
      <c r="N5" s="125">
        <f>SUMPRODUCT((M48:M66="Y")*F48:F66)</f>
        <v>781234</v>
      </c>
    </row>
    <row r="8" spans="1:22" s="154" customFormat="1" x14ac:dyDescent="0.2">
      <c r="A8" s="148" t="s">
        <v>23</v>
      </c>
      <c r="B8" s="148"/>
      <c r="C8" s="149" t="s">
        <v>24</v>
      </c>
      <c r="D8" s="150" t="s">
        <v>25</v>
      </c>
      <c r="E8" s="151" t="s">
        <v>26</v>
      </c>
      <c r="F8" s="152" t="s">
        <v>27</v>
      </c>
      <c r="G8" s="152"/>
      <c r="H8" s="148" t="s">
        <v>28</v>
      </c>
      <c r="I8" s="148"/>
      <c r="J8" s="153" t="s">
        <v>29</v>
      </c>
      <c r="K8" s="153"/>
      <c r="L8" s="153"/>
      <c r="M8" s="153"/>
      <c r="N8" s="153"/>
      <c r="O8" s="152" t="s">
        <v>30</v>
      </c>
      <c r="P8" s="152"/>
      <c r="Q8" s="152"/>
      <c r="R8" s="152"/>
      <c r="S8" s="152"/>
      <c r="T8" s="152"/>
      <c r="U8" s="152"/>
      <c r="V8" s="152"/>
    </row>
    <row r="9" spans="1:22" ht="27.75" customHeight="1" x14ac:dyDescent="0.2">
      <c r="A9" s="90" t="s">
        <v>31</v>
      </c>
      <c r="B9" s="90" t="s">
        <v>23</v>
      </c>
      <c r="C9" s="123" t="s">
        <v>32</v>
      </c>
      <c r="D9" s="119" t="s">
        <v>33</v>
      </c>
      <c r="E9" s="120" t="s">
        <v>34</v>
      </c>
      <c r="F9" s="122" t="s">
        <v>35</v>
      </c>
      <c r="G9" s="122" t="s">
        <v>7</v>
      </c>
      <c r="H9" s="90" t="s">
        <v>36</v>
      </c>
      <c r="I9" s="90" t="s">
        <v>37</v>
      </c>
      <c r="J9" s="120" t="s">
        <v>38</v>
      </c>
      <c r="K9" s="120" t="s">
        <v>39</v>
      </c>
      <c r="L9" s="120" t="s">
        <v>40</v>
      </c>
      <c r="M9" s="120" t="s">
        <v>41</v>
      </c>
      <c r="N9" s="120" t="s">
        <v>42</v>
      </c>
      <c r="O9" s="122" t="s">
        <v>43</v>
      </c>
      <c r="P9" s="122" t="s">
        <v>44</v>
      </c>
      <c r="Q9" s="122" t="s">
        <v>45</v>
      </c>
      <c r="R9" s="122" t="s">
        <v>46</v>
      </c>
      <c r="S9" s="122" t="s">
        <v>47</v>
      </c>
      <c r="T9" s="122" t="s">
        <v>48</v>
      </c>
      <c r="U9" s="122" t="s">
        <v>49</v>
      </c>
      <c r="V9" s="122" t="s">
        <v>50</v>
      </c>
    </row>
    <row r="10" spans="1:22" x14ac:dyDescent="0.2">
      <c r="A10" s="158">
        <v>46203</v>
      </c>
      <c r="B10" s="126" t="s">
        <v>51</v>
      </c>
      <c r="C10" s="127">
        <v>44.022100000000002</v>
      </c>
      <c r="D10" s="128">
        <f>'RC Movement'!E7</f>
        <v>18963</v>
      </c>
      <c r="E10" s="128">
        <f t="shared" ref="E10:E42" si="0">SUM(J10:N10)</f>
        <v>7760</v>
      </c>
      <c r="F10" s="129">
        <f t="shared" ref="F10:F42" si="1">SUM(O10:V10)</f>
        <v>2145.5</v>
      </c>
      <c r="G10" s="130">
        <f t="shared" ref="G10:G43" si="2">IF(E10&gt;0,F10/E10,"")</f>
        <v>0.27648195876288661</v>
      </c>
      <c r="H10" s="128">
        <v>1</v>
      </c>
      <c r="I10" s="131">
        <v>0</v>
      </c>
      <c r="J10" s="128">
        <v>5460</v>
      </c>
      <c r="K10" s="128"/>
      <c r="L10" s="128"/>
      <c r="M10" s="128"/>
      <c r="N10" s="128">
        <v>2300</v>
      </c>
      <c r="O10" s="129">
        <v>50</v>
      </c>
      <c r="P10" s="129">
        <v>0.5</v>
      </c>
      <c r="Q10" s="129">
        <v>1038</v>
      </c>
      <c r="R10" s="129">
        <v>784</v>
      </c>
      <c r="S10" s="129">
        <v>137</v>
      </c>
      <c r="T10" s="129">
        <v>71</v>
      </c>
      <c r="U10" s="129">
        <v>35</v>
      </c>
      <c r="V10" s="129">
        <v>30</v>
      </c>
    </row>
    <row r="11" spans="1:22" x14ac:dyDescent="0.2">
      <c r="A11" s="158">
        <v>46204</v>
      </c>
      <c r="B11" s="126" t="s">
        <v>52</v>
      </c>
      <c r="C11" s="127">
        <v>42.742600000000003</v>
      </c>
      <c r="D11" s="128">
        <f>'RC Movement'!E8</f>
        <v>36226</v>
      </c>
      <c r="E11" s="128">
        <f t="shared" si="0"/>
        <v>30098</v>
      </c>
      <c r="F11" s="129">
        <f t="shared" si="1"/>
        <v>6152.5</v>
      </c>
      <c r="G11" s="130">
        <f t="shared" si="2"/>
        <v>0.2044155757857665</v>
      </c>
      <c r="H11" s="128">
        <v>1</v>
      </c>
      <c r="I11" s="131">
        <v>0.17</v>
      </c>
      <c r="J11" s="128">
        <v>22048</v>
      </c>
      <c r="K11" s="128"/>
      <c r="L11" s="128"/>
      <c r="M11" s="128"/>
      <c r="N11" s="128">
        <v>8050</v>
      </c>
      <c r="O11" s="129">
        <v>100</v>
      </c>
      <c r="P11" s="129">
        <v>0.5</v>
      </c>
      <c r="Q11" s="129">
        <v>2370</v>
      </c>
      <c r="R11" s="129">
        <v>2486</v>
      </c>
      <c r="S11" s="129">
        <v>607</v>
      </c>
      <c r="T11" s="129">
        <v>226</v>
      </c>
      <c r="U11" s="129">
        <v>315</v>
      </c>
      <c r="V11" s="129">
        <v>48</v>
      </c>
    </row>
    <row r="12" spans="1:22" x14ac:dyDescent="0.2">
      <c r="A12" s="158">
        <v>46205</v>
      </c>
      <c r="B12" s="126" t="s">
        <v>53</v>
      </c>
      <c r="C12" s="127">
        <v>43.323399999999999</v>
      </c>
      <c r="D12" s="128">
        <f>'RC Movement'!E9</f>
        <v>30992</v>
      </c>
      <c r="E12" s="128">
        <f t="shared" si="0"/>
        <v>30852</v>
      </c>
      <c r="F12" s="129">
        <f t="shared" si="1"/>
        <v>4674.5</v>
      </c>
      <c r="G12" s="130">
        <f t="shared" si="2"/>
        <v>0.15151367820562686</v>
      </c>
      <c r="H12" s="128">
        <v>1</v>
      </c>
      <c r="I12" s="131">
        <v>0.17</v>
      </c>
      <c r="J12" s="128">
        <v>22802</v>
      </c>
      <c r="K12" s="128"/>
      <c r="L12" s="128"/>
      <c r="M12" s="128"/>
      <c r="N12" s="128">
        <v>8050</v>
      </c>
      <c r="O12" s="129">
        <v>125</v>
      </c>
      <c r="P12" s="129">
        <v>0.5</v>
      </c>
      <c r="Q12" s="129">
        <v>1545</v>
      </c>
      <c r="R12" s="129">
        <v>1587</v>
      </c>
      <c r="S12" s="129">
        <v>736</v>
      </c>
      <c r="T12" s="129">
        <v>347</v>
      </c>
      <c r="U12" s="129">
        <v>275</v>
      </c>
      <c r="V12" s="129">
        <v>59</v>
      </c>
    </row>
    <row r="13" spans="1:22" x14ac:dyDescent="0.2">
      <c r="A13" s="158">
        <v>46206</v>
      </c>
      <c r="B13" s="126" t="s">
        <v>54</v>
      </c>
      <c r="C13" s="127">
        <v>44.246000000000002</v>
      </c>
      <c r="D13" s="128">
        <f>'RC Movement'!E10</f>
        <v>33040</v>
      </c>
      <c r="E13" s="128">
        <f t="shared" si="0"/>
        <v>26377</v>
      </c>
      <c r="F13" s="129">
        <f t="shared" si="1"/>
        <v>5130.5</v>
      </c>
      <c r="G13" s="130">
        <f t="shared" si="2"/>
        <v>0.19450657770026916</v>
      </c>
      <c r="H13" s="128">
        <v>1</v>
      </c>
      <c r="I13" s="131">
        <v>1.67</v>
      </c>
      <c r="J13" s="128">
        <v>18902</v>
      </c>
      <c r="K13" s="128"/>
      <c r="L13" s="128"/>
      <c r="M13" s="128"/>
      <c r="N13" s="128">
        <v>7475</v>
      </c>
      <c r="O13" s="129">
        <v>132</v>
      </c>
      <c r="P13" s="129">
        <v>0.5</v>
      </c>
      <c r="Q13" s="129">
        <v>2080</v>
      </c>
      <c r="R13" s="129">
        <v>1696</v>
      </c>
      <c r="S13" s="129">
        <v>622</v>
      </c>
      <c r="T13" s="129">
        <v>212</v>
      </c>
      <c r="U13" s="129">
        <v>330</v>
      </c>
      <c r="V13" s="129">
        <v>58</v>
      </c>
    </row>
    <row r="14" spans="1:22" x14ac:dyDescent="0.2">
      <c r="A14" s="158">
        <v>46207</v>
      </c>
      <c r="B14" s="126" t="s">
        <v>55</v>
      </c>
      <c r="C14" s="127">
        <v>44.633800000000001</v>
      </c>
      <c r="D14" s="128">
        <f>'RC Movement'!E11</f>
        <v>35066</v>
      </c>
      <c r="E14" s="128">
        <f t="shared" si="0"/>
        <v>28411</v>
      </c>
      <c r="F14" s="129">
        <f t="shared" si="1"/>
        <v>5471.5</v>
      </c>
      <c r="G14" s="130">
        <f t="shared" si="2"/>
        <v>0.19258385836471789</v>
      </c>
      <c r="H14" s="128">
        <v>1</v>
      </c>
      <c r="I14" s="131">
        <v>1.28</v>
      </c>
      <c r="J14" s="128">
        <v>19786</v>
      </c>
      <c r="K14" s="128"/>
      <c r="L14" s="128"/>
      <c r="M14" s="128"/>
      <c r="N14" s="128">
        <v>8625</v>
      </c>
      <c r="O14" s="129">
        <v>200</v>
      </c>
      <c r="P14" s="129">
        <v>0.5</v>
      </c>
      <c r="Q14" s="129">
        <v>2080</v>
      </c>
      <c r="R14" s="129">
        <v>1988</v>
      </c>
      <c r="S14" s="129">
        <v>635</v>
      </c>
      <c r="T14" s="129">
        <v>239</v>
      </c>
      <c r="U14" s="129">
        <v>285</v>
      </c>
      <c r="V14" s="129">
        <v>44</v>
      </c>
    </row>
    <row r="15" spans="1:22" x14ac:dyDescent="0.2">
      <c r="A15" s="159">
        <v>46208</v>
      </c>
      <c r="B15" s="132" t="s">
        <v>56</v>
      </c>
      <c r="C15" s="133"/>
      <c r="D15" s="134">
        <f>'RC Movement'!E12</f>
        <v>0</v>
      </c>
      <c r="E15" s="134">
        <f t="shared" si="0"/>
        <v>0</v>
      </c>
      <c r="F15" s="135">
        <f t="shared" si="1"/>
        <v>0</v>
      </c>
      <c r="G15" s="136" t="str">
        <f t="shared" si="2"/>
        <v/>
      </c>
      <c r="H15" s="134"/>
      <c r="I15" s="137"/>
      <c r="J15" s="134"/>
      <c r="K15" s="134"/>
      <c r="L15" s="134"/>
      <c r="M15" s="134"/>
      <c r="N15" s="134"/>
      <c r="O15" s="135"/>
      <c r="P15" s="135"/>
      <c r="Q15" s="135"/>
      <c r="R15" s="135"/>
      <c r="S15" s="135"/>
      <c r="T15" s="135"/>
      <c r="U15" s="135"/>
      <c r="V15" s="135"/>
    </row>
    <row r="16" spans="1:22" x14ac:dyDescent="0.2">
      <c r="A16" s="158">
        <v>46209</v>
      </c>
      <c r="B16" s="126" t="s">
        <v>57</v>
      </c>
      <c r="C16" s="127">
        <v>45.262500000000003</v>
      </c>
      <c r="D16" s="128">
        <f>'RC Movement'!E13</f>
        <v>33892</v>
      </c>
      <c r="E16" s="128">
        <f t="shared" si="0"/>
        <v>28278</v>
      </c>
      <c r="F16" s="129">
        <f t="shared" si="1"/>
        <v>4264.5</v>
      </c>
      <c r="G16" s="130">
        <f t="shared" si="2"/>
        <v>0.15080628050074263</v>
      </c>
      <c r="H16" s="128">
        <v>1</v>
      </c>
      <c r="I16" s="131">
        <v>0.12</v>
      </c>
      <c r="J16" s="128">
        <v>20228</v>
      </c>
      <c r="K16" s="128"/>
      <c r="L16" s="128"/>
      <c r="M16" s="128"/>
      <c r="N16" s="128">
        <v>8050</v>
      </c>
      <c r="O16" s="129">
        <v>125</v>
      </c>
      <c r="P16" s="129">
        <v>0.5</v>
      </c>
      <c r="Q16" s="129">
        <v>1547</v>
      </c>
      <c r="R16" s="129">
        <v>1540</v>
      </c>
      <c r="S16" s="129">
        <v>586</v>
      </c>
      <c r="T16" s="129">
        <v>247</v>
      </c>
      <c r="U16" s="129">
        <v>175</v>
      </c>
      <c r="V16" s="129">
        <v>44</v>
      </c>
    </row>
    <row r="17" spans="1:22" x14ac:dyDescent="0.2">
      <c r="A17" s="158">
        <v>46210</v>
      </c>
      <c r="B17" s="126" t="s">
        <v>51</v>
      </c>
      <c r="C17" s="127">
        <v>45.436900000000001</v>
      </c>
      <c r="D17" s="128">
        <f>'RC Movement'!E14</f>
        <v>32944</v>
      </c>
      <c r="E17" s="128">
        <f t="shared" si="0"/>
        <v>27151</v>
      </c>
      <c r="F17" s="129">
        <f t="shared" si="1"/>
        <v>4488.5</v>
      </c>
      <c r="G17" s="130">
        <f t="shared" si="2"/>
        <v>0.16531619461529962</v>
      </c>
      <c r="H17" s="128">
        <v>1</v>
      </c>
      <c r="I17" s="131">
        <v>0.2</v>
      </c>
      <c r="J17" s="128">
        <v>20826</v>
      </c>
      <c r="K17" s="128"/>
      <c r="L17" s="128"/>
      <c r="M17" s="128"/>
      <c r="N17" s="128">
        <v>6325</v>
      </c>
      <c r="O17" s="129">
        <v>136</v>
      </c>
      <c r="P17" s="129">
        <v>0.5</v>
      </c>
      <c r="Q17" s="129">
        <v>1564</v>
      </c>
      <c r="R17" s="129">
        <v>1662</v>
      </c>
      <c r="S17" s="129">
        <v>582</v>
      </c>
      <c r="T17" s="129">
        <v>273</v>
      </c>
      <c r="U17" s="129">
        <v>216</v>
      </c>
      <c r="V17" s="129">
        <v>55</v>
      </c>
    </row>
    <row r="18" spans="1:22" x14ac:dyDescent="0.2">
      <c r="A18" s="158">
        <v>46211</v>
      </c>
      <c r="B18" s="126" t="s">
        <v>52</v>
      </c>
      <c r="C18" s="127">
        <v>44.615400000000001</v>
      </c>
      <c r="D18" s="128">
        <f>'RC Movement'!E15</f>
        <v>36171</v>
      </c>
      <c r="E18" s="128">
        <f t="shared" si="0"/>
        <v>26738</v>
      </c>
      <c r="F18" s="129">
        <f t="shared" si="1"/>
        <v>5008.5</v>
      </c>
      <c r="G18" s="130">
        <f t="shared" si="2"/>
        <v>0.18731767521878973</v>
      </c>
      <c r="H18" s="128">
        <v>1</v>
      </c>
      <c r="I18" s="131">
        <v>2.42</v>
      </c>
      <c r="J18" s="128">
        <v>19838</v>
      </c>
      <c r="K18" s="128"/>
      <c r="L18" s="128"/>
      <c r="M18" s="128"/>
      <c r="N18" s="128">
        <v>6900</v>
      </c>
      <c r="O18" s="129">
        <v>175</v>
      </c>
      <c r="P18" s="129">
        <v>0.5</v>
      </c>
      <c r="Q18" s="129">
        <v>2080</v>
      </c>
      <c r="R18" s="129">
        <v>1699</v>
      </c>
      <c r="S18" s="129">
        <v>578</v>
      </c>
      <c r="T18" s="129">
        <v>144</v>
      </c>
      <c r="U18" s="129">
        <v>275</v>
      </c>
      <c r="V18" s="129">
        <v>57</v>
      </c>
    </row>
    <row r="19" spans="1:22" x14ac:dyDescent="0.2">
      <c r="A19" s="158">
        <v>46212</v>
      </c>
      <c r="B19" s="126" t="s">
        <v>53</v>
      </c>
      <c r="C19" s="127">
        <v>41.124400000000001</v>
      </c>
      <c r="D19" s="128">
        <f>'RC Movement'!E16</f>
        <v>38644</v>
      </c>
      <c r="E19" s="128">
        <f t="shared" si="0"/>
        <v>29676</v>
      </c>
      <c r="F19" s="129">
        <f t="shared" si="1"/>
        <v>4883.5</v>
      </c>
      <c r="G19" s="130">
        <f t="shared" si="2"/>
        <v>0.16456058768028037</v>
      </c>
      <c r="H19" s="128">
        <v>1</v>
      </c>
      <c r="I19" s="131">
        <v>0.25</v>
      </c>
      <c r="J19" s="128">
        <v>22776</v>
      </c>
      <c r="K19" s="128"/>
      <c r="L19" s="128"/>
      <c r="M19" s="128"/>
      <c r="N19" s="128">
        <v>6900</v>
      </c>
      <c r="O19" s="129">
        <v>161</v>
      </c>
      <c r="P19" s="129">
        <v>0.5</v>
      </c>
      <c r="Q19" s="129">
        <v>2080</v>
      </c>
      <c r="R19" s="129">
        <v>1655</v>
      </c>
      <c r="S19" s="129">
        <v>557</v>
      </c>
      <c r="T19" s="129">
        <v>218</v>
      </c>
      <c r="U19" s="129">
        <v>151</v>
      </c>
      <c r="V19" s="129">
        <v>61</v>
      </c>
    </row>
    <row r="20" spans="1:22" x14ac:dyDescent="0.2">
      <c r="A20" s="158">
        <v>46213</v>
      </c>
      <c r="B20" s="126" t="s">
        <v>54</v>
      </c>
      <c r="C20" s="127">
        <v>45.704300000000003</v>
      </c>
      <c r="D20" s="128">
        <f>'RC Movement'!E17</f>
        <v>36541</v>
      </c>
      <c r="E20" s="128">
        <f t="shared" si="0"/>
        <v>29711</v>
      </c>
      <c r="F20" s="129">
        <f t="shared" si="1"/>
        <v>5497.5</v>
      </c>
      <c r="G20" s="130">
        <f t="shared" si="2"/>
        <v>0.18503247955302748</v>
      </c>
      <c r="H20" s="128">
        <v>1</v>
      </c>
      <c r="I20" s="131">
        <v>0.65</v>
      </c>
      <c r="J20" s="128">
        <v>21086</v>
      </c>
      <c r="K20" s="128"/>
      <c r="L20" s="128"/>
      <c r="M20" s="128"/>
      <c r="N20" s="128">
        <v>8625</v>
      </c>
      <c r="O20" s="129">
        <v>250</v>
      </c>
      <c r="P20" s="129">
        <v>0.5</v>
      </c>
      <c r="Q20" s="129">
        <v>2080</v>
      </c>
      <c r="R20" s="129">
        <v>2057</v>
      </c>
      <c r="S20" s="129">
        <v>759</v>
      </c>
      <c r="T20" s="129">
        <v>145</v>
      </c>
      <c r="U20" s="129">
        <v>150</v>
      </c>
      <c r="V20" s="129">
        <v>56</v>
      </c>
    </row>
    <row r="21" spans="1:22" x14ac:dyDescent="0.2">
      <c r="A21" s="158">
        <v>46214</v>
      </c>
      <c r="B21" s="126" t="s">
        <v>55</v>
      </c>
      <c r="C21" s="127">
        <v>45.200400000000002</v>
      </c>
      <c r="D21" s="128">
        <f>'RC Movement'!E18</f>
        <v>37409</v>
      </c>
      <c r="E21" s="128">
        <f t="shared" si="0"/>
        <v>28301</v>
      </c>
      <c r="F21" s="129">
        <f t="shared" si="1"/>
        <v>5146.5</v>
      </c>
      <c r="G21" s="130">
        <f t="shared" si="2"/>
        <v>0.18184869792586833</v>
      </c>
      <c r="H21" s="128">
        <v>1</v>
      </c>
      <c r="I21" s="131">
        <v>0.17</v>
      </c>
      <c r="J21" s="128">
        <v>20826</v>
      </c>
      <c r="K21" s="128"/>
      <c r="L21" s="128"/>
      <c r="M21" s="128"/>
      <c r="N21" s="128">
        <v>7475</v>
      </c>
      <c r="O21" s="129">
        <v>125</v>
      </c>
      <c r="P21" s="129">
        <v>0.5</v>
      </c>
      <c r="Q21" s="129">
        <v>2080</v>
      </c>
      <c r="R21" s="129">
        <v>1661</v>
      </c>
      <c r="S21" s="129">
        <v>768</v>
      </c>
      <c r="T21" s="129">
        <v>237</v>
      </c>
      <c r="U21" s="129">
        <v>215</v>
      </c>
      <c r="V21" s="129">
        <v>60</v>
      </c>
    </row>
    <row r="22" spans="1:22" x14ac:dyDescent="0.2">
      <c r="A22" s="159">
        <v>46215</v>
      </c>
      <c r="B22" s="132" t="s">
        <v>56</v>
      </c>
      <c r="C22" s="133"/>
      <c r="D22" s="134">
        <f>'RC Movement'!E19</f>
        <v>0</v>
      </c>
      <c r="E22" s="134">
        <f t="shared" si="0"/>
        <v>0</v>
      </c>
      <c r="F22" s="135">
        <f t="shared" si="1"/>
        <v>0</v>
      </c>
      <c r="G22" s="136" t="str">
        <f t="shared" si="2"/>
        <v/>
      </c>
      <c r="H22" s="134"/>
      <c r="I22" s="137"/>
      <c r="J22" s="134"/>
      <c r="K22" s="134"/>
      <c r="L22" s="134"/>
      <c r="M22" s="134"/>
      <c r="N22" s="134"/>
      <c r="O22" s="135"/>
      <c r="P22" s="135"/>
      <c r="Q22" s="135"/>
      <c r="R22" s="135"/>
      <c r="S22" s="135"/>
      <c r="T22" s="135"/>
      <c r="U22" s="135"/>
      <c r="V22" s="135"/>
    </row>
    <row r="23" spans="1:22" x14ac:dyDescent="0.2">
      <c r="A23" s="158">
        <v>46216</v>
      </c>
      <c r="B23" s="126" t="s">
        <v>57</v>
      </c>
      <c r="C23" s="127">
        <v>48.423400000000001</v>
      </c>
      <c r="D23" s="128">
        <f>'RC Movement'!E20</f>
        <v>25492</v>
      </c>
      <c r="E23" s="128">
        <f t="shared" si="0"/>
        <v>15730</v>
      </c>
      <c r="F23" s="129">
        <f t="shared" si="1"/>
        <v>2670.5</v>
      </c>
      <c r="G23" s="130">
        <f t="shared" si="2"/>
        <v>0.16977113795295615</v>
      </c>
      <c r="H23" s="128">
        <v>1</v>
      </c>
      <c r="I23" s="131">
        <v>2.0499999999999998</v>
      </c>
      <c r="J23" s="128">
        <v>15730</v>
      </c>
      <c r="K23" s="128"/>
      <c r="L23" s="128"/>
      <c r="M23" s="128"/>
      <c r="N23" s="128"/>
      <c r="O23" s="129">
        <v>50</v>
      </c>
      <c r="P23" s="129">
        <v>0.5</v>
      </c>
      <c r="Q23" s="129">
        <v>1040</v>
      </c>
      <c r="R23" s="129">
        <v>1040</v>
      </c>
      <c r="S23" s="129">
        <v>180</v>
      </c>
      <c r="T23" s="129">
        <v>120</v>
      </c>
      <c r="U23" s="129">
        <v>210</v>
      </c>
      <c r="V23" s="129">
        <v>30</v>
      </c>
    </row>
    <row r="24" spans="1:22" x14ac:dyDescent="0.2">
      <c r="A24" s="158">
        <v>46217</v>
      </c>
      <c r="B24" s="126" t="s">
        <v>51</v>
      </c>
      <c r="C24" s="127">
        <v>48.189700000000002</v>
      </c>
      <c r="D24" s="128">
        <f>'RC Movement'!E21</f>
        <v>42356</v>
      </c>
      <c r="E24" s="128">
        <f t="shared" si="0"/>
        <v>19136</v>
      </c>
      <c r="F24" s="129">
        <f t="shared" si="1"/>
        <v>2634.5</v>
      </c>
      <c r="G24" s="130">
        <f t="shared" si="2"/>
        <v>0.13767244983277591</v>
      </c>
      <c r="H24" s="128">
        <v>1</v>
      </c>
      <c r="I24" s="131">
        <v>0.08</v>
      </c>
      <c r="J24" s="128">
        <v>19136</v>
      </c>
      <c r="K24" s="128"/>
      <c r="L24" s="128"/>
      <c r="M24" s="128"/>
      <c r="N24" s="128"/>
      <c r="O24" s="129">
        <v>75</v>
      </c>
      <c r="P24" s="129">
        <v>0.5</v>
      </c>
      <c r="Q24" s="129">
        <v>1040</v>
      </c>
      <c r="R24" s="129">
        <v>1040</v>
      </c>
      <c r="S24" s="129">
        <v>108</v>
      </c>
      <c r="T24" s="129">
        <v>193</v>
      </c>
      <c r="U24" s="129">
        <v>150</v>
      </c>
      <c r="V24" s="129">
        <v>28</v>
      </c>
    </row>
    <row r="25" spans="1:22" x14ac:dyDescent="0.2">
      <c r="A25" s="158">
        <v>46218</v>
      </c>
      <c r="B25" s="126" t="s">
        <v>52</v>
      </c>
      <c r="C25" s="127">
        <v>48.232900000000001</v>
      </c>
      <c r="D25" s="128">
        <f>'RC Movement'!E22</f>
        <v>10366</v>
      </c>
      <c r="E25" s="128">
        <f t="shared" si="0"/>
        <v>15340</v>
      </c>
      <c r="F25" s="129">
        <f t="shared" si="1"/>
        <v>4076.5</v>
      </c>
      <c r="G25" s="130">
        <f t="shared" si="2"/>
        <v>0.2657431551499348</v>
      </c>
      <c r="H25" s="128">
        <v>1</v>
      </c>
      <c r="I25" s="131">
        <v>1.33</v>
      </c>
      <c r="J25" s="128">
        <v>15340</v>
      </c>
      <c r="K25" s="128"/>
      <c r="L25" s="128"/>
      <c r="M25" s="128"/>
      <c r="N25" s="128"/>
      <c r="O25" s="129">
        <v>50</v>
      </c>
      <c r="P25" s="129">
        <v>0.5</v>
      </c>
      <c r="Q25" s="129">
        <v>1687</v>
      </c>
      <c r="R25" s="129">
        <v>1847</v>
      </c>
      <c r="S25" s="129">
        <v>95</v>
      </c>
      <c r="T25" s="129">
        <v>157</v>
      </c>
      <c r="U25" s="129">
        <v>210</v>
      </c>
      <c r="V25" s="129">
        <v>30</v>
      </c>
    </row>
    <row r="26" spans="1:22" x14ac:dyDescent="0.2">
      <c r="A26" s="158">
        <v>46219</v>
      </c>
      <c r="B26" s="126" t="s">
        <v>53</v>
      </c>
      <c r="C26" s="127">
        <v>48.194600000000001</v>
      </c>
      <c r="D26" s="128">
        <f>'RC Movement'!E23</f>
        <v>19966</v>
      </c>
      <c r="E26" s="128">
        <f t="shared" si="0"/>
        <v>16562</v>
      </c>
      <c r="F26" s="129">
        <f t="shared" si="1"/>
        <v>2595.5</v>
      </c>
      <c r="G26" s="130">
        <f t="shared" si="2"/>
        <v>0.15671416495592319</v>
      </c>
      <c r="H26" s="128">
        <v>1</v>
      </c>
      <c r="I26" s="131">
        <v>0.1</v>
      </c>
      <c r="J26" s="128">
        <v>16562</v>
      </c>
      <c r="K26" s="128"/>
      <c r="L26" s="128"/>
      <c r="M26" s="128"/>
      <c r="N26" s="128"/>
      <c r="O26" s="129">
        <v>75</v>
      </c>
      <c r="P26" s="129">
        <v>0.5</v>
      </c>
      <c r="Q26" s="129">
        <v>1040</v>
      </c>
      <c r="R26" s="129">
        <v>1040</v>
      </c>
      <c r="S26" s="129">
        <v>119</v>
      </c>
      <c r="T26" s="129">
        <v>162</v>
      </c>
      <c r="U26" s="129">
        <v>130</v>
      </c>
      <c r="V26" s="129">
        <v>29</v>
      </c>
    </row>
    <row r="27" spans="1:22" x14ac:dyDescent="0.2">
      <c r="A27" s="158">
        <v>46220</v>
      </c>
      <c r="B27" s="126" t="s">
        <v>54</v>
      </c>
      <c r="C27" s="127"/>
      <c r="D27" s="128">
        <f>'RC Movement'!E24</f>
        <v>0</v>
      </c>
      <c r="E27" s="128">
        <f t="shared" si="0"/>
        <v>0</v>
      </c>
      <c r="F27" s="129">
        <f t="shared" si="1"/>
        <v>0</v>
      </c>
      <c r="G27" s="130" t="str">
        <f t="shared" si="2"/>
        <v/>
      </c>
      <c r="H27" s="128">
        <v>1</v>
      </c>
      <c r="I27" s="131">
        <v>0</v>
      </c>
      <c r="J27" s="128"/>
      <c r="K27" s="128"/>
      <c r="L27" s="128"/>
      <c r="M27" s="128"/>
      <c r="N27" s="128"/>
      <c r="O27" s="129"/>
      <c r="P27" s="129"/>
      <c r="Q27" s="129"/>
      <c r="R27" s="129"/>
      <c r="S27" s="129"/>
      <c r="T27" s="129"/>
      <c r="U27" s="129"/>
      <c r="V27" s="129"/>
    </row>
    <row r="28" spans="1:22" x14ac:dyDescent="0.2">
      <c r="A28" s="159">
        <v>46221</v>
      </c>
      <c r="B28" s="132" t="s">
        <v>55</v>
      </c>
      <c r="C28" s="133"/>
      <c r="D28" s="134">
        <f>'RC Movement'!E25</f>
        <v>0</v>
      </c>
      <c r="E28" s="134">
        <f t="shared" si="0"/>
        <v>0</v>
      </c>
      <c r="F28" s="135">
        <f t="shared" si="1"/>
        <v>0</v>
      </c>
      <c r="G28" s="136" t="str">
        <f t="shared" si="2"/>
        <v/>
      </c>
      <c r="H28" s="134"/>
      <c r="I28" s="137"/>
      <c r="J28" s="134"/>
      <c r="K28" s="134"/>
      <c r="L28" s="134"/>
      <c r="M28" s="134"/>
      <c r="N28" s="134"/>
      <c r="O28" s="135"/>
      <c r="P28" s="135"/>
      <c r="Q28" s="135"/>
      <c r="R28" s="135"/>
      <c r="S28" s="135"/>
      <c r="T28" s="135"/>
      <c r="U28" s="135"/>
      <c r="V28" s="135"/>
    </row>
    <row r="29" spans="1:22" x14ac:dyDescent="0.2">
      <c r="A29" s="159">
        <v>46222</v>
      </c>
      <c r="B29" s="132" t="s">
        <v>56</v>
      </c>
      <c r="C29" s="133"/>
      <c r="D29" s="134">
        <f>'RC Movement'!E26</f>
        <v>0</v>
      </c>
      <c r="E29" s="134">
        <f t="shared" si="0"/>
        <v>0</v>
      </c>
      <c r="F29" s="135">
        <f t="shared" si="1"/>
        <v>0</v>
      </c>
      <c r="G29" s="136" t="str">
        <f t="shared" si="2"/>
        <v/>
      </c>
      <c r="H29" s="134"/>
      <c r="I29" s="137"/>
      <c r="J29" s="134"/>
      <c r="K29" s="134"/>
      <c r="L29" s="134"/>
      <c r="M29" s="134"/>
      <c r="N29" s="134"/>
      <c r="O29" s="135"/>
      <c r="P29" s="135"/>
      <c r="Q29" s="135"/>
      <c r="R29" s="135"/>
      <c r="S29" s="135"/>
      <c r="T29" s="135"/>
      <c r="U29" s="135"/>
      <c r="V29" s="135"/>
    </row>
    <row r="30" spans="1:22" x14ac:dyDescent="0.2">
      <c r="A30" s="158">
        <v>46223</v>
      </c>
      <c r="B30" s="126" t="s">
        <v>57</v>
      </c>
      <c r="C30" s="127">
        <v>45.420299999999997</v>
      </c>
      <c r="D30" s="128">
        <f>'RC Movement'!E27</f>
        <v>22126</v>
      </c>
      <c r="E30" s="128">
        <f t="shared" si="0"/>
        <v>19318</v>
      </c>
      <c r="F30" s="129">
        <f t="shared" si="1"/>
        <v>2558.5</v>
      </c>
      <c r="G30" s="130">
        <f t="shared" si="2"/>
        <v>0.13244124650584946</v>
      </c>
      <c r="H30" s="128">
        <v>1</v>
      </c>
      <c r="I30" s="131">
        <v>1.75</v>
      </c>
      <c r="J30" s="128">
        <v>19318</v>
      </c>
      <c r="K30" s="128"/>
      <c r="L30" s="128"/>
      <c r="M30" s="128"/>
      <c r="N30" s="128"/>
      <c r="O30" s="129">
        <v>50</v>
      </c>
      <c r="P30" s="129">
        <v>0.5</v>
      </c>
      <c r="Q30" s="129">
        <v>1040</v>
      </c>
      <c r="R30" s="129">
        <v>1040</v>
      </c>
      <c r="S30" s="129">
        <v>138</v>
      </c>
      <c r="T30" s="129">
        <v>140</v>
      </c>
      <c r="U30" s="129">
        <v>120</v>
      </c>
      <c r="V30" s="129">
        <v>30</v>
      </c>
    </row>
    <row r="31" spans="1:22" x14ac:dyDescent="0.2">
      <c r="A31" s="158">
        <v>46224</v>
      </c>
      <c r="B31" s="126" t="s">
        <v>51</v>
      </c>
      <c r="C31" s="127">
        <v>41.962000000000003</v>
      </c>
      <c r="D31" s="128">
        <f>'RC Movement'!E28</f>
        <v>31699</v>
      </c>
      <c r="E31" s="128">
        <f t="shared" si="0"/>
        <v>20358</v>
      </c>
      <c r="F31" s="129">
        <f t="shared" si="1"/>
        <v>2422.5</v>
      </c>
      <c r="G31" s="130">
        <f t="shared" si="2"/>
        <v>0.11899498968464485</v>
      </c>
      <c r="H31" s="128">
        <v>1</v>
      </c>
      <c r="I31" s="131">
        <v>1.47</v>
      </c>
      <c r="J31" s="128">
        <v>20358</v>
      </c>
      <c r="K31" s="128"/>
      <c r="L31" s="128"/>
      <c r="M31" s="128"/>
      <c r="N31" s="128"/>
      <c r="O31" s="129">
        <v>75</v>
      </c>
      <c r="P31" s="129">
        <v>0.5</v>
      </c>
      <c r="Q31" s="129">
        <v>1040</v>
      </c>
      <c r="R31" s="129">
        <v>1040</v>
      </c>
      <c r="S31" s="129">
        <v>54</v>
      </c>
      <c r="T31" s="129">
        <v>75</v>
      </c>
      <c r="U31" s="129">
        <v>110</v>
      </c>
      <c r="V31" s="129">
        <v>28</v>
      </c>
    </row>
    <row r="32" spans="1:22" x14ac:dyDescent="0.2">
      <c r="A32" s="158">
        <v>46225</v>
      </c>
      <c r="B32" s="126" t="s">
        <v>52</v>
      </c>
      <c r="C32" s="127">
        <v>44.362099999999998</v>
      </c>
      <c r="D32" s="128">
        <f>'RC Movement'!E29</f>
        <v>40763</v>
      </c>
      <c r="E32" s="128">
        <f t="shared" si="0"/>
        <v>31312</v>
      </c>
      <c r="F32" s="129">
        <f t="shared" si="1"/>
        <v>3580.5</v>
      </c>
      <c r="G32" s="130">
        <f t="shared" si="2"/>
        <v>0.11434913132345427</v>
      </c>
      <c r="H32" s="128">
        <v>1</v>
      </c>
      <c r="I32" s="131">
        <v>0.33</v>
      </c>
      <c r="J32" s="128">
        <v>18772</v>
      </c>
      <c r="K32" s="128"/>
      <c r="L32" s="128"/>
      <c r="M32" s="128">
        <v>12540</v>
      </c>
      <c r="N32" s="128"/>
      <c r="O32" s="129">
        <v>75</v>
      </c>
      <c r="P32" s="129">
        <v>0.5</v>
      </c>
      <c r="Q32" s="129">
        <v>1474</v>
      </c>
      <c r="R32" s="129">
        <v>1515</v>
      </c>
      <c r="S32" s="129">
        <v>77</v>
      </c>
      <c r="T32" s="129">
        <v>177</v>
      </c>
      <c r="U32" s="129">
        <v>205</v>
      </c>
      <c r="V32" s="129">
        <v>57</v>
      </c>
    </row>
    <row r="33" spans="1:22" x14ac:dyDescent="0.2">
      <c r="A33" s="158">
        <v>46226</v>
      </c>
      <c r="B33" s="126" t="s">
        <v>53</v>
      </c>
      <c r="C33" s="127">
        <v>46.778199999999998</v>
      </c>
      <c r="D33" s="128">
        <f>'RC Movement'!E30</f>
        <v>42142</v>
      </c>
      <c r="E33" s="128">
        <f t="shared" si="0"/>
        <v>28500</v>
      </c>
      <c r="F33" s="129">
        <f t="shared" si="1"/>
        <v>5545.5</v>
      </c>
      <c r="G33" s="130">
        <f t="shared" si="2"/>
        <v>0.19457894736842105</v>
      </c>
      <c r="H33" s="128">
        <v>1</v>
      </c>
      <c r="I33" s="131">
        <v>0.87</v>
      </c>
      <c r="J33" s="128">
        <v>14820</v>
      </c>
      <c r="K33" s="128"/>
      <c r="L33" s="128"/>
      <c r="M33" s="128">
        <v>13680</v>
      </c>
      <c r="N33" s="128"/>
      <c r="O33" s="129">
        <v>105</v>
      </c>
      <c r="P33" s="129">
        <v>0.5</v>
      </c>
      <c r="Q33" s="129">
        <v>2080</v>
      </c>
      <c r="R33" s="129">
        <v>2766</v>
      </c>
      <c r="S33" s="129">
        <v>107</v>
      </c>
      <c r="T33" s="129">
        <v>207</v>
      </c>
      <c r="U33" s="129">
        <v>225</v>
      </c>
      <c r="V33" s="129">
        <v>55</v>
      </c>
    </row>
    <row r="34" spans="1:22" x14ac:dyDescent="0.2">
      <c r="A34" s="158">
        <v>46227</v>
      </c>
      <c r="B34" s="126" t="s">
        <v>54</v>
      </c>
      <c r="C34" s="127">
        <v>46.220799999999997</v>
      </c>
      <c r="D34" s="128">
        <f>'RC Movement'!E31</f>
        <v>41500</v>
      </c>
      <c r="E34" s="128">
        <f t="shared" si="0"/>
        <v>30362</v>
      </c>
      <c r="F34" s="129">
        <f t="shared" si="1"/>
        <v>5746.5</v>
      </c>
      <c r="G34" s="130">
        <f t="shared" si="2"/>
        <v>0.18926618799815559</v>
      </c>
      <c r="H34" s="128">
        <v>1</v>
      </c>
      <c r="I34" s="131">
        <v>0.2</v>
      </c>
      <c r="J34" s="128">
        <v>13832</v>
      </c>
      <c r="K34" s="128"/>
      <c r="L34" s="128"/>
      <c r="M34" s="128">
        <v>16530</v>
      </c>
      <c r="N34" s="128"/>
      <c r="O34" s="129">
        <v>125</v>
      </c>
      <c r="P34" s="129">
        <v>0.5</v>
      </c>
      <c r="Q34" s="129">
        <v>2080</v>
      </c>
      <c r="R34" s="129">
        <v>2906</v>
      </c>
      <c r="S34" s="129">
        <v>103</v>
      </c>
      <c r="T34" s="129">
        <v>221</v>
      </c>
      <c r="U34" s="129">
        <v>255</v>
      </c>
      <c r="V34" s="129">
        <v>56</v>
      </c>
    </row>
    <row r="35" spans="1:22" x14ac:dyDescent="0.2">
      <c r="A35" s="158">
        <v>46228</v>
      </c>
      <c r="B35" s="126" t="s">
        <v>55</v>
      </c>
      <c r="C35" s="127">
        <v>45.605400000000003</v>
      </c>
      <c r="D35" s="128">
        <f>'RC Movement'!E32</f>
        <v>31019</v>
      </c>
      <c r="E35" s="128">
        <f t="shared" si="0"/>
        <v>30336</v>
      </c>
      <c r="F35" s="129">
        <f t="shared" si="1"/>
        <v>4444.5</v>
      </c>
      <c r="G35" s="130">
        <f t="shared" si="2"/>
        <v>0.14650909810126583</v>
      </c>
      <c r="H35" s="128">
        <v>1</v>
      </c>
      <c r="I35" s="131">
        <v>0.75</v>
      </c>
      <c r="J35" s="128">
        <v>13806</v>
      </c>
      <c r="K35" s="128"/>
      <c r="L35" s="128"/>
      <c r="M35" s="128">
        <v>16530</v>
      </c>
      <c r="N35" s="128"/>
      <c r="O35" s="129">
        <v>75</v>
      </c>
      <c r="P35" s="129">
        <v>0.5</v>
      </c>
      <c r="Q35" s="129">
        <v>2080</v>
      </c>
      <c r="R35" s="129">
        <v>1745</v>
      </c>
      <c r="S35" s="129">
        <v>85</v>
      </c>
      <c r="T35" s="129">
        <v>176</v>
      </c>
      <c r="U35" s="129">
        <v>225</v>
      </c>
      <c r="V35" s="129">
        <v>58</v>
      </c>
    </row>
    <row r="36" spans="1:22" x14ac:dyDescent="0.2">
      <c r="A36" s="159">
        <v>46229</v>
      </c>
      <c r="B36" s="132" t="s">
        <v>56</v>
      </c>
      <c r="C36" s="133"/>
      <c r="D36" s="134">
        <f>'RC Movement'!E33</f>
        <v>0</v>
      </c>
      <c r="E36" s="134">
        <f t="shared" si="0"/>
        <v>0</v>
      </c>
      <c r="F36" s="135">
        <f t="shared" si="1"/>
        <v>0</v>
      </c>
      <c r="G36" s="136" t="str">
        <f t="shared" si="2"/>
        <v/>
      </c>
      <c r="H36" s="134"/>
      <c r="I36" s="137"/>
      <c r="J36" s="134"/>
      <c r="K36" s="134"/>
      <c r="L36" s="134"/>
      <c r="M36" s="134"/>
      <c r="N36" s="134"/>
      <c r="O36" s="135"/>
      <c r="P36" s="135"/>
      <c r="Q36" s="135"/>
      <c r="R36" s="135"/>
      <c r="S36" s="135"/>
      <c r="T36" s="135"/>
      <c r="U36" s="135"/>
      <c r="V36" s="135"/>
    </row>
    <row r="37" spans="1:22" x14ac:dyDescent="0.2">
      <c r="A37" s="158">
        <v>46230</v>
      </c>
      <c r="B37" s="126" t="s">
        <v>57</v>
      </c>
      <c r="C37" s="127">
        <v>46.593200000000003</v>
      </c>
      <c r="D37" s="128">
        <f>'RC Movement'!E34</f>
        <v>42584</v>
      </c>
      <c r="E37" s="128">
        <f t="shared" si="0"/>
        <v>24600</v>
      </c>
      <c r="F37" s="129">
        <f t="shared" si="1"/>
        <v>2211.5</v>
      </c>
      <c r="G37" s="130">
        <f t="shared" si="2"/>
        <v>8.9898373983739843E-2</v>
      </c>
      <c r="H37" s="128">
        <v>1</v>
      </c>
      <c r="I37" s="131">
        <v>0.17</v>
      </c>
      <c r="J37" s="128">
        <v>10920</v>
      </c>
      <c r="K37" s="128"/>
      <c r="L37" s="128"/>
      <c r="M37" s="128">
        <v>13680</v>
      </c>
      <c r="N37" s="128"/>
      <c r="O37" s="129">
        <v>50</v>
      </c>
      <c r="P37" s="129">
        <v>0.5</v>
      </c>
      <c r="Q37" s="129">
        <v>910</v>
      </c>
      <c r="R37" s="129">
        <v>820</v>
      </c>
      <c r="S37" s="129">
        <v>96</v>
      </c>
      <c r="T37" s="129">
        <v>135</v>
      </c>
      <c r="U37" s="129">
        <v>150</v>
      </c>
      <c r="V37" s="129">
        <v>50</v>
      </c>
    </row>
    <row r="38" spans="1:22" x14ac:dyDescent="0.2">
      <c r="A38" s="158">
        <v>46231</v>
      </c>
      <c r="B38" s="126" t="s">
        <v>51</v>
      </c>
      <c r="C38" s="127">
        <v>46.477400000000003</v>
      </c>
      <c r="D38" s="128">
        <f>'RC Movement'!E35</f>
        <v>30499</v>
      </c>
      <c r="E38" s="128">
        <f t="shared" si="0"/>
        <v>25068</v>
      </c>
      <c r="F38" s="129">
        <f t="shared" si="1"/>
        <v>4732.5</v>
      </c>
      <c r="G38" s="130">
        <f t="shared" si="2"/>
        <v>0.18878650071804692</v>
      </c>
      <c r="H38" s="128">
        <v>1</v>
      </c>
      <c r="I38" s="131">
        <v>0.17</v>
      </c>
      <c r="J38" s="128">
        <v>11388</v>
      </c>
      <c r="K38" s="128"/>
      <c r="L38" s="128"/>
      <c r="M38" s="128">
        <v>13680</v>
      </c>
      <c r="N38" s="128"/>
      <c r="O38" s="129">
        <v>75</v>
      </c>
      <c r="P38" s="129">
        <v>0.5</v>
      </c>
      <c r="Q38" s="129">
        <v>2080</v>
      </c>
      <c r="R38" s="129">
        <v>2174</v>
      </c>
      <c r="S38" s="129">
        <v>83</v>
      </c>
      <c r="T38" s="129">
        <v>117</v>
      </c>
      <c r="U38" s="129">
        <v>175</v>
      </c>
      <c r="V38" s="129">
        <v>28</v>
      </c>
    </row>
    <row r="39" spans="1:22" x14ac:dyDescent="0.2">
      <c r="A39" s="158">
        <v>46232</v>
      </c>
      <c r="B39" s="126" t="s">
        <v>52</v>
      </c>
      <c r="C39" s="127">
        <v>48.148600000000002</v>
      </c>
      <c r="D39" s="128">
        <f>'RC Movement'!E36</f>
        <v>30834</v>
      </c>
      <c r="E39" s="128">
        <f t="shared" si="0"/>
        <v>21278</v>
      </c>
      <c r="F39" s="129">
        <f t="shared" si="1"/>
        <v>4315.5</v>
      </c>
      <c r="G39" s="130">
        <f t="shared" si="2"/>
        <v>0.20281511420246265</v>
      </c>
      <c r="H39" s="128">
        <v>1</v>
      </c>
      <c r="I39" s="131">
        <v>0.83</v>
      </c>
      <c r="J39" s="128">
        <v>16718</v>
      </c>
      <c r="K39" s="128"/>
      <c r="L39" s="128"/>
      <c r="M39" s="128">
        <v>4560</v>
      </c>
      <c r="N39" s="128"/>
      <c r="O39" s="129">
        <v>57</v>
      </c>
      <c r="P39" s="129">
        <v>0.5</v>
      </c>
      <c r="Q39" s="129">
        <v>2080</v>
      </c>
      <c r="R39" s="129">
        <v>1593</v>
      </c>
      <c r="S39" s="129">
        <v>160</v>
      </c>
      <c r="T39" s="129">
        <v>173</v>
      </c>
      <c r="U39" s="129">
        <v>225</v>
      </c>
      <c r="V39" s="129">
        <v>27</v>
      </c>
    </row>
    <row r="40" spans="1:22" x14ac:dyDescent="0.2">
      <c r="A40" s="158">
        <v>46233</v>
      </c>
      <c r="B40" s="126" t="s">
        <v>53</v>
      </c>
      <c r="C40" s="127"/>
      <c r="D40" s="128">
        <f>'RC Movement'!E37</f>
        <v>0</v>
      </c>
      <c r="E40" s="128">
        <f t="shared" si="0"/>
        <v>22862</v>
      </c>
      <c r="F40" s="129">
        <f t="shared" si="1"/>
        <v>4318.5</v>
      </c>
      <c r="G40" s="130">
        <f t="shared" si="2"/>
        <v>0.1888942349750678</v>
      </c>
      <c r="H40" s="128">
        <v>1</v>
      </c>
      <c r="I40" s="131">
        <v>0.17</v>
      </c>
      <c r="J40" s="128">
        <v>10322</v>
      </c>
      <c r="K40" s="128"/>
      <c r="L40" s="128"/>
      <c r="M40" s="128">
        <v>12540</v>
      </c>
      <c r="N40" s="128"/>
      <c r="O40" s="129">
        <v>75</v>
      </c>
      <c r="P40" s="129">
        <v>0.5</v>
      </c>
      <c r="Q40" s="129">
        <v>2080</v>
      </c>
      <c r="R40" s="129">
        <v>1745</v>
      </c>
      <c r="S40" s="129">
        <v>80</v>
      </c>
      <c r="T40" s="129">
        <v>158</v>
      </c>
      <c r="U40" s="129">
        <v>150</v>
      </c>
      <c r="V40" s="129">
        <v>30</v>
      </c>
    </row>
    <row r="41" spans="1:22" x14ac:dyDescent="0.2">
      <c r="A41" s="158">
        <v>46234</v>
      </c>
      <c r="B41" s="126" t="s">
        <v>54</v>
      </c>
      <c r="C41" s="127"/>
      <c r="D41" s="128">
        <f>'RC Movement'!E38</f>
        <v>0</v>
      </c>
      <c r="E41" s="128">
        <f t="shared" si="0"/>
        <v>4620</v>
      </c>
      <c r="F41" s="129">
        <f t="shared" si="1"/>
        <v>1199.5</v>
      </c>
      <c r="G41" s="130">
        <f t="shared" si="2"/>
        <v>0.25963203463203466</v>
      </c>
      <c r="H41" s="128">
        <v>1</v>
      </c>
      <c r="I41" s="131">
        <v>4.97</v>
      </c>
      <c r="J41" s="128">
        <v>2340</v>
      </c>
      <c r="K41" s="128"/>
      <c r="L41" s="128"/>
      <c r="M41" s="128">
        <v>2280</v>
      </c>
      <c r="N41" s="128"/>
      <c r="O41" s="129">
        <v>30</v>
      </c>
      <c r="P41" s="129">
        <v>0.5</v>
      </c>
      <c r="Q41" s="129">
        <v>550</v>
      </c>
      <c r="R41" s="129">
        <v>410</v>
      </c>
      <c r="S41" s="129">
        <v>50</v>
      </c>
      <c r="T41" s="129">
        <v>56</v>
      </c>
      <c r="U41" s="129">
        <v>75</v>
      </c>
      <c r="V41" s="129">
        <v>28</v>
      </c>
    </row>
    <row r="42" spans="1:22" x14ac:dyDescent="0.2">
      <c r="A42" s="158">
        <v>46235</v>
      </c>
      <c r="B42" s="126" t="s">
        <v>55</v>
      </c>
      <c r="C42" s="127"/>
      <c r="D42" s="128">
        <f>'RC Movement'!E39</f>
        <v>0</v>
      </c>
      <c r="E42" s="128">
        <f t="shared" si="0"/>
        <v>2466</v>
      </c>
      <c r="F42" s="129">
        <f t="shared" si="1"/>
        <v>590.5</v>
      </c>
      <c r="G42" s="130">
        <f t="shared" si="2"/>
        <v>0.2394566098945661</v>
      </c>
      <c r="H42" s="128">
        <v>1</v>
      </c>
      <c r="I42" s="131">
        <v>0.22</v>
      </c>
      <c r="J42" s="128">
        <v>1326</v>
      </c>
      <c r="K42" s="128"/>
      <c r="L42" s="128"/>
      <c r="M42" s="128">
        <v>1140</v>
      </c>
      <c r="N42" s="128"/>
      <c r="O42" s="129">
        <v>25</v>
      </c>
      <c r="P42" s="129">
        <v>0.5</v>
      </c>
      <c r="Q42" s="129">
        <v>239</v>
      </c>
      <c r="R42" s="129">
        <v>239</v>
      </c>
      <c r="S42" s="129">
        <v>27</v>
      </c>
      <c r="T42" s="129">
        <v>35</v>
      </c>
      <c r="U42" s="129">
        <v>0</v>
      </c>
      <c r="V42" s="129">
        <v>25</v>
      </c>
    </row>
    <row r="43" spans="1:22" x14ac:dyDescent="0.2">
      <c r="A43" s="138" t="s">
        <v>15</v>
      </c>
      <c r="B43" s="139" t="s">
        <v>58</v>
      </c>
      <c r="C43" s="140">
        <f>SUMPRODUCT(C10:C42,D10:D42)/SUMIF(C10:C42,"&gt;0",D10:D42)</f>
        <v>45.337718985476826</v>
      </c>
      <c r="D43" s="115">
        <f>SUM(D10:D42)</f>
        <v>781234</v>
      </c>
      <c r="E43" s="115">
        <f>SUM(E10:E42)</f>
        <v>621201</v>
      </c>
      <c r="F43" s="141">
        <f>SUM(F10:F42)</f>
        <v>106506.5</v>
      </c>
      <c r="G43" s="142">
        <f t="shared" si="2"/>
        <v>0.17145255722382932</v>
      </c>
      <c r="H43" s="115">
        <f t="shared" ref="H43:V43" si="3">SUM(H10:H42)</f>
        <v>28</v>
      </c>
      <c r="I43" s="143">
        <f t="shared" si="3"/>
        <v>22.560000000000002</v>
      </c>
      <c r="J43" s="115">
        <f t="shared" si="3"/>
        <v>435266</v>
      </c>
      <c r="K43" s="115">
        <f t="shared" si="3"/>
        <v>0</v>
      </c>
      <c r="L43" s="115">
        <f t="shared" si="3"/>
        <v>0</v>
      </c>
      <c r="M43" s="115">
        <f t="shared" si="3"/>
        <v>107160</v>
      </c>
      <c r="N43" s="115">
        <f t="shared" si="3"/>
        <v>78775</v>
      </c>
      <c r="O43" s="141">
        <f t="shared" si="3"/>
        <v>2646</v>
      </c>
      <c r="P43" s="141">
        <f t="shared" si="3"/>
        <v>13.5</v>
      </c>
      <c r="Q43" s="141">
        <f t="shared" si="3"/>
        <v>43084</v>
      </c>
      <c r="R43" s="141">
        <f t="shared" si="3"/>
        <v>41775</v>
      </c>
      <c r="S43" s="141">
        <f t="shared" si="3"/>
        <v>8129</v>
      </c>
      <c r="T43" s="141">
        <f t="shared" si="3"/>
        <v>4661</v>
      </c>
      <c r="U43" s="141">
        <f t="shared" si="3"/>
        <v>5037</v>
      </c>
      <c r="V43" s="141">
        <f t="shared" si="3"/>
        <v>1161</v>
      </c>
    </row>
    <row r="46" spans="1:22" x14ac:dyDescent="0.2">
      <c r="A46" s="144" t="s">
        <v>59</v>
      </c>
      <c r="D46" s="117" t="s">
        <v>60</v>
      </c>
    </row>
    <row r="47" spans="1:22" ht="27.75" customHeight="1" x14ac:dyDescent="0.2">
      <c r="A47" s="90" t="s">
        <v>61</v>
      </c>
      <c r="B47" s="90" t="s">
        <v>62</v>
      </c>
      <c r="C47" s="90" t="s">
        <v>63</v>
      </c>
      <c r="D47" s="90" t="s">
        <v>64</v>
      </c>
      <c r="E47" s="90" t="s">
        <v>65</v>
      </c>
      <c r="F47" s="119" t="s">
        <v>66</v>
      </c>
      <c r="G47" s="119" t="s">
        <v>67</v>
      </c>
      <c r="H47" s="121" t="s">
        <v>68</v>
      </c>
      <c r="I47" s="121" t="s">
        <v>69</v>
      </c>
      <c r="J47" s="123" t="s">
        <v>70</v>
      </c>
      <c r="K47" s="123" t="s">
        <v>71</v>
      </c>
      <c r="L47" s="123" t="s">
        <v>72</v>
      </c>
      <c r="M47" s="90" t="s">
        <v>73</v>
      </c>
    </row>
    <row r="48" spans="1:22" x14ac:dyDescent="0.2">
      <c r="A48" s="126" t="s">
        <v>74</v>
      </c>
      <c r="B48" s="126" t="s">
        <v>75</v>
      </c>
      <c r="C48" s="158">
        <v>46203</v>
      </c>
      <c r="D48" s="158">
        <v>46214</v>
      </c>
      <c r="E48" s="126" t="s">
        <v>76</v>
      </c>
      <c r="F48" s="128">
        <f>'RC Movement'!F40</f>
        <v>63950</v>
      </c>
      <c r="G48" s="128">
        <v>75658</v>
      </c>
      <c r="H48" s="128">
        <v>11708</v>
      </c>
      <c r="I48" s="130">
        <f t="shared" ref="I48:I66" si="4">IF(AND(E48="CLOSED",G48&gt;0),H48/G48,"")</f>
        <v>0.15474900208834491</v>
      </c>
      <c r="J48" s="127">
        <v>49</v>
      </c>
      <c r="K48" s="127">
        <v>57.9709</v>
      </c>
      <c r="L48" s="127">
        <f t="shared" ref="L48:L66" si="5">IF(K48="","",K48-J48)</f>
        <v>8.9709000000000003</v>
      </c>
      <c r="M48" s="145" t="s">
        <v>77</v>
      </c>
    </row>
    <row r="49" spans="1:13" x14ac:dyDescent="0.2">
      <c r="A49" s="126" t="s">
        <v>78</v>
      </c>
      <c r="B49" s="126" t="s">
        <v>79</v>
      </c>
      <c r="C49" s="158">
        <v>46203</v>
      </c>
      <c r="D49" s="158">
        <v>46207</v>
      </c>
      <c r="E49" s="126" t="s">
        <v>76</v>
      </c>
      <c r="F49" s="128">
        <f>'RC Movement'!G40</f>
        <v>59068</v>
      </c>
      <c r="G49" s="128">
        <v>59365</v>
      </c>
      <c r="H49" s="128">
        <v>297</v>
      </c>
      <c r="I49" s="130">
        <f t="shared" si="4"/>
        <v>5.0029478649035626E-3</v>
      </c>
      <c r="J49" s="127">
        <v>41.912999999999997</v>
      </c>
      <c r="K49" s="127">
        <v>42.123800000000003</v>
      </c>
      <c r="L49" s="127">
        <f t="shared" si="5"/>
        <v>0.21080000000000609</v>
      </c>
      <c r="M49" s="145" t="s">
        <v>77</v>
      </c>
    </row>
    <row r="50" spans="1:13" x14ac:dyDescent="0.2">
      <c r="A50" s="126" t="s">
        <v>80</v>
      </c>
      <c r="B50" s="126" t="s">
        <v>81</v>
      </c>
      <c r="C50" s="158">
        <v>46193</v>
      </c>
      <c r="D50" s="158">
        <v>46214</v>
      </c>
      <c r="E50" s="126" t="s">
        <v>76</v>
      </c>
      <c r="F50" s="128">
        <f>'RC Movement'!H40</f>
        <v>32717</v>
      </c>
      <c r="G50" s="128">
        <v>71635</v>
      </c>
      <c r="H50" s="128">
        <v>4838</v>
      </c>
      <c r="I50" s="130">
        <f t="shared" si="4"/>
        <v>6.7536818594262582E-2</v>
      </c>
      <c r="J50" s="127">
        <v>47.6616</v>
      </c>
      <c r="K50" s="127">
        <v>51.113599999999998</v>
      </c>
      <c r="L50" s="127">
        <f t="shared" si="5"/>
        <v>3.4519999999999982</v>
      </c>
      <c r="M50" s="145" t="s">
        <v>77</v>
      </c>
    </row>
    <row r="51" spans="1:13" x14ac:dyDescent="0.2">
      <c r="A51" s="126" t="s">
        <v>82</v>
      </c>
      <c r="B51" s="126" t="s">
        <v>83</v>
      </c>
      <c r="C51" s="158">
        <v>46192</v>
      </c>
      <c r="D51" s="158">
        <v>46203</v>
      </c>
      <c r="E51" s="126" t="s">
        <v>76</v>
      </c>
      <c r="F51" s="128">
        <f>'RC Movement'!I40</f>
        <v>1414</v>
      </c>
      <c r="G51" s="128">
        <v>56223</v>
      </c>
      <c r="H51" s="128">
        <v>1945</v>
      </c>
      <c r="I51" s="130">
        <f t="shared" si="4"/>
        <v>3.4594383081656972E-2</v>
      </c>
      <c r="J51" s="127">
        <v>48.25</v>
      </c>
      <c r="K51" s="127">
        <v>49.978999999999999</v>
      </c>
      <c r="L51" s="127">
        <f t="shared" si="5"/>
        <v>1.7289999999999992</v>
      </c>
      <c r="M51" s="145" t="s">
        <v>77</v>
      </c>
    </row>
    <row r="52" spans="1:13" x14ac:dyDescent="0.2">
      <c r="A52" s="126" t="s">
        <v>84</v>
      </c>
      <c r="B52" s="126" t="s">
        <v>85</v>
      </c>
      <c r="C52" s="158">
        <v>46203</v>
      </c>
      <c r="D52" s="158">
        <v>46214</v>
      </c>
      <c r="E52" s="126" t="s">
        <v>76</v>
      </c>
      <c r="F52" s="128">
        <f>'RC Movement'!J40</f>
        <v>66509</v>
      </c>
      <c r="G52" s="128">
        <v>69675</v>
      </c>
      <c r="H52" s="128">
        <v>3166</v>
      </c>
      <c r="I52" s="130">
        <f t="shared" si="4"/>
        <v>4.5439540724793684E-2</v>
      </c>
      <c r="J52" s="127">
        <v>44.5</v>
      </c>
      <c r="K52" s="127">
        <v>46.618299999999998</v>
      </c>
      <c r="L52" s="127">
        <f t="shared" si="5"/>
        <v>2.1182999999999979</v>
      </c>
      <c r="M52" s="145" t="s">
        <v>77</v>
      </c>
    </row>
    <row r="53" spans="1:13" x14ac:dyDescent="0.2">
      <c r="A53" s="126" t="s">
        <v>86</v>
      </c>
      <c r="B53" s="126" t="s">
        <v>87</v>
      </c>
      <c r="C53" s="158">
        <v>46204</v>
      </c>
      <c r="D53" s="158">
        <v>46206</v>
      </c>
      <c r="E53" s="126" t="s">
        <v>76</v>
      </c>
      <c r="F53" s="128">
        <f>'RC Movement'!K40</f>
        <v>19425</v>
      </c>
      <c r="G53" s="128">
        <v>19425</v>
      </c>
      <c r="H53" s="128">
        <v>0</v>
      </c>
      <c r="I53" s="130">
        <f t="shared" si="4"/>
        <v>0</v>
      </c>
      <c r="J53" s="127">
        <v>38</v>
      </c>
      <c r="K53" s="127">
        <v>38</v>
      </c>
      <c r="L53" s="127">
        <f t="shared" si="5"/>
        <v>0</v>
      </c>
      <c r="M53" s="145" t="s">
        <v>77</v>
      </c>
    </row>
    <row r="54" spans="1:13" x14ac:dyDescent="0.2">
      <c r="A54" s="126" t="s">
        <v>88</v>
      </c>
      <c r="B54" s="126" t="s">
        <v>89</v>
      </c>
      <c r="C54" s="158">
        <v>46207</v>
      </c>
      <c r="D54" s="158">
        <v>46211</v>
      </c>
      <c r="E54" s="126" t="s">
        <v>76</v>
      </c>
      <c r="F54" s="128">
        <f>'RC Movement'!L40</f>
        <v>53080</v>
      </c>
      <c r="G54" s="128">
        <v>53345</v>
      </c>
      <c r="H54" s="128">
        <v>265</v>
      </c>
      <c r="I54" s="130">
        <f t="shared" si="4"/>
        <v>4.967663323647952E-3</v>
      </c>
      <c r="J54" s="127">
        <v>43.5</v>
      </c>
      <c r="K54" s="127">
        <v>43.717199999999998</v>
      </c>
      <c r="L54" s="127">
        <f t="shared" si="5"/>
        <v>0.21719999999999828</v>
      </c>
      <c r="M54" s="145" t="s">
        <v>77</v>
      </c>
    </row>
    <row r="55" spans="1:13" x14ac:dyDescent="0.2">
      <c r="A55" s="126" t="s">
        <v>90</v>
      </c>
      <c r="B55" s="126" t="s">
        <v>91</v>
      </c>
      <c r="C55" s="158">
        <v>46211</v>
      </c>
      <c r="D55" s="158">
        <v>46212</v>
      </c>
      <c r="E55" s="126" t="s">
        <v>76</v>
      </c>
      <c r="F55" s="128">
        <f>'RC Movement'!M40</f>
        <v>19605</v>
      </c>
      <c r="G55" s="128">
        <v>19605</v>
      </c>
      <c r="H55" s="128">
        <v>0</v>
      </c>
      <c r="I55" s="130">
        <f t="shared" si="4"/>
        <v>0</v>
      </c>
      <c r="J55" s="127">
        <v>36</v>
      </c>
      <c r="K55" s="127">
        <v>36</v>
      </c>
      <c r="L55" s="127">
        <f t="shared" si="5"/>
        <v>0</v>
      </c>
      <c r="M55" s="145" t="s">
        <v>77</v>
      </c>
    </row>
    <row r="56" spans="1:13" x14ac:dyDescent="0.2">
      <c r="A56" s="126" t="s">
        <v>92</v>
      </c>
      <c r="B56" s="126" t="s">
        <v>93</v>
      </c>
      <c r="C56" s="158">
        <v>46212</v>
      </c>
      <c r="D56" s="158">
        <v>46214</v>
      </c>
      <c r="E56" s="126" t="s">
        <v>76</v>
      </c>
      <c r="F56" s="128">
        <f>'RC Movement'!N40</f>
        <v>54120</v>
      </c>
      <c r="G56" s="128">
        <v>54500</v>
      </c>
      <c r="H56" s="128">
        <v>380</v>
      </c>
      <c r="I56" s="130">
        <f t="shared" si="4"/>
        <v>6.9724770642201834E-3</v>
      </c>
      <c r="J56" s="127">
        <v>44.315800000000003</v>
      </c>
      <c r="K56" s="127">
        <v>44.626899999999999</v>
      </c>
      <c r="L56" s="127">
        <f t="shared" si="5"/>
        <v>0.31109999999999616</v>
      </c>
      <c r="M56" s="145" t="s">
        <v>77</v>
      </c>
    </row>
    <row r="57" spans="1:13" x14ac:dyDescent="0.2">
      <c r="A57" s="126" t="s">
        <v>94</v>
      </c>
      <c r="B57" s="126" t="s">
        <v>95</v>
      </c>
      <c r="C57" s="158">
        <v>46216</v>
      </c>
      <c r="D57" s="158">
        <v>46223</v>
      </c>
      <c r="E57" s="126" t="s">
        <v>76</v>
      </c>
      <c r="F57" s="128">
        <f>'RC Movement'!O40</f>
        <v>54119</v>
      </c>
      <c r="G57" s="128">
        <v>56185</v>
      </c>
      <c r="H57" s="128">
        <v>2066</v>
      </c>
      <c r="I57" s="130">
        <f t="shared" si="4"/>
        <v>3.6771380261635671E-2</v>
      </c>
      <c r="J57" s="127">
        <v>49</v>
      </c>
      <c r="K57" s="127">
        <v>50.870600000000003</v>
      </c>
      <c r="L57" s="127">
        <f t="shared" si="5"/>
        <v>1.8706000000000031</v>
      </c>
      <c r="M57" s="145" t="s">
        <v>77</v>
      </c>
    </row>
    <row r="58" spans="1:13" x14ac:dyDescent="0.2">
      <c r="A58" s="126" t="s">
        <v>96</v>
      </c>
      <c r="B58" s="126" t="s">
        <v>97</v>
      </c>
      <c r="C58" s="158">
        <v>46216</v>
      </c>
      <c r="D58" s="158">
        <v>46224</v>
      </c>
      <c r="E58" s="126" t="s">
        <v>76</v>
      </c>
      <c r="F58" s="128">
        <f>'RC Movement'!P40</f>
        <v>61974</v>
      </c>
      <c r="G58" s="128">
        <v>64655</v>
      </c>
      <c r="H58" s="128">
        <v>2681</v>
      </c>
      <c r="I58" s="130">
        <f t="shared" si="4"/>
        <v>4.1466243909983762E-2</v>
      </c>
      <c r="J58" s="127">
        <v>47.425800000000002</v>
      </c>
      <c r="K58" s="127">
        <v>49.477400000000003</v>
      </c>
      <c r="L58" s="127">
        <f t="shared" si="5"/>
        <v>2.0516000000000005</v>
      </c>
      <c r="M58" s="145" t="s">
        <v>77</v>
      </c>
    </row>
    <row r="59" spans="1:13" x14ac:dyDescent="0.2">
      <c r="A59" s="126" t="s">
        <v>98</v>
      </c>
      <c r="B59" s="126" t="s">
        <v>99</v>
      </c>
      <c r="C59" s="158">
        <v>46223</v>
      </c>
      <c r="D59" s="158">
        <v>46228</v>
      </c>
      <c r="E59" s="126" t="s">
        <v>76</v>
      </c>
      <c r="F59" s="128">
        <f>'RC Movement'!Q40</f>
        <v>45897</v>
      </c>
      <c r="G59" s="128">
        <v>51315</v>
      </c>
      <c r="H59" s="128">
        <v>5418</v>
      </c>
      <c r="I59" s="130">
        <f t="shared" si="4"/>
        <v>0.1055831628178895</v>
      </c>
      <c r="J59" s="127">
        <v>42</v>
      </c>
      <c r="K59" s="127">
        <v>46.957999999999998</v>
      </c>
      <c r="L59" s="127">
        <f t="shared" si="5"/>
        <v>4.9579999999999984</v>
      </c>
      <c r="M59" s="145" t="s">
        <v>77</v>
      </c>
    </row>
    <row r="60" spans="1:13" x14ac:dyDescent="0.2">
      <c r="A60" s="126" t="s">
        <v>100</v>
      </c>
      <c r="B60" s="126" t="s">
        <v>101</v>
      </c>
      <c r="C60" s="158">
        <v>46224</v>
      </c>
      <c r="D60" s="158">
        <v>46230</v>
      </c>
      <c r="E60" s="126" t="s">
        <v>76</v>
      </c>
      <c r="F60" s="128">
        <f>'RC Movement'!R40</f>
        <v>66020</v>
      </c>
      <c r="G60" s="128">
        <v>69010</v>
      </c>
      <c r="H60" s="128">
        <v>2990</v>
      </c>
      <c r="I60" s="130">
        <f t="shared" si="4"/>
        <v>4.3327054050137662E-2</v>
      </c>
      <c r="J60" s="127">
        <v>47.706099999999999</v>
      </c>
      <c r="K60" s="127">
        <v>49.866700000000002</v>
      </c>
      <c r="L60" s="127">
        <f t="shared" si="5"/>
        <v>2.1606000000000023</v>
      </c>
      <c r="M60" s="145" t="s">
        <v>77</v>
      </c>
    </row>
    <row r="61" spans="1:13" x14ac:dyDescent="0.2">
      <c r="A61" s="126" t="s">
        <v>102</v>
      </c>
      <c r="B61" s="126" t="s">
        <v>87</v>
      </c>
      <c r="C61" s="158">
        <v>46224</v>
      </c>
      <c r="D61" s="158">
        <v>46225</v>
      </c>
      <c r="E61" s="126" t="s">
        <v>76</v>
      </c>
      <c r="F61" s="128">
        <f>'RC Movement'!S40</f>
        <v>18925</v>
      </c>
      <c r="G61" s="128">
        <v>18925</v>
      </c>
      <c r="H61" s="128">
        <v>0</v>
      </c>
      <c r="I61" s="130">
        <f t="shared" si="4"/>
        <v>0</v>
      </c>
      <c r="J61" s="127">
        <v>36</v>
      </c>
      <c r="K61" s="127">
        <v>36</v>
      </c>
      <c r="L61" s="127">
        <f t="shared" si="5"/>
        <v>0</v>
      </c>
      <c r="M61" s="145" t="s">
        <v>77</v>
      </c>
    </row>
    <row r="62" spans="1:13" x14ac:dyDescent="0.2">
      <c r="A62" s="126" t="s">
        <v>103</v>
      </c>
      <c r="B62" s="126" t="s">
        <v>104</v>
      </c>
      <c r="C62" s="158">
        <v>46225</v>
      </c>
      <c r="D62" s="158">
        <v>46231</v>
      </c>
      <c r="E62" s="126" t="s">
        <v>76</v>
      </c>
      <c r="F62" s="128">
        <f>'RC Movement'!T40</f>
        <v>58504</v>
      </c>
      <c r="G62" s="128">
        <v>61550</v>
      </c>
      <c r="H62" s="128">
        <v>3046</v>
      </c>
      <c r="I62" s="130">
        <f t="shared" si="4"/>
        <v>4.9488220958570271E-2</v>
      </c>
      <c r="J62" s="127">
        <v>48.446599999999997</v>
      </c>
      <c r="K62" s="127">
        <v>50.968899999999998</v>
      </c>
      <c r="L62" s="127">
        <f t="shared" si="5"/>
        <v>2.5223000000000013</v>
      </c>
      <c r="M62" s="145" t="s">
        <v>77</v>
      </c>
    </row>
    <row r="63" spans="1:13" x14ac:dyDescent="0.2">
      <c r="A63" s="126" t="s">
        <v>105</v>
      </c>
      <c r="B63" s="126" t="s">
        <v>106</v>
      </c>
      <c r="C63" s="158">
        <v>46227</v>
      </c>
      <c r="D63" s="158">
        <v>46232</v>
      </c>
      <c r="E63" s="126" t="s">
        <v>76</v>
      </c>
      <c r="F63" s="128">
        <f>'RC Movement'!U40</f>
        <v>63478</v>
      </c>
      <c r="G63" s="128">
        <v>64530</v>
      </c>
      <c r="H63" s="128">
        <v>1052</v>
      </c>
      <c r="I63" s="130">
        <f t="shared" si="4"/>
        <v>1.6302494963582829E-2</v>
      </c>
      <c r="J63" s="127">
        <v>44.5</v>
      </c>
      <c r="K63" s="127">
        <v>45.237499999999997</v>
      </c>
      <c r="L63" s="127">
        <f t="shared" si="5"/>
        <v>0.73749999999999716</v>
      </c>
      <c r="M63" s="145" t="s">
        <v>77</v>
      </c>
    </row>
    <row r="64" spans="1:13" x14ac:dyDescent="0.2">
      <c r="A64" s="126" t="s">
        <v>107</v>
      </c>
      <c r="B64" s="126" t="s">
        <v>108</v>
      </c>
      <c r="C64" s="158">
        <v>46230</v>
      </c>
      <c r="D64" s="158">
        <v>46239</v>
      </c>
      <c r="E64" s="126" t="s">
        <v>76</v>
      </c>
      <c r="F64" s="128">
        <f>'RC Movement'!V40</f>
        <v>14072</v>
      </c>
      <c r="G64" s="128">
        <v>73379</v>
      </c>
      <c r="H64" s="128">
        <v>4366</v>
      </c>
      <c r="I64" s="130">
        <f t="shared" si="4"/>
        <v>5.9499311792202129E-2</v>
      </c>
      <c r="J64" s="127">
        <v>49</v>
      </c>
      <c r="K64" s="127">
        <v>52.099899999999998</v>
      </c>
      <c r="L64" s="127">
        <f t="shared" si="5"/>
        <v>3.0998999999999981</v>
      </c>
      <c r="M64" s="145" t="s">
        <v>77</v>
      </c>
    </row>
    <row r="65" spans="1:13" x14ac:dyDescent="0.2">
      <c r="A65" s="126" t="s">
        <v>109</v>
      </c>
      <c r="B65" s="126" t="s">
        <v>110</v>
      </c>
      <c r="C65" s="158">
        <v>46231</v>
      </c>
      <c r="D65" s="158">
        <v>46241</v>
      </c>
      <c r="E65" s="126" t="s">
        <v>76</v>
      </c>
      <c r="F65" s="128">
        <f>'RC Movement'!W40</f>
        <v>13134</v>
      </c>
      <c r="G65" s="128">
        <v>59220</v>
      </c>
      <c r="H65" s="128">
        <v>507</v>
      </c>
      <c r="I65" s="130">
        <f t="shared" si="4"/>
        <v>8.5612968591691988E-3</v>
      </c>
      <c r="J65" s="127">
        <v>48.750900000000001</v>
      </c>
      <c r="K65" s="127">
        <v>49.171900000000001</v>
      </c>
      <c r="L65" s="127">
        <f t="shared" si="5"/>
        <v>0.42099999999999937</v>
      </c>
      <c r="M65" s="145" t="s">
        <v>77</v>
      </c>
    </row>
    <row r="66" spans="1:13" x14ac:dyDescent="0.2">
      <c r="A66" s="126" t="s">
        <v>111</v>
      </c>
      <c r="B66" s="126" t="s">
        <v>112</v>
      </c>
      <c r="C66" s="158">
        <v>46231</v>
      </c>
      <c r="D66" s="158">
        <v>46240</v>
      </c>
      <c r="E66" s="126" t="s">
        <v>76</v>
      </c>
      <c r="F66" s="128">
        <f>'RC Movement'!X40</f>
        <v>15223</v>
      </c>
      <c r="G66" s="128">
        <v>56234</v>
      </c>
      <c r="H66" s="128">
        <v>2722</v>
      </c>
      <c r="I66" s="130">
        <f t="shared" si="4"/>
        <v>4.8404879610200235E-2</v>
      </c>
      <c r="J66" s="127">
        <v>48.161200000000001</v>
      </c>
      <c r="K66" s="127">
        <v>50.610999999999997</v>
      </c>
      <c r="L66" s="127">
        <f t="shared" si="5"/>
        <v>2.4497999999999962</v>
      </c>
      <c r="M66" s="145" t="s">
        <v>77</v>
      </c>
    </row>
    <row r="67" spans="1:13" x14ac:dyDescent="0.2">
      <c r="A67" s="138" t="s">
        <v>113</v>
      </c>
      <c r="B67" s="146" t="str">
        <f>COUNTIF(E48:E66,"CLOSED")&amp;" closed · "&amp;COUNTIF(E48:E66,"OPEN")&amp;" open · "&amp;COUNTIF(M48:M66,"Y")&amp;" in price set"</f>
        <v>19 closed · 0 open · 19 in price set</v>
      </c>
      <c r="C67" s="146"/>
      <c r="D67" s="146"/>
      <c r="E67" s="146"/>
      <c r="F67" s="115">
        <f>SUM(F48:F66)</f>
        <v>781234</v>
      </c>
      <c r="G67" s="115">
        <f>SUM(G48:G66)</f>
        <v>1054434</v>
      </c>
      <c r="H67" s="115">
        <f>SUM(H48:H66)</f>
        <v>47447</v>
      </c>
      <c r="I67" s="142">
        <f>SUMIF(E48:E66,"CLOSED",H48:H66)/SUMIF(E48:E66,"CLOSED",G48:G66)</f>
        <v>4.49976006084781E-2</v>
      </c>
      <c r="J67" s="140">
        <f>SUMPRODUCT((M48:M66="Y")*F48:F66*J48:J66)/SUMPRODUCT((M48:M66="Y")*F48:F66)</f>
        <v>45.337719752340533</v>
      </c>
      <c r="K67" s="140">
        <f>SUMPRODUCT((M48:M66="Y")*F48:F66*K48:K66)/SUMPRODUCT((M48:M66="Y")*F48:F66)</f>
        <v>47.577997794898842</v>
      </c>
      <c r="L67" s="140">
        <f>SUMPRODUCT((M48:M66="Y")*J48:J66*G48:G66)/SUMPRODUCT((M48:M66="Y")*(G48:G66-H48:H66))-SUMPRODUCT((M48:M66="Y")*J48:J66*G48:G66)/SUMPRODUCT((M48:M66="Y")*G48:G66)</f>
        <v>2.1714893248807314</v>
      </c>
      <c r="M67" s="147"/>
    </row>
  </sheetData>
  <mergeCells count="6">
    <mergeCell ref="B67:E67"/>
    <mergeCell ref="A8:B8"/>
    <mergeCell ref="F8:G8"/>
    <mergeCell ref="H8:I8"/>
    <mergeCell ref="J8:N8"/>
    <mergeCell ref="O8:V8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4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22" ht="18" x14ac:dyDescent="0.2">
      <c r="A1" s="8" t="s">
        <v>114</v>
      </c>
    </row>
    <row r="2" spans="1:22" x14ac:dyDescent="0.2">
      <c r="A2" s="9" t="s">
        <v>115</v>
      </c>
    </row>
    <row r="4" spans="1:22" ht="30" customHeight="1" x14ac:dyDescent="0.2">
      <c r="A4" s="24" t="s">
        <v>22</v>
      </c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5" t="s">
        <v>8</v>
      </c>
      <c r="I4" s="15" t="s">
        <v>9</v>
      </c>
      <c r="J4" s="15" t="s">
        <v>10</v>
      </c>
      <c r="K4" s="13" t="s">
        <v>11</v>
      </c>
      <c r="L4" s="15" t="s">
        <v>12</v>
      </c>
      <c r="M4" s="15" t="s">
        <v>13</v>
      </c>
      <c r="N4" s="16" t="s">
        <v>14</v>
      </c>
    </row>
    <row r="5" spans="1:22" x14ac:dyDescent="0.2">
      <c r="A5" s="17" t="s">
        <v>16</v>
      </c>
      <c r="B5" s="25">
        <f>D39/1000</f>
        <v>697.31299999999999</v>
      </c>
      <c r="C5" s="25">
        <f>E39/1000</f>
        <v>553.37599999999998</v>
      </c>
      <c r="D5" s="26">
        <f>E39/D39</f>
        <v>0.79358336930474549</v>
      </c>
      <c r="E5" s="26">
        <f>1-D5</f>
        <v>0.20641663069525451</v>
      </c>
      <c r="F5" s="27">
        <f>F39</f>
        <v>78954.5</v>
      </c>
      <c r="G5" s="26">
        <f>F39/E39</f>
        <v>0.14267785375585498</v>
      </c>
      <c r="H5" s="28">
        <f>C39</f>
        <v>42.772035340227426</v>
      </c>
      <c r="I5" s="28">
        <f>K64</f>
        <v>43.939215615942921</v>
      </c>
      <c r="J5" s="28">
        <f>L64</f>
        <v>1.0842164851518064</v>
      </c>
      <c r="K5" s="26">
        <f>I64</f>
        <v>2.4606566692195568E-2</v>
      </c>
      <c r="L5" s="28">
        <f>H5/D5</f>
        <v>53.897343360030085</v>
      </c>
      <c r="M5" s="28">
        <f>IF(COUNTIF(M44:M63,"N")=0,I5/D5,"")</f>
        <v>55.368115456398556</v>
      </c>
      <c r="N5" s="19">
        <f>SUMPRODUCT((M44:M63="Y")*F44:F63)</f>
        <v>697313</v>
      </c>
    </row>
    <row r="8" spans="1:22" x14ac:dyDescent="0.2">
      <c r="A8" s="7" t="s">
        <v>23</v>
      </c>
      <c r="B8" s="7"/>
      <c r="C8" s="29" t="s">
        <v>24</v>
      </c>
      <c r="D8" s="30" t="s">
        <v>25</v>
      </c>
      <c r="E8" s="31" t="s">
        <v>26</v>
      </c>
      <c r="F8" s="6" t="s">
        <v>27</v>
      </c>
      <c r="G8" s="6"/>
      <c r="H8" s="7" t="s">
        <v>28</v>
      </c>
      <c r="I8" s="7"/>
      <c r="J8" s="5" t="s">
        <v>29</v>
      </c>
      <c r="K8" s="5"/>
      <c r="L8" s="5"/>
      <c r="M8" s="5"/>
      <c r="N8" s="5"/>
      <c r="O8" s="6" t="s">
        <v>30</v>
      </c>
      <c r="P8" s="6"/>
      <c r="Q8" s="6"/>
      <c r="R8" s="6"/>
      <c r="S8" s="6"/>
      <c r="T8" s="6"/>
      <c r="U8" s="6"/>
      <c r="V8" s="6"/>
    </row>
    <row r="9" spans="1:22" ht="27.75" customHeight="1" x14ac:dyDescent="0.2">
      <c r="A9" s="10" t="s">
        <v>31</v>
      </c>
      <c r="B9" s="10" t="s">
        <v>23</v>
      </c>
      <c r="C9" s="15" t="s">
        <v>32</v>
      </c>
      <c r="D9" s="11" t="s">
        <v>33</v>
      </c>
      <c r="E9" s="12" t="s">
        <v>34</v>
      </c>
      <c r="F9" s="14" t="s">
        <v>35</v>
      </c>
      <c r="G9" s="14" t="s">
        <v>7</v>
      </c>
      <c r="H9" s="10" t="s">
        <v>36</v>
      </c>
      <c r="I9" s="10" t="s">
        <v>37</v>
      </c>
      <c r="J9" s="12" t="s">
        <v>38</v>
      </c>
      <c r="K9" s="12" t="s">
        <v>39</v>
      </c>
      <c r="L9" s="12" t="s">
        <v>40</v>
      </c>
      <c r="M9" s="12" t="s">
        <v>41</v>
      </c>
      <c r="N9" s="12" t="s">
        <v>42</v>
      </c>
      <c r="O9" s="14" t="s">
        <v>43</v>
      </c>
      <c r="P9" s="14" t="s">
        <v>44</v>
      </c>
      <c r="Q9" s="14" t="s">
        <v>45</v>
      </c>
      <c r="R9" s="14" t="s">
        <v>46</v>
      </c>
      <c r="S9" s="14" t="s">
        <v>47</v>
      </c>
      <c r="T9" s="14" t="s">
        <v>48</v>
      </c>
      <c r="U9" s="14" t="s">
        <v>49</v>
      </c>
      <c r="V9" s="14" t="s">
        <v>50</v>
      </c>
    </row>
    <row r="10" spans="1:22" x14ac:dyDescent="0.2">
      <c r="A10" s="32">
        <v>46235</v>
      </c>
      <c r="B10" s="33" t="s">
        <v>55</v>
      </c>
      <c r="C10" s="34">
        <v>48.577399999999997</v>
      </c>
      <c r="D10" s="35">
        <f>'RC Movement'!E49</f>
        <v>30326</v>
      </c>
      <c r="E10" s="36">
        <f t="shared" ref="E10:E38" si="0">SUM(J10:N10)</f>
        <v>11830</v>
      </c>
      <c r="F10" s="37">
        <f t="shared" ref="F10:F38" si="1">SUM(O10:V10)</f>
        <v>993.5</v>
      </c>
      <c r="G10" s="38">
        <f t="shared" ref="G10:G39" si="2">IF(E10&gt;0,F10/E10,"")</f>
        <v>8.3981403212172442E-2</v>
      </c>
      <c r="H10" s="39">
        <v>1</v>
      </c>
      <c r="I10" s="40">
        <v>0</v>
      </c>
      <c r="J10" s="39">
        <v>11830</v>
      </c>
      <c r="K10" s="39"/>
      <c r="L10" s="39"/>
      <c r="M10" s="39"/>
      <c r="N10" s="39"/>
      <c r="O10" s="41">
        <v>50</v>
      </c>
      <c r="P10" s="41">
        <v>0.5</v>
      </c>
      <c r="Q10" s="41">
        <v>520</v>
      </c>
      <c r="R10" s="41">
        <v>0</v>
      </c>
      <c r="S10" s="41">
        <v>90</v>
      </c>
      <c r="T10" s="41">
        <v>94</v>
      </c>
      <c r="U10" s="41">
        <v>210</v>
      </c>
      <c r="V10" s="41">
        <v>29</v>
      </c>
    </row>
    <row r="11" spans="1:22" x14ac:dyDescent="0.2">
      <c r="A11" s="42">
        <v>46236</v>
      </c>
      <c r="B11" s="43" t="s">
        <v>56</v>
      </c>
      <c r="C11" s="44"/>
      <c r="D11" s="45">
        <f>'RC Movement'!E50</f>
        <v>0</v>
      </c>
      <c r="E11" s="46">
        <f t="shared" si="0"/>
        <v>0</v>
      </c>
      <c r="F11" s="47">
        <f t="shared" si="1"/>
        <v>0</v>
      </c>
      <c r="G11" s="48" t="str">
        <f t="shared" si="2"/>
        <v/>
      </c>
      <c r="H11" s="49"/>
      <c r="I11" s="50"/>
      <c r="J11" s="49"/>
      <c r="K11" s="49"/>
      <c r="L11" s="49"/>
      <c r="M11" s="49"/>
      <c r="N11" s="49"/>
      <c r="O11" s="51"/>
      <c r="P11" s="51"/>
      <c r="Q11" s="51"/>
      <c r="R11" s="51"/>
      <c r="S11" s="51"/>
      <c r="T11" s="51"/>
      <c r="U11" s="51"/>
      <c r="V11" s="51"/>
    </row>
    <row r="12" spans="1:22" x14ac:dyDescent="0.2">
      <c r="A12" s="32">
        <v>46237</v>
      </c>
      <c r="B12" s="33" t="s">
        <v>57</v>
      </c>
      <c r="C12" s="34">
        <v>48.7898</v>
      </c>
      <c r="D12" s="35">
        <f>'RC Movement'!E51</f>
        <v>32421</v>
      </c>
      <c r="E12" s="36">
        <f t="shared" si="0"/>
        <v>23608</v>
      </c>
      <c r="F12" s="37">
        <f t="shared" si="1"/>
        <v>3414.5</v>
      </c>
      <c r="G12" s="38">
        <f t="shared" si="2"/>
        <v>0.1446331751948492</v>
      </c>
      <c r="H12" s="39">
        <v>1</v>
      </c>
      <c r="I12" s="40">
        <v>0.28000000000000003</v>
      </c>
      <c r="J12" s="39">
        <v>23608</v>
      </c>
      <c r="K12" s="39"/>
      <c r="L12" s="39"/>
      <c r="M12" s="39"/>
      <c r="N12" s="39"/>
      <c r="O12" s="41">
        <v>50</v>
      </c>
      <c r="P12" s="41">
        <v>0.5</v>
      </c>
      <c r="Q12" s="41">
        <v>1650</v>
      </c>
      <c r="R12" s="41">
        <v>1134</v>
      </c>
      <c r="S12" s="41">
        <v>197</v>
      </c>
      <c r="T12" s="41">
        <v>183</v>
      </c>
      <c r="U12" s="41">
        <v>170</v>
      </c>
      <c r="V12" s="41">
        <v>30</v>
      </c>
    </row>
    <row r="13" spans="1:22" x14ac:dyDescent="0.2">
      <c r="A13" s="32">
        <v>46238</v>
      </c>
      <c r="B13" s="33" t="s">
        <v>51</v>
      </c>
      <c r="C13" s="34">
        <v>48.7881</v>
      </c>
      <c r="D13" s="35">
        <f>'RC Movement'!E52</f>
        <v>32242</v>
      </c>
      <c r="E13" s="36">
        <f t="shared" si="0"/>
        <v>24700</v>
      </c>
      <c r="F13" s="37">
        <f t="shared" si="1"/>
        <v>4185.5</v>
      </c>
      <c r="G13" s="38">
        <f t="shared" si="2"/>
        <v>0.16945344129554657</v>
      </c>
      <c r="H13" s="39">
        <v>1</v>
      </c>
      <c r="I13" s="40">
        <v>0.08</v>
      </c>
      <c r="J13" s="39">
        <v>24700</v>
      </c>
      <c r="K13" s="39"/>
      <c r="L13" s="39"/>
      <c r="M13" s="39"/>
      <c r="N13" s="39"/>
      <c r="O13" s="41">
        <v>75</v>
      </c>
      <c r="P13" s="41">
        <v>0.5</v>
      </c>
      <c r="Q13" s="41">
        <v>1650</v>
      </c>
      <c r="R13" s="41">
        <v>1897</v>
      </c>
      <c r="S13" s="41">
        <v>199</v>
      </c>
      <c r="T13" s="41">
        <v>186</v>
      </c>
      <c r="U13" s="41">
        <v>150</v>
      </c>
      <c r="V13" s="41">
        <v>28</v>
      </c>
    </row>
    <row r="14" spans="1:22" x14ac:dyDescent="0.2">
      <c r="A14" s="32">
        <v>46239</v>
      </c>
      <c r="B14" s="33" t="s">
        <v>52</v>
      </c>
      <c r="C14" s="34">
        <v>46.067500000000003</v>
      </c>
      <c r="D14" s="35">
        <f>'RC Movement'!E53</f>
        <v>37085</v>
      </c>
      <c r="E14" s="36">
        <f t="shared" si="0"/>
        <v>25168</v>
      </c>
      <c r="F14" s="37">
        <f t="shared" si="1"/>
        <v>3414.5</v>
      </c>
      <c r="G14" s="38">
        <f t="shared" si="2"/>
        <v>0.1356683089637635</v>
      </c>
      <c r="H14" s="39">
        <v>1</v>
      </c>
      <c r="I14" s="40">
        <v>0.52</v>
      </c>
      <c r="J14" s="39">
        <v>25168</v>
      </c>
      <c r="K14" s="39"/>
      <c r="L14" s="39"/>
      <c r="M14" s="39"/>
      <c r="N14" s="39"/>
      <c r="O14" s="41">
        <v>50</v>
      </c>
      <c r="P14" s="41">
        <v>0.5</v>
      </c>
      <c r="Q14" s="41">
        <v>1650</v>
      </c>
      <c r="R14" s="41">
        <v>1247</v>
      </c>
      <c r="S14" s="41">
        <v>168</v>
      </c>
      <c r="T14" s="41">
        <v>148</v>
      </c>
      <c r="U14" s="41">
        <v>125</v>
      </c>
      <c r="V14" s="41">
        <v>26</v>
      </c>
    </row>
    <row r="15" spans="1:22" x14ac:dyDescent="0.2">
      <c r="A15" s="32">
        <v>46240</v>
      </c>
      <c r="B15" s="33" t="s">
        <v>53</v>
      </c>
      <c r="C15" s="34">
        <v>40.6858</v>
      </c>
      <c r="D15" s="35">
        <f>'RC Movement'!E54</f>
        <v>38998</v>
      </c>
      <c r="E15" s="36">
        <f t="shared" si="0"/>
        <v>26520</v>
      </c>
      <c r="F15" s="37">
        <f t="shared" si="1"/>
        <v>3361.5</v>
      </c>
      <c r="G15" s="38">
        <f t="shared" si="2"/>
        <v>0.12675339366515836</v>
      </c>
      <c r="H15" s="39">
        <v>1</v>
      </c>
      <c r="I15" s="40">
        <v>0.13</v>
      </c>
      <c r="J15" s="39">
        <v>26520</v>
      </c>
      <c r="K15" s="39"/>
      <c r="L15" s="39"/>
      <c r="M15" s="39"/>
      <c r="N15" s="39"/>
      <c r="O15" s="41">
        <v>100</v>
      </c>
      <c r="P15" s="41">
        <v>0.5</v>
      </c>
      <c r="Q15" s="41">
        <v>1650</v>
      </c>
      <c r="R15" s="41">
        <v>1214</v>
      </c>
      <c r="S15" s="41">
        <v>157</v>
      </c>
      <c r="T15" s="41">
        <v>135</v>
      </c>
      <c r="U15" s="41">
        <v>75</v>
      </c>
      <c r="V15" s="41">
        <v>30</v>
      </c>
    </row>
    <row r="16" spans="1:22" x14ac:dyDescent="0.2">
      <c r="A16" s="32">
        <v>46241</v>
      </c>
      <c r="B16" s="33" t="s">
        <v>54</v>
      </c>
      <c r="C16" s="34">
        <v>39.093000000000004</v>
      </c>
      <c r="D16" s="35">
        <f>'RC Movement'!E55</f>
        <v>26525</v>
      </c>
      <c r="E16" s="36">
        <f t="shared" si="0"/>
        <v>22620</v>
      </c>
      <c r="F16" s="37">
        <f t="shared" si="1"/>
        <v>2691.5</v>
      </c>
      <c r="G16" s="38">
        <f t="shared" si="2"/>
        <v>0.11898762157382847</v>
      </c>
      <c r="H16" s="39">
        <v>1</v>
      </c>
      <c r="I16" s="40">
        <v>2.2000000000000002</v>
      </c>
      <c r="J16" s="39">
        <v>22620</v>
      </c>
      <c r="K16" s="39"/>
      <c r="L16" s="39"/>
      <c r="M16" s="39"/>
      <c r="N16" s="39"/>
      <c r="O16" s="41">
        <v>50</v>
      </c>
      <c r="P16" s="41">
        <v>0.5</v>
      </c>
      <c r="Q16" s="41">
        <v>1100</v>
      </c>
      <c r="R16" s="41">
        <v>1206</v>
      </c>
      <c r="S16" s="41">
        <v>129</v>
      </c>
      <c r="T16" s="41">
        <v>77</v>
      </c>
      <c r="U16" s="41">
        <v>100</v>
      </c>
      <c r="V16" s="41">
        <v>29</v>
      </c>
    </row>
    <row r="17" spans="1:22" x14ac:dyDescent="0.2">
      <c r="A17" s="32">
        <v>46242</v>
      </c>
      <c r="B17" s="33" t="s">
        <v>55</v>
      </c>
      <c r="C17" s="34">
        <v>38.839799999999997</v>
      </c>
      <c r="D17" s="35">
        <f>'RC Movement'!E56</f>
        <v>36105</v>
      </c>
      <c r="E17" s="36">
        <f t="shared" si="0"/>
        <v>28600</v>
      </c>
      <c r="F17" s="37">
        <f t="shared" si="1"/>
        <v>3409.5</v>
      </c>
      <c r="G17" s="38">
        <f t="shared" si="2"/>
        <v>0.11921328671328671</v>
      </c>
      <c r="H17" s="39">
        <v>1</v>
      </c>
      <c r="I17" s="40">
        <v>0.08</v>
      </c>
      <c r="J17" s="39">
        <v>28600</v>
      </c>
      <c r="K17" s="39"/>
      <c r="L17" s="39"/>
      <c r="M17" s="39"/>
      <c r="N17" s="39"/>
      <c r="O17" s="41">
        <v>75</v>
      </c>
      <c r="P17" s="41">
        <v>0.5</v>
      </c>
      <c r="Q17" s="41">
        <v>1650</v>
      </c>
      <c r="R17" s="41">
        <v>1300</v>
      </c>
      <c r="S17" s="41">
        <v>214</v>
      </c>
      <c r="T17" s="41">
        <v>92</v>
      </c>
      <c r="U17" s="41">
        <v>50</v>
      </c>
      <c r="V17" s="41">
        <v>28</v>
      </c>
    </row>
    <row r="18" spans="1:22" x14ac:dyDescent="0.2">
      <c r="A18" s="42">
        <v>46243</v>
      </c>
      <c r="B18" s="43" t="s">
        <v>56</v>
      </c>
      <c r="C18" s="44"/>
      <c r="D18" s="45">
        <f>'RC Movement'!E57</f>
        <v>0</v>
      </c>
      <c r="E18" s="46">
        <f t="shared" si="0"/>
        <v>0</v>
      </c>
      <c r="F18" s="47">
        <f t="shared" si="1"/>
        <v>0</v>
      </c>
      <c r="G18" s="48" t="str">
        <f t="shared" si="2"/>
        <v/>
      </c>
      <c r="H18" s="49"/>
      <c r="I18" s="50"/>
      <c r="J18" s="49"/>
      <c r="K18" s="49"/>
      <c r="L18" s="49"/>
      <c r="M18" s="49"/>
      <c r="N18" s="49"/>
      <c r="O18" s="51"/>
      <c r="P18" s="51"/>
      <c r="Q18" s="51"/>
      <c r="R18" s="51"/>
      <c r="S18" s="51"/>
      <c r="T18" s="51"/>
      <c r="U18" s="51"/>
      <c r="V18" s="51"/>
    </row>
    <row r="19" spans="1:22" x14ac:dyDescent="0.2">
      <c r="A19" s="32">
        <v>46244</v>
      </c>
      <c r="B19" s="33" t="s">
        <v>57</v>
      </c>
      <c r="C19" s="34">
        <v>39.272500000000001</v>
      </c>
      <c r="D19" s="35">
        <f>'RC Movement'!E58</f>
        <v>28492</v>
      </c>
      <c r="E19" s="36">
        <f t="shared" si="0"/>
        <v>27040</v>
      </c>
      <c r="F19" s="37">
        <f t="shared" si="1"/>
        <v>2941.5</v>
      </c>
      <c r="G19" s="38">
        <f t="shared" si="2"/>
        <v>0.10878328402366864</v>
      </c>
      <c r="H19" s="39">
        <v>1</v>
      </c>
      <c r="I19" s="40">
        <v>3</v>
      </c>
      <c r="J19" s="39">
        <v>27040</v>
      </c>
      <c r="K19" s="39"/>
      <c r="L19" s="39"/>
      <c r="M19" s="39"/>
      <c r="N19" s="39"/>
      <c r="O19" s="41">
        <v>25</v>
      </c>
      <c r="P19" s="41">
        <v>0.5</v>
      </c>
      <c r="Q19" s="41">
        <v>1650</v>
      </c>
      <c r="R19" s="41">
        <v>961</v>
      </c>
      <c r="S19" s="41">
        <v>162</v>
      </c>
      <c r="T19" s="41">
        <v>63</v>
      </c>
      <c r="U19" s="41">
        <v>50</v>
      </c>
      <c r="V19" s="41">
        <v>30</v>
      </c>
    </row>
    <row r="20" spans="1:22" x14ac:dyDescent="0.2">
      <c r="A20" s="32">
        <v>46245</v>
      </c>
      <c r="B20" s="33" t="s">
        <v>51</v>
      </c>
      <c r="C20" s="34">
        <v>39.614199999999997</v>
      </c>
      <c r="D20" s="35">
        <f>'RC Movement'!E59</f>
        <v>35359</v>
      </c>
      <c r="E20" s="36">
        <f t="shared" si="0"/>
        <v>26390</v>
      </c>
      <c r="F20" s="37">
        <f t="shared" si="1"/>
        <v>2659.5</v>
      </c>
      <c r="G20" s="38">
        <f t="shared" si="2"/>
        <v>0.10077680939749906</v>
      </c>
      <c r="H20" s="39">
        <v>1</v>
      </c>
      <c r="I20" s="40">
        <v>0</v>
      </c>
      <c r="J20" s="39">
        <v>26390</v>
      </c>
      <c r="K20" s="39"/>
      <c r="L20" s="39"/>
      <c r="M20" s="39"/>
      <c r="N20" s="39"/>
      <c r="O20" s="41">
        <v>75</v>
      </c>
      <c r="P20" s="41">
        <v>0.5</v>
      </c>
      <c r="Q20" s="41">
        <v>1100</v>
      </c>
      <c r="R20" s="41">
        <v>1100</v>
      </c>
      <c r="S20" s="41">
        <v>194</v>
      </c>
      <c r="T20" s="41">
        <v>87</v>
      </c>
      <c r="U20" s="41">
        <v>75</v>
      </c>
      <c r="V20" s="41">
        <v>28</v>
      </c>
    </row>
    <row r="21" spans="1:22" x14ac:dyDescent="0.2">
      <c r="A21" s="32">
        <v>46246</v>
      </c>
      <c r="B21" s="33" t="s">
        <v>52</v>
      </c>
      <c r="C21" s="34">
        <v>44.717799999999997</v>
      </c>
      <c r="D21" s="35">
        <f>'RC Movement'!E60</f>
        <v>32228</v>
      </c>
      <c r="E21" s="36">
        <f t="shared" si="0"/>
        <v>25012</v>
      </c>
      <c r="F21" s="37">
        <f t="shared" si="1"/>
        <v>3549.5</v>
      </c>
      <c r="G21" s="38">
        <f t="shared" si="2"/>
        <v>0.14191188229649768</v>
      </c>
      <c r="H21" s="39">
        <v>1</v>
      </c>
      <c r="I21" s="40">
        <v>0.47</v>
      </c>
      <c r="J21" s="39">
        <v>25012</v>
      </c>
      <c r="K21" s="39"/>
      <c r="L21" s="39"/>
      <c r="M21" s="39"/>
      <c r="N21" s="39"/>
      <c r="O21" s="41">
        <v>50</v>
      </c>
      <c r="P21" s="41">
        <v>0.5</v>
      </c>
      <c r="Q21" s="41">
        <v>1650</v>
      </c>
      <c r="R21" s="41">
        <v>1243</v>
      </c>
      <c r="S21" s="41">
        <v>459</v>
      </c>
      <c r="T21" s="41">
        <v>68</v>
      </c>
      <c r="U21" s="41">
        <v>50</v>
      </c>
      <c r="V21" s="41">
        <v>29</v>
      </c>
    </row>
    <row r="22" spans="1:22" x14ac:dyDescent="0.2">
      <c r="A22" s="32">
        <v>46247</v>
      </c>
      <c r="B22" s="33" t="s">
        <v>53</v>
      </c>
      <c r="C22" s="34">
        <v>46.276400000000002</v>
      </c>
      <c r="D22" s="35">
        <f>'RC Movement'!E61</f>
        <v>20068</v>
      </c>
      <c r="E22" s="36">
        <f t="shared" si="0"/>
        <v>23400</v>
      </c>
      <c r="F22" s="37">
        <f t="shared" si="1"/>
        <v>3468.5</v>
      </c>
      <c r="G22" s="38">
        <f t="shared" si="2"/>
        <v>0.14822649572649574</v>
      </c>
      <c r="H22" s="39">
        <v>1</v>
      </c>
      <c r="I22" s="40">
        <v>0.17</v>
      </c>
      <c r="J22" s="39">
        <v>23400</v>
      </c>
      <c r="K22" s="39"/>
      <c r="L22" s="39"/>
      <c r="M22" s="39"/>
      <c r="N22" s="39"/>
      <c r="O22" s="41">
        <v>100</v>
      </c>
      <c r="P22" s="41">
        <v>0.5</v>
      </c>
      <c r="Q22" s="41">
        <v>1650</v>
      </c>
      <c r="R22" s="41">
        <v>1194</v>
      </c>
      <c r="S22" s="41">
        <v>331</v>
      </c>
      <c r="T22" s="41">
        <v>88</v>
      </c>
      <c r="U22" s="41">
        <v>75</v>
      </c>
      <c r="V22" s="41">
        <v>30</v>
      </c>
    </row>
    <row r="23" spans="1:22" x14ac:dyDescent="0.2">
      <c r="A23" s="32">
        <v>46248</v>
      </c>
      <c r="B23" s="33" t="s">
        <v>54</v>
      </c>
      <c r="C23" s="34">
        <v>46.581800000000001</v>
      </c>
      <c r="D23" s="35">
        <f>'RC Movement'!E62</f>
        <v>17565</v>
      </c>
      <c r="E23" s="36">
        <f t="shared" si="0"/>
        <v>23530</v>
      </c>
      <c r="F23" s="37">
        <f t="shared" si="1"/>
        <v>4779.5</v>
      </c>
      <c r="G23" s="38">
        <f t="shared" si="2"/>
        <v>0.2031236719082023</v>
      </c>
      <c r="H23" s="39">
        <v>1</v>
      </c>
      <c r="I23" s="40">
        <v>0.13</v>
      </c>
      <c r="J23" s="39">
        <v>23530</v>
      </c>
      <c r="K23" s="39"/>
      <c r="L23" s="39"/>
      <c r="M23" s="39"/>
      <c r="N23" s="39"/>
      <c r="O23" s="41">
        <v>75</v>
      </c>
      <c r="P23" s="41">
        <v>0.5</v>
      </c>
      <c r="Q23" s="41">
        <v>2200</v>
      </c>
      <c r="R23" s="41">
        <v>1854</v>
      </c>
      <c r="S23" s="41">
        <v>374</v>
      </c>
      <c r="T23" s="41">
        <v>123</v>
      </c>
      <c r="U23" s="41">
        <v>125</v>
      </c>
      <c r="V23" s="41">
        <v>28</v>
      </c>
    </row>
    <row r="24" spans="1:22" x14ac:dyDescent="0.2">
      <c r="A24" s="42">
        <v>46249</v>
      </c>
      <c r="B24" s="43" t="s">
        <v>55</v>
      </c>
      <c r="C24" s="44"/>
      <c r="D24" s="45">
        <f>'RC Movement'!E63</f>
        <v>0</v>
      </c>
      <c r="E24" s="46">
        <f t="shared" si="0"/>
        <v>0</v>
      </c>
      <c r="F24" s="47">
        <f t="shared" si="1"/>
        <v>0</v>
      </c>
      <c r="G24" s="48" t="str">
        <f t="shared" si="2"/>
        <v/>
      </c>
      <c r="H24" s="49"/>
      <c r="I24" s="50"/>
      <c r="J24" s="49"/>
      <c r="K24" s="49"/>
      <c r="L24" s="49"/>
      <c r="M24" s="49"/>
      <c r="N24" s="49"/>
      <c r="O24" s="51"/>
      <c r="P24" s="51"/>
      <c r="Q24" s="51"/>
      <c r="R24" s="51"/>
      <c r="S24" s="51"/>
      <c r="T24" s="51"/>
      <c r="U24" s="51"/>
      <c r="V24" s="51"/>
    </row>
    <row r="25" spans="1:22" x14ac:dyDescent="0.2">
      <c r="A25" s="42">
        <v>46250</v>
      </c>
      <c r="B25" s="43" t="s">
        <v>56</v>
      </c>
      <c r="C25" s="44"/>
      <c r="D25" s="45">
        <f>'RC Movement'!E64</f>
        <v>0</v>
      </c>
      <c r="E25" s="46">
        <f t="shared" si="0"/>
        <v>0</v>
      </c>
      <c r="F25" s="47">
        <f t="shared" si="1"/>
        <v>0</v>
      </c>
      <c r="G25" s="48" t="str">
        <f t="shared" si="2"/>
        <v/>
      </c>
      <c r="H25" s="49"/>
      <c r="I25" s="50"/>
      <c r="J25" s="49"/>
      <c r="K25" s="49"/>
      <c r="L25" s="49"/>
      <c r="M25" s="49"/>
      <c r="N25" s="49"/>
      <c r="O25" s="51"/>
      <c r="P25" s="51"/>
      <c r="Q25" s="51"/>
      <c r="R25" s="51"/>
      <c r="S25" s="51"/>
      <c r="T25" s="51"/>
      <c r="U25" s="51"/>
      <c r="V25" s="51"/>
    </row>
    <row r="26" spans="1:22" x14ac:dyDescent="0.2">
      <c r="A26" s="32">
        <v>46251</v>
      </c>
      <c r="B26" s="33" t="s">
        <v>57</v>
      </c>
      <c r="C26" s="34">
        <v>44.247799999999998</v>
      </c>
      <c r="D26" s="35">
        <f>'RC Movement'!E65</f>
        <v>34120</v>
      </c>
      <c r="E26" s="36">
        <f t="shared" si="0"/>
        <v>22932</v>
      </c>
      <c r="F26" s="37">
        <f t="shared" si="1"/>
        <v>3364.5</v>
      </c>
      <c r="G26" s="38">
        <f t="shared" si="2"/>
        <v>0.146716378859236</v>
      </c>
      <c r="H26" s="39">
        <v>1</v>
      </c>
      <c r="I26" s="40">
        <v>0.32</v>
      </c>
      <c r="J26" s="39">
        <v>22932</v>
      </c>
      <c r="K26" s="39"/>
      <c r="L26" s="39"/>
      <c r="M26" s="39"/>
      <c r="N26" s="39"/>
      <c r="O26" s="41">
        <v>55</v>
      </c>
      <c r="P26" s="41">
        <v>0.5</v>
      </c>
      <c r="Q26" s="41">
        <v>1650</v>
      </c>
      <c r="R26" s="41">
        <v>1089</v>
      </c>
      <c r="S26" s="41">
        <v>272</v>
      </c>
      <c r="T26" s="41">
        <v>93</v>
      </c>
      <c r="U26" s="41">
        <v>175</v>
      </c>
      <c r="V26" s="41">
        <v>30</v>
      </c>
    </row>
    <row r="27" spans="1:22" x14ac:dyDescent="0.2">
      <c r="A27" s="32">
        <v>46252</v>
      </c>
      <c r="B27" s="33" t="s">
        <v>51</v>
      </c>
      <c r="C27" s="34">
        <v>39.8626</v>
      </c>
      <c r="D27" s="35">
        <f>'RC Movement'!E66</f>
        <v>33549</v>
      </c>
      <c r="E27" s="36">
        <f t="shared" si="0"/>
        <v>24388</v>
      </c>
      <c r="F27" s="37">
        <f t="shared" si="1"/>
        <v>4000.5</v>
      </c>
      <c r="G27" s="38">
        <f t="shared" si="2"/>
        <v>0.16403559127439724</v>
      </c>
      <c r="H27" s="39">
        <v>1</v>
      </c>
      <c r="I27" s="40">
        <v>1.1200000000000001</v>
      </c>
      <c r="J27" s="39">
        <v>24388</v>
      </c>
      <c r="K27" s="39"/>
      <c r="L27" s="39"/>
      <c r="M27" s="39"/>
      <c r="N27" s="39"/>
      <c r="O27" s="41">
        <v>75</v>
      </c>
      <c r="P27" s="41">
        <v>0.5</v>
      </c>
      <c r="Q27" s="41">
        <v>1650</v>
      </c>
      <c r="R27" s="41">
        <v>1838</v>
      </c>
      <c r="S27" s="41">
        <v>175</v>
      </c>
      <c r="T27" s="41">
        <v>134</v>
      </c>
      <c r="U27" s="41">
        <v>100</v>
      </c>
      <c r="V27" s="41">
        <v>28</v>
      </c>
    </row>
    <row r="28" spans="1:22" x14ac:dyDescent="0.2">
      <c r="A28" s="32">
        <v>46253</v>
      </c>
      <c r="B28" s="33" t="s">
        <v>52</v>
      </c>
      <c r="C28" s="34">
        <v>42.656599999999997</v>
      </c>
      <c r="D28" s="35">
        <f>'RC Movement'!E67</f>
        <v>33960</v>
      </c>
      <c r="E28" s="36">
        <f t="shared" si="0"/>
        <v>26234</v>
      </c>
      <c r="F28" s="37">
        <f t="shared" si="1"/>
        <v>4085.5</v>
      </c>
      <c r="G28" s="38">
        <f t="shared" si="2"/>
        <v>0.15573301822062971</v>
      </c>
      <c r="H28" s="39">
        <v>1</v>
      </c>
      <c r="I28" s="40">
        <v>0.97</v>
      </c>
      <c r="J28" s="39">
        <v>26234</v>
      </c>
      <c r="K28" s="39"/>
      <c r="L28" s="39"/>
      <c r="M28" s="39"/>
      <c r="N28" s="39"/>
      <c r="O28" s="41">
        <v>50</v>
      </c>
      <c r="P28" s="41">
        <v>0.5</v>
      </c>
      <c r="Q28" s="41">
        <v>1650</v>
      </c>
      <c r="R28" s="41">
        <v>1889</v>
      </c>
      <c r="S28" s="41">
        <v>214</v>
      </c>
      <c r="T28" s="41">
        <v>178</v>
      </c>
      <c r="U28" s="41">
        <v>75</v>
      </c>
      <c r="V28" s="41">
        <v>29</v>
      </c>
    </row>
    <row r="29" spans="1:22" x14ac:dyDescent="0.2">
      <c r="A29" s="32">
        <v>46254</v>
      </c>
      <c r="B29" s="33" t="s">
        <v>53</v>
      </c>
      <c r="C29" s="34">
        <v>42.362900000000003</v>
      </c>
      <c r="D29" s="35">
        <f>'RC Movement'!E68</f>
        <v>38270</v>
      </c>
      <c r="E29" s="36">
        <f t="shared" si="0"/>
        <v>28340</v>
      </c>
      <c r="F29" s="37">
        <f t="shared" si="1"/>
        <v>3252.5</v>
      </c>
      <c r="G29" s="38">
        <f t="shared" si="2"/>
        <v>0.11476711362032463</v>
      </c>
      <c r="H29" s="39">
        <v>1</v>
      </c>
      <c r="I29" s="40">
        <v>0.3</v>
      </c>
      <c r="J29" s="39">
        <v>28340</v>
      </c>
      <c r="K29" s="39"/>
      <c r="L29" s="39"/>
      <c r="M29" s="39"/>
      <c r="N29" s="39"/>
      <c r="O29" s="41">
        <v>75</v>
      </c>
      <c r="P29" s="41">
        <v>0.5</v>
      </c>
      <c r="Q29" s="41">
        <v>1650</v>
      </c>
      <c r="R29" s="41">
        <v>1050</v>
      </c>
      <c r="S29" s="41">
        <v>235</v>
      </c>
      <c r="T29" s="41">
        <v>137</v>
      </c>
      <c r="U29" s="41">
        <v>75</v>
      </c>
      <c r="V29" s="41">
        <v>30</v>
      </c>
    </row>
    <row r="30" spans="1:22" x14ac:dyDescent="0.2">
      <c r="A30" s="32">
        <v>46255</v>
      </c>
      <c r="B30" s="33" t="s">
        <v>54</v>
      </c>
      <c r="C30" s="34">
        <v>42.184800000000003</v>
      </c>
      <c r="D30" s="35">
        <f>'RC Movement'!E69</f>
        <v>32261</v>
      </c>
      <c r="E30" s="36">
        <f t="shared" si="0"/>
        <v>25480</v>
      </c>
      <c r="F30" s="37">
        <f t="shared" si="1"/>
        <v>3961.5</v>
      </c>
      <c r="G30" s="38">
        <f t="shared" si="2"/>
        <v>0.15547488226059655</v>
      </c>
      <c r="H30" s="39">
        <v>1</v>
      </c>
      <c r="I30" s="40">
        <v>1.1000000000000001</v>
      </c>
      <c r="J30" s="39">
        <v>25480</v>
      </c>
      <c r="K30" s="39"/>
      <c r="L30" s="39"/>
      <c r="M30" s="39"/>
      <c r="N30" s="39"/>
      <c r="O30" s="41">
        <v>100</v>
      </c>
      <c r="P30" s="41">
        <v>0.5</v>
      </c>
      <c r="Q30" s="41">
        <v>1650</v>
      </c>
      <c r="R30" s="41">
        <v>1829</v>
      </c>
      <c r="S30" s="41">
        <v>172</v>
      </c>
      <c r="T30" s="41">
        <v>132</v>
      </c>
      <c r="U30" s="41">
        <v>50</v>
      </c>
      <c r="V30" s="41">
        <v>28</v>
      </c>
    </row>
    <row r="31" spans="1:22" x14ac:dyDescent="0.2">
      <c r="A31" s="42">
        <v>46256</v>
      </c>
      <c r="B31" s="43" t="s">
        <v>55</v>
      </c>
      <c r="C31" s="44"/>
      <c r="D31" s="45">
        <f>'RC Movement'!E70</f>
        <v>0</v>
      </c>
      <c r="E31" s="46">
        <f t="shared" si="0"/>
        <v>0</v>
      </c>
      <c r="F31" s="47">
        <f t="shared" si="1"/>
        <v>0</v>
      </c>
      <c r="G31" s="48" t="str">
        <f t="shared" si="2"/>
        <v/>
      </c>
      <c r="H31" s="49"/>
      <c r="I31" s="50"/>
      <c r="J31" s="49"/>
      <c r="K31" s="49"/>
      <c r="L31" s="49"/>
      <c r="M31" s="49"/>
      <c r="N31" s="49"/>
      <c r="O31" s="51"/>
      <c r="P31" s="51"/>
      <c r="Q31" s="51"/>
      <c r="R31" s="51"/>
      <c r="S31" s="51"/>
      <c r="T31" s="51"/>
      <c r="U31" s="51"/>
      <c r="V31" s="51"/>
    </row>
    <row r="32" spans="1:22" x14ac:dyDescent="0.2">
      <c r="A32" s="42">
        <v>46257</v>
      </c>
      <c r="B32" s="43" t="s">
        <v>56</v>
      </c>
      <c r="C32" s="44"/>
      <c r="D32" s="45">
        <f>'RC Movement'!E71</f>
        <v>0</v>
      </c>
      <c r="E32" s="46">
        <f t="shared" si="0"/>
        <v>0</v>
      </c>
      <c r="F32" s="47">
        <f t="shared" si="1"/>
        <v>0</v>
      </c>
      <c r="G32" s="48" t="str">
        <f t="shared" si="2"/>
        <v/>
      </c>
      <c r="H32" s="49"/>
      <c r="I32" s="50"/>
      <c r="J32" s="49"/>
      <c r="K32" s="49"/>
      <c r="L32" s="49"/>
      <c r="M32" s="49"/>
      <c r="N32" s="49"/>
      <c r="O32" s="51"/>
      <c r="P32" s="51"/>
      <c r="Q32" s="51"/>
      <c r="R32" s="51"/>
      <c r="S32" s="51"/>
      <c r="T32" s="51"/>
      <c r="U32" s="51"/>
      <c r="V32" s="51"/>
    </row>
    <row r="33" spans="1:22" x14ac:dyDescent="0.2">
      <c r="A33" s="32">
        <v>46258</v>
      </c>
      <c r="B33" s="33" t="s">
        <v>57</v>
      </c>
      <c r="C33" s="34">
        <v>42.787100000000002</v>
      </c>
      <c r="D33" s="35">
        <f>'RC Movement'!E72</f>
        <v>43603</v>
      </c>
      <c r="E33" s="36">
        <f t="shared" si="0"/>
        <v>24644</v>
      </c>
      <c r="F33" s="37">
        <f t="shared" si="1"/>
        <v>4711.5</v>
      </c>
      <c r="G33" s="38">
        <f t="shared" si="2"/>
        <v>0.19118243791592274</v>
      </c>
      <c r="H33" s="39">
        <v>1</v>
      </c>
      <c r="I33" s="40">
        <v>0.85</v>
      </c>
      <c r="J33" s="39">
        <v>16094</v>
      </c>
      <c r="K33" s="39">
        <v>8550</v>
      </c>
      <c r="L33" s="39"/>
      <c r="M33" s="39"/>
      <c r="N33" s="39"/>
      <c r="O33" s="41">
        <v>75</v>
      </c>
      <c r="P33" s="41">
        <v>0.5</v>
      </c>
      <c r="Q33" s="41">
        <v>1650</v>
      </c>
      <c r="R33" s="41">
        <v>2043</v>
      </c>
      <c r="S33" s="41">
        <v>648</v>
      </c>
      <c r="T33" s="41">
        <v>191</v>
      </c>
      <c r="U33" s="41">
        <v>75</v>
      </c>
      <c r="V33" s="41">
        <v>29</v>
      </c>
    </row>
    <row r="34" spans="1:22" x14ac:dyDescent="0.2">
      <c r="A34" s="32">
        <v>46259</v>
      </c>
      <c r="B34" s="33" t="s">
        <v>51</v>
      </c>
      <c r="C34" s="34">
        <v>39.061599999999999</v>
      </c>
      <c r="D34" s="35">
        <f>'RC Movement'!E73</f>
        <v>33665</v>
      </c>
      <c r="E34" s="36">
        <f t="shared" si="0"/>
        <v>27420</v>
      </c>
      <c r="F34" s="37">
        <f t="shared" si="1"/>
        <v>3816.5</v>
      </c>
      <c r="G34" s="38">
        <f t="shared" si="2"/>
        <v>0.13918672501823487</v>
      </c>
      <c r="H34" s="39">
        <v>1</v>
      </c>
      <c r="I34" s="40">
        <v>0.56999999999999995</v>
      </c>
      <c r="J34" s="39">
        <v>17160</v>
      </c>
      <c r="K34" s="39">
        <v>10260</v>
      </c>
      <c r="L34" s="39"/>
      <c r="M34" s="39"/>
      <c r="N34" s="39"/>
      <c r="O34" s="41">
        <v>100</v>
      </c>
      <c r="P34" s="41">
        <v>0.5</v>
      </c>
      <c r="Q34" s="41">
        <v>1650</v>
      </c>
      <c r="R34" s="41">
        <v>1176</v>
      </c>
      <c r="S34" s="41">
        <v>569</v>
      </c>
      <c r="T34" s="41">
        <v>194</v>
      </c>
      <c r="U34" s="41">
        <v>100</v>
      </c>
      <c r="V34" s="41">
        <v>27</v>
      </c>
    </row>
    <row r="35" spans="1:22" x14ac:dyDescent="0.2">
      <c r="A35" s="32">
        <v>46260</v>
      </c>
      <c r="B35" s="33" t="s">
        <v>52</v>
      </c>
      <c r="C35" s="34">
        <v>40.900100000000002</v>
      </c>
      <c r="D35" s="35">
        <f>'RC Movement'!E74</f>
        <v>35094</v>
      </c>
      <c r="E35" s="36">
        <f t="shared" si="0"/>
        <v>25262</v>
      </c>
      <c r="F35" s="37">
        <f t="shared" si="1"/>
        <v>4170.5</v>
      </c>
      <c r="G35" s="38">
        <f t="shared" si="2"/>
        <v>0.16508985828517139</v>
      </c>
      <c r="H35" s="39">
        <v>1</v>
      </c>
      <c r="I35" s="40">
        <v>0.65</v>
      </c>
      <c r="J35" s="39">
        <v>15002</v>
      </c>
      <c r="K35" s="39">
        <v>10260</v>
      </c>
      <c r="L35" s="39"/>
      <c r="M35" s="39"/>
      <c r="N35" s="39"/>
      <c r="O35" s="41">
        <v>75</v>
      </c>
      <c r="P35" s="41">
        <v>0.5</v>
      </c>
      <c r="Q35" s="41">
        <v>1650</v>
      </c>
      <c r="R35" s="41">
        <v>1612</v>
      </c>
      <c r="S35" s="41">
        <v>510</v>
      </c>
      <c r="T35" s="41">
        <v>168</v>
      </c>
      <c r="U35" s="41">
        <v>125</v>
      </c>
      <c r="V35" s="41">
        <v>30</v>
      </c>
    </row>
    <row r="36" spans="1:22" x14ac:dyDescent="0.2">
      <c r="A36" s="32">
        <v>46261</v>
      </c>
      <c r="B36" s="33" t="s">
        <v>53</v>
      </c>
      <c r="C36" s="34">
        <v>40.811799999999998</v>
      </c>
      <c r="D36" s="35">
        <f>'RC Movement'!E75</f>
        <v>28213</v>
      </c>
      <c r="E36" s="36">
        <f t="shared" si="0"/>
        <v>26820</v>
      </c>
      <c r="F36" s="37">
        <f t="shared" si="1"/>
        <v>3387.5</v>
      </c>
      <c r="G36" s="38">
        <f t="shared" si="2"/>
        <v>0.12630499627143923</v>
      </c>
      <c r="H36" s="39">
        <v>1</v>
      </c>
      <c r="I36" s="40">
        <v>0.23</v>
      </c>
      <c r="J36" s="39">
        <v>15990</v>
      </c>
      <c r="K36" s="39">
        <v>10830</v>
      </c>
      <c r="L36" s="39"/>
      <c r="M36" s="39"/>
      <c r="N36" s="39"/>
      <c r="O36" s="41">
        <v>120</v>
      </c>
      <c r="P36" s="41">
        <v>0.5</v>
      </c>
      <c r="Q36" s="41">
        <v>1650</v>
      </c>
      <c r="R36" s="41">
        <v>1075</v>
      </c>
      <c r="S36" s="41">
        <v>263</v>
      </c>
      <c r="T36" s="41">
        <v>141</v>
      </c>
      <c r="U36" s="41">
        <v>110</v>
      </c>
      <c r="V36" s="41">
        <v>28</v>
      </c>
    </row>
    <row r="37" spans="1:22" x14ac:dyDescent="0.2">
      <c r="A37" s="32">
        <v>46262</v>
      </c>
      <c r="B37" s="33" t="s">
        <v>54</v>
      </c>
      <c r="C37" s="34">
        <v>41.375300000000003</v>
      </c>
      <c r="D37" s="35">
        <f>'RC Movement'!E76</f>
        <v>17164</v>
      </c>
      <c r="E37" s="36">
        <f t="shared" si="0"/>
        <v>25390</v>
      </c>
      <c r="F37" s="37">
        <f t="shared" si="1"/>
        <v>3825.5</v>
      </c>
      <c r="G37" s="38">
        <f t="shared" si="2"/>
        <v>0.15066955494289092</v>
      </c>
      <c r="H37" s="39">
        <v>1</v>
      </c>
      <c r="I37" s="40">
        <v>0.25</v>
      </c>
      <c r="J37" s="39">
        <v>14560</v>
      </c>
      <c r="K37" s="39">
        <v>10830</v>
      </c>
      <c r="L37" s="39"/>
      <c r="M37" s="39"/>
      <c r="N37" s="39"/>
      <c r="O37" s="41">
        <v>125</v>
      </c>
      <c r="P37" s="41">
        <v>0.5</v>
      </c>
      <c r="Q37" s="41">
        <v>1650</v>
      </c>
      <c r="R37" s="41">
        <v>1077</v>
      </c>
      <c r="S37" s="41">
        <v>668</v>
      </c>
      <c r="T37" s="41">
        <v>150</v>
      </c>
      <c r="U37" s="41">
        <v>125</v>
      </c>
      <c r="V37" s="41">
        <v>30</v>
      </c>
    </row>
    <row r="38" spans="1:22" x14ac:dyDescent="0.2">
      <c r="A38" s="32">
        <v>46263</v>
      </c>
      <c r="B38" s="33" t="s">
        <v>55</v>
      </c>
      <c r="C38" s="34"/>
      <c r="D38" s="35">
        <f>'RC Movement'!E77</f>
        <v>0</v>
      </c>
      <c r="E38" s="36">
        <f t="shared" si="0"/>
        <v>8048</v>
      </c>
      <c r="F38" s="37">
        <f t="shared" si="1"/>
        <v>1509.5</v>
      </c>
      <c r="G38" s="38">
        <f t="shared" si="2"/>
        <v>0.18756212723658053</v>
      </c>
      <c r="H38" s="39">
        <v>1</v>
      </c>
      <c r="I38" s="40">
        <v>0.18</v>
      </c>
      <c r="J38" s="39">
        <v>4628</v>
      </c>
      <c r="K38" s="39">
        <v>3420</v>
      </c>
      <c r="L38" s="39"/>
      <c r="M38" s="39"/>
      <c r="N38" s="39"/>
      <c r="O38" s="41">
        <v>50</v>
      </c>
      <c r="P38" s="41">
        <v>0.5</v>
      </c>
      <c r="Q38" s="41">
        <v>550</v>
      </c>
      <c r="R38" s="41">
        <v>550</v>
      </c>
      <c r="S38" s="41">
        <v>196</v>
      </c>
      <c r="T38" s="41">
        <v>97</v>
      </c>
      <c r="U38" s="41">
        <v>50</v>
      </c>
      <c r="V38" s="41">
        <v>16</v>
      </c>
    </row>
    <row r="39" spans="1:22" x14ac:dyDescent="0.2">
      <c r="A39" s="20" t="s">
        <v>16</v>
      </c>
      <c r="B39" s="52" t="s">
        <v>116</v>
      </c>
      <c r="C39" s="23">
        <f>SUMPRODUCT(C10:C38,D10:D38)/SUMIF(C10:C38,"&gt;0",D10:D38)</f>
        <v>42.772035340227426</v>
      </c>
      <c r="D39" s="53">
        <f>SUM(D10:D38)</f>
        <v>697313</v>
      </c>
      <c r="E39" s="53">
        <f>SUM(E10:E38)</f>
        <v>553376</v>
      </c>
      <c r="F39" s="22">
        <f>SUM(F10:F38)</f>
        <v>78954.5</v>
      </c>
      <c r="G39" s="21">
        <f t="shared" si="2"/>
        <v>0.14267785375585498</v>
      </c>
      <c r="H39" s="53">
        <f t="shared" ref="H39:V39" si="3">SUM(H10:H38)</f>
        <v>23</v>
      </c>
      <c r="I39" s="54">
        <f t="shared" si="3"/>
        <v>13.600000000000001</v>
      </c>
      <c r="J39" s="53">
        <f t="shared" si="3"/>
        <v>499226</v>
      </c>
      <c r="K39" s="53">
        <f t="shared" si="3"/>
        <v>54150</v>
      </c>
      <c r="L39" s="53">
        <f t="shared" si="3"/>
        <v>0</v>
      </c>
      <c r="M39" s="53">
        <f t="shared" si="3"/>
        <v>0</v>
      </c>
      <c r="N39" s="53">
        <f t="shared" si="3"/>
        <v>0</v>
      </c>
      <c r="O39" s="22">
        <f t="shared" si="3"/>
        <v>1675</v>
      </c>
      <c r="P39" s="22">
        <f t="shared" si="3"/>
        <v>11.5</v>
      </c>
      <c r="Q39" s="22">
        <f t="shared" si="3"/>
        <v>35170</v>
      </c>
      <c r="R39" s="22">
        <f t="shared" si="3"/>
        <v>29578</v>
      </c>
      <c r="S39" s="22">
        <f t="shared" si="3"/>
        <v>6596</v>
      </c>
      <c r="T39" s="22">
        <f t="shared" si="3"/>
        <v>2959</v>
      </c>
      <c r="U39" s="22">
        <f t="shared" si="3"/>
        <v>2315</v>
      </c>
      <c r="V39" s="22">
        <f t="shared" si="3"/>
        <v>650</v>
      </c>
    </row>
    <row r="42" spans="1:22" x14ac:dyDescent="0.2">
      <c r="A42" s="55" t="s">
        <v>59</v>
      </c>
      <c r="D42" s="9" t="s">
        <v>60</v>
      </c>
    </row>
    <row r="43" spans="1:22" ht="27.75" customHeight="1" x14ac:dyDescent="0.2">
      <c r="A43" s="10" t="s">
        <v>61</v>
      </c>
      <c r="B43" s="10" t="s">
        <v>62</v>
      </c>
      <c r="C43" s="10" t="s">
        <v>63</v>
      </c>
      <c r="D43" s="10" t="s">
        <v>64</v>
      </c>
      <c r="E43" s="10" t="s">
        <v>65</v>
      </c>
      <c r="F43" s="11" t="s">
        <v>66</v>
      </c>
      <c r="G43" s="11" t="s">
        <v>67</v>
      </c>
      <c r="H43" s="13" t="s">
        <v>68</v>
      </c>
      <c r="I43" s="13" t="s">
        <v>69</v>
      </c>
      <c r="J43" s="15" t="s">
        <v>70</v>
      </c>
      <c r="K43" s="15" t="s">
        <v>71</v>
      </c>
      <c r="L43" s="15" t="s">
        <v>72</v>
      </c>
      <c r="M43" s="10" t="s">
        <v>73</v>
      </c>
    </row>
    <row r="44" spans="1:22" x14ac:dyDescent="0.2">
      <c r="A44" s="33" t="s">
        <v>107</v>
      </c>
      <c r="B44" s="33" t="s">
        <v>108</v>
      </c>
      <c r="C44" s="56">
        <v>46230</v>
      </c>
      <c r="D44" s="56">
        <v>46239</v>
      </c>
      <c r="E44" s="57" t="s">
        <v>76</v>
      </c>
      <c r="F44" s="35">
        <f>'RC Movement'!F78</f>
        <v>54941</v>
      </c>
      <c r="G44" s="39">
        <v>73379</v>
      </c>
      <c r="H44" s="39">
        <v>4366</v>
      </c>
      <c r="I44" s="38">
        <f t="shared" ref="I44:I63" si="4">IF(AND(E44="CLOSED",G44&gt;0),H44/G44,"")</f>
        <v>5.9499311792202129E-2</v>
      </c>
      <c r="J44" s="34">
        <v>49</v>
      </c>
      <c r="K44" s="34">
        <v>52.099899999999998</v>
      </c>
      <c r="L44" s="58">
        <f t="shared" ref="L44:L63" si="5">IF(K44="","",K44-J44)</f>
        <v>3.0998999999999981</v>
      </c>
      <c r="M44" s="59" t="s">
        <v>77</v>
      </c>
    </row>
    <row r="45" spans="1:22" x14ac:dyDescent="0.2">
      <c r="A45" s="33" t="s">
        <v>109</v>
      </c>
      <c r="B45" s="33" t="s">
        <v>110</v>
      </c>
      <c r="C45" s="56">
        <v>46231</v>
      </c>
      <c r="D45" s="56">
        <v>46241</v>
      </c>
      <c r="E45" s="57" t="s">
        <v>76</v>
      </c>
      <c r="F45" s="35">
        <f>'RC Movement'!G78</f>
        <v>45579</v>
      </c>
      <c r="G45" s="39">
        <v>59220</v>
      </c>
      <c r="H45" s="39">
        <v>507</v>
      </c>
      <c r="I45" s="38">
        <f t="shared" si="4"/>
        <v>8.5612968591691988E-3</v>
      </c>
      <c r="J45" s="34">
        <v>48.750900000000001</v>
      </c>
      <c r="K45" s="34">
        <v>49.171900000000001</v>
      </c>
      <c r="L45" s="58">
        <f t="shared" si="5"/>
        <v>0.42099999999999937</v>
      </c>
      <c r="M45" s="59" t="s">
        <v>77</v>
      </c>
    </row>
    <row r="46" spans="1:22" x14ac:dyDescent="0.2">
      <c r="A46" s="33" t="s">
        <v>111</v>
      </c>
      <c r="B46" s="33" t="s">
        <v>112</v>
      </c>
      <c r="C46" s="56">
        <v>46231</v>
      </c>
      <c r="D46" s="56">
        <v>46240</v>
      </c>
      <c r="E46" s="57" t="s">
        <v>76</v>
      </c>
      <c r="F46" s="35">
        <f>'RC Movement'!H78</f>
        <v>38289</v>
      </c>
      <c r="G46" s="39">
        <v>56234</v>
      </c>
      <c r="H46" s="39">
        <v>2722</v>
      </c>
      <c r="I46" s="38">
        <f t="shared" si="4"/>
        <v>4.8404879610200235E-2</v>
      </c>
      <c r="J46" s="34">
        <v>48.161200000000001</v>
      </c>
      <c r="K46" s="34">
        <v>50.610999999999997</v>
      </c>
      <c r="L46" s="58">
        <f t="shared" si="5"/>
        <v>2.4497999999999962</v>
      </c>
      <c r="M46" s="59" t="s">
        <v>77</v>
      </c>
    </row>
    <row r="47" spans="1:22" x14ac:dyDescent="0.2">
      <c r="A47" s="33" t="s">
        <v>117</v>
      </c>
      <c r="B47" s="33" t="s">
        <v>87</v>
      </c>
      <c r="C47" s="56">
        <v>46239</v>
      </c>
      <c r="D47" s="56">
        <v>46242</v>
      </c>
      <c r="E47" s="57" t="s">
        <v>76</v>
      </c>
      <c r="F47" s="35">
        <f>'RC Movement'!I78</f>
        <v>19185</v>
      </c>
      <c r="G47" s="39">
        <v>19185</v>
      </c>
      <c r="H47" s="39">
        <v>0</v>
      </c>
      <c r="I47" s="38">
        <f t="shared" si="4"/>
        <v>0</v>
      </c>
      <c r="J47" s="34">
        <v>39</v>
      </c>
      <c r="K47" s="34">
        <v>39</v>
      </c>
      <c r="L47" s="58">
        <f t="shared" si="5"/>
        <v>0</v>
      </c>
      <c r="M47" s="59" t="s">
        <v>77</v>
      </c>
    </row>
    <row r="48" spans="1:22" x14ac:dyDescent="0.2">
      <c r="A48" s="33" t="s">
        <v>118</v>
      </c>
      <c r="B48" s="33" t="s">
        <v>119</v>
      </c>
      <c r="C48" s="56">
        <v>46239</v>
      </c>
      <c r="D48" s="56">
        <v>46240</v>
      </c>
      <c r="E48" s="57" t="s">
        <v>76</v>
      </c>
      <c r="F48" s="35">
        <f>'RC Movement'!J78</f>
        <v>24790</v>
      </c>
      <c r="G48" s="39">
        <v>25010</v>
      </c>
      <c r="H48" s="39">
        <v>220</v>
      </c>
      <c r="I48" s="38">
        <f t="shared" si="4"/>
        <v>8.7964814074370252E-3</v>
      </c>
      <c r="J48" s="34">
        <v>37.25</v>
      </c>
      <c r="K48" s="34">
        <v>37.580599999999997</v>
      </c>
      <c r="L48" s="58">
        <f t="shared" si="5"/>
        <v>0.3305999999999969</v>
      </c>
      <c r="M48" s="59" t="s">
        <v>77</v>
      </c>
    </row>
    <row r="49" spans="1:13" x14ac:dyDescent="0.2">
      <c r="A49" s="33" t="s">
        <v>120</v>
      </c>
      <c r="B49" s="33" t="s">
        <v>121</v>
      </c>
      <c r="C49" s="56">
        <v>46240</v>
      </c>
      <c r="D49" s="56">
        <v>46245</v>
      </c>
      <c r="E49" s="57" t="s">
        <v>76</v>
      </c>
      <c r="F49" s="35">
        <f>'RC Movement'!K78</f>
        <v>20191</v>
      </c>
      <c r="G49" s="39">
        <v>20205</v>
      </c>
      <c r="H49" s="39">
        <v>14</v>
      </c>
      <c r="I49" s="38">
        <f t="shared" si="4"/>
        <v>6.9289779757485766E-4</v>
      </c>
      <c r="J49" s="34">
        <v>36</v>
      </c>
      <c r="K49" s="34">
        <v>36.024999999999999</v>
      </c>
      <c r="L49" s="58">
        <f t="shared" si="5"/>
        <v>2.4999999999998579E-2</v>
      </c>
      <c r="M49" s="59" t="s">
        <v>77</v>
      </c>
    </row>
    <row r="50" spans="1:13" x14ac:dyDescent="0.2">
      <c r="A50" s="33" t="s">
        <v>122</v>
      </c>
      <c r="B50" s="33" t="s">
        <v>123</v>
      </c>
      <c r="C50" s="56">
        <v>46240</v>
      </c>
      <c r="D50" s="56">
        <v>46245</v>
      </c>
      <c r="E50" s="57" t="s">
        <v>76</v>
      </c>
      <c r="F50" s="35">
        <f>'RC Movement'!L78</f>
        <v>74400</v>
      </c>
      <c r="G50" s="39">
        <v>75175</v>
      </c>
      <c r="H50" s="39">
        <v>775</v>
      </c>
      <c r="I50" s="38">
        <f t="shared" si="4"/>
        <v>1.0309278350515464E-2</v>
      </c>
      <c r="J50" s="34">
        <v>37.25</v>
      </c>
      <c r="K50" s="34">
        <v>37.637999999999998</v>
      </c>
      <c r="L50" s="58">
        <f t="shared" si="5"/>
        <v>0.38799999999999812</v>
      </c>
      <c r="M50" s="59" t="s">
        <v>77</v>
      </c>
    </row>
    <row r="51" spans="1:13" x14ac:dyDescent="0.2">
      <c r="A51" s="33" t="s">
        <v>124</v>
      </c>
      <c r="B51" s="33" t="s">
        <v>125</v>
      </c>
      <c r="C51" s="56">
        <v>46242</v>
      </c>
      <c r="D51" s="56">
        <v>46251</v>
      </c>
      <c r="E51" s="57" t="s">
        <v>76</v>
      </c>
      <c r="F51" s="35">
        <f>'RC Movement'!M78</f>
        <v>58821</v>
      </c>
      <c r="G51" s="39">
        <v>59235</v>
      </c>
      <c r="H51" s="39">
        <v>414</v>
      </c>
      <c r="I51" s="38">
        <f t="shared" si="4"/>
        <v>6.9891111673841483E-3</v>
      </c>
      <c r="J51" s="34">
        <v>48.447099999999999</v>
      </c>
      <c r="K51" s="34">
        <v>48.7881</v>
      </c>
      <c r="L51" s="58">
        <f t="shared" si="5"/>
        <v>0.34100000000000108</v>
      </c>
      <c r="M51" s="59" t="s">
        <v>77</v>
      </c>
    </row>
    <row r="52" spans="1:13" x14ac:dyDescent="0.2">
      <c r="A52" s="33" t="s">
        <v>126</v>
      </c>
      <c r="B52" s="33" t="s">
        <v>127</v>
      </c>
      <c r="C52" s="56">
        <v>46245</v>
      </c>
      <c r="D52" s="56">
        <v>46259</v>
      </c>
      <c r="E52" s="57" t="s">
        <v>76</v>
      </c>
      <c r="F52" s="35">
        <f>'RC Movement'!N78</f>
        <v>69483</v>
      </c>
      <c r="G52" s="39">
        <v>73870</v>
      </c>
      <c r="H52" s="39">
        <v>4387</v>
      </c>
      <c r="I52" s="38">
        <f t="shared" si="4"/>
        <v>5.9388114254771897E-2</v>
      </c>
      <c r="J52" s="34">
        <v>42</v>
      </c>
      <c r="K52" s="34">
        <v>44.651800000000001</v>
      </c>
      <c r="L52" s="58">
        <f t="shared" si="5"/>
        <v>2.6518000000000015</v>
      </c>
      <c r="M52" s="59" t="s">
        <v>77</v>
      </c>
    </row>
    <row r="53" spans="1:13" x14ac:dyDescent="0.2">
      <c r="A53" s="33" t="s">
        <v>128</v>
      </c>
      <c r="B53" s="33" t="s">
        <v>87</v>
      </c>
      <c r="C53" s="56">
        <v>46246</v>
      </c>
      <c r="D53" s="56">
        <v>46251</v>
      </c>
      <c r="E53" s="57" t="s">
        <v>76</v>
      </c>
      <c r="F53" s="35">
        <f>'RC Movement'!O78</f>
        <v>18650</v>
      </c>
      <c r="G53" s="39">
        <v>18650</v>
      </c>
      <c r="H53" s="39">
        <v>0</v>
      </c>
      <c r="I53" s="38">
        <f t="shared" si="4"/>
        <v>0</v>
      </c>
      <c r="J53" s="34">
        <v>39</v>
      </c>
      <c r="K53" s="34">
        <v>39</v>
      </c>
      <c r="L53" s="58">
        <f t="shared" si="5"/>
        <v>0</v>
      </c>
      <c r="M53" s="59" t="s">
        <v>77</v>
      </c>
    </row>
    <row r="54" spans="1:13" x14ac:dyDescent="0.2">
      <c r="A54" s="33" t="s">
        <v>129</v>
      </c>
      <c r="B54" s="33" t="s">
        <v>130</v>
      </c>
      <c r="C54" s="56">
        <v>46246</v>
      </c>
      <c r="D54" s="56">
        <v>46246</v>
      </c>
      <c r="E54" s="57" t="s">
        <v>76</v>
      </c>
      <c r="F54" s="35">
        <f>'RC Movement'!P78</f>
        <v>5335</v>
      </c>
      <c r="G54" s="39">
        <v>5340</v>
      </c>
      <c r="H54" s="39">
        <v>5</v>
      </c>
      <c r="I54" s="38">
        <f t="shared" si="4"/>
        <v>9.3632958801498128E-4</v>
      </c>
      <c r="J54" s="34">
        <v>39</v>
      </c>
      <c r="K54" s="34">
        <v>39.0366</v>
      </c>
      <c r="L54" s="58">
        <f t="shared" si="5"/>
        <v>3.6599999999999966E-2</v>
      </c>
      <c r="M54" s="59" t="s">
        <v>77</v>
      </c>
    </row>
    <row r="55" spans="1:13" x14ac:dyDescent="0.2">
      <c r="A55" s="33" t="s">
        <v>131</v>
      </c>
      <c r="B55" s="33" t="s">
        <v>132</v>
      </c>
      <c r="C55" s="56">
        <v>46246</v>
      </c>
      <c r="D55" s="56">
        <v>46258</v>
      </c>
      <c r="E55" s="57" t="s">
        <v>76</v>
      </c>
      <c r="F55" s="35">
        <f>'RC Movement'!Q78</f>
        <v>70520</v>
      </c>
      <c r="G55" s="39">
        <v>74995</v>
      </c>
      <c r="H55" s="39">
        <v>4475</v>
      </c>
      <c r="I55" s="38">
        <f t="shared" si="4"/>
        <v>5.9670644709647308E-2</v>
      </c>
      <c r="J55" s="34">
        <v>48.25</v>
      </c>
      <c r="K55" s="34">
        <v>51.311799999999998</v>
      </c>
      <c r="L55" s="58">
        <f t="shared" si="5"/>
        <v>3.0617999999999981</v>
      </c>
      <c r="M55" s="59" t="s">
        <v>77</v>
      </c>
    </row>
    <row r="56" spans="1:13" x14ac:dyDescent="0.2">
      <c r="A56" s="33" t="s">
        <v>133</v>
      </c>
      <c r="B56" s="33" t="s">
        <v>134</v>
      </c>
      <c r="C56" s="56">
        <v>46251</v>
      </c>
      <c r="D56" s="56">
        <v>46258</v>
      </c>
      <c r="E56" s="57" t="s">
        <v>76</v>
      </c>
      <c r="F56" s="35">
        <f>'RC Movement'!R78</f>
        <v>45425</v>
      </c>
      <c r="G56" s="39">
        <v>45982</v>
      </c>
      <c r="H56" s="39">
        <v>557</v>
      </c>
      <c r="I56" s="38">
        <f t="shared" si="4"/>
        <v>1.2113435692227394E-2</v>
      </c>
      <c r="J56" s="34">
        <v>38</v>
      </c>
      <c r="K56" s="34">
        <v>38.466000000000001</v>
      </c>
      <c r="L56" s="58">
        <f t="shared" si="5"/>
        <v>0.46600000000000108</v>
      </c>
      <c r="M56" s="59" t="s">
        <v>77</v>
      </c>
    </row>
    <row r="57" spans="1:13" x14ac:dyDescent="0.2">
      <c r="A57" s="33" t="s">
        <v>135</v>
      </c>
      <c r="B57" s="33" t="s">
        <v>87</v>
      </c>
      <c r="C57" s="56">
        <v>46252</v>
      </c>
      <c r="D57" s="56">
        <v>46254</v>
      </c>
      <c r="E57" s="57" t="s">
        <v>76</v>
      </c>
      <c r="F57" s="35">
        <f>'RC Movement'!S78</f>
        <v>19395</v>
      </c>
      <c r="G57" s="39">
        <v>19395</v>
      </c>
      <c r="H57" s="39">
        <v>0</v>
      </c>
      <c r="I57" s="38">
        <f t="shared" si="4"/>
        <v>0</v>
      </c>
      <c r="J57" s="34">
        <v>39</v>
      </c>
      <c r="K57" s="34">
        <v>39</v>
      </c>
      <c r="L57" s="58">
        <f t="shared" si="5"/>
        <v>0</v>
      </c>
      <c r="M57" s="59" t="s">
        <v>77</v>
      </c>
    </row>
    <row r="58" spans="1:13" x14ac:dyDescent="0.2">
      <c r="A58" s="33" t="s">
        <v>136</v>
      </c>
      <c r="B58" s="33" t="s">
        <v>87</v>
      </c>
      <c r="C58" s="56">
        <v>46255</v>
      </c>
      <c r="D58" s="56">
        <v>46258</v>
      </c>
      <c r="E58" s="57" t="s">
        <v>76</v>
      </c>
      <c r="F58" s="35">
        <f>'RC Movement'!T78</f>
        <v>20140</v>
      </c>
      <c r="G58" s="39">
        <v>20140</v>
      </c>
      <c r="H58" s="39">
        <v>0</v>
      </c>
      <c r="I58" s="38">
        <f t="shared" si="4"/>
        <v>0</v>
      </c>
      <c r="J58" s="34">
        <v>39</v>
      </c>
      <c r="K58" s="34">
        <v>39</v>
      </c>
      <c r="L58" s="58">
        <f t="shared" si="5"/>
        <v>0</v>
      </c>
      <c r="M58" s="59" t="s">
        <v>77</v>
      </c>
    </row>
    <row r="59" spans="1:13" x14ac:dyDescent="0.2">
      <c r="A59" s="33" t="s">
        <v>137</v>
      </c>
      <c r="B59" s="33" t="s">
        <v>138</v>
      </c>
      <c r="C59" s="56">
        <v>46258</v>
      </c>
      <c r="D59" s="56">
        <v>46263</v>
      </c>
      <c r="E59" s="57" t="s">
        <v>76</v>
      </c>
      <c r="F59" s="35">
        <f>'RC Movement'!U78</f>
        <v>35318</v>
      </c>
      <c r="G59" s="39">
        <v>41765</v>
      </c>
      <c r="H59" s="39">
        <v>328</v>
      </c>
      <c r="I59" s="38">
        <f t="shared" si="4"/>
        <v>7.853465820663234E-3</v>
      </c>
      <c r="J59" s="34">
        <v>39.5</v>
      </c>
      <c r="K59" s="34">
        <v>39.8127</v>
      </c>
      <c r="L59" s="58">
        <f t="shared" si="5"/>
        <v>0.31269999999999953</v>
      </c>
      <c r="M59" s="59" t="s">
        <v>77</v>
      </c>
    </row>
    <row r="60" spans="1:13" x14ac:dyDescent="0.2">
      <c r="A60" s="33" t="s">
        <v>139</v>
      </c>
      <c r="B60" s="33" t="s">
        <v>87</v>
      </c>
      <c r="C60" s="56">
        <v>46259</v>
      </c>
      <c r="D60" s="56">
        <v>46262</v>
      </c>
      <c r="E60" s="57" t="s">
        <v>76</v>
      </c>
      <c r="F60" s="35">
        <f>'RC Movement'!V78</f>
        <v>21370</v>
      </c>
      <c r="G60" s="39">
        <v>21370</v>
      </c>
      <c r="H60" s="39">
        <v>0</v>
      </c>
      <c r="I60" s="38">
        <f t="shared" si="4"/>
        <v>0</v>
      </c>
      <c r="J60" s="34">
        <v>39</v>
      </c>
      <c r="K60" s="34">
        <v>39</v>
      </c>
      <c r="L60" s="58">
        <f t="shared" si="5"/>
        <v>0</v>
      </c>
      <c r="M60" s="59" t="s">
        <v>77</v>
      </c>
    </row>
    <row r="61" spans="1:13" x14ac:dyDescent="0.2">
      <c r="A61" s="33" t="s">
        <v>140</v>
      </c>
      <c r="B61" s="33" t="s">
        <v>87</v>
      </c>
      <c r="C61" s="56">
        <v>46259</v>
      </c>
      <c r="D61" s="56">
        <v>46259</v>
      </c>
      <c r="E61" s="57" t="s">
        <v>76</v>
      </c>
      <c r="F61" s="35">
        <f>'RC Movement'!W78</f>
        <v>1607</v>
      </c>
      <c r="G61" s="39">
        <v>1615</v>
      </c>
      <c r="H61" s="39">
        <v>8</v>
      </c>
      <c r="I61" s="38">
        <f t="shared" si="4"/>
        <v>4.9535603715170282E-3</v>
      </c>
      <c r="J61" s="34">
        <v>1.75</v>
      </c>
      <c r="K61" s="34">
        <v>1.7586999999999999</v>
      </c>
      <c r="L61" s="58">
        <f t="shared" si="5"/>
        <v>8.69999999999993E-3</v>
      </c>
      <c r="M61" s="59" t="s">
        <v>77</v>
      </c>
    </row>
    <row r="62" spans="1:13" x14ac:dyDescent="0.2">
      <c r="A62" s="33" t="s">
        <v>141</v>
      </c>
      <c r="B62" s="33" t="s">
        <v>142</v>
      </c>
      <c r="C62" s="56">
        <v>46259</v>
      </c>
      <c r="D62" s="56">
        <v>46275</v>
      </c>
      <c r="E62" s="57" t="s">
        <v>76</v>
      </c>
      <c r="F62" s="35">
        <f>'RC Movement'!X78</f>
        <v>21878</v>
      </c>
      <c r="G62" s="39">
        <v>74612</v>
      </c>
      <c r="H62" s="39">
        <v>727</v>
      </c>
      <c r="I62" s="38">
        <f t="shared" si="4"/>
        <v>9.7437409531978773E-3</v>
      </c>
      <c r="J62" s="34">
        <v>39.501300000000001</v>
      </c>
      <c r="K62" s="34">
        <v>39.89</v>
      </c>
      <c r="L62" s="58">
        <f t="shared" si="5"/>
        <v>0.38870000000000005</v>
      </c>
      <c r="M62" s="59" t="s">
        <v>77</v>
      </c>
    </row>
    <row r="63" spans="1:13" x14ac:dyDescent="0.2">
      <c r="A63" s="33" t="s">
        <v>143</v>
      </c>
      <c r="B63" s="33" t="s">
        <v>144</v>
      </c>
      <c r="C63" s="56">
        <v>46259</v>
      </c>
      <c r="D63" s="56">
        <v>46268</v>
      </c>
      <c r="E63" s="57" t="s">
        <v>76</v>
      </c>
      <c r="F63" s="35">
        <f>'RC Movement'!Y78</f>
        <v>31996</v>
      </c>
      <c r="G63" s="39">
        <v>64640</v>
      </c>
      <c r="H63" s="39">
        <v>1411</v>
      </c>
      <c r="I63" s="38">
        <f t="shared" si="4"/>
        <v>2.182858910891089E-2</v>
      </c>
      <c r="J63" s="34">
        <v>44.626899999999999</v>
      </c>
      <c r="K63" s="34">
        <v>45.622799999999998</v>
      </c>
      <c r="L63" s="58">
        <f t="shared" si="5"/>
        <v>0.9958999999999989</v>
      </c>
      <c r="M63" s="59" t="s">
        <v>77</v>
      </c>
    </row>
    <row r="64" spans="1:13" x14ac:dyDescent="0.2">
      <c r="A64" s="20" t="s">
        <v>145</v>
      </c>
      <c r="B64" s="4" t="str">
        <f>COUNTIF(E44:E63,"CLOSED")&amp;" closed · "&amp;COUNTIF(E44:E63,"OPEN")&amp;" open · "&amp;COUNTIF(M44:M63,"Y")&amp;" in price set"</f>
        <v>20 closed · 0 open · 20 in price set</v>
      </c>
      <c r="C64" s="4"/>
      <c r="D64" s="4"/>
      <c r="E64" s="4"/>
      <c r="F64" s="53">
        <f>SUM(F44:F63)</f>
        <v>697313</v>
      </c>
      <c r="G64" s="53">
        <f>SUM(G44:G63)</f>
        <v>850017</v>
      </c>
      <c r="H64" s="53">
        <f>SUM(H44:H63)</f>
        <v>20916</v>
      </c>
      <c r="I64" s="21">
        <f>SUMIF(E44:E63,"CLOSED",H44:H63)/SUMIF(E44:E63,"CLOSED",G44:G63)</f>
        <v>2.4606566692195568E-2</v>
      </c>
      <c r="J64" s="23">
        <f>SUMPRODUCT((M44:M63="Y")*F44:F63*J44:J63)/SUMPRODUCT((M44:M63="Y")*F44:F63)</f>
        <v>42.772036102582334</v>
      </c>
      <c r="K64" s="23">
        <f>SUMPRODUCT((M44:M63="Y")*F44:F63*K44:K63)/SUMPRODUCT((M44:M63="Y")*F44:F63)</f>
        <v>43.939215615942921</v>
      </c>
      <c r="L64" s="23">
        <f>SUMPRODUCT((M44:M63="Y")*J44:J63*G44:G63)/SUMPRODUCT((M44:M63="Y")*(G44:G63-H44:H63))-SUMPRODUCT((M44:M63="Y")*J44:J63*G44:G63)/SUMPRODUCT((M44:M63="Y")*G44:G63)</f>
        <v>1.0842164851518064</v>
      </c>
      <c r="M64" s="60"/>
    </row>
  </sheetData>
  <mergeCells count="6">
    <mergeCell ref="B64:E64"/>
    <mergeCell ref="A8:B8"/>
    <mergeCell ref="F8:G8"/>
    <mergeCell ref="H8:I8"/>
    <mergeCell ref="J8:N8"/>
    <mergeCell ref="O8:V8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8"/>
  <sheetViews>
    <sheetView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22" ht="18" x14ac:dyDescent="0.2">
      <c r="A1" s="8" t="s">
        <v>146</v>
      </c>
    </row>
    <row r="2" spans="1:22" x14ac:dyDescent="0.2">
      <c r="A2" s="9" t="s">
        <v>147</v>
      </c>
    </row>
    <row r="4" spans="1:22" ht="30" customHeight="1" x14ac:dyDescent="0.2">
      <c r="A4" s="24" t="s">
        <v>22</v>
      </c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5" t="s">
        <v>8</v>
      </c>
      <c r="I4" s="15" t="s">
        <v>9</v>
      </c>
      <c r="J4" s="15" t="s">
        <v>10</v>
      </c>
      <c r="K4" s="13" t="s">
        <v>11</v>
      </c>
      <c r="L4" s="15" t="s">
        <v>12</v>
      </c>
      <c r="M4" s="15" t="s">
        <v>13</v>
      </c>
      <c r="N4" s="16" t="s">
        <v>14</v>
      </c>
    </row>
    <row r="5" spans="1:22" x14ac:dyDescent="0.2">
      <c r="A5" s="17" t="s">
        <v>17</v>
      </c>
      <c r="B5" s="25">
        <f>D29/1000</f>
        <v>500.74400000000003</v>
      </c>
      <c r="C5" s="25">
        <f>E29/1000</f>
        <v>372.822</v>
      </c>
      <c r="D5" s="26">
        <f>E29/D29</f>
        <v>0.74453613023820553</v>
      </c>
      <c r="E5" s="26">
        <f>1-D5</f>
        <v>0.25546386976179447</v>
      </c>
      <c r="F5" s="27">
        <f>F29</f>
        <v>59283.5</v>
      </c>
      <c r="G5" s="26">
        <f>F29/E29</f>
        <v>0.15901288014119339</v>
      </c>
      <c r="H5" s="28">
        <f>C29</f>
        <v>43.060268083691469</v>
      </c>
      <c r="I5" s="28">
        <f>K48</f>
        <v>44.029832528177693</v>
      </c>
      <c r="J5" s="28">
        <f>L48</f>
        <v>0.90595346802079746</v>
      </c>
      <c r="K5" s="26">
        <f>I48</f>
        <v>2.0772715553754924E-2</v>
      </c>
      <c r="L5" s="28">
        <f>H5/D5</f>
        <v>57.83502819388341</v>
      </c>
      <c r="M5" s="28" t="str">
        <f>IF(COUNTIF(M34:M47,"N")=0,I5/D5,"")</f>
        <v/>
      </c>
      <c r="N5" s="19">
        <f>SUMPRODUCT((M34:M47="Y")*F34:F47)</f>
        <v>362787</v>
      </c>
    </row>
    <row r="8" spans="1:22" x14ac:dyDescent="0.2">
      <c r="A8" s="7" t="s">
        <v>23</v>
      </c>
      <c r="B8" s="7"/>
      <c r="C8" s="29" t="s">
        <v>24</v>
      </c>
      <c r="D8" s="30" t="s">
        <v>25</v>
      </c>
      <c r="E8" s="31" t="s">
        <v>26</v>
      </c>
      <c r="F8" s="6" t="s">
        <v>27</v>
      </c>
      <c r="G8" s="6"/>
      <c r="H8" s="7" t="s">
        <v>28</v>
      </c>
      <c r="I8" s="7"/>
      <c r="J8" s="5" t="s">
        <v>29</v>
      </c>
      <c r="K8" s="5"/>
      <c r="L8" s="5"/>
      <c r="M8" s="5"/>
      <c r="N8" s="5"/>
      <c r="O8" s="6" t="s">
        <v>30</v>
      </c>
      <c r="P8" s="6"/>
      <c r="Q8" s="6"/>
      <c r="R8" s="6"/>
      <c r="S8" s="6"/>
      <c r="T8" s="6"/>
      <c r="U8" s="6"/>
      <c r="V8" s="6"/>
    </row>
    <row r="9" spans="1:22" ht="27.75" customHeight="1" x14ac:dyDescent="0.2">
      <c r="A9" s="10" t="s">
        <v>31</v>
      </c>
      <c r="B9" s="10" t="s">
        <v>23</v>
      </c>
      <c r="C9" s="15" t="s">
        <v>32</v>
      </c>
      <c r="D9" s="11" t="s">
        <v>33</v>
      </c>
      <c r="E9" s="12" t="s">
        <v>34</v>
      </c>
      <c r="F9" s="14" t="s">
        <v>35</v>
      </c>
      <c r="G9" s="14" t="s">
        <v>7</v>
      </c>
      <c r="H9" s="10" t="s">
        <v>36</v>
      </c>
      <c r="I9" s="10" t="s">
        <v>37</v>
      </c>
      <c r="J9" s="12" t="s">
        <v>38</v>
      </c>
      <c r="K9" s="12" t="s">
        <v>39</v>
      </c>
      <c r="L9" s="12" t="s">
        <v>40</v>
      </c>
      <c r="M9" s="12" t="s">
        <v>41</v>
      </c>
      <c r="N9" s="12" t="s">
        <v>42</v>
      </c>
      <c r="O9" s="14" t="s">
        <v>43</v>
      </c>
      <c r="P9" s="14" t="s">
        <v>44</v>
      </c>
      <c r="Q9" s="14" t="s">
        <v>45</v>
      </c>
      <c r="R9" s="14" t="s">
        <v>46</v>
      </c>
      <c r="S9" s="14" t="s">
        <v>47</v>
      </c>
      <c r="T9" s="14" t="s">
        <v>48</v>
      </c>
      <c r="U9" s="14" t="s">
        <v>49</v>
      </c>
      <c r="V9" s="14" t="s">
        <v>50</v>
      </c>
    </row>
    <row r="10" spans="1:22" x14ac:dyDescent="0.2">
      <c r="A10" s="32">
        <v>46263</v>
      </c>
      <c r="B10" s="33" t="s">
        <v>55</v>
      </c>
      <c r="C10" s="34">
        <v>41.081099999999999</v>
      </c>
      <c r="D10" s="35">
        <f>'RC Movement'!E87</f>
        <v>12314</v>
      </c>
      <c r="E10" s="36">
        <f t="shared" ref="E10:E28" si="0">SUM(J10:N10)</f>
        <v>7506</v>
      </c>
      <c r="F10" s="37">
        <f t="shared" ref="F10:F28" si="1">SUM(O10:V10)</f>
        <v>1528.5</v>
      </c>
      <c r="G10" s="38">
        <f t="shared" ref="G10:G29" si="2">IF(E10&gt;0,F10/E10,"")</f>
        <v>0.2036370903277378</v>
      </c>
      <c r="H10" s="39">
        <v>1</v>
      </c>
      <c r="I10" s="40">
        <v>0</v>
      </c>
      <c r="J10" s="39">
        <v>5226</v>
      </c>
      <c r="K10" s="39">
        <v>2280</v>
      </c>
      <c r="L10" s="39"/>
      <c r="M10" s="39"/>
      <c r="N10" s="39"/>
      <c r="O10" s="41">
        <v>55</v>
      </c>
      <c r="P10" s="41">
        <v>0.5</v>
      </c>
      <c r="Q10" s="41">
        <v>550</v>
      </c>
      <c r="R10" s="41">
        <v>550</v>
      </c>
      <c r="S10" s="41">
        <v>179</v>
      </c>
      <c r="T10" s="41">
        <v>74</v>
      </c>
      <c r="U10" s="41">
        <v>100</v>
      </c>
      <c r="V10" s="41">
        <v>20</v>
      </c>
    </row>
    <row r="11" spans="1:22" x14ac:dyDescent="0.2">
      <c r="A11" s="42">
        <v>46264</v>
      </c>
      <c r="B11" s="43" t="s">
        <v>56</v>
      </c>
      <c r="C11" s="44"/>
      <c r="D11" s="45">
        <f>'RC Movement'!E88</f>
        <v>0</v>
      </c>
      <c r="E11" s="46">
        <f t="shared" si="0"/>
        <v>0</v>
      </c>
      <c r="F11" s="47">
        <f t="shared" si="1"/>
        <v>0</v>
      </c>
      <c r="G11" s="48" t="str">
        <f t="shared" si="2"/>
        <v/>
      </c>
      <c r="H11" s="49"/>
      <c r="I11" s="50"/>
      <c r="J11" s="49"/>
      <c r="K11" s="49"/>
      <c r="L11" s="49"/>
      <c r="M11" s="49"/>
      <c r="N11" s="49"/>
      <c r="O11" s="51"/>
      <c r="P11" s="51"/>
      <c r="Q11" s="51"/>
      <c r="R11" s="51"/>
      <c r="S11" s="51"/>
      <c r="T11" s="51"/>
      <c r="U11" s="51"/>
      <c r="V11" s="51"/>
    </row>
    <row r="12" spans="1:22" x14ac:dyDescent="0.2">
      <c r="A12" s="42">
        <v>46265</v>
      </c>
      <c r="B12" s="43" t="s">
        <v>57</v>
      </c>
      <c r="C12" s="44"/>
      <c r="D12" s="45">
        <f>'RC Movement'!E89</f>
        <v>0</v>
      </c>
      <c r="E12" s="46">
        <f t="shared" si="0"/>
        <v>0</v>
      </c>
      <c r="F12" s="47">
        <f t="shared" si="1"/>
        <v>0</v>
      </c>
      <c r="G12" s="48" t="str">
        <f t="shared" si="2"/>
        <v/>
      </c>
      <c r="H12" s="49"/>
      <c r="I12" s="50"/>
      <c r="J12" s="49"/>
      <c r="K12" s="49"/>
      <c r="L12" s="49"/>
      <c r="M12" s="49"/>
      <c r="N12" s="49"/>
      <c r="O12" s="51"/>
      <c r="P12" s="51"/>
      <c r="Q12" s="51"/>
      <c r="R12" s="51"/>
      <c r="S12" s="51"/>
      <c r="T12" s="51"/>
      <c r="U12" s="51"/>
      <c r="V12" s="51"/>
    </row>
    <row r="13" spans="1:22" x14ac:dyDescent="0.2">
      <c r="A13" s="32">
        <v>46266</v>
      </c>
      <c r="B13" s="33" t="s">
        <v>51</v>
      </c>
      <c r="C13" s="34">
        <v>41.440600000000003</v>
      </c>
      <c r="D13" s="35">
        <f>'RC Movement'!E90</f>
        <v>41867</v>
      </c>
      <c r="E13" s="36">
        <f t="shared" si="0"/>
        <v>25290</v>
      </c>
      <c r="F13" s="37">
        <f t="shared" si="1"/>
        <v>3212.5</v>
      </c>
      <c r="G13" s="38">
        <f t="shared" si="2"/>
        <v>0.12702649268485566</v>
      </c>
      <c r="H13" s="39">
        <v>1</v>
      </c>
      <c r="I13" s="40">
        <v>1.58</v>
      </c>
      <c r="J13" s="39">
        <v>15600</v>
      </c>
      <c r="K13" s="39">
        <v>9690</v>
      </c>
      <c r="L13" s="39"/>
      <c r="M13" s="39"/>
      <c r="N13" s="39"/>
      <c r="O13" s="41">
        <v>50</v>
      </c>
      <c r="P13" s="41">
        <v>0.5</v>
      </c>
      <c r="Q13" s="41">
        <v>1100</v>
      </c>
      <c r="R13" s="41">
        <v>1100</v>
      </c>
      <c r="S13" s="41">
        <v>608</v>
      </c>
      <c r="T13" s="41">
        <v>174</v>
      </c>
      <c r="U13" s="41">
        <v>150</v>
      </c>
      <c r="V13" s="41">
        <v>30</v>
      </c>
    </row>
    <row r="14" spans="1:22" x14ac:dyDescent="0.2">
      <c r="A14" s="32">
        <v>46267</v>
      </c>
      <c r="B14" s="33" t="s">
        <v>52</v>
      </c>
      <c r="C14" s="34">
        <v>41.2271</v>
      </c>
      <c r="D14" s="35">
        <f>'RC Movement'!E91</f>
        <v>28656</v>
      </c>
      <c r="E14" s="36">
        <f t="shared" si="0"/>
        <v>27990</v>
      </c>
      <c r="F14" s="37">
        <f t="shared" si="1"/>
        <v>3941.5</v>
      </c>
      <c r="G14" s="38">
        <f t="shared" si="2"/>
        <v>0.14081814933904965</v>
      </c>
      <c r="H14" s="39">
        <v>1</v>
      </c>
      <c r="I14" s="40">
        <v>0.25</v>
      </c>
      <c r="J14" s="39">
        <v>17160</v>
      </c>
      <c r="K14" s="39">
        <v>10830</v>
      </c>
      <c r="L14" s="39"/>
      <c r="M14" s="39"/>
      <c r="N14" s="39"/>
      <c r="O14" s="41">
        <v>75</v>
      </c>
      <c r="P14" s="41">
        <v>0.5</v>
      </c>
      <c r="Q14" s="41">
        <v>1650</v>
      </c>
      <c r="R14" s="41">
        <v>1108</v>
      </c>
      <c r="S14" s="41">
        <v>716</v>
      </c>
      <c r="T14" s="41">
        <v>239</v>
      </c>
      <c r="U14" s="41">
        <v>125</v>
      </c>
      <c r="V14" s="41">
        <v>28</v>
      </c>
    </row>
    <row r="15" spans="1:22" x14ac:dyDescent="0.2">
      <c r="A15" s="32">
        <v>46268</v>
      </c>
      <c r="B15" s="33" t="s">
        <v>53</v>
      </c>
      <c r="C15" s="34">
        <v>40.980200000000004</v>
      </c>
      <c r="D15" s="35">
        <f>'RC Movement'!E92</f>
        <v>35299</v>
      </c>
      <c r="E15" s="36">
        <f t="shared" si="0"/>
        <v>27582</v>
      </c>
      <c r="F15" s="37">
        <f t="shared" si="1"/>
        <v>4230.5</v>
      </c>
      <c r="G15" s="38">
        <f t="shared" si="2"/>
        <v>0.15337901529983322</v>
      </c>
      <c r="H15" s="39">
        <v>1</v>
      </c>
      <c r="I15" s="40">
        <v>1.97</v>
      </c>
      <c r="J15" s="39">
        <v>19032</v>
      </c>
      <c r="K15" s="39">
        <v>8550</v>
      </c>
      <c r="L15" s="39"/>
      <c r="M15" s="39"/>
      <c r="N15" s="39"/>
      <c r="O15" s="41">
        <v>50</v>
      </c>
      <c r="P15" s="41">
        <v>0.5</v>
      </c>
      <c r="Q15" s="41">
        <v>1650</v>
      </c>
      <c r="R15" s="41">
        <v>1642</v>
      </c>
      <c r="S15" s="41">
        <v>569</v>
      </c>
      <c r="T15" s="41">
        <v>192</v>
      </c>
      <c r="U15" s="41">
        <v>100</v>
      </c>
      <c r="V15" s="41">
        <v>27</v>
      </c>
    </row>
    <row r="16" spans="1:22" x14ac:dyDescent="0.2">
      <c r="A16" s="32">
        <v>46269</v>
      </c>
      <c r="B16" s="33" t="s">
        <v>54</v>
      </c>
      <c r="C16" s="34">
        <v>41.2774</v>
      </c>
      <c r="D16" s="35">
        <f>'RC Movement'!E93</f>
        <v>31255</v>
      </c>
      <c r="E16" s="36">
        <f t="shared" si="0"/>
        <v>22768</v>
      </c>
      <c r="F16" s="37">
        <f t="shared" si="1"/>
        <v>3373.5</v>
      </c>
      <c r="G16" s="38">
        <f t="shared" si="2"/>
        <v>0.14816848208011243</v>
      </c>
      <c r="H16" s="39">
        <v>1</v>
      </c>
      <c r="I16" s="40">
        <v>0.12</v>
      </c>
      <c r="J16" s="39">
        <v>13078</v>
      </c>
      <c r="K16" s="39">
        <v>9690</v>
      </c>
      <c r="L16" s="39"/>
      <c r="M16" s="39"/>
      <c r="N16" s="39"/>
      <c r="O16" s="41">
        <v>75</v>
      </c>
      <c r="P16" s="41">
        <v>0.5</v>
      </c>
      <c r="Q16" s="41">
        <v>1100</v>
      </c>
      <c r="R16" s="41">
        <v>1100</v>
      </c>
      <c r="S16" s="41">
        <v>776</v>
      </c>
      <c r="T16" s="41">
        <v>167</v>
      </c>
      <c r="U16" s="41">
        <v>125</v>
      </c>
      <c r="V16" s="41">
        <v>30</v>
      </c>
    </row>
    <row r="17" spans="1:22" x14ac:dyDescent="0.2">
      <c r="A17" s="32">
        <v>46270</v>
      </c>
      <c r="B17" s="33" t="s">
        <v>55</v>
      </c>
      <c r="C17" s="34">
        <v>44.017099999999999</v>
      </c>
      <c r="D17" s="35">
        <f>'RC Movement'!E94</f>
        <v>31007</v>
      </c>
      <c r="E17" s="36">
        <f t="shared" si="0"/>
        <v>27288</v>
      </c>
      <c r="F17" s="37">
        <f t="shared" si="1"/>
        <v>5403.5</v>
      </c>
      <c r="G17" s="38">
        <f t="shared" si="2"/>
        <v>0.19801744356493697</v>
      </c>
      <c r="H17" s="39">
        <v>1</v>
      </c>
      <c r="I17" s="40">
        <v>0.17</v>
      </c>
      <c r="J17" s="39">
        <v>16458</v>
      </c>
      <c r="K17" s="39">
        <v>10830</v>
      </c>
      <c r="L17" s="39"/>
      <c r="M17" s="39"/>
      <c r="N17" s="39"/>
      <c r="O17" s="41">
        <v>100</v>
      </c>
      <c r="P17" s="41">
        <v>0.5</v>
      </c>
      <c r="Q17" s="41">
        <v>2200</v>
      </c>
      <c r="R17" s="41">
        <v>2107</v>
      </c>
      <c r="S17" s="41">
        <v>657</v>
      </c>
      <c r="T17" s="41">
        <v>155</v>
      </c>
      <c r="U17" s="41">
        <v>155</v>
      </c>
      <c r="V17" s="41">
        <v>29</v>
      </c>
    </row>
    <row r="18" spans="1:22" x14ac:dyDescent="0.2">
      <c r="A18" s="42">
        <v>46271</v>
      </c>
      <c r="B18" s="43" t="s">
        <v>56</v>
      </c>
      <c r="C18" s="44"/>
      <c r="D18" s="45">
        <f>'RC Movement'!E95</f>
        <v>0</v>
      </c>
      <c r="E18" s="46">
        <f t="shared" si="0"/>
        <v>0</v>
      </c>
      <c r="F18" s="47">
        <f t="shared" si="1"/>
        <v>0</v>
      </c>
      <c r="G18" s="48" t="str">
        <f t="shared" si="2"/>
        <v/>
      </c>
      <c r="H18" s="49"/>
      <c r="I18" s="50"/>
      <c r="J18" s="49"/>
      <c r="K18" s="49"/>
      <c r="L18" s="49"/>
      <c r="M18" s="49"/>
      <c r="N18" s="49"/>
      <c r="O18" s="51"/>
      <c r="P18" s="51"/>
      <c r="Q18" s="51"/>
      <c r="R18" s="51"/>
      <c r="S18" s="51"/>
      <c r="T18" s="51"/>
      <c r="U18" s="51"/>
      <c r="V18" s="51"/>
    </row>
    <row r="19" spans="1:22" x14ac:dyDescent="0.2">
      <c r="A19" s="32">
        <v>46272</v>
      </c>
      <c r="B19" s="33" t="s">
        <v>57</v>
      </c>
      <c r="C19" s="34">
        <v>44.849800000000002</v>
      </c>
      <c r="D19" s="35">
        <f>'RC Movement'!E96</f>
        <v>34406</v>
      </c>
      <c r="E19" s="36">
        <f t="shared" si="0"/>
        <v>27600</v>
      </c>
      <c r="F19" s="37">
        <f t="shared" si="1"/>
        <v>5062.5</v>
      </c>
      <c r="G19" s="38">
        <f t="shared" si="2"/>
        <v>0.18342391304347827</v>
      </c>
      <c r="H19" s="39">
        <v>1</v>
      </c>
      <c r="I19" s="40">
        <v>0.17</v>
      </c>
      <c r="J19" s="39">
        <v>16770</v>
      </c>
      <c r="K19" s="39">
        <v>10830</v>
      </c>
      <c r="L19" s="39"/>
      <c r="M19" s="39"/>
      <c r="N19" s="39"/>
      <c r="O19" s="41">
        <v>75</v>
      </c>
      <c r="P19" s="41">
        <v>0.5</v>
      </c>
      <c r="Q19" s="41">
        <v>2200</v>
      </c>
      <c r="R19" s="41">
        <v>1555</v>
      </c>
      <c r="S19" s="41">
        <v>872</v>
      </c>
      <c r="T19" s="41">
        <v>183</v>
      </c>
      <c r="U19" s="41">
        <v>150</v>
      </c>
      <c r="V19" s="41">
        <v>27</v>
      </c>
    </row>
    <row r="20" spans="1:22" x14ac:dyDescent="0.2">
      <c r="A20" s="32">
        <v>46273</v>
      </c>
      <c r="B20" s="33" t="s">
        <v>51</v>
      </c>
      <c r="C20" s="34">
        <v>43.7697</v>
      </c>
      <c r="D20" s="35">
        <f>'RC Movement'!E97</f>
        <v>38399</v>
      </c>
      <c r="E20" s="36">
        <f t="shared" si="0"/>
        <v>19838</v>
      </c>
      <c r="F20" s="37">
        <f t="shared" si="1"/>
        <v>3291.5</v>
      </c>
      <c r="G20" s="38">
        <f t="shared" si="2"/>
        <v>0.16591894344187921</v>
      </c>
      <c r="H20" s="39">
        <v>1</v>
      </c>
      <c r="I20" s="40">
        <v>2.73</v>
      </c>
      <c r="J20" s="39">
        <v>12428</v>
      </c>
      <c r="K20" s="39">
        <v>7410</v>
      </c>
      <c r="L20" s="39"/>
      <c r="M20" s="39"/>
      <c r="N20" s="39"/>
      <c r="O20" s="41">
        <v>55</v>
      </c>
      <c r="P20" s="41">
        <v>0.5</v>
      </c>
      <c r="Q20" s="41">
        <v>1100</v>
      </c>
      <c r="R20" s="41">
        <v>1100</v>
      </c>
      <c r="S20" s="41">
        <v>770</v>
      </c>
      <c r="T20" s="41">
        <v>140</v>
      </c>
      <c r="U20" s="41">
        <v>100</v>
      </c>
      <c r="V20" s="41">
        <v>26</v>
      </c>
    </row>
    <row r="21" spans="1:22" x14ac:dyDescent="0.2">
      <c r="A21" s="32">
        <v>46274</v>
      </c>
      <c r="B21" s="33" t="s">
        <v>52</v>
      </c>
      <c r="C21" s="34">
        <v>44.4955</v>
      </c>
      <c r="D21" s="35">
        <f>'RC Movement'!E98</f>
        <v>34480</v>
      </c>
      <c r="E21" s="36">
        <f t="shared" si="0"/>
        <v>27300</v>
      </c>
      <c r="F21" s="37">
        <f t="shared" si="1"/>
        <v>3622.5</v>
      </c>
      <c r="G21" s="38">
        <f t="shared" si="2"/>
        <v>0.13269230769230769</v>
      </c>
      <c r="H21" s="39">
        <v>1</v>
      </c>
      <c r="I21" s="40">
        <v>0.08</v>
      </c>
      <c r="J21" s="39">
        <v>12480</v>
      </c>
      <c r="K21" s="39"/>
      <c r="L21" s="39"/>
      <c r="M21" s="39">
        <v>14820</v>
      </c>
      <c r="N21" s="39"/>
      <c r="O21" s="41">
        <v>50</v>
      </c>
      <c r="P21" s="41">
        <v>0.5</v>
      </c>
      <c r="Q21" s="41">
        <v>1650</v>
      </c>
      <c r="R21" s="41">
        <v>1573</v>
      </c>
      <c r="S21" s="41">
        <v>50</v>
      </c>
      <c r="T21" s="41">
        <v>149</v>
      </c>
      <c r="U21" s="41">
        <v>120</v>
      </c>
      <c r="V21" s="41">
        <v>30</v>
      </c>
    </row>
    <row r="22" spans="1:22" x14ac:dyDescent="0.2">
      <c r="A22" s="32">
        <v>46275</v>
      </c>
      <c r="B22" s="33" t="s">
        <v>53</v>
      </c>
      <c r="C22" s="34">
        <v>46.088700000000003</v>
      </c>
      <c r="D22" s="35">
        <f>'RC Movement'!E99</f>
        <v>31487</v>
      </c>
      <c r="E22" s="36">
        <f t="shared" si="0"/>
        <v>29480</v>
      </c>
      <c r="F22" s="37">
        <f t="shared" si="1"/>
        <v>3537.5</v>
      </c>
      <c r="G22" s="38">
        <f t="shared" si="2"/>
        <v>0.1199966078697422</v>
      </c>
      <c r="H22" s="39">
        <v>1</v>
      </c>
      <c r="I22" s="40">
        <v>0.08</v>
      </c>
      <c r="J22" s="39">
        <v>13520</v>
      </c>
      <c r="K22" s="39"/>
      <c r="L22" s="39"/>
      <c r="M22" s="39">
        <v>15960</v>
      </c>
      <c r="N22" s="39"/>
      <c r="O22" s="41">
        <v>75</v>
      </c>
      <c r="P22" s="41">
        <v>0.5</v>
      </c>
      <c r="Q22" s="41">
        <v>1650</v>
      </c>
      <c r="R22" s="41">
        <v>1481</v>
      </c>
      <c r="S22" s="41">
        <v>80</v>
      </c>
      <c r="T22" s="41">
        <v>98</v>
      </c>
      <c r="U22" s="41">
        <v>125</v>
      </c>
      <c r="V22" s="41">
        <v>28</v>
      </c>
    </row>
    <row r="23" spans="1:22" x14ac:dyDescent="0.2">
      <c r="A23" s="32">
        <v>46276</v>
      </c>
      <c r="B23" s="33" t="s">
        <v>54</v>
      </c>
      <c r="C23" s="34">
        <v>42.4726</v>
      </c>
      <c r="D23" s="35">
        <f>'RC Movement'!E100</f>
        <v>35468</v>
      </c>
      <c r="E23" s="36">
        <f t="shared" si="0"/>
        <v>24030</v>
      </c>
      <c r="F23" s="37">
        <f t="shared" si="1"/>
        <v>4069.5</v>
      </c>
      <c r="G23" s="38">
        <f t="shared" si="2"/>
        <v>0.16935081148564293</v>
      </c>
      <c r="H23" s="39">
        <v>1</v>
      </c>
      <c r="I23" s="40">
        <v>1.45</v>
      </c>
      <c r="J23" s="39">
        <v>18330</v>
      </c>
      <c r="K23" s="39"/>
      <c r="L23" s="39">
        <v>5700</v>
      </c>
      <c r="M23" s="39"/>
      <c r="N23" s="39"/>
      <c r="O23" s="41">
        <v>60</v>
      </c>
      <c r="P23" s="41">
        <v>0.5</v>
      </c>
      <c r="Q23" s="41">
        <v>1650</v>
      </c>
      <c r="R23" s="41">
        <v>1594</v>
      </c>
      <c r="S23" s="41">
        <v>526</v>
      </c>
      <c r="T23" s="41">
        <v>80</v>
      </c>
      <c r="U23" s="41">
        <v>130</v>
      </c>
      <c r="V23" s="41">
        <v>29</v>
      </c>
    </row>
    <row r="24" spans="1:22" x14ac:dyDescent="0.2">
      <c r="A24" s="32">
        <v>46277</v>
      </c>
      <c r="B24" s="33" t="s">
        <v>55</v>
      </c>
      <c r="C24" s="34">
        <v>42.889299999999999</v>
      </c>
      <c r="D24" s="35">
        <f>'RC Movement'!E101</f>
        <v>34155</v>
      </c>
      <c r="E24" s="36">
        <f t="shared" si="0"/>
        <v>26412</v>
      </c>
      <c r="F24" s="37">
        <f t="shared" si="1"/>
        <v>3221.5</v>
      </c>
      <c r="G24" s="38">
        <f t="shared" si="2"/>
        <v>0.12197107375435408</v>
      </c>
      <c r="H24" s="39">
        <v>1</v>
      </c>
      <c r="I24" s="40">
        <v>0.42</v>
      </c>
      <c r="J24" s="39">
        <v>19812</v>
      </c>
      <c r="K24" s="39"/>
      <c r="L24" s="39">
        <v>6600</v>
      </c>
      <c r="M24" s="39"/>
      <c r="N24" s="39"/>
      <c r="O24" s="41">
        <v>75</v>
      </c>
      <c r="P24" s="41">
        <v>0.5</v>
      </c>
      <c r="Q24" s="41">
        <v>1100</v>
      </c>
      <c r="R24" s="41">
        <v>1100</v>
      </c>
      <c r="S24" s="41">
        <v>637</v>
      </c>
      <c r="T24" s="41">
        <v>129</v>
      </c>
      <c r="U24" s="41">
        <v>150</v>
      </c>
      <c r="V24" s="41">
        <v>30</v>
      </c>
    </row>
    <row r="25" spans="1:22" x14ac:dyDescent="0.2">
      <c r="A25" s="42">
        <v>46278</v>
      </c>
      <c r="B25" s="43" t="s">
        <v>56</v>
      </c>
      <c r="C25" s="44"/>
      <c r="D25" s="45">
        <f>'RC Movement'!E102</f>
        <v>0</v>
      </c>
      <c r="E25" s="46">
        <f t="shared" si="0"/>
        <v>0</v>
      </c>
      <c r="F25" s="47">
        <f t="shared" si="1"/>
        <v>0</v>
      </c>
      <c r="G25" s="48" t="str">
        <f t="shared" si="2"/>
        <v/>
      </c>
      <c r="H25" s="49"/>
      <c r="I25" s="50"/>
      <c r="J25" s="49"/>
      <c r="K25" s="49"/>
      <c r="L25" s="49"/>
      <c r="M25" s="49"/>
      <c r="N25" s="49"/>
      <c r="O25" s="51"/>
      <c r="P25" s="51"/>
      <c r="Q25" s="51"/>
      <c r="R25" s="51"/>
      <c r="S25" s="51"/>
      <c r="T25" s="51"/>
      <c r="U25" s="51"/>
      <c r="V25" s="51"/>
    </row>
    <row r="26" spans="1:22" x14ac:dyDescent="0.2">
      <c r="A26" s="32">
        <v>46279</v>
      </c>
      <c r="B26" s="33" t="s">
        <v>57</v>
      </c>
      <c r="C26" s="34">
        <v>43.932899999999997</v>
      </c>
      <c r="D26" s="35">
        <f>'RC Movement'!E103</f>
        <v>36450</v>
      </c>
      <c r="E26" s="36">
        <f t="shared" si="0"/>
        <v>26460</v>
      </c>
      <c r="F26" s="37">
        <f t="shared" si="1"/>
        <v>4888.5</v>
      </c>
      <c r="G26" s="38">
        <f t="shared" si="2"/>
        <v>0.18475056689342403</v>
      </c>
      <c r="H26" s="39">
        <v>1</v>
      </c>
      <c r="I26" s="40">
        <v>1.83</v>
      </c>
      <c r="J26" s="39">
        <v>20410</v>
      </c>
      <c r="K26" s="39"/>
      <c r="L26" s="39">
        <v>6050</v>
      </c>
      <c r="M26" s="39"/>
      <c r="N26" s="39"/>
      <c r="O26" s="41">
        <v>50</v>
      </c>
      <c r="P26" s="41">
        <v>0.5</v>
      </c>
      <c r="Q26" s="41">
        <v>2200</v>
      </c>
      <c r="R26" s="41">
        <v>1739</v>
      </c>
      <c r="S26" s="41">
        <v>582</v>
      </c>
      <c r="T26" s="41">
        <v>114</v>
      </c>
      <c r="U26" s="41">
        <v>175</v>
      </c>
      <c r="V26" s="41">
        <v>28</v>
      </c>
    </row>
    <row r="27" spans="1:22" x14ac:dyDescent="0.2">
      <c r="A27" s="32">
        <v>46280</v>
      </c>
      <c r="B27" s="33" t="s">
        <v>51</v>
      </c>
      <c r="C27" s="34">
        <v>43.450299999999999</v>
      </c>
      <c r="D27" s="35">
        <f>'RC Movement'!E104</f>
        <v>40041</v>
      </c>
      <c r="E27" s="36">
        <f t="shared" si="0"/>
        <v>25480</v>
      </c>
      <c r="F27" s="37">
        <f t="shared" si="1"/>
        <v>5452.5</v>
      </c>
      <c r="G27" s="38">
        <f t="shared" si="2"/>
        <v>0.21399136577708006</v>
      </c>
      <c r="H27" s="39">
        <v>1</v>
      </c>
      <c r="I27" s="40">
        <v>0.53</v>
      </c>
      <c r="J27" s="39">
        <v>18330</v>
      </c>
      <c r="K27" s="39"/>
      <c r="L27" s="39">
        <v>7150</v>
      </c>
      <c r="M27" s="39"/>
      <c r="N27" s="39"/>
      <c r="O27" s="41">
        <v>75</v>
      </c>
      <c r="P27" s="41">
        <v>0.5</v>
      </c>
      <c r="Q27" s="41">
        <v>2200</v>
      </c>
      <c r="R27" s="41">
        <v>2218</v>
      </c>
      <c r="S27" s="41">
        <v>678</v>
      </c>
      <c r="T27" s="41">
        <v>126</v>
      </c>
      <c r="U27" s="41">
        <v>125</v>
      </c>
      <c r="V27" s="41">
        <v>30</v>
      </c>
    </row>
    <row r="28" spans="1:22" x14ac:dyDescent="0.2">
      <c r="A28" s="32">
        <v>46281</v>
      </c>
      <c r="B28" s="33" t="s">
        <v>52</v>
      </c>
      <c r="C28" s="34">
        <v>42.772500000000001</v>
      </c>
      <c r="D28" s="35">
        <f>'RC Movement'!E105</f>
        <v>35460</v>
      </c>
      <c r="E28" s="36">
        <f t="shared" si="0"/>
        <v>27798</v>
      </c>
      <c r="F28" s="37">
        <f t="shared" si="1"/>
        <v>4447.5</v>
      </c>
      <c r="G28" s="38">
        <f t="shared" si="2"/>
        <v>0.15999352471400821</v>
      </c>
      <c r="H28" s="39">
        <v>1</v>
      </c>
      <c r="I28" s="40">
        <v>0.95</v>
      </c>
      <c r="J28" s="39">
        <v>20098</v>
      </c>
      <c r="K28" s="39"/>
      <c r="L28" s="39">
        <v>7700</v>
      </c>
      <c r="M28" s="39"/>
      <c r="N28" s="39"/>
      <c r="O28" s="41">
        <v>50</v>
      </c>
      <c r="P28" s="41">
        <v>0.5</v>
      </c>
      <c r="Q28" s="41">
        <v>1650</v>
      </c>
      <c r="R28" s="41">
        <v>1709</v>
      </c>
      <c r="S28" s="41">
        <v>786</v>
      </c>
      <c r="T28" s="41">
        <v>125</v>
      </c>
      <c r="U28" s="41">
        <v>100</v>
      </c>
      <c r="V28" s="41">
        <v>27</v>
      </c>
    </row>
    <row r="29" spans="1:22" x14ac:dyDescent="0.2">
      <c r="A29" s="20" t="s">
        <v>17</v>
      </c>
      <c r="B29" s="52" t="s">
        <v>148</v>
      </c>
      <c r="C29" s="23">
        <f>SUMPRODUCT(C10:C28,D10:D28)/SUMIF(C10:C28,"&gt;0",D10:D28)</f>
        <v>43.060268083691469</v>
      </c>
      <c r="D29" s="53">
        <f>SUM(D10:D28)</f>
        <v>500744</v>
      </c>
      <c r="E29" s="53">
        <f>SUM(E10:E28)</f>
        <v>372822</v>
      </c>
      <c r="F29" s="22">
        <f>SUM(F10:F28)</f>
        <v>59283.5</v>
      </c>
      <c r="G29" s="21">
        <f t="shared" si="2"/>
        <v>0.15901288014119339</v>
      </c>
      <c r="H29" s="53">
        <f t="shared" ref="H29:V29" si="3">SUM(H10:H28)</f>
        <v>15</v>
      </c>
      <c r="I29" s="54">
        <f t="shared" si="3"/>
        <v>12.329999999999998</v>
      </c>
      <c r="J29" s="53">
        <f t="shared" si="3"/>
        <v>238732</v>
      </c>
      <c r="K29" s="53">
        <f t="shared" si="3"/>
        <v>70110</v>
      </c>
      <c r="L29" s="53">
        <f t="shared" si="3"/>
        <v>33200</v>
      </c>
      <c r="M29" s="53">
        <f t="shared" si="3"/>
        <v>30780</v>
      </c>
      <c r="N29" s="53">
        <f t="shared" si="3"/>
        <v>0</v>
      </c>
      <c r="O29" s="22">
        <f t="shared" si="3"/>
        <v>970</v>
      </c>
      <c r="P29" s="22">
        <f t="shared" si="3"/>
        <v>7.5</v>
      </c>
      <c r="Q29" s="22">
        <f t="shared" si="3"/>
        <v>23650</v>
      </c>
      <c r="R29" s="22">
        <f t="shared" si="3"/>
        <v>21676</v>
      </c>
      <c r="S29" s="22">
        <f t="shared" si="3"/>
        <v>8486</v>
      </c>
      <c r="T29" s="22">
        <f t="shared" si="3"/>
        <v>2145</v>
      </c>
      <c r="U29" s="22">
        <f t="shared" si="3"/>
        <v>1930</v>
      </c>
      <c r="V29" s="22">
        <f t="shared" si="3"/>
        <v>419</v>
      </c>
    </row>
    <row r="32" spans="1:22" x14ac:dyDescent="0.2">
      <c r="A32" s="55" t="s">
        <v>59</v>
      </c>
      <c r="D32" s="9" t="s">
        <v>60</v>
      </c>
    </row>
    <row r="33" spans="1:13" ht="27.75" customHeight="1" x14ac:dyDescent="0.2">
      <c r="A33" s="10" t="s">
        <v>61</v>
      </c>
      <c r="B33" s="10" t="s">
        <v>62</v>
      </c>
      <c r="C33" s="10" t="s">
        <v>63</v>
      </c>
      <c r="D33" s="10" t="s">
        <v>64</v>
      </c>
      <c r="E33" s="10" t="s">
        <v>65</v>
      </c>
      <c r="F33" s="11" t="s">
        <v>66</v>
      </c>
      <c r="G33" s="11" t="s">
        <v>67</v>
      </c>
      <c r="H33" s="13" t="s">
        <v>68</v>
      </c>
      <c r="I33" s="13" t="s">
        <v>69</v>
      </c>
      <c r="J33" s="15" t="s">
        <v>70</v>
      </c>
      <c r="K33" s="15" t="s">
        <v>71</v>
      </c>
      <c r="L33" s="15" t="s">
        <v>72</v>
      </c>
      <c r="M33" s="10" t="s">
        <v>73</v>
      </c>
    </row>
    <row r="34" spans="1:13" x14ac:dyDescent="0.2">
      <c r="A34" s="33" t="s">
        <v>137</v>
      </c>
      <c r="B34" s="33" t="s">
        <v>138</v>
      </c>
      <c r="C34" s="56">
        <v>46258</v>
      </c>
      <c r="D34" s="56">
        <v>46263</v>
      </c>
      <c r="E34" s="57" t="s">
        <v>76</v>
      </c>
      <c r="F34" s="35">
        <f>'RC Movement'!F106</f>
        <v>6119</v>
      </c>
      <c r="G34" s="39">
        <v>41765</v>
      </c>
      <c r="H34" s="39">
        <v>328</v>
      </c>
      <c r="I34" s="38">
        <f t="shared" ref="I34:I47" si="4">IF(AND(E34="CLOSED",G34&gt;0),H34/G34,"")</f>
        <v>7.853465820663234E-3</v>
      </c>
      <c r="J34" s="34">
        <v>39.5</v>
      </c>
      <c r="K34" s="34">
        <v>39.8127</v>
      </c>
      <c r="L34" s="58">
        <f t="shared" ref="L34:L47" si="5">IF(K34="","",K34-J34)</f>
        <v>0.31269999999999953</v>
      </c>
      <c r="M34" s="59" t="s">
        <v>77</v>
      </c>
    </row>
    <row r="35" spans="1:13" x14ac:dyDescent="0.2">
      <c r="A35" s="33" t="s">
        <v>141</v>
      </c>
      <c r="B35" s="33" t="s">
        <v>142</v>
      </c>
      <c r="C35" s="56">
        <v>46259</v>
      </c>
      <c r="D35" s="56">
        <v>46275</v>
      </c>
      <c r="E35" s="57" t="s">
        <v>76</v>
      </c>
      <c r="F35" s="35">
        <f>'RC Movement'!G106</f>
        <v>52007</v>
      </c>
      <c r="G35" s="39">
        <v>74612</v>
      </c>
      <c r="H35" s="39">
        <v>727</v>
      </c>
      <c r="I35" s="38">
        <f t="shared" si="4"/>
        <v>9.7437409531978773E-3</v>
      </c>
      <c r="J35" s="34">
        <v>39.501300000000001</v>
      </c>
      <c r="K35" s="34">
        <v>39.89</v>
      </c>
      <c r="L35" s="58">
        <f t="shared" si="5"/>
        <v>0.38870000000000005</v>
      </c>
      <c r="M35" s="59" t="s">
        <v>77</v>
      </c>
    </row>
    <row r="36" spans="1:13" x14ac:dyDescent="0.2">
      <c r="A36" s="33" t="s">
        <v>143</v>
      </c>
      <c r="B36" s="33" t="s">
        <v>144</v>
      </c>
      <c r="C36" s="56">
        <v>46259</v>
      </c>
      <c r="D36" s="56">
        <v>46268</v>
      </c>
      <c r="E36" s="57" t="s">
        <v>76</v>
      </c>
      <c r="F36" s="35">
        <f>'RC Movement'!H106</f>
        <v>31233</v>
      </c>
      <c r="G36" s="39">
        <v>64640</v>
      </c>
      <c r="H36" s="39">
        <v>1411</v>
      </c>
      <c r="I36" s="38">
        <f t="shared" si="4"/>
        <v>2.182858910891089E-2</v>
      </c>
      <c r="J36" s="34">
        <v>44.626899999999999</v>
      </c>
      <c r="K36" s="34">
        <v>45.622799999999998</v>
      </c>
      <c r="L36" s="58">
        <f t="shared" si="5"/>
        <v>0.9958999999999989</v>
      </c>
      <c r="M36" s="59" t="s">
        <v>77</v>
      </c>
    </row>
    <row r="37" spans="1:13" x14ac:dyDescent="0.2">
      <c r="A37" s="33" t="s">
        <v>149</v>
      </c>
      <c r="B37" s="33" t="s">
        <v>83</v>
      </c>
      <c r="C37" s="56">
        <v>46266</v>
      </c>
      <c r="D37" s="56">
        <v>46270</v>
      </c>
      <c r="E37" s="57" t="s">
        <v>76</v>
      </c>
      <c r="F37" s="35">
        <f>'RC Movement'!I106</f>
        <v>54490</v>
      </c>
      <c r="G37" s="39">
        <v>55060</v>
      </c>
      <c r="H37" s="39">
        <v>570</v>
      </c>
      <c r="I37" s="38">
        <f t="shared" si="4"/>
        <v>1.0352342898656011E-2</v>
      </c>
      <c r="J37" s="34">
        <v>39.5</v>
      </c>
      <c r="K37" s="34">
        <v>39.913200000000003</v>
      </c>
      <c r="L37" s="58">
        <f t="shared" si="5"/>
        <v>0.41320000000000334</v>
      </c>
      <c r="M37" s="59" t="s">
        <v>77</v>
      </c>
    </row>
    <row r="38" spans="1:13" x14ac:dyDescent="0.2">
      <c r="A38" s="33" t="s">
        <v>150</v>
      </c>
      <c r="B38" s="33" t="s">
        <v>87</v>
      </c>
      <c r="C38" s="56">
        <v>46267</v>
      </c>
      <c r="D38" s="56">
        <v>46269</v>
      </c>
      <c r="E38" s="57" t="s">
        <v>76</v>
      </c>
      <c r="F38" s="35">
        <f>'RC Movement'!J106</f>
        <v>19385</v>
      </c>
      <c r="G38" s="39">
        <v>19385</v>
      </c>
      <c r="H38" s="39">
        <v>0</v>
      </c>
      <c r="I38" s="38">
        <f t="shared" si="4"/>
        <v>0</v>
      </c>
      <c r="J38" s="34">
        <v>39</v>
      </c>
      <c r="K38" s="34">
        <v>39</v>
      </c>
      <c r="L38" s="58">
        <f t="shared" si="5"/>
        <v>0</v>
      </c>
      <c r="M38" s="59" t="s">
        <v>77</v>
      </c>
    </row>
    <row r="39" spans="1:13" x14ac:dyDescent="0.2">
      <c r="A39" s="33" t="s">
        <v>151</v>
      </c>
      <c r="B39" s="33" t="s">
        <v>152</v>
      </c>
      <c r="C39" s="56">
        <v>46268</v>
      </c>
      <c r="D39" s="56">
        <v>46273</v>
      </c>
      <c r="E39" s="57" t="s">
        <v>76</v>
      </c>
      <c r="F39" s="35">
        <f>'RC Movement'!K106</f>
        <v>55330</v>
      </c>
      <c r="G39" s="39">
        <v>58195</v>
      </c>
      <c r="H39" s="39">
        <v>2865</v>
      </c>
      <c r="I39" s="38">
        <f t="shared" si="4"/>
        <v>4.9231033593951368E-2</v>
      </c>
      <c r="J39" s="34">
        <v>45.543199999999999</v>
      </c>
      <c r="K39" s="34">
        <v>47.901499999999999</v>
      </c>
      <c r="L39" s="58">
        <f t="shared" si="5"/>
        <v>2.3582999999999998</v>
      </c>
      <c r="M39" s="59" t="s">
        <v>77</v>
      </c>
    </row>
    <row r="40" spans="1:13" x14ac:dyDescent="0.2">
      <c r="A40" s="33" t="s">
        <v>153</v>
      </c>
      <c r="B40" s="33" t="s">
        <v>154</v>
      </c>
      <c r="C40" s="56">
        <v>46270</v>
      </c>
      <c r="D40" s="56">
        <v>46275</v>
      </c>
      <c r="E40" s="57" t="s">
        <v>76</v>
      </c>
      <c r="F40" s="35">
        <f>'RC Movement'!L106</f>
        <v>52148</v>
      </c>
      <c r="G40" s="39">
        <v>53705</v>
      </c>
      <c r="H40" s="39">
        <v>1557</v>
      </c>
      <c r="I40" s="38">
        <f t="shared" si="4"/>
        <v>2.8991713993110513E-2</v>
      </c>
      <c r="J40" s="34">
        <v>48.607599999999998</v>
      </c>
      <c r="K40" s="34">
        <v>50.058900000000001</v>
      </c>
      <c r="L40" s="58">
        <f t="shared" si="5"/>
        <v>1.4513000000000034</v>
      </c>
      <c r="M40" s="59" t="s">
        <v>77</v>
      </c>
    </row>
    <row r="41" spans="1:13" x14ac:dyDescent="0.2">
      <c r="A41" s="33" t="s">
        <v>155</v>
      </c>
      <c r="B41" s="33" t="s">
        <v>87</v>
      </c>
      <c r="C41" s="56">
        <v>46272</v>
      </c>
      <c r="D41" s="56">
        <v>46274</v>
      </c>
      <c r="E41" s="57" t="s">
        <v>76</v>
      </c>
      <c r="F41" s="35">
        <f>'RC Movement'!M106</f>
        <v>19170</v>
      </c>
      <c r="G41" s="39">
        <v>19170</v>
      </c>
      <c r="H41" s="39">
        <v>0</v>
      </c>
      <c r="I41" s="38">
        <f t="shared" si="4"/>
        <v>0</v>
      </c>
      <c r="J41" s="34">
        <v>39</v>
      </c>
      <c r="K41" s="34">
        <v>39</v>
      </c>
      <c r="L41" s="58">
        <f t="shared" si="5"/>
        <v>0</v>
      </c>
      <c r="M41" s="59" t="s">
        <v>77</v>
      </c>
    </row>
    <row r="42" spans="1:13" x14ac:dyDescent="0.2">
      <c r="A42" s="33" t="s">
        <v>156</v>
      </c>
      <c r="B42" s="33" t="s">
        <v>157</v>
      </c>
      <c r="C42" s="56">
        <v>46274</v>
      </c>
      <c r="D42" s="56">
        <v>46279</v>
      </c>
      <c r="E42" s="57" t="s">
        <v>76</v>
      </c>
      <c r="F42" s="35">
        <f>'RC Movement'!N106</f>
        <v>53395</v>
      </c>
      <c r="G42" s="39">
        <v>55525</v>
      </c>
      <c r="H42" s="39">
        <v>2130</v>
      </c>
      <c r="I42" s="38">
        <f t="shared" si="4"/>
        <v>3.8361098604232327E-2</v>
      </c>
      <c r="J42" s="34">
        <v>45.566400000000002</v>
      </c>
      <c r="K42" s="34">
        <v>47.384099999999997</v>
      </c>
      <c r="L42" s="58">
        <f t="shared" si="5"/>
        <v>1.817699999999995</v>
      </c>
      <c r="M42" s="59" t="s">
        <v>77</v>
      </c>
    </row>
    <row r="43" spans="1:13" x14ac:dyDescent="0.2">
      <c r="A43" s="43" t="s">
        <v>158</v>
      </c>
      <c r="B43" s="43" t="s">
        <v>159</v>
      </c>
      <c r="C43" s="61">
        <v>46275</v>
      </c>
      <c r="D43" s="61"/>
      <c r="E43" s="62" t="s">
        <v>160</v>
      </c>
      <c r="F43" s="45">
        <f>'RC Movement'!O106</f>
        <v>34175</v>
      </c>
      <c r="G43" s="49">
        <v>52860</v>
      </c>
      <c r="H43" s="49"/>
      <c r="I43" s="48" t="str">
        <f t="shared" si="4"/>
        <v/>
      </c>
      <c r="J43" s="44">
        <v>48.807699999999997</v>
      </c>
      <c r="K43" s="44"/>
      <c r="L43" s="63" t="str">
        <f t="shared" si="5"/>
        <v/>
      </c>
      <c r="M43" s="64" t="s">
        <v>161</v>
      </c>
    </row>
    <row r="44" spans="1:13" x14ac:dyDescent="0.2">
      <c r="A44" s="33" t="s">
        <v>162</v>
      </c>
      <c r="B44" s="33" t="s">
        <v>87</v>
      </c>
      <c r="C44" s="56">
        <v>46275</v>
      </c>
      <c r="D44" s="56">
        <v>46277</v>
      </c>
      <c r="E44" s="57" t="s">
        <v>76</v>
      </c>
      <c r="F44" s="35">
        <f>'RC Movement'!P106</f>
        <v>19510</v>
      </c>
      <c r="G44" s="39">
        <v>19510</v>
      </c>
      <c r="H44" s="39">
        <v>0</v>
      </c>
      <c r="I44" s="38">
        <f t="shared" si="4"/>
        <v>0</v>
      </c>
      <c r="J44" s="34">
        <v>39</v>
      </c>
      <c r="K44" s="34">
        <v>39</v>
      </c>
      <c r="L44" s="58">
        <f t="shared" si="5"/>
        <v>0</v>
      </c>
      <c r="M44" s="59" t="s">
        <v>77</v>
      </c>
    </row>
    <row r="45" spans="1:13" x14ac:dyDescent="0.2">
      <c r="A45" s="43" t="s">
        <v>163</v>
      </c>
      <c r="B45" s="43" t="s">
        <v>164</v>
      </c>
      <c r="C45" s="61">
        <v>46276</v>
      </c>
      <c r="D45" s="61"/>
      <c r="E45" s="62" t="s">
        <v>160</v>
      </c>
      <c r="F45" s="45">
        <f>'RC Movement'!Q106</f>
        <v>61713</v>
      </c>
      <c r="G45" s="49">
        <v>75577</v>
      </c>
      <c r="H45" s="49"/>
      <c r="I45" s="48" t="str">
        <f t="shared" si="4"/>
        <v/>
      </c>
      <c r="J45" s="44">
        <v>39.916699999999999</v>
      </c>
      <c r="K45" s="44"/>
      <c r="L45" s="63" t="str">
        <f t="shared" si="5"/>
        <v/>
      </c>
      <c r="M45" s="64" t="s">
        <v>161</v>
      </c>
    </row>
    <row r="46" spans="1:13" x14ac:dyDescent="0.2">
      <c r="A46" s="43" t="s">
        <v>165</v>
      </c>
      <c r="B46" s="43" t="s">
        <v>166</v>
      </c>
      <c r="C46" s="61">
        <v>46279</v>
      </c>
      <c r="D46" s="61"/>
      <c r="E46" s="62" t="s">
        <v>160</v>
      </c>
      <c r="F46" s="45">
        <f>'RC Movement'!R106</f>
        <v>34019</v>
      </c>
      <c r="G46" s="49">
        <v>53675</v>
      </c>
      <c r="H46" s="49"/>
      <c r="I46" s="48" t="str">
        <f t="shared" si="4"/>
        <v/>
      </c>
      <c r="J46" s="44">
        <v>44.75</v>
      </c>
      <c r="K46" s="44"/>
      <c r="L46" s="63" t="str">
        <f t="shared" si="5"/>
        <v/>
      </c>
      <c r="M46" s="64" t="s">
        <v>161</v>
      </c>
    </row>
    <row r="47" spans="1:13" x14ac:dyDescent="0.2">
      <c r="A47" s="43" t="s">
        <v>167</v>
      </c>
      <c r="B47" s="43" t="s">
        <v>87</v>
      </c>
      <c r="C47" s="61">
        <v>46280</v>
      </c>
      <c r="D47" s="61"/>
      <c r="E47" s="62" t="s">
        <v>160</v>
      </c>
      <c r="F47" s="45">
        <f>'RC Movement'!S106</f>
        <v>8050</v>
      </c>
      <c r="G47" s="49">
        <v>18050</v>
      </c>
      <c r="H47" s="49"/>
      <c r="I47" s="48" t="str">
        <f t="shared" si="4"/>
        <v/>
      </c>
      <c r="J47" s="44">
        <v>39</v>
      </c>
      <c r="K47" s="44"/>
      <c r="L47" s="63" t="str">
        <f t="shared" si="5"/>
        <v/>
      </c>
      <c r="M47" s="64" t="s">
        <v>161</v>
      </c>
    </row>
    <row r="48" spans="1:13" x14ac:dyDescent="0.2">
      <c r="A48" s="20" t="s">
        <v>168</v>
      </c>
      <c r="B48" s="4" t="str">
        <f>COUNTIF(E34:E47,"CLOSED")&amp;" closed · "&amp;COUNTIF(E34:E47,"OPEN")&amp;" open · "&amp;COUNTIF(M34:M47,"Y")&amp;" in price set"</f>
        <v>10 closed · 4 open · 10 in price set</v>
      </c>
      <c r="C48" s="4"/>
      <c r="D48" s="4"/>
      <c r="E48" s="4"/>
      <c r="F48" s="53">
        <f>SUM(F34:F47)</f>
        <v>500744</v>
      </c>
      <c r="G48" s="53">
        <f>SUM(G34:G47)</f>
        <v>661729</v>
      </c>
      <c r="H48" s="53">
        <f>SUM(H34:H47)</f>
        <v>9588</v>
      </c>
      <c r="I48" s="21">
        <f>SUMIF(E34:E47,"CLOSED",H34:H47)/SUMIF(E34:E47,"CLOSED",G34:G47)</f>
        <v>2.0772715553754924E-2</v>
      </c>
      <c r="J48" s="23">
        <f>SUMPRODUCT((M34:M47="Y")*F34:F47*J34:J47)/SUMPRODUCT((M34:M47="Y")*F34:F47)</f>
        <v>42.985219662226044</v>
      </c>
      <c r="K48" s="23">
        <f>SUMPRODUCT((M34:M47="Y")*F34:F47*K34:K47)/SUMPRODUCT((M34:M47="Y")*F34:F47)</f>
        <v>44.029832528177693</v>
      </c>
      <c r="L48" s="23">
        <f>SUMPRODUCT((M34:M47="Y")*J34:J47*G34:G47)/SUMPRODUCT((M34:M47="Y")*(G34:G47-H34:H47))-SUMPRODUCT((M34:M47="Y")*J34:J47*G34:G47)/SUMPRODUCT((M34:M47="Y")*G34:G47)</f>
        <v>0.90595346802079746</v>
      </c>
      <c r="M48" s="60"/>
    </row>
  </sheetData>
  <mergeCells count="6">
    <mergeCell ref="B48:E48"/>
    <mergeCell ref="A8:B8"/>
    <mergeCell ref="F8:G8"/>
    <mergeCell ref="H8:I8"/>
    <mergeCell ref="J8:N8"/>
    <mergeCell ref="O8:V8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9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3" sqref="L33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3" width="6" customWidth="1"/>
    <col min="4" max="4" width="11" customWidth="1"/>
    <col min="5" max="5" width="13" customWidth="1"/>
    <col min="6" max="25" width="15" customWidth="1"/>
  </cols>
  <sheetData>
    <row r="1" spans="1:24" ht="18" x14ac:dyDescent="0.2">
      <c r="A1" s="8" t="s">
        <v>169</v>
      </c>
    </row>
    <row r="2" spans="1:24" x14ac:dyDescent="0.2">
      <c r="A2" s="9" t="s">
        <v>170</v>
      </c>
    </row>
    <row r="4" spans="1:24" x14ac:dyDescent="0.2">
      <c r="A4" s="55" t="s">
        <v>171</v>
      </c>
    </row>
    <row r="5" spans="1:24" ht="15" customHeight="1" x14ac:dyDescent="0.2">
      <c r="A5" s="3" t="s">
        <v>172</v>
      </c>
      <c r="B5" s="3" t="s">
        <v>31</v>
      </c>
      <c r="C5" s="3" t="s">
        <v>23</v>
      </c>
      <c r="D5" s="2" t="s">
        <v>173</v>
      </c>
      <c r="E5" s="1" t="s">
        <v>174</v>
      </c>
      <c r="F5" s="11" t="s">
        <v>74</v>
      </c>
      <c r="G5" s="11" t="s">
        <v>78</v>
      </c>
      <c r="H5" s="11" t="s">
        <v>80</v>
      </c>
      <c r="I5" s="11" t="s">
        <v>82</v>
      </c>
      <c r="J5" s="11" t="s">
        <v>84</v>
      </c>
      <c r="K5" s="11" t="s">
        <v>86</v>
      </c>
      <c r="L5" s="11" t="s">
        <v>88</v>
      </c>
      <c r="M5" s="11" t="s">
        <v>90</v>
      </c>
      <c r="N5" s="11" t="s">
        <v>92</v>
      </c>
      <c r="O5" s="11" t="s">
        <v>94</v>
      </c>
      <c r="P5" s="11" t="s">
        <v>96</v>
      </c>
      <c r="Q5" s="11" t="s">
        <v>98</v>
      </c>
      <c r="R5" s="11" t="s">
        <v>100</v>
      </c>
      <c r="S5" s="11" t="s">
        <v>102</v>
      </c>
      <c r="T5" s="11" t="s">
        <v>103</v>
      </c>
      <c r="U5" s="11" t="s">
        <v>105</v>
      </c>
      <c r="V5" s="11" t="s">
        <v>107</v>
      </c>
      <c r="W5" s="11" t="s">
        <v>109</v>
      </c>
      <c r="X5" s="11" t="s">
        <v>111</v>
      </c>
    </row>
    <row r="6" spans="1:24" x14ac:dyDescent="0.2">
      <c r="A6" s="3"/>
      <c r="B6" s="3"/>
      <c r="C6" s="3"/>
      <c r="D6" s="3"/>
      <c r="E6" s="3"/>
      <c r="F6" s="65" t="s">
        <v>75</v>
      </c>
      <c r="G6" s="65" t="s">
        <v>79</v>
      </c>
      <c r="H6" s="65" t="s">
        <v>81</v>
      </c>
      <c r="I6" s="65" t="s">
        <v>83</v>
      </c>
      <c r="J6" s="65" t="s">
        <v>85</v>
      </c>
      <c r="K6" s="65" t="s">
        <v>87</v>
      </c>
      <c r="L6" s="65" t="s">
        <v>89</v>
      </c>
      <c r="M6" s="65" t="s">
        <v>91</v>
      </c>
      <c r="N6" s="65" t="s">
        <v>93</v>
      </c>
      <c r="O6" s="65" t="s">
        <v>95</v>
      </c>
      <c r="P6" s="65" t="s">
        <v>97</v>
      </c>
      <c r="Q6" s="65" t="s">
        <v>99</v>
      </c>
      <c r="R6" s="65" t="s">
        <v>101</v>
      </c>
      <c r="S6" s="65" t="s">
        <v>87</v>
      </c>
      <c r="T6" s="65" t="s">
        <v>104</v>
      </c>
      <c r="U6" s="65" t="s">
        <v>106</v>
      </c>
      <c r="V6" s="65" t="s">
        <v>108</v>
      </c>
      <c r="W6" s="65" t="s">
        <v>110</v>
      </c>
      <c r="X6" s="65" t="s">
        <v>112</v>
      </c>
    </row>
    <row r="7" spans="1:24" s="83" customFormat="1" x14ac:dyDescent="0.2">
      <c r="A7" s="155">
        <v>1</v>
      </c>
      <c r="B7" s="158">
        <v>46203</v>
      </c>
      <c r="C7" s="126" t="s">
        <v>51</v>
      </c>
      <c r="D7" s="127">
        <v>44.022100000000002</v>
      </c>
      <c r="E7" s="114">
        <f t="shared" ref="E7:E39" si="0">SUM(F7:X7)</f>
        <v>18963</v>
      </c>
      <c r="F7" s="128">
        <v>2507</v>
      </c>
      <c r="G7" s="128">
        <v>11384</v>
      </c>
      <c r="H7" s="128">
        <v>1203</v>
      </c>
      <c r="I7" s="128">
        <v>1414</v>
      </c>
      <c r="J7" s="128">
        <v>2455</v>
      </c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</row>
    <row r="8" spans="1:24" s="83" customFormat="1" x14ac:dyDescent="0.2">
      <c r="A8" s="155">
        <v>2</v>
      </c>
      <c r="B8" s="158">
        <v>46204</v>
      </c>
      <c r="C8" s="126" t="s">
        <v>52</v>
      </c>
      <c r="D8" s="127">
        <v>42.742600000000003</v>
      </c>
      <c r="E8" s="114">
        <f t="shared" si="0"/>
        <v>36226</v>
      </c>
      <c r="F8" s="128">
        <v>5658</v>
      </c>
      <c r="G8" s="128">
        <v>12473</v>
      </c>
      <c r="H8" s="128">
        <v>2576</v>
      </c>
      <c r="I8" s="128"/>
      <c r="J8" s="128">
        <v>5519</v>
      </c>
      <c r="K8" s="128">
        <v>10000</v>
      </c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</row>
    <row r="9" spans="1:24" s="83" customFormat="1" x14ac:dyDescent="0.2">
      <c r="A9" s="155">
        <v>3</v>
      </c>
      <c r="B9" s="158">
        <v>46205</v>
      </c>
      <c r="C9" s="126" t="s">
        <v>53</v>
      </c>
      <c r="D9" s="127">
        <v>43.323399999999999</v>
      </c>
      <c r="E9" s="114">
        <f t="shared" si="0"/>
        <v>30992</v>
      </c>
      <c r="F9" s="128">
        <v>5430</v>
      </c>
      <c r="G9" s="128">
        <v>11831</v>
      </c>
      <c r="H9" s="128">
        <v>2754</v>
      </c>
      <c r="I9" s="128"/>
      <c r="J9" s="128">
        <v>4977</v>
      </c>
      <c r="K9" s="128">
        <v>6000</v>
      </c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</row>
    <row r="10" spans="1:24" s="83" customFormat="1" x14ac:dyDescent="0.2">
      <c r="A10" s="155">
        <v>4</v>
      </c>
      <c r="B10" s="158">
        <v>46206</v>
      </c>
      <c r="C10" s="126" t="s">
        <v>54</v>
      </c>
      <c r="D10" s="127">
        <v>44.246000000000002</v>
      </c>
      <c r="E10" s="114">
        <f t="shared" si="0"/>
        <v>33040</v>
      </c>
      <c r="F10" s="128">
        <v>7142</v>
      </c>
      <c r="G10" s="128">
        <v>11686</v>
      </c>
      <c r="H10" s="128">
        <v>3784</v>
      </c>
      <c r="I10" s="128"/>
      <c r="J10" s="128">
        <v>7003</v>
      </c>
      <c r="K10" s="128">
        <v>3425</v>
      </c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</row>
    <row r="11" spans="1:24" s="83" customFormat="1" x14ac:dyDescent="0.2">
      <c r="A11" s="155">
        <v>5</v>
      </c>
      <c r="B11" s="158">
        <v>46207</v>
      </c>
      <c r="C11" s="126" t="s">
        <v>55</v>
      </c>
      <c r="D11" s="127">
        <v>44.633800000000001</v>
      </c>
      <c r="E11" s="114">
        <f t="shared" si="0"/>
        <v>35066</v>
      </c>
      <c r="F11" s="128">
        <v>6629</v>
      </c>
      <c r="G11" s="128">
        <v>11694</v>
      </c>
      <c r="H11" s="128">
        <v>3541</v>
      </c>
      <c r="I11" s="128"/>
      <c r="J11" s="128">
        <v>7119</v>
      </c>
      <c r="K11" s="128"/>
      <c r="L11" s="128">
        <v>6083</v>
      </c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</row>
    <row r="12" spans="1:24" s="83" customFormat="1" x14ac:dyDescent="0.2">
      <c r="A12" s="156">
        <v>6</v>
      </c>
      <c r="B12" s="159">
        <v>46208</v>
      </c>
      <c r="C12" s="132" t="s">
        <v>56</v>
      </c>
      <c r="D12" s="133"/>
      <c r="E12" s="157">
        <f t="shared" si="0"/>
        <v>0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</row>
    <row r="13" spans="1:24" s="83" customFormat="1" x14ac:dyDescent="0.2">
      <c r="A13" s="155">
        <v>7</v>
      </c>
      <c r="B13" s="158">
        <v>46209</v>
      </c>
      <c r="C13" s="126" t="s">
        <v>57</v>
      </c>
      <c r="D13" s="127">
        <v>45.262500000000003</v>
      </c>
      <c r="E13" s="114">
        <f t="shared" si="0"/>
        <v>33892</v>
      </c>
      <c r="F13" s="128">
        <v>6834</v>
      </c>
      <c r="G13" s="128"/>
      <c r="H13" s="128">
        <v>3690</v>
      </c>
      <c r="I13" s="128"/>
      <c r="J13" s="128">
        <v>6792</v>
      </c>
      <c r="K13" s="128"/>
      <c r="L13" s="128">
        <v>16576</v>
      </c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</row>
    <row r="14" spans="1:24" s="83" customFormat="1" x14ac:dyDescent="0.2">
      <c r="A14" s="155">
        <v>8</v>
      </c>
      <c r="B14" s="158">
        <v>46210</v>
      </c>
      <c r="C14" s="126" t="s">
        <v>51</v>
      </c>
      <c r="D14" s="127">
        <v>45.436900000000001</v>
      </c>
      <c r="E14" s="114">
        <f t="shared" si="0"/>
        <v>32944</v>
      </c>
      <c r="F14" s="128">
        <v>7658</v>
      </c>
      <c r="G14" s="128"/>
      <c r="H14" s="128">
        <v>3650</v>
      </c>
      <c r="I14" s="128"/>
      <c r="J14" s="128">
        <v>6501</v>
      </c>
      <c r="K14" s="128"/>
      <c r="L14" s="128">
        <v>15135</v>
      </c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</row>
    <row r="15" spans="1:24" s="83" customFormat="1" x14ac:dyDescent="0.2">
      <c r="A15" s="155">
        <v>9</v>
      </c>
      <c r="B15" s="158">
        <v>46211</v>
      </c>
      <c r="C15" s="126" t="s">
        <v>52</v>
      </c>
      <c r="D15" s="127">
        <v>44.615400000000001</v>
      </c>
      <c r="E15" s="114">
        <f t="shared" si="0"/>
        <v>36171</v>
      </c>
      <c r="F15" s="128">
        <v>7463</v>
      </c>
      <c r="G15" s="128"/>
      <c r="H15" s="128">
        <v>3598</v>
      </c>
      <c r="I15" s="128"/>
      <c r="J15" s="128">
        <v>6824</v>
      </c>
      <c r="K15" s="128"/>
      <c r="L15" s="128">
        <v>15286</v>
      </c>
      <c r="M15" s="128">
        <v>3000</v>
      </c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</row>
    <row r="16" spans="1:24" s="83" customFormat="1" x14ac:dyDescent="0.2">
      <c r="A16" s="155">
        <v>10</v>
      </c>
      <c r="B16" s="158">
        <v>46212</v>
      </c>
      <c r="C16" s="126" t="s">
        <v>53</v>
      </c>
      <c r="D16" s="127">
        <v>41.124400000000001</v>
      </c>
      <c r="E16" s="114">
        <f t="shared" si="0"/>
        <v>38644</v>
      </c>
      <c r="F16" s="128">
        <v>2172</v>
      </c>
      <c r="G16" s="128"/>
      <c r="H16" s="128">
        <v>1257</v>
      </c>
      <c r="I16" s="128"/>
      <c r="J16" s="128">
        <v>2042</v>
      </c>
      <c r="K16" s="128"/>
      <c r="L16" s="128"/>
      <c r="M16" s="128">
        <v>16605</v>
      </c>
      <c r="N16" s="128">
        <v>16568</v>
      </c>
      <c r="O16" s="128"/>
      <c r="P16" s="128"/>
      <c r="Q16" s="128"/>
      <c r="R16" s="128"/>
      <c r="S16" s="128"/>
      <c r="T16" s="128"/>
      <c r="U16" s="128"/>
      <c r="V16" s="128"/>
      <c r="W16" s="128"/>
      <c r="X16" s="128"/>
    </row>
    <row r="17" spans="1:24" s="83" customFormat="1" x14ac:dyDescent="0.2">
      <c r="A17" s="155">
        <v>11</v>
      </c>
      <c r="B17" s="158">
        <v>46213</v>
      </c>
      <c r="C17" s="126" t="s">
        <v>54</v>
      </c>
      <c r="D17" s="127">
        <v>45.704300000000003</v>
      </c>
      <c r="E17" s="114">
        <f t="shared" si="0"/>
        <v>36541</v>
      </c>
      <c r="F17" s="128">
        <v>7747</v>
      </c>
      <c r="G17" s="128"/>
      <c r="H17" s="128">
        <v>3887</v>
      </c>
      <c r="I17" s="128"/>
      <c r="J17" s="128">
        <v>7845</v>
      </c>
      <c r="K17" s="128"/>
      <c r="L17" s="128"/>
      <c r="M17" s="128"/>
      <c r="N17" s="128">
        <v>17062</v>
      </c>
      <c r="O17" s="128"/>
      <c r="P17" s="128"/>
      <c r="Q17" s="128"/>
      <c r="R17" s="128"/>
      <c r="S17" s="128"/>
      <c r="T17" s="128"/>
      <c r="U17" s="128"/>
      <c r="V17" s="128"/>
      <c r="W17" s="128"/>
      <c r="X17" s="128"/>
    </row>
    <row r="18" spans="1:24" s="83" customFormat="1" x14ac:dyDescent="0.2">
      <c r="A18" s="155">
        <v>12</v>
      </c>
      <c r="B18" s="158">
        <v>46214</v>
      </c>
      <c r="C18" s="126" t="s">
        <v>55</v>
      </c>
      <c r="D18" s="127">
        <v>45.200400000000002</v>
      </c>
      <c r="E18" s="114">
        <f t="shared" si="0"/>
        <v>37409</v>
      </c>
      <c r="F18" s="128">
        <v>4710</v>
      </c>
      <c r="G18" s="128"/>
      <c r="H18" s="128">
        <v>2777</v>
      </c>
      <c r="I18" s="128"/>
      <c r="J18" s="128">
        <v>9432</v>
      </c>
      <c r="K18" s="128"/>
      <c r="L18" s="128"/>
      <c r="M18" s="128"/>
      <c r="N18" s="128">
        <v>20490</v>
      </c>
      <c r="O18" s="128"/>
      <c r="P18" s="128"/>
      <c r="Q18" s="128"/>
      <c r="R18" s="128"/>
      <c r="S18" s="128"/>
      <c r="T18" s="128"/>
      <c r="U18" s="128"/>
      <c r="V18" s="128"/>
      <c r="W18" s="128"/>
      <c r="X18" s="128"/>
    </row>
    <row r="19" spans="1:24" s="83" customFormat="1" x14ac:dyDescent="0.2">
      <c r="A19" s="156">
        <v>13</v>
      </c>
      <c r="B19" s="159">
        <v>46215</v>
      </c>
      <c r="C19" s="132" t="s">
        <v>56</v>
      </c>
      <c r="D19" s="133"/>
      <c r="E19" s="157">
        <f t="shared" si="0"/>
        <v>0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</row>
    <row r="20" spans="1:24" s="83" customFormat="1" x14ac:dyDescent="0.2">
      <c r="A20" s="155">
        <v>14</v>
      </c>
      <c r="B20" s="158">
        <v>46216</v>
      </c>
      <c r="C20" s="126" t="s">
        <v>57</v>
      </c>
      <c r="D20" s="127">
        <v>48.423400000000001</v>
      </c>
      <c r="E20" s="114">
        <f t="shared" si="0"/>
        <v>25492</v>
      </c>
      <c r="F20" s="128"/>
      <c r="G20" s="128"/>
      <c r="H20" s="128"/>
      <c r="I20" s="128"/>
      <c r="J20" s="128"/>
      <c r="K20" s="128"/>
      <c r="L20" s="128"/>
      <c r="M20" s="128"/>
      <c r="N20" s="128"/>
      <c r="O20" s="128">
        <v>16154</v>
      </c>
      <c r="P20" s="128">
        <v>9338</v>
      </c>
      <c r="Q20" s="128"/>
      <c r="R20" s="128"/>
      <c r="S20" s="128"/>
      <c r="T20" s="128"/>
      <c r="U20" s="128"/>
      <c r="V20" s="128"/>
      <c r="W20" s="128"/>
      <c r="X20" s="128"/>
    </row>
    <row r="21" spans="1:24" s="83" customFormat="1" x14ac:dyDescent="0.2">
      <c r="A21" s="155">
        <v>15</v>
      </c>
      <c r="B21" s="158">
        <v>46217</v>
      </c>
      <c r="C21" s="126" t="s">
        <v>51</v>
      </c>
      <c r="D21" s="127">
        <v>48.189700000000002</v>
      </c>
      <c r="E21" s="114">
        <f t="shared" si="0"/>
        <v>42356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>
        <v>20553</v>
      </c>
      <c r="P21" s="128">
        <v>21803</v>
      </c>
      <c r="Q21" s="128"/>
      <c r="R21" s="128"/>
      <c r="S21" s="128"/>
      <c r="T21" s="128"/>
      <c r="U21" s="128"/>
      <c r="V21" s="128"/>
      <c r="W21" s="128"/>
      <c r="X21" s="128"/>
    </row>
    <row r="22" spans="1:24" s="83" customFormat="1" x14ac:dyDescent="0.2">
      <c r="A22" s="155">
        <v>16</v>
      </c>
      <c r="B22" s="158">
        <v>46218</v>
      </c>
      <c r="C22" s="126" t="s">
        <v>52</v>
      </c>
      <c r="D22" s="127">
        <v>48.232900000000001</v>
      </c>
      <c r="E22" s="114">
        <f t="shared" si="0"/>
        <v>10366</v>
      </c>
      <c r="F22" s="128"/>
      <c r="G22" s="128"/>
      <c r="H22" s="128"/>
      <c r="I22" s="128"/>
      <c r="J22" s="128"/>
      <c r="K22" s="128"/>
      <c r="L22" s="128"/>
      <c r="M22" s="128"/>
      <c r="N22" s="128"/>
      <c r="O22" s="128">
        <v>5315</v>
      </c>
      <c r="P22" s="128">
        <v>5051</v>
      </c>
      <c r="Q22" s="128"/>
      <c r="R22" s="128"/>
      <c r="S22" s="128"/>
      <c r="T22" s="128"/>
      <c r="U22" s="128"/>
      <c r="V22" s="128"/>
      <c r="W22" s="128"/>
      <c r="X22" s="128"/>
    </row>
    <row r="23" spans="1:24" s="83" customFormat="1" x14ac:dyDescent="0.2">
      <c r="A23" s="155">
        <v>17</v>
      </c>
      <c r="B23" s="158">
        <v>46219</v>
      </c>
      <c r="C23" s="126" t="s">
        <v>53</v>
      </c>
      <c r="D23" s="127">
        <v>48.194600000000001</v>
      </c>
      <c r="E23" s="114">
        <f t="shared" si="0"/>
        <v>19966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>
        <v>9751</v>
      </c>
      <c r="P23" s="128">
        <v>10215</v>
      </c>
      <c r="Q23" s="128"/>
      <c r="R23" s="128"/>
      <c r="S23" s="128"/>
      <c r="T23" s="128"/>
      <c r="U23" s="128"/>
      <c r="V23" s="128"/>
      <c r="W23" s="128"/>
      <c r="X23" s="128"/>
    </row>
    <row r="24" spans="1:24" s="83" customFormat="1" x14ac:dyDescent="0.2">
      <c r="A24" s="155">
        <v>18</v>
      </c>
      <c r="B24" s="158">
        <v>46220</v>
      </c>
      <c r="C24" s="126" t="s">
        <v>54</v>
      </c>
      <c r="D24" s="127"/>
      <c r="E24" s="114">
        <f t="shared" si="0"/>
        <v>0</v>
      </c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</row>
    <row r="25" spans="1:24" s="83" customFormat="1" x14ac:dyDescent="0.2">
      <c r="A25" s="156">
        <v>19</v>
      </c>
      <c r="B25" s="159">
        <v>46221</v>
      </c>
      <c r="C25" s="132" t="s">
        <v>55</v>
      </c>
      <c r="D25" s="133"/>
      <c r="E25" s="157">
        <f t="shared" si="0"/>
        <v>0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</row>
    <row r="26" spans="1:24" s="83" customFormat="1" x14ac:dyDescent="0.2">
      <c r="A26" s="156">
        <v>20</v>
      </c>
      <c r="B26" s="159">
        <v>46222</v>
      </c>
      <c r="C26" s="132" t="s">
        <v>56</v>
      </c>
      <c r="D26" s="133"/>
      <c r="E26" s="157">
        <f t="shared" si="0"/>
        <v>0</v>
      </c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</row>
    <row r="27" spans="1:24" s="83" customFormat="1" x14ac:dyDescent="0.2">
      <c r="A27" s="155">
        <v>21</v>
      </c>
      <c r="B27" s="158">
        <v>46223</v>
      </c>
      <c r="C27" s="126" t="s">
        <v>57</v>
      </c>
      <c r="D27" s="127">
        <v>45.420299999999997</v>
      </c>
      <c r="E27" s="114">
        <f t="shared" si="0"/>
        <v>22126</v>
      </c>
      <c r="F27" s="128"/>
      <c r="G27" s="128"/>
      <c r="H27" s="128"/>
      <c r="I27" s="128"/>
      <c r="J27" s="128"/>
      <c r="K27" s="128"/>
      <c r="L27" s="128"/>
      <c r="M27" s="128"/>
      <c r="N27" s="128"/>
      <c r="O27" s="128">
        <v>2346</v>
      </c>
      <c r="P27" s="128">
        <v>10921</v>
      </c>
      <c r="Q27" s="128">
        <v>8859</v>
      </c>
      <c r="R27" s="128"/>
      <c r="S27" s="128"/>
      <c r="T27" s="128"/>
      <c r="U27" s="128"/>
      <c r="V27" s="128"/>
      <c r="W27" s="128"/>
      <c r="X27" s="128"/>
    </row>
    <row r="28" spans="1:24" s="83" customFormat="1" x14ac:dyDescent="0.2">
      <c r="A28" s="155">
        <v>22</v>
      </c>
      <c r="B28" s="158">
        <v>46224</v>
      </c>
      <c r="C28" s="126" t="s">
        <v>51</v>
      </c>
      <c r="D28" s="127">
        <v>41.962000000000003</v>
      </c>
      <c r="E28" s="114">
        <f t="shared" si="0"/>
        <v>31699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>
        <v>4646</v>
      </c>
      <c r="Q28" s="128">
        <v>11167</v>
      </c>
      <c r="R28" s="128">
        <v>5886</v>
      </c>
      <c r="S28" s="128">
        <v>10000</v>
      </c>
      <c r="T28" s="128"/>
      <c r="U28" s="128"/>
      <c r="V28" s="128"/>
      <c r="W28" s="128"/>
      <c r="X28" s="128"/>
    </row>
    <row r="29" spans="1:24" s="83" customFormat="1" x14ac:dyDescent="0.2">
      <c r="A29" s="155">
        <v>23</v>
      </c>
      <c r="B29" s="158">
        <v>46225</v>
      </c>
      <c r="C29" s="126" t="s">
        <v>52</v>
      </c>
      <c r="D29" s="127">
        <v>44.362099999999998</v>
      </c>
      <c r="E29" s="114">
        <f t="shared" si="0"/>
        <v>40763</v>
      </c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>
        <v>6731</v>
      </c>
      <c r="R29" s="128">
        <v>16229</v>
      </c>
      <c r="S29" s="128">
        <v>8925</v>
      </c>
      <c r="T29" s="128">
        <v>8878</v>
      </c>
      <c r="U29" s="128"/>
      <c r="V29" s="128"/>
      <c r="W29" s="128"/>
      <c r="X29" s="128"/>
    </row>
    <row r="30" spans="1:24" s="83" customFormat="1" x14ac:dyDescent="0.2">
      <c r="A30" s="155">
        <v>24</v>
      </c>
      <c r="B30" s="158">
        <v>46226</v>
      </c>
      <c r="C30" s="126" t="s">
        <v>53</v>
      </c>
      <c r="D30" s="127">
        <v>46.778199999999998</v>
      </c>
      <c r="E30" s="114">
        <f t="shared" si="0"/>
        <v>42142</v>
      </c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>
        <v>9080</v>
      </c>
      <c r="R30" s="128">
        <v>15900</v>
      </c>
      <c r="S30" s="128"/>
      <c r="T30" s="128">
        <v>17162</v>
      </c>
      <c r="U30" s="128"/>
      <c r="V30" s="128"/>
      <c r="W30" s="128"/>
      <c r="X30" s="128"/>
    </row>
    <row r="31" spans="1:24" s="83" customFormat="1" x14ac:dyDescent="0.2">
      <c r="A31" s="155">
        <v>25</v>
      </c>
      <c r="B31" s="158">
        <v>46227</v>
      </c>
      <c r="C31" s="126" t="s">
        <v>54</v>
      </c>
      <c r="D31" s="127">
        <v>46.220799999999997</v>
      </c>
      <c r="E31" s="114">
        <f t="shared" si="0"/>
        <v>41500</v>
      </c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>
        <v>6443</v>
      </c>
      <c r="R31" s="128">
        <v>12237</v>
      </c>
      <c r="S31" s="128"/>
      <c r="T31" s="128">
        <v>12235</v>
      </c>
      <c r="U31" s="128">
        <v>10585</v>
      </c>
      <c r="V31" s="128"/>
      <c r="W31" s="128"/>
      <c r="X31" s="128"/>
    </row>
    <row r="32" spans="1:24" s="83" customFormat="1" x14ac:dyDescent="0.2">
      <c r="A32" s="155">
        <v>26</v>
      </c>
      <c r="B32" s="158">
        <v>46228</v>
      </c>
      <c r="C32" s="126" t="s">
        <v>55</v>
      </c>
      <c r="D32" s="127">
        <v>45.605400000000003</v>
      </c>
      <c r="E32" s="114">
        <f t="shared" si="0"/>
        <v>31019</v>
      </c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>
        <v>3617</v>
      </c>
      <c r="R32" s="128">
        <v>5952</v>
      </c>
      <c r="S32" s="128"/>
      <c r="T32" s="128">
        <v>6144</v>
      </c>
      <c r="U32" s="128">
        <v>15306</v>
      </c>
      <c r="V32" s="128"/>
      <c r="W32" s="128"/>
      <c r="X32" s="128"/>
    </row>
    <row r="33" spans="1:25" s="83" customFormat="1" x14ac:dyDescent="0.2">
      <c r="A33" s="156">
        <v>27</v>
      </c>
      <c r="B33" s="159">
        <v>46229</v>
      </c>
      <c r="C33" s="132" t="s">
        <v>56</v>
      </c>
      <c r="D33" s="133"/>
      <c r="E33" s="157">
        <f t="shared" si="0"/>
        <v>0</v>
      </c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</row>
    <row r="34" spans="1:25" s="83" customFormat="1" x14ac:dyDescent="0.2">
      <c r="A34" s="155">
        <v>28</v>
      </c>
      <c r="B34" s="158">
        <v>46230</v>
      </c>
      <c r="C34" s="126" t="s">
        <v>57</v>
      </c>
      <c r="D34" s="127">
        <v>46.593200000000003</v>
      </c>
      <c r="E34" s="114">
        <f t="shared" si="0"/>
        <v>42584</v>
      </c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>
        <v>9816</v>
      </c>
      <c r="S34" s="128"/>
      <c r="T34" s="128">
        <v>9408</v>
      </c>
      <c r="U34" s="128">
        <v>18796</v>
      </c>
      <c r="V34" s="128">
        <v>4564</v>
      </c>
      <c r="W34" s="128"/>
      <c r="X34" s="128"/>
    </row>
    <row r="35" spans="1:25" s="83" customFormat="1" x14ac:dyDescent="0.2">
      <c r="A35" s="155">
        <v>29</v>
      </c>
      <c r="B35" s="158">
        <v>46231</v>
      </c>
      <c r="C35" s="126" t="s">
        <v>51</v>
      </c>
      <c r="D35" s="127">
        <v>46.477400000000003</v>
      </c>
      <c r="E35" s="114">
        <f t="shared" si="0"/>
        <v>30499</v>
      </c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>
        <v>4677</v>
      </c>
      <c r="U35" s="128">
        <v>15452</v>
      </c>
      <c r="V35" s="128">
        <v>3143</v>
      </c>
      <c r="W35" s="128">
        <v>2114</v>
      </c>
      <c r="X35" s="128">
        <v>5113</v>
      </c>
    </row>
    <row r="36" spans="1:25" s="83" customFormat="1" x14ac:dyDescent="0.2">
      <c r="A36" s="155">
        <v>30</v>
      </c>
      <c r="B36" s="158">
        <v>46232</v>
      </c>
      <c r="C36" s="126" t="s">
        <v>52</v>
      </c>
      <c r="D36" s="127">
        <v>48.148600000000002</v>
      </c>
      <c r="E36" s="114">
        <f t="shared" si="0"/>
        <v>30834</v>
      </c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>
        <v>3339</v>
      </c>
      <c r="V36" s="128">
        <v>6365</v>
      </c>
      <c r="W36" s="128">
        <v>11020</v>
      </c>
      <c r="X36" s="128">
        <v>10110</v>
      </c>
    </row>
    <row r="37" spans="1:25" s="83" customFormat="1" x14ac:dyDescent="0.2">
      <c r="A37" s="155">
        <v>31</v>
      </c>
      <c r="B37" s="158">
        <v>46233</v>
      </c>
      <c r="C37" s="126" t="s">
        <v>53</v>
      </c>
      <c r="D37" s="127"/>
      <c r="E37" s="114">
        <f t="shared" si="0"/>
        <v>0</v>
      </c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</row>
    <row r="38" spans="1:25" s="83" customFormat="1" x14ac:dyDescent="0.2">
      <c r="A38" s="155">
        <v>32</v>
      </c>
      <c r="B38" s="158">
        <v>46234</v>
      </c>
      <c r="C38" s="126" t="s">
        <v>54</v>
      </c>
      <c r="D38" s="127"/>
      <c r="E38" s="114">
        <f t="shared" si="0"/>
        <v>0</v>
      </c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</row>
    <row r="39" spans="1:25" s="83" customFormat="1" x14ac:dyDescent="0.2">
      <c r="A39" s="155">
        <v>33</v>
      </c>
      <c r="B39" s="158">
        <v>46235</v>
      </c>
      <c r="C39" s="126" t="s">
        <v>55</v>
      </c>
      <c r="D39" s="127"/>
      <c r="E39" s="114">
        <f t="shared" si="0"/>
        <v>0</v>
      </c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</row>
    <row r="40" spans="1:25" x14ac:dyDescent="0.2">
      <c r="A40" s="60"/>
      <c r="B40" s="70" t="s">
        <v>175</v>
      </c>
      <c r="C40" s="60"/>
      <c r="D40" s="23">
        <f>SUMPRODUCT(D7:D39,E7:E39)/SUMIF(D7:D39,"&gt;0",E7:E39)</f>
        <v>45.337718985476826</v>
      </c>
      <c r="E40" s="53">
        <f t="shared" ref="E40:X40" si="1">SUM(E7:E39)</f>
        <v>781234</v>
      </c>
      <c r="F40" s="53">
        <f t="shared" si="1"/>
        <v>63950</v>
      </c>
      <c r="G40" s="53">
        <f t="shared" si="1"/>
        <v>59068</v>
      </c>
      <c r="H40" s="53">
        <f t="shared" si="1"/>
        <v>32717</v>
      </c>
      <c r="I40" s="53">
        <f t="shared" si="1"/>
        <v>1414</v>
      </c>
      <c r="J40" s="53">
        <f t="shared" si="1"/>
        <v>66509</v>
      </c>
      <c r="K40" s="53">
        <f t="shared" si="1"/>
        <v>19425</v>
      </c>
      <c r="L40" s="53">
        <f t="shared" si="1"/>
        <v>53080</v>
      </c>
      <c r="M40" s="53">
        <f t="shared" si="1"/>
        <v>19605</v>
      </c>
      <c r="N40" s="53">
        <f t="shared" si="1"/>
        <v>54120</v>
      </c>
      <c r="O40" s="53">
        <f t="shared" si="1"/>
        <v>54119</v>
      </c>
      <c r="P40" s="53">
        <f t="shared" si="1"/>
        <v>61974</v>
      </c>
      <c r="Q40" s="53">
        <f t="shared" si="1"/>
        <v>45897</v>
      </c>
      <c r="R40" s="53">
        <f t="shared" si="1"/>
        <v>66020</v>
      </c>
      <c r="S40" s="53">
        <f t="shared" si="1"/>
        <v>18925</v>
      </c>
      <c r="T40" s="53">
        <f t="shared" si="1"/>
        <v>58504</v>
      </c>
      <c r="U40" s="53">
        <f t="shared" si="1"/>
        <v>63478</v>
      </c>
      <c r="V40" s="53">
        <f t="shared" si="1"/>
        <v>14072</v>
      </c>
      <c r="W40" s="53">
        <f t="shared" si="1"/>
        <v>13134</v>
      </c>
      <c r="X40" s="53">
        <f t="shared" si="1"/>
        <v>15223</v>
      </c>
    </row>
    <row r="41" spans="1:25" x14ac:dyDescent="0.2">
      <c r="A41" s="71"/>
      <c r="B41" s="72" t="s">
        <v>176</v>
      </c>
      <c r="C41" s="71"/>
      <c r="D41" s="71"/>
      <c r="E41" s="71"/>
      <c r="F41" s="73">
        <f>IF('JULY 2026'!J48="","",'JULY 2026'!J48)</f>
        <v>49</v>
      </c>
      <c r="G41" s="73">
        <f>IF('JULY 2026'!J49="","",'JULY 2026'!J49)</f>
        <v>41.912999999999997</v>
      </c>
      <c r="H41" s="73">
        <f>IF('JULY 2026'!J50="","",'JULY 2026'!J50)</f>
        <v>47.6616</v>
      </c>
      <c r="I41" s="73">
        <f>IF('JULY 2026'!J51="","",'JULY 2026'!J51)</f>
        <v>48.25</v>
      </c>
      <c r="J41" s="73">
        <f>IF('JULY 2026'!J52="","",'JULY 2026'!J52)</f>
        <v>44.5</v>
      </c>
      <c r="K41" s="73">
        <f>IF('JULY 2026'!J53="","",'JULY 2026'!J53)</f>
        <v>38</v>
      </c>
      <c r="L41" s="73">
        <f>IF('JULY 2026'!J54="","",'JULY 2026'!J54)</f>
        <v>43.5</v>
      </c>
      <c r="M41" s="73">
        <f>IF('JULY 2026'!J55="","",'JULY 2026'!J55)</f>
        <v>36</v>
      </c>
      <c r="N41" s="73">
        <f>IF('JULY 2026'!J56="","",'JULY 2026'!J56)</f>
        <v>44.315800000000003</v>
      </c>
      <c r="O41" s="73">
        <f>IF('JULY 2026'!J57="","",'JULY 2026'!J57)</f>
        <v>49</v>
      </c>
      <c r="P41" s="73">
        <f>IF('JULY 2026'!J58="","",'JULY 2026'!J58)</f>
        <v>47.425800000000002</v>
      </c>
      <c r="Q41" s="73">
        <f>IF('JULY 2026'!J59="","",'JULY 2026'!J59)</f>
        <v>42</v>
      </c>
      <c r="R41" s="73">
        <f>IF('JULY 2026'!J60="","",'JULY 2026'!J60)</f>
        <v>47.706099999999999</v>
      </c>
      <c r="S41" s="73">
        <f>IF('JULY 2026'!J61="","",'JULY 2026'!J61)</f>
        <v>36</v>
      </c>
      <c r="T41" s="73">
        <f>IF('JULY 2026'!J62="","",'JULY 2026'!J62)</f>
        <v>48.446599999999997</v>
      </c>
      <c r="U41" s="73">
        <f>IF('JULY 2026'!J63="","",'JULY 2026'!J63)</f>
        <v>44.5</v>
      </c>
      <c r="V41" s="73">
        <f>IF('JULY 2026'!J64="","",'JULY 2026'!J64)</f>
        <v>49</v>
      </c>
      <c r="W41" s="73">
        <f>IF('JULY 2026'!J65="","",'JULY 2026'!J65)</f>
        <v>48.750900000000001</v>
      </c>
      <c r="X41" s="73">
        <f>IF('JULY 2026'!J66="","",'JULY 2026'!J66)</f>
        <v>48.161200000000001</v>
      </c>
    </row>
    <row r="42" spans="1:25" x14ac:dyDescent="0.2">
      <c r="A42" s="71"/>
      <c r="B42" s="72" t="s">
        <v>177</v>
      </c>
      <c r="C42" s="71"/>
      <c r="D42" s="71"/>
      <c r="E42" s="71"/>
      <c r="F42" s="74">
        <f>IF('JULY 2026'!I48="","",'JULY 2026'!I48)</f>
        <v>0.15474900208834491</v>
      </c>
      <c r="G42" s="74">
        <f>IF('JULY 2026'!I49="","",'JULY 2026'!I49)</f>
        <v>5.0029478649035626E-3</v>
      </c>
      <c r="H42" s="74">
        <f>IF('JULY 2026'!I50="","",'JULY 2026'!I50)</f>
        <v>6.7536818594262582E-2</v>
      </c>
      <c r="I42" s="74">
        <f>IF('JULY 2026'!I51="","",'JULY 2026'!I51)</f>
        <v>3.4594383081656972E-2</v>
      </c>
      <c r="J42" s="74">
        <f>IF('JULY 2026'!I52="","",'JULY 2026'!I52)</f>
        <v>4.5439540724793684E-2</v>
      </c>
      <c r="K42" s="74">
        <f>IF('JULY 2026'!I53="","",'JULY 2026'!I53)</f>
        <v>0</v>
      </c>
      <c r="L42" s="74">
        <f>IF('JULY 2026'!I54="","",'JULY 2026'!I54)</f>
        <v>4.967663323647952E-3</v>
      </c>
      <c r="M42" s="74">
        <f>IF('JULY 2026'!I55="","",'JULY 2026'!I55)</f>
        <v>0</v>
      </c>
      <c r="N42" s="74">
        <f>IF('JULY 2026'!I56="","",'JULY 2026'!I56)</f>
        <v>6.9724770642201834E-3</v>
      </c>
      <c r="O42" s="74">
        <f>IF('JULY 2026'!I57="","",'JULY 2026'!I57)</f>
        <v>3.6771380261635671E-2</v>
      </c>
      <c r="P42" s="74">
        <f>IF('JULY 2026'!I58="","",'JULY 2026'!I58)</f>
        <v>4.1466243909983762E-2</v>
      </c>
      <c r="Q42" s="74">
        <f>IF('JULY 2026'!I59="","",'JULY 2026'!I59)</f>
        <v>0.1055831628178895</v>
      </c>
      <c r="R42" s="74">
        <f>IF('JULY 2026'!I60="","",'JULY 2026'!I60)</f>
        <v>4.3327054050137662E-2</v>
      </c>
      <c r="S42" s="74">
        <f>IF('JULY 2026'!I61="","",'JULY 2026'!I61)</f>
        <v>0</v>
      </c>
      <c r="T42" s="74">
        <f>IF('JULY 2026'!I62="","",'JULY 2026'!I62)</f>
        <v>4.9488220958570271E-2</v>
      </c>
      <c r="U42" s="74">
        <f>IF('JULY 2026'!I63="","",'JULY 2026'!I63)</f>
        <v>1.6302494963582829E-2</v>
      </c>
      <c r="V42" s="74">
        <f>IF('JULY 2026'!I64="","",'JULY 2026'!I64)</f>
        <v>5.9499311792202129E-2</v>
      </c>
      <c r="W42" s="74">
        <f>IF('JULY 2026'!I65="","",'JULY 2026'!I65)</f>
        <v>8.5612968591691988E-3</v>
      </c>
      <c r="X42" s="74">
        <f>IF('JULY 2026'!I66="","",'JULY 2026'!I66)</f>
        <v>4.8404879610200235E-2</v>
      </c>
    </row>
    <row r="43" spans="1:25" x14ac:dyDescent="0.2">
      <c r="A43" s="71"/>
      <c r="B43" s="72" t="s">
        <v>178</v>
      </c>
      <c r="C43" s="71"/>
      <c r="D43" s="71"/>
      <c r="E43" s="71"/>
      <c r="F43" s="73">
        <f>IF('JULY 2026'!K48="","",'JULY 2026'!K48)</f>
        <v>57.9709</v>
      </c>
      <c r="G43" s="73">
        <f>IF('JULY 2026'!K49="","",'JULY 2026'!K49)</f>
        <v>42.123800000000003</v>
      </c>
      <c r="H43" s="73">
        <f>IF('JULY 2026'!K50="","",'JULY 2026'!K50)</f>
        <v>51.113599999999998</v>
      </c>
      <c r="I43" s="73">
        <f>IF('JULY 2026'!K51="","",'JULY 2026'!K51)</f>
        <v>49.978999999999999</v>
      </c>
      <c r="J43" s="73">
        <f>IF('JULY 2026'!K52="","",'JULY 2026'!K52)</f>
        <v>46.618299999999998</v>
      </c>
      <c r="K43" s="73">
        <f>IF('JULY 2026'!K53="","",'JULY 2026'!K53)</f>
        <v>38</v>
      </c>
      <c r="L43" s="73">
        <f>IF('JULY 2026'!K54="","",'JULY 2026'!K54)</f>
        <v>43.717199999999998</v>
      </c>
      <c r="M43" s="73">
        <f>IF('JULY 2026'!K55="","",'JULY 2026'!K55)</f>
        <v>36</v>
      </c>
      <c r="N43" s="73">
        <f>IF('JULY 2026'!K56="","",'JULY 2026'!K56)</f>
        <v>44.626899999999999</v>
      </c>
      <c r="O43" s="73">
        <f>IF('JULY 2026'!K57="","",'JULY 2026'!K57)</f>
        <v>50.870600000000003</v>
      </c>
      <c r="P43" s="73">
        <f>IF('JULY 2026'!K58="","",'JULY 2026'!K58)</f>
        <v>49.477400000000003</v>
      </c>
      <c r="Q43" s="73">
        <f>IF('JULY 2026'!K59="","",'JULY 2026'!K59)</f>
        <v>46.957999999999998</v>
      </c>
      <c r="R43" s="73">
        <f>IF('JULY 2026'!K60="","",'JULY 2026'!K60)</f>
        <v>49.866700000000002</v>
      </c>
      <c r="S43" s="73">
        <f>IF('JULY 2026'!K61="","",'JULY 2026'!K61)</f>
        <v>36</v>
      </c>
      <c r="T43" s="73">
        <f>IF('JULY 2026'!K62="","",'JULY 2026'!K62)</f>
        <v>50.968899999999998</v>
      </c>
      <c r="U43" s="73">
        <f>IF('JULY 2026'!K63="","",'JULY 2026'!K63)</f>
        <v>45.237499999999997</v>
      </c>
      <c r="V43" s="73">
        <f>IF('JULY 2026'!K64="","",'JULY 2026'!K64)</f>
        <v>52.099899999999998</v>
      </c>
      <c r="W43" s="73">
        <f>IF('JULY 2026'!K65="","",'JULY 2026'!K65)</f>
        <v>49.171900000000001</v>
      </c>
      <c r="X43" s="73">
        <f>IF('JULY 2026'!K66="","",'JULY 2026'!K66)</f>
        <v>50.610999999999997</v>
      </c>
    </row>
    <row r="46" spans="1:25" x14ac:dyDescent="0.2">
      <c r="A46" s="55" t="s">
        <v>179</v>
      </c>
    </row>
    <row r="47" spans="1:25" ht="22.25" customHeight="1" x14ac:dyDescent="0.2">
      <c r="A47" s="3" t="s">
        <v>172</v>
      </c>
      <c r="B47" s="3" t="s">
        <v>31</v>
      </c>
      <c r="C47" s="3" t="s">
        <v>23</v>
      </c>
      <c r="D47" s="2" t="s">
        <v>173</v>
      </c>
      <c r="E47" s="1" t="s">
        <v>174</v>
      </c>
      <c r="F47" s="11" t="s">
        <v>107</v>
      </c>
      <c r="G47" s="11" t="s">
        <v>109</v>
      </c>
      <c r="H47" s="11" t="s">
        <v>111</v>
      </c>
      <c r="I47" s="11" t="s">
        <v>117</v>
      </c>
      <c r="J47" s="11" t="s">
        <v>118</v>
      </c>
      <c r="K47" s="11" t="s">
        <v>120</v>
      </c>
      <c r="L47" s="11" t="s">
        <v>122</v>
      </c>
      <c r="M47" s="11" t="s">
        <v>124</v>
      </c>
      <c r="N47" s="11" t="s">
        <v>126</v>
      </c>
      <c r="O47" s="11" t="s">
        <v>128</v>
      </c>
      <c r="P47" s="11" t="s">
        <v>129</v>
      </c>
      <c r="Q47" s="11" t="s">
        <v>131</v>
      </c>
      <c r="R47" s="11" t="s">
        <v>133</v>
      </c>
      <c r="S47" s="11" t="s">
        <v>135</v>
      </c>
      <c r="T47" s="11" t="s">
        <v>136</v>
      </c>
      <c r="U47" s="11" t="s">
        <v>137</v>
      </c>
      <c r="V47" s="11" t="s">
        <v>139</v>
      </c>
      <c r="W47" s="11" t="s">
        <v>140</v>
      </c>
      <c r="X47" s="11" t="s">
        <v>141</v>
      </c>
      <c r="Y47" s="11" t="s">
        <v>143</v>
      </c>
    </row>
    <row r="48" spans="1:25" x14ac:dyDescent="0.2">
      <c r="A48" s="3"/>
      <c r="B48" s="3"/>
      <c r="C48" s="3"/>
      <c r="D48" s="3"/>
      <c r="E48" s="3"/>
      <c r="F48" s="65" t="s">
        <v>108</v>
      </c>
      <c r="G48" s="65" t="s">
        <v>110</v>
      </c>
      <c r="H48" s="65" t="s">
        <v>112</v>
      </c>
      <c r="I48" s="65" t="s">
        <v>87</v>
      </c>
      <c r="J48" s="65" t="s">
        <v>119</v>
      </c>
      <c r="K48" s="65" t="s">
        <v>121</v>
      </c>
      <c r="L48" s="65" t="s">
        <v>123</v>
      </c>
      <c r="M48" s="65" t="s">
        <v>125</v>
      </c>
      <c r="N48" s="65" t="s">
        <v>127</v>
      </c>
      <c r="O48" s="65" t="s">
        <v>87</v>
      </c>
      <c r="P48" s="65" t="s">
        <v>130</v>
      </c>
      <c r="Q48" s="65" t="s">
        <v>132</v>
      </c>
      <c r="R48" s="65" t="s">
        <v>134</v>
      </c>
      <c r="S48" s="65" t="s">
        <v>87</v>
      </c>
      <c r="T48" s="65" t="s">
        <v>87</v>
      </c>
      <c r="U48" s="65" t="s">
        <v>138</v>
      </c>
      <c r="V48" s="65" t="s">
        <v>87</v>
      </c>
      <c r="W48" s="65" t="s">
        <v>87</v>
      </c>
      <c r="X48" s="65" t="s">
        <v>142</v>
      </c>
      <c r="Y48" s="65" t="s">
        <v>144</v>
      </c>
    </row>
    <row r="49" spans="1:25" x14ac:dyDescent="0.2">
      <c r="A49" s="66">
        <v>1</v>
      </c>
      <c r="B49" s="32">
        <v>46235</v>
      </c>
      <c r="C49" s="33" t="s">
        <v>55</v>
      </c>
      <c r="D49" s="34">
        <v>48.577399999999997</v>
      </c>
      <c r="E49" s="67">
        <f t="shared" ref="E49:E77" si="2">SUM(F49:Y49)</f>
        <v>30326</v>
      </c>
      <c r="F49" s="39">
        <v>6375</v>
      </c>
      <c r="G49" s="39">
        <v>12336</v>
      </c>
      <c r="H49" s="39">
        <v>11615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spans="1:25" x14ac:dyDescent="0.2">
      <c r="A50" s="68">
        <v>2</v>
      </c>
      <c r="B50" s="42">
        <v>46236</v>
      </c>
      <c r="C50" s="43" t="s">
        <v>56</v>
      </c>
      <c r="D50" s="44"/>
      <c r="E50" s="69">
        <f t="shared" si="2"/>
        <v>0</v>
      </c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 x14ac:dyDescent="0.2">
      <c r="A51" s="66">
        <v>3</v>
      </c>
      <c r="B51" s="32">
        <v>46237</v>
      </c>
      <c r="C51" s="33" t="s">
        <v>57</v>
      </c>
      <c r="D51" s="34">
        <v>48.7898</v>
      </c>
      <c r="E51" s="67">
        <f t="shared" si="2"/>
        <v>32421</v>
      </c>
      <c r="F51" s="39">
        <v>19901</v>
      </c>
      <c r="G51" s="39">
        <v>6252</v>
      </c>
      <c r="H51" s="39">
        <v>6268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spans="1:25" x14ac:dyDescent="0.2">
      <c r="A52" s="66">
        <v>4</v>
      </c>
      <c r="B52" s="32">
        <v>46238</v>
      </c>
      <c r="C52" s="33" t="s">
        <v>51</v>
      </c>
      <c r="D52" s="34">
        <v>48.7881</v>
      </c>
      <c r="E52" s="67">
        <f t="shared" si="2"/>
        <v>32242</v>
      </c>
      <c r="F52" s="39">
        <v>19560</v>
      </c>
      <c r="G52" s="39">
        <v>6451</v>
      </c>
      <c r="H52" s="39">
        <v>6231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spans="1:25" x14ac:dyDescent="0.2">
      <c r="A53" s="66">
        <v>5</v>
      </c>
      <c r="B53" s="32">
        <v>46239</v>
      </c>
      <c r="C53" s="33" t="s">
        <v>52</v>
      </c>
      <c r="D53" s="34">
        <v>46.067500000000003</v>
      </c>
      <c r="E53" s="67">
        <f t="shared" si="2"/>
        <v>37085</v>
      </c>
      <c r="F53" s="39">
        <v>9105</v>
      </c>
      <c r="G53" s="39">
        <v>10028</v>
      </c>
      <c r="H53" s="39">
        <v>9404</v>
      </c>
      <c r="I53" s="39">
        <v>1185</v>
      </c>
      <c r="J53" s="39">
        <v>7363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spans="1:25" x14ac:dyDescent="0.2">
      <c r="A54" s="66">
        <v>6</v>
      </c>
      <c r="B54" s="32">
        <v>46240</v>
      </c>
      <c r="C54" s="33" t="s">
        <v>53</v>
      </c>
      <c r="D54" s="34">
        <v>40.6858</v>
      </c>
      <c r="E54" s="67">
        <f t="shared" si="2"/>
        <v>38998</v>
      </c>
      <c r="F54" s="39"/>
      <c r="G54" s="39">
        <v>7086</v>
      </c>
      <c r="H54" s="39">
        <v>4771</v>
      </c>
      <c r="I54" s="39">
        <v>2000</v>
      </c>
      <c r="J54" s="39">
        <v>17427</v>
      </c>
      <c r="K54" s="39">
        <v>2452</v>
      </c>
      <c r="L54" s="39">
        <v>5262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spans="1:25" x14ac:dyDescent="0.2">
      <c r="A55" s="66">
        <v>7</v>
      </c>
      <c r="B55" s="32">
        <v>46241</v>
      </c>
      <c r="C55" s="33" t="s">
        <v>54</v>
      </c>
      <c r="D55" s="34">
        <v>39.093000000000004</v>
      </c>
      <c r="E55" s="67">
        <f t="shared" si="2"/>
        <v>26525</v>
      </c>
      <c r="F55" s="39"/>
      <c r="G55" s="39">
        <v>3426</v>
      </c>
      <c r="H55" s="39"/>
      <c r="I55" s="39">
        <v>8000</v>
      </c>
      <c r="J55" s="39"/>
      <c r="K55" s="39">
        <v>3613</v>
      </c>
      <c r="L55" s="39">
        <v>11486</v>
      </c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spans="1:25" x14ac:dyDescent="0.2">
      <c r="A56" s="66">
        <v>8</v>
      </c>
      <c r="B56" s="32">
        <v>46242</v>
      </c>
      <c r="C56" s="33" t="s">
        <v>55</v>
      </c>
      <c r="D56" s="34">
        <v>38.839799999999997</v>
      </c>
      <c r="E56" s="67">
        <f t="shared" si="2"/>
        <v>36105</v>
      </c>
      <c r="F56" s="39"/>
      <c r="G56" s="39"/>
      <c r="H56" s="39"/>
      <c r="I56" s="39">
        <v>8000</v>
      </c>
      <c r="J56" s="39"/>
      <c r="K56" s="39">
        <v>5535</v>
      </c>
      <c r="L56" s="39">
        <v>18076</v>
      </c>
      <c r="M56" s="39">
        <v>4494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spans="1:25" x14ac:dyDescent="0.2">
      <c r="A57" s="68">
        <v>9</v>
      </c>
      <c r="B57" s="42">
        <v>46243</v>
      </c>
      <c r="C57" s="43" t="s">
        <v>56</v>
      </c>
      <c r="D57" s="44"/>
      <c r="E57" s="69">
        <f t="shared" si="2"/>
        <v>0</v>
      </c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x14ac:dyDescent="0.2">
      <c r="A58" s="66">
        <v>10</v>
      </c>
      <c r="B58" s="32">
        <v>46244</v>
      </c>
      <c r="C58" s="33" t="s">
        <v>57</v>
      </c>
      <c r="D58" s="34">
        <v>39.272500000000001</v>
      </c>
      <c r="E58" s="67">
        <f t="shared" si="2"/>
        <v>28492</v>
      </c>
      <c r="F58" s="39"/>
      <c r="G58" s="39"/>
      <c r="H58" s="39"/>
      <c r="I58" s="39"/>
      <c r="J58" s="39"/>
      <c r="K58" s="39">
        <v>5630</v>
      </c>
      <c r="L58" s="39">
        <v>17087</v>
      </c>
      <c r="M58" s="39">
        <v>5775</v>
      </c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 x14ac:dyDescent="0.2">
      <c r="A59" s="66">
        <v>11</v>
      </c>
      <c r="B59" s="32">
        <v>46245</v>
      </c>
      <c r="C59" s="33" t="s">
        <v>51</v>
      </c>
      <c r="D59" s="34">
        <v>39.614199999999997</v>
      </c>
      <c r="E59" s="67">
        <f t="shared" si="2"/>
        <v>35359</v>
      </c>
      <c r="F59" s="39"/>
      <c r="G59" s="39"/>
      <c r="H59" s="39"/>
      <c r="I59" s="39"/>
      <c r="J59" s="39"/>
      <c r="K59" s="39">
        <v>2961</v>
      </c>
      <c r="L59" s="39">
        <v>22489</v>
      </c>
      <c r="M59" s="39">
        <v>6240</v>
      </c>
      <c r="N59" s="39">
        <v>3669</v>
      </c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spans="1:25" x14ac:dyDescent="0.2">
      <c r="A60" s="66">
        <v>12</v>
      </c>
      <c r="B60" s="32">
        <v>46246</v>
      </c>
      <c r="C60" s="33" t="s">
        <v>52</v>
      </c>
      <c r="D60" s="34">
        <v>44.717799999999997</v>
      </c>
      <c r="E60" s="67">
        <f t="shared" si="2"/>
        <v>32228</v>
      </c>
      <c r="F60" s="39"/>
      <c r="G60" s="39"/>
      <c r="H60" s="39"/>
      <c r="I60" s="39"/>
      <c r="J60" s="39"/>
      <c r="K60" s="39"/>
      <c r="L60" s="39"/>
      <c r="M60" s="39">
        <v>5177</v>
      </c>
      <c r="N60" s="39">
        <v>6041</v>
      </c>
      <c r="O60" s="39">
        <v>3000</v>
      </c>
      <c r="P60" s="39">
        <v>5335</v>
      </c>
      <c r="Q60" s="39">
        <v>12675</v>
      </c>
      <c r="R60" s="39"/>
      <c r="S60" s="39"/>
      <c r="T60" s="39"/>
      <c r="U60" s="39"/>
      <c r="V60" s="39"/>
      <c r="W60" s="39"/>
      <c r="X60" s="39"/>
      <c r="Y60" s="39"/>
    </row>
    <row r="61" spans="1:25" x14ac:dyDescent="0.2">
      <c r="A61" s="66">
        <v>13</v>
      </c>
      <c r="B61" s="32">
        <v>46247</v>
      </c>
      <c r="C61" s="33" t="s">
        <v>53</v>
      </c>
      <c r="D61" s="34">
        <v>46.276400000000002</v>
      </c>
      <c r="E61" s="67">
        <f t="shared" si="2"/>
        <v>20068</v>
      </c>
      <c r="F61" s="39"/>
      <c r="G61" s="39"/>
      <c r="H61" s="39"/>
      <c r="I61" s="39"/>
      <c r="J61" s="39"/>
      <c r="K61" s="39"/>
      <c r="L61" s="39"/>
      <c r="M61" s="39">
        <v>9731</v>
      </c>
      <c r="N61" s="39">
        <v>2204</v>
      </c>
      <c r="O61" s="39">
        <v>3000</v>
      </c>
      <c r="P61" s="39"/>
      <c r="Q61" s="39">
        <v>5133</v>
      </c>
      <c r="R61" s="39"/>
      <c r="S61" s="39"/>
      <c r="T61" s="39"/>
      <c r="U61" s="39"/>
      <c r="V61" s="39"/>
      <c r="W61" s="39"/>
      <c r="X61" s="39"/>
      <c r="Y61" s="39"/>
    </row>
    <row r="62" spans="1:25" x14ac:dyDescent="0.2">
      <c r="A62" s="66">
        <v>14</v>
      </c>
      <c r="B62" s="32">
        <v>46248</v>
      </c>
      <c r="C62" s="33" t="s">
        <v>54</v>
      </c>
      <c r="D62" s="34">
        <v>46.581800000000001</v>
      </c>
      <c r="E62" s="67">
        <f t="shared" si="2"/>
        <v>17565</v>
      </c>
      <c r="F62" s="39"/>
      <c r="G62" s="39"/>
      <c r="H62" s="39"/>
      <c r="I62" s="39"/>
      <c r="J62" s="39"/>
      <c r="K62" s="39"/>
      <c r="L62" s="39"/>
      <c r="M62" s="39">
        <v>12611</v>
      </c>
      <c r="N62" s="39">
        <v>1164</v>
      </c>
      <c r="O62" s="39">
        <v>2650</v>
      </c>
      <c r="P62" s="39"/>
      <c r="Q62" s="39">
        <v>1140</v>
      </c>
      <c r="R62" s="39"/>
      <c r="S62" s="39"/>
      <c r="T62" s="39"/>
      <c r="U62" s="39"/>
      <c r="V62" s="39"/>
      <c r="W62" s="39"/>
      <c r="X62" s="39"/>
      <c r="Y62" s="39"/>
    </row>
    <row r="63" spans="1:25" x14ac:dyDescent="0.2">
      <c r="A63" s="68">
        <v>15</v>
      </c>
      <c r="B63" s="42">
        <v>46249</v>
      </c>
      <c r="C63" s="43" t="s">
        <v>55</v>
      </c>
      <c r="D63" s="44"/>
      <c r="E63" s="69">
        <f t="shared" si="2"/>
        <v>0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x14ac:dyDescent="0.2">
      <c r="A64" s="68">
        <v>16</v>
      </c>
      <c r="B64" s="42">
        <v>46250</v>
      </c>
      <c r="C64" s="43" t="s">
        <v>56</v>
      </c>
      <c r="D64" s="44"/>
      <c r="E64" s="69">
        <f t="shared" si="2"/>
        <v>0</v>
      </c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 x14ac:dyDescent="0.2">
      <c r="A65" s="66">
        <v>17</v>
      </c>
      <c r="B65" s="32">
        <v>46251</v>
      </c>
      <c r="C65" s="33" t="s">
        <v>57</v>
      </c>
      <c r="D65" s="34">
        <v>44.247799999999998</v>
      </c>
      <c r="E65" s="67">
        <f t="shared" si="2"/>
        <v>34120</v>
      </c>
      <c r="F65" s="39"/>
      <c r="G65" s="39"/>
      <c r="H65" s="39"/>
      <c r="I65" s="39"/>
      <c r="J65" s="39"/>
      <c r="K65" s="39"/>
      <c r="L65" s="39"/>
      <c r="M65" s="39">
        <v>14793</v>
      </c>
      <c r="N65" s="39">
        <v>3194</v>
      </c>
      <c r="O65" s="39">
        <v>10000</v>
      </c>
      <c r="P65" s="39"/>
      <c r="Q65" s="39">
        <v>3498</v>
      </c>
      <c r="R65" s="39">
        <v>2635</v>
      </c>
      <c r="S65" s="39"/>
      <c r="T65" s="39"/>
      <c r="U65" s="39"/>
      <c r="V65" s="39"/>
      <c r="W65" s="39"/>
      <c r="X65" s="39"/>
      <c r="Y65" s="39"/>
    </row>
    <row r="66" spans="1:25" x14ac:dyDescent="0.2">
      <c r="A66" s="66">
        <v>18</v>
      </c>
      <c r="B66" s="32">
        <v>46252</v>
      </c>
      <c r="C66" s="33" t="s">
        <v>51</v>
      </c>
      <c r="D66" s="34">
        <v>39.8626</v>
      </c>
      <c r="E66" s="67">
        <f t="shared" si="2"/>
        <v>33549</v>
      </c>
      <c r="F66" s="39"/>
      <c r="G66" s="39"/>
      <c r="H66" s="39"/>
      <c r="I66" s="39"/>
      <c r="J66" s="39"/>
      <c r="K66" s="39"/>
      <c r="L66" s="39"/>
      <c r="M66" s="39"/>
      <c r="N66" s="39">
        <v>4125</v>
      </c>
      <c r="O66" s="39"/>
      <c r="P66" s="39"/>
      <c r="Q66" s="39">
        <v>4194</v>
      </c>
      <c r="R66" s="39">
        <v>22230</v>
      </c>
      <c r="S66" s="39">
        <v>3000</v>
      </c>
      <c r="T66" s="39"/>
      <c r="U66" s="39"/>
      <c r="V66" s="39"/>
      <c r="W66" s="39"/>
      <c r="X66" s="39"/>
      <c r="Y66" s="39"/>
    </row>
    <row r="67" spans="1:25" x14ac:dyDescent="0.2">
      <c r="A67" s="66">
        <v>19</v>
      </c>
      <c r="B67" s="32">
        <v>46253</v>
      </c>
      <c r="C67" s="33" t="s">
        <v>52</v>
      </c>
      <c r="D67" s="34">
        <v>42.656599999999997</v>
      </c>
      <c r="E67" s="67">
        <f t="shared" si="2"/>
        <v>33960</v>
      </c>
      <c r="F67" s="39"/>
      <c r="G67" s="39"/>
      <c r="H67" s="39"/>
      <c r="I67" s="39"/>
      <c r="J67" s="39"/>
      <c r="K67" s="39"/>
      <c r="L67" s="39"/>
      <c r="M67" s="39"/>
      <c r="N67" s="39">
        <v>11541</v>
      </c>
      <c r="O67" s="39"/>
      <c r="P67" s="39"/>
      <c r="Q67" s="39">
        <v>10339</v>
      </c>
      <c r="R67" s="39">
        <v>6080</v>
      </c>
      <c r="S67" s="39">
        <v>6000</v>
      </c>
      <c r="T67" s="39"/>
      <c r="U67" s="39"/>
      <c r="V67" s="39"/>
      <c r="W67" s="39"/>
      <c r="X67" s="39"/>
      <c r="Y67" s="39"/>
    </row>
    <row r="68" spans="1:25" x14ac:dyDescent="0.2">
      <c r="A68" s="66">
        <v>20</v>
      </c>
      <c r="B68" s="32">
        <v>46254</v>
      </c>
      <c r="C68" s="33" t="s">
        <v>53</v>
      </c>
      <c r="D68" s="34">
        <v>42.362900000000003</v>
      </c>
      <c r="E68" s="67">
        <f t="shared" si="2"/>
        <v>38270</v>
      </c>
      <c r="F68" s="39"/>
      <c r="G68" s="39"/>
      <c r="H68" s="39"/>
      <c r="I68" s="39"/>
      <c r="J68" s="39"/>
      <c r="K68" s="39"/>
      <c r="L68" s="39"/>
      <c r="M68" s="39"/>
      <c r="N68" s="39">
        <v>11432</v>
      </c>
      <c r="O68" s="39"/>
      <c r="P68" s="39"/>
      <c r="Q68" s="39">
        <v>10814</v>
      </c>
      <c r="R68" s="39">
        <v>5629</v>
      </c>
      <c r="S68" s="39">
        <v>10395</v>
      </c>
      <c r="T68" s="39"/>
      <c r="U68" s="39"/>
      <c r="V68" s="39"/>
      <c r="W68" s="39"/>
      <c r="X68" s="39"/>
      <c r="Y68" s="39"/>
    </row>
    <row r="69" spans="1:25" x14ac:dyDescent="0.2">
      <c r="A69" s="66">
        <v>21</v>
      </c>
      <c r="B69" s="32">
        <v>46255</v>
      </c>
      <c r="C69" s="33" t="s">
        <v>54</v>
      </c>
      <c r="D69" s="34">
        <v>42.184800000000003</v>
      </c>
      <c r="E69" s="67">
        <f t="shared" si="2"/>
        <v>32261</v>
      </c>
      <c r="F69" s="39"/>
      <c r="G69" s="39"/>
      <c r="H69" s="39"/>
      <c r="I69" s="39"/>
      <c r="J69" s="39"/>
      <c r="K69" s="39"/>
      <c r="L69" s="39"/>
      <c r="M69" s="39"/>
      <c r="N69" s="39">
        <v>8753</v>
      </c>
      <c r="O69" s="39"/>
      <c r="P69" s="39"/>
      <c r="Q69" s="39">
        <v>8780</v>
      </c>
      <c r="R69" s="39">
        <v>4728</v>
      </c>
      <c r="S69" s="39"/>
      <c r="T69" s="39">
        <v>10000</v>
      </c>
      <c r="U69" s="39"/>
      <c r="V69" s="39"/>
      <c r="W69" s="39"/>
      <c r="X69" s="39"/>
      <c r="Y69" s="39"/>
    </row>
    <row r="70" spans="1:25" x14ac:dyDescent="0.2">
      <c r="A70" s="68">
        <v>22</v>
      </c>
      <c r="B70" s="42">
        <v>46256</v>
      </c>
      <c r="C70" s="43" t="s">
        <v>55</v>
      </c>
      <c r="D70" s="44"/>
      <c r="E70" s="69">
        <f t="shared" si="2"/>
        <v>0</v>
      </c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x14ac:dyDescent="0.2">
      <c r="A71" s="68">
        <v>23</v>
      </c>
      <c r="B71" s="42">
        <v>46257</v>
      </c>
      <c r="C71" s="43" t="s">
        <v>56</v>
      </c>
      <c r="D71" s="44"/>
      <c r="E71" s="69">
        <f t="shared" si="2"/>
        <v>0</v>
      </c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x14ac:dyDescent="0.2">
      <c r="A72" s="66">
        <v>24</v>
      </c>
      <c r="B72" s="32">
        <v>46258</v>
      </c>
      <c r="C72" s="33" t="s">
        <v>57</v>
      </c>
      <c r="D72" s="34">
        <v>42.787100000000002</v>
      </c>
      <c r="E72" s="67">
        <f t="shared" si="2"/>
        <v>43603</v>
      </c>
      <c r="F72" s="39"/>
      <c r="G72" s="39"/>
      <c r="H72" s="39"/>
      <c r="I72" s="39"/>
      <c r="J72" s="39"/>
      <c r="K72" s="39"/>
      <c r="L72" s="39"/>
      <c r="M72" s="39"/>
      <c r="N72" s="39">
        <v>13019</v>
      </c>
      <c r="O72" s="39"/>
      <c r="P72" s="39"/>
      <c r="Q72" s="39">
        <v>13947</v>
      </c>
      <c r="R72" s="39">
        <v>4123</v>
      </c>
      <c r="S72" s="39"/>
      <c r="T72" s="39">
        <v>10140</v>
      </c>
      <c r="U72" s="39">
        <v>2374</v>
      </c>
      <c r="V72" s="39"/>
      <c r="W72" s="39"/>
      <c r="X72" s="39"/>
      <c r="Y72" s="39"/>
    </row>
    <row r="73" spans="1:25" x14ac:dyDescent="0.2">
      <c r="A73" s="66">
        <v>25</v>
      </c>
      <c r="B73" s="32">
        <v>46259</v>
      </c>
      <c r="C73" s="33" t="s">
        <v>51</v>
      </c>
      <c r="D73" s="34">
        <v>39.061599999999999</v>
      </c>
      <c r="E73" s="67">
        <f t="shared" si="2"/>
        <v>33665</v>
      </c>
      <c r="F73" s="39"/>
      <c r="G73" s="39"/>
      <c r="H73" s="39"/>
      <c r="I73" s="39"/>
      <c r="J73" s="39"/>
      <c r="K73" s="39"/>
      <c r="L73" s="39"/>
      <c r="M73" s="39"/>
      <c r="N73" s="39">
        <v>4341</v>
      </c>
      <c r="O73" s="39"/>
      <c r="P73" s="39"/>
      <c r="Q73" s="39"/>
      <c r="R73" s="39"/>
      <c r="S73" s="39"/>
      <c r="T73" s="39"/>
      <c r="U73" s="39">
        <v>8681</v>
      </c>
      <c r="V73" s="39">
        <v>3000</v>
      </c>
      <c r="W73" s="39">
        <v>1607</v>
      </c>
      <c r="X73" s="39">
        <v>8909</v>
      </c>
      <c r="Y73" s="39">
        <v>7127</v>
      </c>
    </row>
    <row r="74" spans="1:25" x14ac:dyDescent="0.2">
      <c r="A74" s="66">
        <v>26</v>
      </c>
      <c r="B74" s="32">
        <v>46260</v>
      </c>
      <c r="C74" s="33" t="s">
        <v>52</v>
      </c>
      <c r="D74" s="34">
        <v>40.900100000000002</v>
      </c>
      <c r="E74" s="67">
        <f t="shared" si="2"/>
        <v>35094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>
        <v>9987</v>
      </c>
      <c r="V74" s="39">
        <v>9000</v>
      </c>
      <c r="W74" s="39"/>
      <c r="X74" s="39">
        <v>5647</v>
      </c>
      <c r="Y74" s="39">
        <v>10460</v>
      </c>
    </row>
    <row r="75" spans="1:25" x14ac:dyDescent="0.2">
      <c r="A75" s="66">
        <v>27</v>
      </c>
      <c r="B75" s="32">
        <v>46261</v>
      </c>
      <c r="C75" s="33" t="s">
        <v>53</v>
      </c>
      <c r="D75" s="34">
        <v>40.811799999999998</v>
      </c>
      <c r="E75" s="67">
        <f t="shared" si="2"/>
        <v>28213</v>
      </c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>
        <v>7830</v>
      </c>
      <c r="V75" s="39">
        <v>8000</v>
      </c>
      <c r="W75" s="39"/>
      <c r="X75" s="39">
        <v>4385</v>
      </c>
      <c r="Y75" s="39">
        <v>7998</v>
      </c>
    </row>
    <row r="76" spans="1:25" x14ac:dyDescent="0.2">
      <c r="A76" s="66">
        <v>28</v>
      </c>
      <c r="B76" s="32">
        <v>46262</v>
      </c>
      <c r="C76" s="33" t="s">
        <v>54</v>
      </c>
      <c r="D76" s="34">
        <v>41.375300000000003</v>
      </c>
      <c r="E76" s="67">
        <f t="shared" si="2"/>
        <v>17164</v>
      </c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>
        <v>6446</v>
      </c>
      <c r="V76" s="39">
        <v>1370</v>
      </c>
      <c r="W76" s="39"/>
      <c r="X76" s="39">
        <v>2937</v>
      </c>
      <c r="Y76" s="39">
        <v>6411</v>
      </c>
    </row>
    <row r="77" spans="1:25" x14ac:dyDescent="0.2">
      <c r="A77" s="66">
        <v>29</v>
      </c>
      <c r="B77" s="32">
        <v>46263</v>
      </c>
      <c r="C77" s="33" t="s">
        <v>55</v>
      </c>
      <c r="D77" s="34"/>
      <c r="E77" s="67">
        <f t="shared" si="2"/>
        <v>0</v>
      </c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spans="1:25" x14ac:dyDescent="0.2">
      <c r="A78" s="60"/>
      <c r="B78" s="70" t="s">
        <v>175</v>
      </c>
      <c r="C78" s="60"/>
      <c r="D78" s="23">
        <f>SUMPRODUCT(D49:D77,E49:E77)/SUMIF(D49:D77,"&gt;0",E49:E77)</f>
        <v>42.772035340227426</v>
      </c>
      <c r="E78" s="53">
        <f t="shared" ref="E78:Y78" si="3">SUM(E49:E77)</f>
        <v>697313</v>
      </c>
      <c r="F78" s="53">
        <f t="shared" si="3"/>
        <v>54941</v>
      </c>
      <c r="G78" s="53">
        <f t="shared" si="3"/>
        <v>45579</v>
      </c>
      <c r="H78" s="53">
        <f t="shared" si="3"/>
        <v>38289</v>
      </c>
      <c r="I78" s="53">
        <f t="shared" si="3"/>
        <v>19185</v>
      </c>
      <c r="J78" s="53">
        <f t="shared" si="3"/>
        <v>24790</v>
      </c>
      <c r="K78" s="53">
        <f t="shared" si="3"/>
        <v>20191</v>
      </c>
      <c r="L78" s="53">
        <f t="shared" si="3"/>
        <v>74400</v>
      </c>
      <c r="M78" s="53">
        <f t="shared" si="3"/>
        <v>58821</v>
      </c>
      <c r="N78" s="53">
        <f t="shared" si="3"/>
        <v>69483</v>
      </c>
      <c r="O78" s="53">
        <f t="shared" si="3"/>
        <v>18650</v>
      </c>
      <c r="P78" s="53">
        <f t="shared" si="3"/>
        <v>5335</v>
      </c>
      <c r="Q78" s="53">
        <f t="shared" si="3"/>
        <v>70520</v>
      </c>
      <c r="R78" s="53">
        <f t="shared" si="3"/>
        <v>45425</v>
      </c>
      <c r="S78" s="53">
        <f t="shared" si="3"/>
        <v>19395</v>
      </c>
      <c r="T78" s="53">
        <f t="shared" si="3"/>
        <v>20140</v>
      </c>
      <c r="U78" s="53">
        <f t="shared" si="3"/>
        <v>35318</v>
      </c>
      <c r="V78" s="53">
        <f t="shared" si="3"/>
        <v>21370</v>
      </c>
      <c r="W78" s="53">
        <f t="shared" si="3"/>
        <v>1607</v>
      </c>
      <c r="X78" s="53">
        <f t="shared" si="3"/>
        <v>21878</v>
      </c>
      <c r="Y78" s="53">
        <f t="shared" si="3"/>
        <v>31996</v>
      </c>
    </row>
    <row r="79" spans="1:25" x14ac:dyDescent="0.2">
      <c r="A79" s="71"/>
      <c r="B79" s="72" t="s">
        <v>176</v>
      </c>
      <c r="C79" s="71"/>
      <c r="D79" s="71"/>
      <c r="E79" s="71"/>
      <c r="F79" s="73">
        <f>IF('AUGUST 2026'!J44="","",'AUGUST 2026'!J44)</f>
        <v>49</v>
      </c>
      <c r="G79" s="73">
        <f>IF('AUGUST 2026'!J45="","",'AUGUST 2026'!J45)</f>
        <v>48.750900000000001</v>
      </c>
      <c r="H79" s="73">
        <f>IF('AUGUST 2026'!J46="","",'AUGUST 2026'!J46)</f>
        <v>48.161200000000001</v>
      </c>
      <c r="I79" s="73">
        <f>IF('AUGUST 2026'!J47="","",'AUGUST 2026'!J47)</f>
        <v>39</v>
      </c>
      <c r="J79" s="73">
        <f>IF('AUGUST 2026'!J48="","",'AUGUST 2026'!J48)</f>
        <v>37.25</v>
      </c>
      <c r="K79" s="73">
        <f>IF('AUGUST 2026'!J49="","",'AUGUST 2026'!J49)</f>
        <v>36</v>
      </c>
      <c r="L79" s="73">
        <f>IF('AUGUST 2026'!J50="","",'AUGUST 2026'!J50)</f>
        <v>37.25</v>
      </c>
      <c r="M79" s="73">
        <f>IF('AUGUST 2026'!J51="","",'AUGUST 2026'!J51)</f>
        <v>48.447099999999999</v>
      </c>
      <c r="N79" s="73">
        <f>IF('AUGUST 2026'!J52="","",'AUGUST 2026'!J52)</f>
        <v>42</v>
      </c>
      <c r="O79" s="73">
        <f>IF('AUGUST 2026'!J53="","",'AUGUST 2026'!J53)</f>
        <v>39</v>
      </c>
      <c r="P79" s="73">
        <f>IF('AUGUST 2026'!J54="","",'AUGUST 2026'!J54)</f>
        <v>39</v>
      </c>
      <c r="Q79" s="73">
        <f>IF('AUGUST 2026'!J55="","",'AUGUST 2026'!J55)</f>
        <v>48.25</v>
      </c>
      <c r="R79" s="73">
        <f>IF('AUGUST 2026'!J56="","",'AUGUST 2026'!J56)</f>
        <v>38</v>
      </c>
      <c r="S79" s="73">
        <f>IF('AUGUST 2026'!J57="","",'AUGUST 2026'!J57)</f>
        <v>39</v>
      </c>
      <c r="T79" s="73">
        <f>IF('AUGUST 2026'!J58="","",'AUGUST 2026'!J58)</f>
        <v>39</v>
      </c>
      <c r="U79" s="73">
        <f>IF('AUGUST 2026'!J59="","",'AUGUST 2026'!J59)</f>
        <v>39.5</v>
      </c>
      <c r="V79" s="73">
        <f>IF('AUGUST 2026'!J60="","",'AUGUST 2026'!J60)</f>
        <v>39</v>
      </c>
      <c r="W79" s="73">
        <f>IF('AUGUST 2026'!J61="","",'AUGUST 2026'!J61)</f>
        <v>1.75</v>
      </c>
      <c r="X79" s="73">
        <f>IF('AUGUST 2026'!J62="","",'AUGUST 2026'!J62)</f>
        <v>39.501300000000001</v>
      </c>
      <c r="Y79" s="73">
        <f>IF('AUGUST 2026'!J63="","",'AUGUST 2026'!J63)</f>
        <v>44.626899999999999</v>
      </c>
    </row>
    <row r="80" spans="1:25" x14ac:dyDescent="0.2">
      <c r="A80" s="71"/>
      <c r="B80" s="72" t="s">
        <v>177</v>
      </c>
      <c r="C80" s="71"/>
      <c r="D80" s="71"/>
      <c r="E80" s="71"/>
      <c r="F80" s="74">
        <f>IF('AUGUST 2026'!I44="","",'AUGUST 2026'!I44)</f>
        <v>5.9499311792202129E-2</v>
      </c>
      <c r="G80" s="74">
        <f>IF('AUGUST 2026'!I45="","",'AUGUST 2026'!I45)</f>
        <v>8.5612968591691988E-3</v>
      </c>
      <c r="H80" s="74">
        <f>IF('AUGUST 2026'!I46="","",'AUGUST 2026'!I46)</f>
        <v>4.8404879610200235E-2</v>
      </c>
      <c r="I80" s="74">
        <f>IF('AUGUST 2026'!I47="","",'AUGUST 2026'!I47)</f>
        <v>0</v>
      </c>
      <c r="J80" s="74">
        <f>IF('AUGUST 2026'!I48="","",'AUGUST 2026'!I48)</f>
        <v>8.7964814074370252E-3</v>
      </c>
      <c r="K80" s="74">
        <f>IF('AUGUST 2026'!I49="","",'AUGUST 2026'!I49)</f>
        <v>6.9289779757485766E-4</v>
      </c>
      <c r="L80" s="74">
        <f>IF('AUGUST 2026'!I50="","",'AUGUST 2026'!I50)</f>
        <v>1.0309278350515464E-2</v>
      </c>
      <c r="M80" s="74">
        <f>IF('AUGUST 2026'!I51="","",'AUGUST 2026'!I51)</f>
        <v>6.9891111673841483E-3</v>
      </c>
      <c r="N80" s="74">
        <f>IF('AUGUST 2026'!I52="","",'AUGUST 2026'!I52)</f>
        <v>5.9388114254771897E-2</v>
      </c>
      <c r="O80" s="74">
        <f>IF('AUGUST 2026'!I53="","",'AUGUST 2026'!I53)</f>
        <v>0</v>
      </c>
      <c r="P80" s="74">
        <f>IF('AUGUST 2026'!I54="","",'AUGUST 2026'!I54)</f>
        <v>9.3632958801498128E-4</v>
      </c>
      <c r="Q80" s="74">
        <f>IF('AUGUST 2026'!I55="","",'AUGUST 2026'!I55)</f>
        <v>5.9670644709647308E-2</v>
      </c>
      <c r="R80" s="74">
        <f>IF('AUGUST 2026'!I56="","",'AUGUST 2026'!I56)</f>
        <v>1.2113435692227394E-2</v>
      </c>
      <c r="S80" s="74">
        <f>IF('AUGUST 2026'!I57="","",'AUGUST 2026'!I57)</f>
        <v>0</v>
      </c>
      <c r="T80" s="74">
        <f>IF('AUGUST 2026'!I58="","",'AUGUST 2026'!I58)</f>
        <v>0</v>
      </c>
      <c r="U80" s="74">
        <f>IF('AUGUST 2026'!I59="","",'AUGUST 2026'!I59)</f>
        <v>7.853465820663234E-3</v>
      </c>
      <c r="V80" s="74">
        <f>IF('AUGUST 2026'!I60="","",'AUGUST 2026'!I60)</f>
        <v>0</v>
      </c>
      <c r="W80" s="74">
        <f>IF('AUGUST 2026'!I61="","",'AUGUST 2026'!I61)</f>
        <v>4.9535603715170282E-3</v>
      </c>
      <c r="X80" s="74">
        <f>IF('AUGUST 2026'!I62="","",'AUGUST 2026'!I62)</f>
        <v>9.7437409531978773E-3</v>
      </c>
      <c r="Y80" s="74">
        <f>IF('AUGUST 2026'!I63="","",'AUGUST 2026'!I63)</f>
        <v>2.182858910891089E-2</v>
      </c>
    </row>
    <row r="81" spans="1:25" x14ac:dyDescent="0.2">
      <c r="A81" s="71"/>
      <c r="B81" s="72" t="s">
        <v>178</v>
      </c>
      <c r="C81" s="71"/>
      <c r="D81" s="71"/>
      <c r="E81" s="71"/>
      <c r="F81" s="73">
        <f>IF('AUGUST 2026'!K44="","",'AUGUST 2026'!K44)</f>
        <v>52.099899999999998</v>
      </c>
      <c r="G81" s="73">
        <f>IF('AUGUST 2026'!K45="","",'AUGUST 2026'!K45)</f>
        <v>49.171900000000001</v>
      </c>
      <c r="H81" s="73">
        <f>IF('AUGUST 2026'!K46="","",'AUGUST 2026'!K46)</f>
        <v>50.610999999999997</v>
      </c>
      <c r="I81" s="73">
        <f>IF('AUGUST 2026'!K47="","",'AUGUST 2026'!K47)</f>
        <v>39</v>
      </c>
      <c r="J81" s="73">
        <f>IF('AUGUST 2026'!K48="","",'AUGUST 2026'!K48)</f>
        <v>37.580599999999997</v>
      </c>
      <c r="K81" s="73">
        <f>IF('AUGUST 2026'!K49="","",'AUGUST 2026'!K49)</f>
        <v>36.024999999999999</v>
      </c>
      <c r="L81" s="73">
        <f>IF('AUGUST 2026'!K50="","",'AUGUST 2026'!K50)</f>
        <v>37.637999999999998</v>
      </c>
      <c r="M81" s="73">
        <f>IF('AUGUST 2026'!K51="","",'AUGUST 2026'!K51)</f>
        <v>48.7881</v>
      </c>
      <c r="N81" s="73">
        <f>IF('AUGUST 2026'!K52="","",'AUGUST 2026'!K52)</f>
        <v>44.651800000000001</v>
      </c>
      <c r="O81" s="73">
        <f>IF('AUGUST 2026'!K53="","",'AUGUST 2026'!K53)</f>
        <v>39</v>
      </c>
      <c r="P81" s="73">
        <f>IF('AUGUST 2026'!K54="","",'AUGUST 2026'!K54)</f>
        <v>39.0366</v>
      </c>
      <c r="Q81" s="73">
        <f>IF('AUGUST 2026'!K55="","",'AUGUST 2026'!K55)</f>
        <v>51.311799999999998</v>
      </c>
      <c r="R81" s="73">
        <f>IF('AUGUST 2026'!K56="","",'AUGUST 2026'!K56)</f>
        <v>38.466000000000001</v>
      </c>
      <c r="S81" s="73">
        <f>IF('AUGUST 2026'!K57="","",'AUGUST 2026'!K57)</f>
        <v>39</v>
      </c>
      <c r="T81" s="73">
        <f>IF('AUGUST 2026'!K58="","",'AUGUST 2026'!K58)</f>
        <v>39</v>
      </c>
      <c r="U81" s="73">
        <f>IF('AUGUST 2026'!K59="","",'AUGUST 2026'!K59)</f>
        <v>39.8127</v>
      </c>
      <c r="V81" s="73">
        <f>IF('AUGUST 2026'!K60="","",'AUGUST 2026'!K60)</f>
        <v>39</v>
      </c>
      <c r="W81" s="73">
        <f>IF('AUGUST 2026'!K61="","",'AUGUST 2026'!K61)</f>
        <v>1.7586999999999999</v>
      </c>
      <c r="X81" s="73">
        <f>IF('AUGUST 2026'!K62="","",'AUGUST 2026'!K62)</f>
        <v>39.89</v>
      </c>
      <c r="Y81" s="73">
        <f>IF('AUGUST 2026'!K63="","",'AUGUST 2026'!K63)</f>
        <v>45.622799999999998</v>
      </c>
    </row>
    <row r="84" spans="1:25" x14ac:dyDescent="0.2">
      <c r="A84" s="55" t="s">
        <v>180</v>
      </c>
    </row>
    <row r="85" spans="1:25" ht="22.25" customHeight="1" x14ac:dyDescent="0.2">
      <c r="A85" s="3" t="s">
        <v>172</v>
      </c>
      <c r="B85" s="3" t="s">
        <v>31</v>
      </c>
      <c r="C85" s="3" t="s">
        <v>23</v>
      </c>
      <c r="D85" s="2" t="s">
        <v>173</v>
      </c>
      <c r="E85" s="1" t="s">
        <v>174</v>
      </c>
      <c r="F85" s="11" t="s">
        <v>137</v>
      </c>
      <c r="G85" s="11" t="s">
        <v>141</v>
      </c>
      <c r="H85" s="11" t="s">
        <v>143</v>
      </c>
      <c r="I85" s="11" t="s">
        <v>149</v>
      </c>
      <c r="J85" s="11" t="s">
        <v>150</v>
      </c>
      <c r="K85" s="11" t="s">
        <v>151</v>
      </c>
      <c r="L85" s="11" t="s">
        <v>153</v>
      </c>
      <c r="M85" s="11" t="s">
        <v>155</v>
      </c>
      <c r="N85" s="11" t="s">
        <v>156</v>
      </c>
      <c r="O85" s="11" t="s">
        <v>158</v>
      </c>
      <c r="P85" s="11" t="s">
        <v>162</v>
      </c>
      <c r="Q85" s="11" t="s">
        <v>163</v>
      </c>
      <c r="R85" s="11" t="s">
        <v>165</v>
      </c>
      <c r="S85" s="11" t="s">
        <v>167</v>
      </c>
    </row>
    <row r="86" spans="1:25" x14ac:dyDescent="0.2">
      <c r="A86" s="3"/>
      <c r="B86" s="3"/>
      <c r="C86" s="3"/>
      <c r="D86" s="3"/>
      <c r="E86" s="3"/>
      <c r="F86" s="65" t="s">
        <v>138</v>
      </c>
      <c r="G86" s="65" t="s">
        <v>142</v>
      </c>
      <c r="H86" s="65" t="s">
        <v>144</v>
      </c>
      <c r="I86" s="65" t="s">
        <v>83</v>
      </c>
      <c r="J86" s="65" t="s">
        <v>87</v>
      </c>
      <c r="K86" s="65" t="s">
        <v>152</v>
      </c>
      <c r="L86" s="65" t="s">
        <v>154</v>
      </c>
      <c r="M86" s="65" t="s">
        <v>87</v>
      </c>
      <c r="N86" s="65" t="s">
        <v>157</v>
      </c>
      <c r="O86" s="65" t="s">
        <v>159</v>
      </c>
      <c r="P86" s="65" t="s">
        <v>87</v>
      </c>
      <c r="Q86" s="65" t="s">
        <v>164</v>
      </c>
      <c r="R86" s="65" t="s">
        <v>166</v>
      </c>
      <c r="S86" s="65" t="s">
        <v>87</v>
      </c>
    </row>
    <row r="87" spans="1:25" x14ac:dyDescent="0.2">
      <c r="A87" s="66">
        <v>1</v>
      </c>
      <c r="B87" s="32">
        <v>46263</v>
      </c>
      <c r="C87" s="33" t="s">
        <v>55</v>
      </c>
      <c r="D87" s="34">
        <v>41.081099999999999</v>
      </c>
      <c r="E87" s="67">
        <f t="shared" ref="E87:E105" si="4">SUM(F87:S87)</f>
        <v>12314</v>
      </c>
      <c r="F87" s="39">
        <v>6119</v>
      </c>
      <c r="G87" s="39">
        <v>2398</v>
      </c>
      <c r="H87" s="39">
        <v>3797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</row>
    <row r="88" spans="1:25" x14ac:dyDescent="0.2">
      <c r="A88" s="68">
        <v>2</v>
      </c>
      <c r="B88" s="42">
        <v>46264</v>
      </c>
      <c r="C88" s="43" t="s">
        <v>56</v>
      </c>
      <c r="D88" s="44"/>
      <c r="E88" s="69">
        <f t="shared" si="4"/>
        <v>0</v>
      </c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</row>
    <row r="89" spans="1:25" x14ac:dyDescent="0.2">
      <c r="A89" s="68">
        <v>3</v>
      </c>
      <c r="B89" s="42">
        <v>46265</v>
      </c>
      <c r="C89" s="43" t="s">
        <v>57</v>
      </c>
      <c r="D89" s="44"/>
      <c r="E89" s="69">
        <f t="shared" si="4"/>
        <v>0</v>
      </c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</row>
    <row r="90" spans="1:25" x14ac:dyDescent="0.2">
      <c r="A90" s="66">
        <v>4</v>
      </c>
      <c r="B90" s="32">
        <v>46266</v>
      </c>
      <c r="C90" s="33" t="s">
        <v>51</v>
      </c>
      <c r="D90" s="34">
        <v>41.440600000000003</v>
      </c>
      <c r="E90" s="67">
        <f t="shared" si="4"/>
        <v>41867</v>
      </c>
      <c r="F90" s="39"/>
      <c r="G90" s="39">
        <v>8468</v>
      </c>
      <c r="H90" s="39">
        <v>15845</v>
      </c>
      <c r="I90" s="39">
        <v>17554</v>
      </c>
      <c r="J90" s="39"/>
      <c r="K90" s="39"/>
      <c r="L90" s="39"/>
      <c r="M90" s="39"/>
      <c r="N90" s="39"/>
      <c r="O90" s="39"/>
      <c r="P90" s="39"/>
      <c r="Q90" s="39"/>
      <c r="R90" s="39"/>
      <c r="S90" s="39"/>
    </row>
    <row r="91" spans="1:25" x14ac:dyDescent="0.2">
      <c r="A91" s="66">
        <v>5</v>
      </c>
      <c r="B91" s="32">
        <v>46267</v>
      </c>
      <c r="C91" s="33" t="s">
        <v>52</v>
      </c>
      <c r="D91" s="34">
        <v>41.2271</v>
      </c>
      <c r="E91" s="67">
        <f t="shared" si="4"/>
        <v>28656</v>
      </c>
      <c r="F91" s="39"/>
      <c r="G91" s="39">
        <v>5084</v>
      </c>
      <c r="H91" s="39">
        <v>10042</v>
      </c>
      <c r="I91" s="39">
        <v>9530</v>
      </c>
      <c r="J91" s="39">
        <v>4000</v>
      </c>
      <c r="K91" s="39"/>
      <c r="L91" s="39"/>
      <c r="M91" s="39"/>
      <c r="N91" s="39"/>
      <c r="O91" s="39"/>
      <c r="P91" s="39"/>
      <c r="Q91" s="39"/>
      <c r="R91" s="39"/>
      <c r="S91" s="39"/>
    </row>
    <row r="92" spans="1:25" x14ac:dyDescent="0.2">
      <c r="A92" s="66">
        <v>6</v>
      </c>
      <c r="B92" s="32">
        <v>46268</v>
      </c>
      <c r="C92" s="33" t="s">
        <v>53</v>
      </c>
      <c r="D92" s="34">
        <v>40.980200000000004</v>
      </c>
      <c r="E92" s="67">
        <f t="shared" si="4"/>
        <v>35299</v>
      </c>
      <c r="F92" s="39"/>
      <c r="G92" s="39">
        <v>5002</v>
      </c>
      <c r="H92" s="39">
        <v>1549</v>
      </c>
      <c r="I92" s="39">
        <v>10590</v>
      </c>
      <c r="J92" s="39">
        <v>10000</v>
      </c>
      <c r="K92" s="39">
        <v>8158</v>
      </c>
      <c r="L92" s="39"/>
      <c r="M92" s="39"/>
      <c r="N92" s="39"/>
      <c r="O92" s="39"/>
      <c r="P92" s="39"/>
      <c r="Q92" s="39"/>
      <c r="R92" s="39"/>
      <c r="S92" s="39"/>
    </row>
    <row r="93" spans="1:25" x14ac:dyDescent="0.2">
      <c r="A93" s="66">
        <v>7</v>
      </c>
      <c r="B93" s="32">
        <v>46269</v>
      </c>
      <c r="C93" s="33" t="s">
        <v>54</v>
      </c>
      <c r="D93" s="34">
        <v>41.2774</v>
      </c>
      <c r="E93" s="67">
        <f t="shared" si="4"/>
        <v>31255</v>
      </c>
      <c r="F93" s="39"/>
      <c r="G93" s="39">
        <v>4743</v>
      </c>
      <c r="H93" s="39"/>
      <c r="I93" s="39">
        <v>11490</v>
      </c>
      <c r="J93" s="39">
        <v>5385</v>
      </c>
      <c r="K93" s="39">
        <v>9637</v>
      </c>
      <c r="L93" s="39"/>
      <c r="M93" s="39"/>
      <c r="N93" s="39"/>
      <c r="O93" s="39"/>
      <c r="P93" s="39"/>
      <c r="Q93" s="39"/>
      <c r="R93" s="39"/>
      <c r="S93" s="39"/>
    </row>
    <row r="94" spans="1:25" x14ac:dyDescent="0.2">
      <c r="A94" s="66">
        <v>8</v>
      </c>
      <c r="B94" s="32">
        <v>46270</v>
      </c>
      <c r="C94" s="33" t="s">
        <v>55</v>
      </c>
      <c r="D94" s="34">
        <v>44.017099999999999</v>
      </c>
      <c r="E94" s="67">
        <f t="shared" si="4"/>
        <v>31007</v>
      </c>
      <c r="F94" s="39"/>
      <c r="G94" s="39">
        <v>6216</v>
      </c>
      <c r="H94" s="39"/>
      <c r="I94" s="39">
        <v>5326</v>
      </c>
      <c r="J94" s="39"/>
      <c r="K94" s="39">
        <v>12148</v>
      </c>
      <c r="L94" s="39">
        <v>7317</v>
      </c>
      <c r="M94" s="39"/>
      <c r="N94" s="39"/>
      <c r="O94" s="39"/>
      <c r="P94" s="39"/>
      <c r="Q94" s="39"/>
      <c r="R94" s="39"/>
      <c r="S94" s="39"/>
    </row>
    <row r="95" spans="1:25" x14ac:dyDescent="0.2">
      <c r="A95" s="68">
        <v>9</v>
      </c>
      <c r="B95" s="42">
        <v>46271</v>
      </c>
      <c r="C95" s="43" t="s">
        <v>56</v>
      </c>
      <c r="D95" s="44"/>
      <c r="E95" s="69">
        <f t="shared" si="4"/>
        <v>0</v>
      </c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</row>
    <row r="96" spans="1:25" x14ac:dyDescent="0.2">
      <c r="A96" s="66">
        <v>10</v>
      </c>
      <c r="B96" s="32">
        <v>46272</v>
      </c>
      <c r="C96" s="33" t="s">
        <v>57</v>
      </c>
      <c r="D96" s="34">
        <v>44.849800000000002</v>
      </c>
      <c r="E96" s="67">
        <f t="shared" si="4"/>
        <v>34406</v>
      </c>
      <c r="F96" s="39"/>
      <c r="G96" s="39">
        <v>5880</v>
      </c>
      <c r="H96" s="39"/>
      <c r="I96" s="39"/>
      <c r="J96" s="39"/>
      <c r="K96" s="39">
        <v>12178</v>
      </c>
      <c r="L96" s="39">
        <v>12348</v>
      </c>
      <c r="M96" s="39">
        <v>4000</v>
      </c>
      <c r="N96" s="39"/>
      <c r="O96" s="39"/>
      <c r="P96" s="39"/>
      <c r="Q96" s="39"/>
      <c r="R96" s="39"/>
      <c r="S96" s="39"/>
    </row>
    <row r="97" spans="1:19" x14ac:dyDescent="0.2">
      <c r="A97" s="66">
        <v>11</v>
      </c>
      <c r="B97" s="32">
        <v>46273</v>
      </c>
      <c r="C97" s="33" t="s">
        <v>51</v>
      </c>
      <c r="D97" s="34">
        <v>43.7697</v>
      </c>
      <c r="E97" s="67">
        <f t="shared" si="4"/>
        <v>38399</v>
      </c>
      <c r="F97" s="39"/>
      <c r="G97" s="39">
        <v>5405</v>
      </c>
      <c r="H97" s="39"/>
      <c r="I97" s="39"/>
      <c r="J97" s="39"/>
      <c r="K97" s="39">
        <v>13209</v>
      </c>
      <c r="L97" s="39">
        <v>9785</v>
      </c>
      <c r="M97" s="39">
        <v>10000</v>
      </c>
      <c r="N97" s="39"/>
      <c r="O97" s="39"/>
      <c r="P97" s="39"/>
      <c r="Q97" s="39"/>
      <c r="R97" s="39"/>
      <c r="S97" s="39"/>
    </row>
    <row r="98" spans="1:19" x14ac:dyDescent="0.2">
      <c r="A98" s="66">
        <v>12</v>
      </c>
      <c r="B98" s="32">
        <v>46274</v>
      </c>
      <c r="C98" s="33" t="s">
        <v>52</v>
      </c>
      <c r="D98" s="34">
        <v>44.4955</v>
      </c>
      <c r="E98" s="67">
        <f t="shared" si="4"/>
        <v>34480</v>
      </c>
      <c r="F98" s="39"/>
      <c r="G98" s="39">
        <v>6128</v>
      </c>
      <c r="H98" s="39"/>
      <c r="I98" s="39"/>
      <c r="J98" s="39"/>
      <c r="K98" s="39"/>
      <c r="L98" s="39">
        <v>11242</v>
      </c>
      <c r="M98" s="39">
        <v>5170</v>
      </c>
      <c r="N98" s="39">
        <v>11940</v>
      </c>
      <c r="O98" s="39"/>
      <c r="P98" s="39"/>
      <c r="Q98" s="39"/>
      <c r="R98" s="39"/>
      <c r="S98" s="39"/>
    </row>
    <row r="99" spans="1:19" x14ac:dyDescent="0.2">
      <c r="A99" s="66">
        <v>13</v>
      </c>
      <c r="B99" s="32">
        <v>46275</v>
      </c>
      <c r="C99" s="33" t="s">
        <v>53</v>
      </c>
      <c r="D99" s="34">
        <v>46.088700000000003</v>
      </c>
      <c r="E99" s="67">
        <f t="shared" si="4"/>
        <v>31487</v>
      </c>
      <c r="F99" s="39"/>
      <c r="G99" s="39">
        <v>2683</v>
      </c>
      <c r="H99" s="39"/>
      <c r="I99" s="39"/>
      <c r="J99" s="39"/>
      <c r="K99" s="39"/>
      <c r="L99" s="39">
        <v>11456</v>
      </c>
      <c r="M99" s="39"/>
      <c r="N99" s="39">
        <v>11951</v>
      </c>
      <c r="O99" s="39">
        <v>3397</v>
      </c>
      <c r="P99" s="39">
        <v>2000</v>
      </c>
      <c r="Q99" s="39"/>
      <c r="R99" s="39"/>
      <c r="S99" s="39"/>
    </row>
    <row r="100" spans="1:19" x14ac:dyDescent="0.2">
      <c r="A100" s="66">
        <v>14</v>
      </c>
      <c r="B100" s="32">
        <v>46276</v>
      </c>
      <c r="C100" s="33" t="s">
        <v>54</v>
      </c>
      <c r="D100" s="34">
        <v>42.4726</v>
      </c>
      <c r="E100" s="67">
        <f t="shared" si="4"/>
        <v>35468</v>
      </c>
      <c r="F100" s="39"/>
      <c r="G100" s="39"/>
      <c r="H100" s="39"/>
      <c r="I100" s="39"/>
      <c r="J100" s="39"/>
      <c r="K100" s="39"/>
      <c r="L100" s="39"/>
      <c r="M100" s="39"/>
      <c r="N100" s="39">
        <v>9537</v>
      </c>
      <c r="O100" s="39">
        <v>5167</v>
      </c>
      <c r="P100" s="39">
        <v>10000</v>
      </c>
      <c r="Q100" s="39">
        <v>10764</v>
      </c>
      <c r="R100" s="39"/>
      <c r="S100" s="39"/>
    </row>
    <row r="101" spans="1:19" x14ac:dyDescent="0.2">
      <c r="A101" s="66">
        <v>15</v>
      </c>
      <c r="B101" s="32">
        <v>46277</v>
      </c>
      <c r="C101" s="33" t="s">
        <v>55</v>
      </c>
      <c r="D101" s="34">
        <v>42.889299999999999</v>
      </c>
      <c r="E101" s="67">
        <f t="shared" si="4"/>
        <v>34155</v>
      </c>
      <c r="F101" s="39"/>
      <c r="G101" s="39"/>
      <c r="H101" s="39"/>
      <c r="I101" s="39"/>
      <c r="J101" s="39"/>
      <c r="K101" s="39"/>
      <c r="L101" s="39"/>
      <c r="M101" s="39"/>
      <c r="N101" s="39">
        <v>10740</v>
      </c>
      <c r="O101" s="39">
        <v>5369</v>
      </c>
      <c r="P101" s="39">
        <v>7510</v>
      </c>
      <c r="Q101" s="39">
        <v>10536</v>
      </c>
      <c r="R101" s="39"/>
      <c r="S101" s="39"/>
    </row>
    <row r="102" spans="1:19" x14ac:dyDescent="0.2">
      <c r="A102" s="68">
        <v>16</v>
      </c>
      <c r="B102" s="42">
        <v>46278</v>
      </c>
      <c r="C102" s="43" t="s">
        <v>56</v>
      </c>
      <c r="D102" s="44"/>
      <c r="E102" s="69">
        <f t="shared" si="4"/>
        <v>0</v>
      </c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</row>
    <row r="103" spans="1:19" x14ac:dyDescent="0.2">
      <c r="A103" s="66">
        <v>17</v>
      </c>
      <c r="B103" s="32">
        <v>46279</v>
      </c>
      <c r="C103" s="33" t="s">
        <v>57</v>
      </c>
      <c r="D103" s="34">
        <v>43.932899999999997</v>
      </c>
      <c r="E103" s="67">
        <f t="shared" si="4"/>
        <v>36450</v>
      </c>
      <c r="F103" s="39"/>
      <c r="G103" s="39"/>
      <c r="H103" s="39"/>
      <c r="I103" s="39"/>
      <c r="J103" s="39"/>
      <c r="K103" s="39"/>
      <c r="L103" s="39"/>
      <c r="M103" s="39"/>
      <c r="N103" s="39">
        <v>9227</v>
      </c>
      <c r="O103" s="39">
        <v>6589</v>
      </c>
      <c r="P103" s="39"/>
      <c r="Q103" s="39">
        <v>13252</v>
      </c>
      <c r="R103" s="39">
        <v>7382</v>
      </c>
      <c r="S103" s="39"/>
    </row>
    <row r="104" spans="1:19" x14ac:dyDescent="0.2">
      <c r="A104" s="66">
        <v>18</v>
      </c>
      <c r="B104" s="32">
        <v>46280</v>
      </c>
      <c r="C104" s="33" t="s">
        <v>51</v>
      </c>
      <c r="D104" s="34">
        <v>43.450299999999999</v>
      </c>
      <c r="E104" s="67">
        <f t="shared" si="4"/>
        <v>40041</v>
      </c>
      <c r="F104" s="39"/>
      <c r="G104" s="39"/>
      <c r="H104" s="39"/>
      <c r="I104" s="39"/>
      <c r="J104" s="39"/>
      <c r="K104" s="39"/>
      <c r="L104" s="39"/>
      <c r="M104" s="39"/>
      <c r="N104" s="39"/>
      <c r="O104" s="39">
        <v>7386</v>
      </c>
      <c r="P104" s="39"/>
      <c r="Q104" s="39">
        <v>14589</v>
      </c>
      <c r="R104" s="39">
        <v>16066</v>
      </c>
      <c r="S104" s="39">
        <v>2000</v>
      </c>
    </row>
    <row r="105" spans="1:19" x14ac:dyDescent="0.2">
      <c r="A105" s="66">
        <v>19</v>
      </c>
      <c r="B105" s="32">
        <v>46281</v>
      </c>
      <c r="C105" s="33" t="s">
        <v>52</v>
      </c>
      <c r="D105" s="34">
        <v>42.772500000000001</v>
      </c>
      <c r="E105" s="67">
        <f t="shared" si="4"/>
        <v>35460</v>
      </c>
      <c r="F105" s="39"/>
      <c r="G105" s="39"/>
      <c r="H105" s="39"/>
      <c r="I105" s="39"/>
      <c r="J105" s="39"/>
      <c r="K105" s="39"/>
      <c r="L105" s="39"/>
      <c r="M105" s="39"/>
      <c r="N105" s="39"/>
      <c r="O105" s="39">
        <v>6267</v>
      </c>
      <c r="P105" s="39"/>
      <c r="Q105" s="39">
        <v>12572</v>
      </c>
      <c r="R105" s="39">
        <v>10571</v>
      </c>
      <c r="S105" s="39">
        <v>6050</v>
      </c>
    </row>
    <row r="106" spans="1:19" x14ac:dyDescent="0.2">
      <c r="A106" s="60"/>
      <c r="B106" s="70" t="s">
        <v>175</v>
      </c>
      <c r="C106" s="60"/>
      <c r="D106" s="23">
        <f>SUMPRODUCT(D87:D105,E87:E105)/SUMIF(D87:D105,"&gt;0",E87:E105)</f>
        <v>43.060268083691469</v>
      </c>
      <c r="E106" s="53">
        <f t="shared" ref="E106:S106" si="5">SUM(E87:E105)</f>
        <v>500744</v>
      </c>
      <c r="F106" s="53">
        <f t="shared" si="5"/>
        <v>6119</v>
      </c>
      <c r="G106" s="53">
        <f t="shared" si="5"/>
        <v>52007</v>
      </c>
      <c r="H106" s="53">
        <f t="shared" si="5"/>
        <v>31233</v>
      </c>
      <c r="I106" s="53">
        <f t="shared" si="5"/>
        <v>54490</v>
      </c>
      <c r="J106" s="53">
        <f t="shared" si="5"/>
        <v>19385</v>
      </c>
      <c r="K106" s="53">
        <f t="shared" si="5"/>
        <v>55330</v>
      </c>
      <c r="L106" s="53">
        <f t="shared" si="5"/>
        <v>52148</v>
      </c>
      <c r="M106" s="53">
        <f t="shared" si="5"/>
        <v>19170</v>
      </c>
      <c r="N106" s="53">
        <f t="shared" si="5"/>
        <v>53395</v>
      </c>
      <c r="O106" s="53">
        <f t="shared" si="5"/>
        <v>34175</v>
      </c>
      <c r="P106" s="53">
        <f t="shared" si="5"/>
        <v>19510</v>
      </c>
      <c r="Q106" s="53">
        <f t="shared" si="5"/>
        <v>61713</v>
      </c>
      <c r="R106" s="53">
        <f t="shared" si="5"/>
        <v>34019</v>
      </c>
      <c r="S106" s="53">
        <f t="shared" si="5"/>
        <v>8050</v>
      </c>
    </row>
    <row r="107" spans="1:19" x14ac:dyDescent="0.2">
      <c r="A107" s="71"/>
      <c r="B107" s="72" t="s">
        <v>176</v>
      </c>
      <c r="C107" s="71"/>
      <c r="D107" s="71"/>
      <c r="E107" s="71"/>
      <c r="F107" s="73">
        <f>IF('SEPTEMBER 2026'!J34="","",'SEPTEMBER 2026'!J34)</f>
        <v>39.5</v>
      </c>
      <c r="G107" s="73">
        <f>IF('SEPTEMBER 2026'!J35="","",'SEPTEMBER 2026'!J35)</f>
        <v>39.501300000000001</v>
      </c>
      <c r="H107" s="73">
        <f>IF('SEPTEMBER 2026'!J36="","",'SEPTEMBER 2026'!J36)</f>
        <v>44.626899999999999</v>
      </c>
      <c r="I107" s="73">
        <f>IF('SEPTEMBER 2026'!J37="","",'SEPTEMBER 2026'!J37)</f>
        <v>39.5</v>
      </c>
      <c r="J107" s="73">
        <f>IF('SEPTEMBER 2026'!J38="","",'SEPTEMBER 2026'!J38)</f>
        <v>39</v>
      </c>
      <c r="K107" s="73">
        <f>IF('SEPTEMBER 2026'!J39="","",'SEPTEMBER 2026'!J39)</f>
        <v>45.543199999999999</v>
      </c>
      <c r="L107" s="73">
        <f>IF('SEPTEMBER 2026'!J40="","",'SEPTEMBER 2026'!J40)</f>
        <v>48.607599999999998</v>
      </c>
      <c r="M107" s="73">
        <f>IF('SEPTEMBER 2026'!J41="","",'SEPTEMBER 2026'!J41)</f>
        <v>39</v>
      </c>
      <c r="N107" s="73">
        <f>IF('SEPTEMBER 2026'!J42="","",'SEPTEMBER 2026'!J42)</f>
        <v>45.566400000000002</v>
      </c>
      <c r="O107" s="73">
        <f>IF('SEPTEMBER 2026'!J43="","",'SEPTEMBER 2026'!J43)</f>
        <v>48.807699999999997</v>
      </c>
      <c r="P107" s="73">
        <f>IF('SEPTEMBER 2026'!J44="","",'SEPTEMBER 2026'!J44)</f>
        <v>39</v>
      </c>
      <c r="Q107" s="73">
        <f>IF('SEPTEMBER 2026'!J45="","",'SEPTEMBER 2026'!J45)</f>
        <v>39.916699999999999</v>
      </c>
      <c r="R107" s="73">
        <f>IF('SEPTEMBER 2026'!J46="","",'SEPTEMBER 2026'!J46)</f>
        <v>44.75</v>
      </c>
      <c r="S107" s="73">
        <f>IF('SEPTEMBER 2026'!J47="","",'SEPTEMBER 2026'!J47)</f>
        <v>39</v>
      </c>
    </row>
    <row r="108" spans="1:19" x14ac:dyDescent="0.2">
      <c r="A108" s="71"/>
      <c r="B108" s="72" t="s">
        <v>177</v>
      </c>
      <c r="C108" s="71"/>
      <c r="D108" s="71"/>
      <c r="E108" s="71"/>
      <c r="F108" s="74">
        <f>IF('SEPTEMBER 2026'!I34="","",'SEPTEMBER 2026'!I34)</f>
        <v>7.853465820663234E-3</v>
      </c>
      <c r="G108" s="74">
        <f>IF('SEPTEMBER 2026'!I35="","",'SEPTEMBER 2026'!I35)</f>
        <v>9.7437409531978773E-3</v>
      </c>
      <c r="H108" s="74">
        <f>IF('SEPTEMBER 2026'!I36="","",'SEPTEMBER 2026'!I36)</f>
        <v>2.182858910891089E-2</v>
      </c>
      <c r="I108" s="74">
        <f>IF('SEPTEMBER 2026'!I37="","",'SEPTEMBER 2026'!I37)</f>
        <v>1.0352342898656011E-2</v>
      </c>
      <c r="J108" s="74">
        <f>IF('SEPTEMBER 2026'!I38="","",'SEPTEMBER 2026'!I38)</f>
        <v>0</v>
      </c>
      <c r="K108" s="74">
        <f>IF('SEPTEMBER 2026'!I39="","",'SEPTEMBER 2026'!I39)</f>
        <v>4.9231033593951368E-2</v>
      </c>
      <c r="L108" s="74">
        <f>IF('SEPTEMBER 2026'!I40="","",'SEPTEMBER 2026'!I40)</f>
        <v>2.8991713993110513E-2</v>
      </c>
      <c r="M108" s="74">
        <f>IF('SEPTEMBER 2026'!I41="","",'SEPTEMBER 2026'!I41)</f>
        <v>0</v>
      </c>
      <c r="N108" s="74">
        <f>IF('SEPTEMBER 2026'!I42="","",'SEPTEMBER 2026'!I42)</f>
        <v>3.8361098604232327E-2</v>
      </c>
      <c r="O108" s="74" t="str">
        <f>IF('SEPTEMBER 2026'!I43="","",'SEPTEMBER 2026'!I43)</f>
        <v/>
      </c>
      <c r="P108" s="74">
        <f>IF('SEPTEMBER 2026'!I44="","",'SEPTEMBER 2026'!I44)</f>
        <v>0</v>
      </c>
      <c r="Q108" s="74" t="str">
        <f>IF('SEPTEMBER 2026'!I45="","",'SEPTEMBER 2026'!I45)</f>
        <v/>
      </c>
      <c r="R108" s="74" t="str">
        <f>IF('SEPTEMBER 2026'!I46="","",'SEPTEMBER 2026'!I46)</f>
        <v/>
      </c>
      <c r="S108" s="74" t="str">
        <f>IF('SEPTEMBER 2026'!I47="","",'SEPTEMBER 2026'!I47)</f>
        <v/>
      </c>
    </row>
    <row r="109" spans="1:19" x14ac:dyDescent="0.2">
      <c r="A109" s="71"/>
      <c r="B109" s="72" t="s">
        <v>178</v>
      </c>
      <c r="C109" s="71"/>
      <c r="D109" s="71"/>
      <c r="E109" s="71"/>
      <c r="F109" s="73">
        <f>IF('SEPTEMBER 2026'!K34="","",'SEPTEMBER 2026'!K34)</f>
        <v>39.8127</v>
      </c>
      <c r="G109" s="73">
        <f>IF('SEPTEMBER 2026'!K35="","",'SEPTEMBER 2026'!K35)</f>
        <v>39.89</v>
      </c>
      <c r="H109" s="73">
        <f>IF('SEPTEMBER 2026'!K36="","",'SEPTEMBER 2026'!K36)</f>
        <v>45.622799999999998</v>
      </c>
      <c r="I109" s="73">
        <f>IF('SEPTEMBER 2026'!K37="","",'SEPTEMBER 2026'!K37)</f>
        <v>39.913200000000003</v>
      </c>
      <c r="J109" s="73">
        <f>IF('SEPTEMBER 2026'!K38="","",'SEPTEMBER 2026'!K38)</f>
        <v>39</v>
      </c>
      <c r="K109" s="73">
        <f>IF('SEPTEMBER 2026'!K39="","",'SEPTEMBER 2026'!K39)</f>
        <v>47.901499999999999</v>
      </c>
      <c r="L109" s="73">
        <f>IF('SEPTEMBER 2026'!K40="","",'SEPTEMBER 2026'!K40)</f>
        <v>50.058900000000001</v>
      </c>
      <c r="M109" s="73">
        <f>IF('SEPTEMBER 2026'!K41="","",'SEPTEMBER 2026'!K41)</f>
        <v>39</v>
      </c>
      <c r="N109" s="73">
        <f>IF('SEPTEMBER 2026'!K42="","",'SEPTEMBER 2026'!K42)</f>
        <v>47.384099999999997</v>
      </c>
      <c r="O109" s="73" t="str">
        <f>IF('SEPTEMBER 2026'!K43="","",'SEPTEMBER 2026'!K43)</f>
        <v/>
      </c>
      <c r="P109" s="73">
        <f>IF('SEPTEMBER 2026'!K44="","",'SEPTEMBER 2026'!K44)</f>
        <v>39</v>
      </c>
      <c r="Q109" s="73" t="str">
        <f>IF('SEPTEMBER 2026'!K45="","",'SEPTEMBER 2026'!K45)</f>
        <v/>
      </c>
      <c r="R109" s="73" t="str">
        <f>IF('SEPTEMBER 2026'!K46="","",'SEPTEMBER 2026'!K46)</f>
        <v/>
      </c>
      <c r="S109" s="73" t="str">
        <f>IF('SEPTEMBER 2026'!K47="","",'SEPTEMBER 2026'!K47)</f>
        <v/>
      </c>
    </row>
  </sheetData>
  <mergeCells count="15">
    <mergeCell ref="A85:A86"/>
    <mergeCell ref="B85:B86"/>
    <mergeCell ref="C85:C86"/>
    <mergeCell ref="D85:D86"/>
    <mergeCell ref="E85:E86"/>
    <mergeCell ref="A47:A48"/>
    <mergeCell ref="B47:B48"/>
    <mergeCell ref="C47:C48"/>
    <mergeCell ref="D47:D48"/>
    <mergeCell ref="E47:E48"/>
    <mergeCell ref="A5:A6"/>
    <mergeCell ref="B5:B6"/>
    <mergeCell ref="C5:C6"/>
    <mergeCell ref="D5:D6"/>
    <mergeCell ref="E5:E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18" customWidth="1"/>
    <col min="2" max="2" width="22" customWidth="1"/>
    <col min="3" max="4" width="16" customWidth="1"/>
    <col min="5" max="5" width="14" customWidth="1"/>
    <col min="6" max="6" width="24" customWidth="1"/>
    <col min="7" max="7" width="11" customWidth="1"/>
  </cols>
  <sheetData>
    <row r="1" spans="1:7" ht="18" x14ac:dyDescent="0.2">
      <c r="A1" s="8" t="s">
        <v>181</v>
      </c>
    </row>
    <row r="2" spans="1:7" x14ac:dyDescent="0.2">
      <c r="A2" s="9" t="s">
        <v>182</v>
      </c>
    </row>
    <row r="4" spans="1:7" x14ac:dyDescent="0.2">
      <c r="A4" s="10" t="s">
        <v>1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</row>
    <row r="5" spans="1:7" x14ac:dyDescent="0.2">
      <c r="A5" s="33" t="s">
        <v>15</v>
      </c>
      <c r="B5" s="33" t="s">
        <v>189</v>
      </c>
      <c r="C5" s="35">
        <f>IF('JULY 2026'!D43="","",'JULY 2026'!D43)</f>
        <v>781234</v>
      </c>
      <c r="D5" s="39">
        <v>781234</v>
      </c>
      <c r="E5" s="36">
        <f t="shared" ref="E5:E43" si="0">IF(OR(C5="",D5=""),"",C5-D5)</f>
        <v>0</v>
      </c>
      <c r="F5" s="75" t="str">
        <f t="shared" ref="F5:F43" si="1">IF(AND(C5="",D5=""),"OK (blank on purpose)",IF(OR(C5="",D5=""),"CHECK",IF(ABS(E5)&lt;=G5,"OK","CHECK")))</f>
        <v>OK</v>
      </c>
      <c r="G5" s="76">
        <v>0.5</v>
      </c>
    </row>
    <row r="6" spans="1:7" x14ac:dyDescent="0.2">
      <c r="A6" s="33" t="s">
        <v>15</v>
      </c>
      <c r="B6" s="33" t="s">
        <v>190</v>
      </c>
      <c r="C6" s="35">
        <f>IF('JULY 2026'!E43="","",'JULY 2026'!E43)</f>
        <v>621201</v>
      </c>
      <c r="D6" s="39">
        <v>621201</v>
      </c>
      <c r="E6" s="36">
        <f t="shared" si="0"/>
        <v>0</v>
      </c>
      <c r="F6" s="75" t="str">
        <f t="shared" si="1"/>
        <v>OK</v>
      </c>
      <c r="G6" s="76">
        <v>0.5</v>
      </c>
    </row>
    <row r="7" spans="1:7" x14ac:dyDescent="0.2">
      <c r="A7" s="33" t="s">
        <v>15</v>
      </c>
      <c r="B7" s="33" t="s">
        <v>191</v>
      </c>
      <c r="C7" s="77">
        <f>IF('JULY 2026'!D5="","",'JULY 2026'!D5)</f>
        <v>0.79515356474500598</v>
      </c>
      <c r="D7" s="78">
        <v>0.79515400000000003</v>
      </c>
      <c r="E7" s="79">
        <f t="shared" si="0"/>
        <v>-4.3525499404672985E-7</v>
      </c>
      <c r="F7" s="75" t="str">
        <f t="shared" si="1"/>
        <v>OK</v>
      </c>
      <c r="G7" s="76">
        <v>5.0000000000000002E-5</v>
      </c>
    </row>
    <row r="8" spans="1:7" x14ac:dyDescent="0.2">
      <c r="A8" s="33" t="s">
        <v>15</v>
      </c>
      <c r="B8" s="33" t="s">
        <v>192</v>
      </c>
      <c r="C8" s="77">
        <f>IF('JULY 2026'!E5="","",'JULY 2026'!E5)</f>
        <v>0.20484643525499402</v>
      </c>
      <c r="D8" s="78">
        <v>0.204846</v>
      </c>
      <c r="E8" s="79">
        <f t="shared" si="0"/>
        <v>4.3525499401897427E-7</v>
      </c>
      <c r="F8" s="75" t="str">
        <f t="shared" si="1"/>
        <v>OK</v>
      </c>
      <c r="G8" s="76">
        <v>5.0000000000000002E-5</v>
      </c>
    </row>
    <row r="9" spans="1:7" x14ac:dyDescent="0.2">
      <c r="A9" s="33" t="s">
        <v>15</v>
      </c>
      <c r="B9" s="33" t="s">
        <v>193</v>
      </c>
      <c r="C9" s="18">
        <f>IF('JULY 2026'!F5="","",'JULY 2026'!F5)</f>
        <v>106506.5</v>
      </c>
      <c r="D9" s="41">
        <v>106506.5</v>
      </c>
      <c r="E9" s="37">
        <f t="shared" si="0"/>
        <v>0</v>
      </c>
      <c r="F9" s="75" t="str">
        <f t="shared" si="1"/>
        <v>OK</v>
      </c>
      <c r="G9" s="76">
        <v>0.05</v>
      </c>
    </row>
    <row r="10" spans="1:7" x14ac:dyDescent="0.2">
      <c r="A10" s="33" t="s">
        <v>15</v>
      </c>
      <c r="B10" s="33" t="s">
        <v>194</v>
      </c>
      <c r="C10" s="77">
        <f>IF('JULY 2026'!G5="","",'JULY 2026'!G5)</f>
        <v>0.17145255722382932</v>
      </c>
      <c r="D10" s="78">
        <v>0.17145299999999999</v>
      </c>
      <c r="E10" s="79">
        <f t="shared" si="0"/>
        <v>-4.4277617067267627E-7</v>
      </c>
      <c r="F10" s="75" t="str">
        <f t="shared" si="1"/>
        <v>OK</v>
      </c>
      <c r="G10" s="76">
        <v>5.0000000000000002E-5</v>
      </c>
    </row>
    <row r="11" spans="1:7" x14ac:dyDescent="0.2">
      <c r="A11" s="33" t="s">
        <v>15</v>
      </c>
      <c r="B11" s="33" t="s">
        <v>195</v>
      </c>
      <c r="C11" s="80">
        <f>IF('JULY 2026'!H5="","",'JULY 2026'!H5)</f>
        <v>45.337718985476826</v>
      </c>
      <c r="D11" s="81">
        <v>45.337699999999998</v>
      </c>
      <c r="E11" s="82">
        <f t="shared" si="0"/>
        <v>1.8985476827992898E-5</v>
      </c>
      <c r="F11" s="75" t="str">
        <f t="shared" si="1"/>
        <v>OK</v>
      </c>
      <c r="G11" s="76">
        <v>5.0000000000000001E-3</v>
      </c>
    </row>
    <row r="12" spans="1:7" x14ac:dyDescent="0.2">
      <c r="A12" s="33" t="s">
        <v>15</v>
      </c>
      <c r="B12" s="33" t="s">
        <v>196</v>
      </c>
      <c r="C12" s="80">
        <f>IF('JULY 2026'!I5="","",'JULY 2026'!I5)</f>
        <v>47.577997794898842</v>
      </c>
      <c r="D12" s="81">
        <v>47.578000000000003</v>
      </c>
      <c r="E12" s="82">
        <f t="shared" si="0"/>
        <v>-2.2051011612234106E-6</v>
      </c>
      <c r="F12" s="75" t="str">
        <f t="shared" si="1"/>
        <v>OK</v>
      </c>
      <c r="G12" s="76">
        <v>5.0000000000000001E-3</v>
      </c>
    </row>
    <row r="13" spans="1:7" x14ac:dyDescent="0.2">
      <c r="A13" s="33" t="s">
        <v>15</v>
      </c>
      <c r="B13" s="33" t="s">
        <v>197</v>
      </c>
      <c r="C13" s="80">
        <f>IF('JULY 2026'!J5="","",'JULY 2026'!J5)</f>
        <v>2.1714893248807314</v>
      </c>
      <c r="D13" s="81">
        <v>2.1715</v>
      </c>
      <c r="E13" s="82">
        <f t="shared" si="0"/>
        <v>-1.0675119268555022E-5</v>
      </c>
      <c r="F13" s="75" t="str">
        <f t="shared" si="1"/>
        <v>OK</v>
      </c>
      <c r="G13" s="76">
        <v>5.0000000000000001E-3</v>
      </c>
    </row>
    <row r="14" spans="1:7" x14ac:dyDescent="0.2">
      <c r="A14" s="33" t="s">
        <v>15</v>
      </c>
      <c r="B14" s="33" t="s">
        <v>198</v>
      </c>
      <c r="C14" s="77">
        <f>IF('JULY 2026'!K5="","",'JULY 2026'!K5)</f>
        <v>4.49976006084781E-2</v>
      </c>
      <c r="D14" s="78">
        <v>4.4998000000000003E-2</v>
      </c>
      <c r="E14" s="79">
        <f t="shared" si="0"/>
        <v>-3.9939152190332505E-7</v>
      </c>
      <c r="F14" s="75" t="str">
        <f t="shared" si="1"/>
        <v>OK</v>
      </c>
      <c r="G14" s="76">
        <v>5.0000000000000002E-5</v>
      </c>
    </row>
    <row r="15" spans="1:7" x14ac:dyDescent="0.2">
      <c r="A15" s="33" t="s">
        <v>15</v>
      </c>
      <c r="B15" s="33" t="s">
        <v>199</v>
      </c>
      <c r="C15" s="80">
        <f>IF('JULY 2026'!L5="","",'JULY 2026'!L5)</f>
        <v>57.017563645100381</v>
      </c>
      <c r="D15" s="81">
        <v>57.017600000000002</v>
      </c>
      <c r="E15" s="82">
        <f t="shared" si="0"/>
        <v>-3.6354899620505421E-5</v>
      </c>
      <c r="F15" s="75" t="str">
        <f t="shared" si="1"/>
        <v>OK</v>
      </c>
      <c r="G15" s="76">
        <v>5.0000000000000001E-3</v>
      </c>
    </row>
    <row r="16" spans="1:7" x14ac:dyDescent="0.2">
      <c r="A16" s="33" t="s">
        <v>15</v>
      </c>
      <c r="B16" s="33" t="s">
        <v>200</v>
      </c>
      <c r="C16" s="80">
        <f>IF('JULY 2026'!M5="","",'JULY 2026'!M5)</f>
        <v>59.834980190469757</v>
      </c>
      <c r="D16" s="81">
        <v>59.835000000000001</v>
      </c>
      <c r="E16" s="82">
        <f t="shared" si="0"/>
        <v>-1.9809530243719564E-5</v>
      </c>
      <c r="F16" s="75" t="str">
        <f t="shared" si="1"/>
        <v>OK</v>
      </c>
      <c r="G16" s="76">
        <v>5.0000000000000001E-3</v>
      </c>
    </row>
    <row r="17" spans="1:7" x14ac:dyDescent="0.2">
      <c r="A17" s="33" t="s">
        <v>15</v>
      </c>
      <c r="B17" s="33" t="s">
        <v>201</v>
      </c>
      <c r="C17" s="35">
        <f>IF('JULY 2026'!N5="","",'JULY 2026'!N5)</f>
        <v>781234</v>
      </c>
      <c r="D17" s="39">
        <v>781234</v>
      </c>
      <c r="E17" s="36">
        <f t="shared" si="0"/>
        <v>0</v>
      </c>
      <c r="F17" s="75" t="str">
        <f t="shared" si="1"/>
        <v>OK</v>
      </c>
      <c r="G17" s="76">
        <v>0.5</v>
      </c>
    </row>
    <row r="18" spans="1:7" x14ac:dyDescent="0.2">
      <c r="A18" s="33" t="s">
        <v>16</v>
      </c>
      <c r="B18" s="33" t="s">
        <v>189</v>
      </c>
      <c r="C18" s="35">
        <f>IF('AUGUST 2026'!D39="","",'AUGUST 2026'!D39)</f>
        <v>697313</v>
      </c>
      <c r="D18" s="39">
        <v>697313</v>
      </c>
      <c r="E18" s="36">
        <f t="shared" si="0"/>
        <v>0</v>
      </c>
      <c r="F18" s="75" t="str">
        <f t="shared" si="1"/>
        <v>OK</v>
      </c>
      <c r="G18" s="76">
        <v>0.5</v>
      </c>
    </row>
    <row r="19" spans="1:7" x14ac:dyDescent="0.2">
      <c r="A19" s="33" t="s">
        <v>16</v>
      </c>
      <c r="B19" s="33" t="s">
        <v>190</v>
      </c>
      <c r="C19" s="35">
        <f>IF('AUGUST 2026'!E39="","",'AUGUST 2026'!E39)</f>
        <v>553376</v>
      </c>
      <c r="D19" s="39">
        <v>553376</v>
      </c>
      <c r="E19" s="36">
        <f t="shared" si="0"/>
        <v>0</v>
      </c>
      <c r="F19" s="75" t="str">
        <f t="shared" si="1"/>
        <v>OK</v>
      </c>
      <c r="G19" s="76">
        <v>0.5</v>
      </c>
    </row>
    <row r="20" spans="1:7" x14ac:dyDescent="0.2">
      <c r="A20" s="33" t="s">
        <v>16</v>
      </c>
      <c r="B20" s="33" t="s">
        <v>191</v>
      </c>
      <c r="C20" s="77">
        <f>IF('AUGUST 2026'!D5="","",'AUGUST 2026'!D5)</f>
        <v>0.79358336930474549</v>
      </c>
      <c r="D20" s="78">
        <v>0.79358300000000004</v>
      </c>
      <c r="E20" s="79">
        <f t="shared" si="0"/>
        <v>3.6930474545115999E-7</v>
      </c>
      <c r="F20" s="75" t="str">
        <f t="shared" si="1"/>
        <v>OK</v>
      </c>
      <c r="G20" s="76">
        <v>5.0000000000000002E-5</v>
      </c>
    </row>
    <row r="21" spans="1:7" x14ac:dyDescent="0.2">
      <c r="A21" s="33" t="s">
        <v>16</v>
      </c>
      <c r="B21" s="33" t="s">
        <v>192</v>
      </c>
      <c r="C21" s="77">
        <f>IF('AUGUST 2026'!E5="","",'AUGUST 2026'!E5)</f>
        <v>0.20641663069525451</v>
      </c>
      <c r="D21" s="78">
        <v>0.20641699999999999</v>
      </c>
      <c r="E21" s="79">
        <f t="shared" si="0"/>
        <v>-3.6930474547891556E-7</v>
      </c>
      <c r="F21" s="75" t="str">
        <f t="shared" si="1"/>
        <v>OK</v>
      </c>
      <c r="G21" s="76">
        <v>5.0000000000000002E-5</v>
      </c>
    </row>
    <row r="22" spans="1:7" x14ac:dyDescent="0.2">
      <c r="A22" s="33" t="s">
        <v>16</v>
      </c>
      <c r="B22" s="33" t="s">
        <v>193</v>
      </c>
      <c r="C22" s="18">
        <f>IF('AUGUST 2026'!F5="","",'AUGUST 2026'!F5)</f>
        <v>78954.5</v>
      </c>
      <c r="D22" s="41">
        <v>78954.5</v>
      </c>
      <c r="E22" s="37">
        <f t="shared" si="0"/>
        <v>0</v>
      </c>
      <c r="F22" s="75" t="str">
        <f t="shared" si="1"/>
        <v>OK</v>
      </c>
      <c r="G22" s="76">
        <v>0.05</v>
      </c>
    </row>
    <row r="23" spans="1:7" x14ac:dyDescent="0.2">
      <c r="A23" s="33" t="s">
        <v>16</v>
      </c>
      <c r="B23" s="33" t="s">
        <v>194</v>
      </c>
      <c r="C23" s="77">
        <f>IF('AUGUST 2026'!G5="","",'AUGUST 2026'!G5)</f>
        <v>0.14267785375585498</v>
      </c>
      <c r="D23" s="78">
        <v>0.142678</v>
      </c>
      <c r="E23" s="79">
        <f t="shared" si="0"/>
        <v>-1.4624414501618332E-7</v>
      </c>
      <c r="F23" s="75" t="str">
        <f t="shared" si="1"/>
        <v>OK</v>
      </c>
      <c r="G23" s="76">
        <v>5.0000000000000002E-5</v>
      </c>
    </row>
    <row r="24" spans="1:7" x14ac:dyDescent="0.2">
      <c r="A24" s="33" t="s">
        <v>16</v>
      </c>
      <c r="B24" s="33" t="s">
        <v>195</v>
      </c>
      <c r="C24" s="80">
        <f>IF('AUGUST 2026'!H5="","",'AUGUST 2026'!H5)</f>
        <v>42.772035340227426</v>
      </c>
      <c r="D24" s="81">
        <v>42.771999999999998</v>
      </c>
      <c r="E24" s="82">
        <f t="shared" si="0"/>
        <v>3.5340227427127502E-5</v>
      </c>
      <c r="F24" s="75" t="str">
        <f t="shared" si="1"/>
        <v>OK</v>
      </c>
      <c r="G24" s="76">
        <v>5.0000000000000001E-3</v>
      </c>
    </row>
    <row r="25" spans="1:7" x14ac:dyDescent="0.2">
      <c r="A25" s="33" t="s">
        <v>16</v>
      </c>
      <c r="B25" s="33" t="s">
        <v>196</v>
      </c>
      <c r="C25" s="80">
        <f>IF('AUGUST 2026'!I5="","",'AUGUST 2026'!I5)</f>
        <v>43.939215615942921</v>
      </c>
      <c r="D25" s="81">
        <v>43.9392</v>
      </c>
      <c r="E25" s="82">
        <f t="shared" si="0"/>
        <v>1.5615942920987891E-5</v>
      </c>
      <c r="F25" s="75" t="str">
        <f t="shared" si="1"/>
        <v>OK</v>
      </c>
      <c r="G25" s="76">
        <v>5.0000000000000001E-3</v>
      </c>
    </row>
    <row r="26" spans="1:7" x14ac:dyDescent="0.2">
      <c r="A26" s="33" t="s">
        <v>16</v>
      </c>
      <c r="B26" s="33" t="s">
        <v>197</v>
      </c>
      <c r="C26" s="80">
        <f>IF('AUGUST 2026'!J5="","",'AUGUST 2026'!J5)</f>
        <v>1.0842164851518064</v>
      </c>
      <c r="D26" s="81">
        <v>1.0842000000000001</v>
      </c>
      <c r="E26" s="82">
        <f t="shared" si="0"/>
        <v>1.648515180630028E-5</v>
      </c>
      <c r="F26" s="75" t="str">
        <f t="shared" si="1"/>
        <v>OK</v>
      </c>
      <c r="G26" s="76">
        <v>5.0000000000000001E-3</v>
      </c>
    </row>
    <row r="27" spans="1:7" x14ac:dyDescent="0.2">
      <c r="A27" s="33" t="s">
        <v>16</v>
      </c>
      <c r="B27" s="33" t="s">
        <v>198</v>
      </c>
      <c r="C27" s="77">
        <f>IF('AUGUST 2026'!K5="","",'AUGUST 2026'!K5)</f>
        <v>2.4606566692195568E-2</v>
      </c>
      <c r="D27" s="78">
        <v>2.4607E-2</v>
      </c>
      <c r="E27" s="79">
        <f t="shared" si="0"/>
        <v>-4.333078044323202E-7</v>
      </c>
      <c r="F27" s="75" t="str">
        <f t="shared" si="1"/>
        <v>OK</v>
      </c>
      <c r="G27" s="76">
        <v>5.0000000000000002E-5</v>
      </c>
    </row>
    <row r="28" spans="1:7" x14ac:dyDescent="0.2">
      <c r="A28" s="33" t="s">
        <v>16</v>
      </c>
      <c r="B28" s="33" t="s">
        <v>199</v>
      </c>
      <c r="C28" s="80">
        <f>IF('AUGUST 2026'!L5="","",'AUGUST 2026'!L5)</f>
        <v>53.897343360030085</v>
      </c>
      <c r="D28" s="81">
        <v>53.897399999999998</v>
      </c>
      <c r="E28" s="82">
        <f t="shared" si="0"/>
        <v>-5.6639969912453125E-5</v>
      </c>
      <c r="F28" s="75" t="str">
        <f t="shared" si="1"/>
        <v>OK</v>
      </c>
      <c r="G28" s="76">
        <v>5.0000000000000001E-3</v>
      </c>
    </row>
    <row r="29" spans="1:7" x14ac:dyDescent="0.2">
      <c r="A29" s="33" t="s">
        <v>16</v>
      </c>
      <c r="B29" s="33" t="s">
        <v>200</v>
      </c>
      <c r="C29" s="80">
        <f>IF('AUGUST 2026'!M5="","",'AUGUST 2026'!M5)</f>
        <v>55.368115456398556</v>
      </c>
      <c r="D29" s="81">
        <v>55.368099999999998</v>
      </c>
      <c r="E29" s="82">
        <f t="shared" si="0"/>
        <v>1.5456398557489592E-5</v>
      </c>
      <c r="F29" s="75" t="str">
        <f t="shared" si="1"/>
        <v>OK</v>
      </c>
      <c r="G29" s="76">
        <v>5.0000000000000001E-3</v>
      </c>
    </row>
    <row r="30" spans="1:7" x14ac:dyDescent="0.2">
      <c r="A30" s="33" t="s">
        <v>16</v>
      </c>
      <c r="B30" s="33" t="s">
        <v>201</v>
      </c>
      <c r="C30" s="35">
        <f>IF('AUGUST 2026'!N5="","",'AUGUST 2026'!N5)</f>
        <v>697313</v>
      </c>
      <c r="D30" s="39">
        <v>697313</v>
      </c>
      <c r="E30" s="36">
        <f t="shared" si="0"/>
        <v>0</v>
      </c>
      <c r="F30" s="75" t="str">
        <f t="shared" si="1"/>
        <v>OK</v>
      </c>
      <c r="G30" s="76">
        <v>0.5</v>
      </c>
    </row>
    <row r="31" spans="1:7" x14ac:dyDescent="0.2">
      <c r="A31" s="33" t="s">
        <v>17</v>
      </c>
      <c r="B31" s="33" t="s">
        <v>189</v>
      </c>
      <c r="C31" s="35">
        <f>IF('SEPTEMBER 2026'!D29="","",'SEPTEMBER 2026'!D29)</f>
        <v>500744</v>
      </c>
      <c r="D31" s="39">
        <v>500744</v>
      </c>
      <c r="E31" s="36">
        <f t="shared" si="0"/>
        <v>0</v>
      </c>
      <c r="F31" s="75" t="str">
        <f t="shared" si="1"/>
        <v>OK</v>
      </c>
      <c r="G31" s="76">
        <v>0.5</v>
      </c>
    </row>
    <row r="32" spans="1:7" x14ac:dyDescent="0.2">
      <c r="A32" s="33" t="s">
        <v>17</v>
      </c>
      <c r="B32" s="33" t="s">
        <v>190</v>
      </c>
      <c r="C32" s="35">
        <f>IF('SEPTEMBER 2026'!E29="","",'SEPTEMBER 2026'!E29)</f>
        <v>372822</v>
      </c>
      <c r="D32" s="39">
        <v>372822</v>
      </c>
      <c r="E32" s="36">
        <f t="shared" si="0"/>
        <v>0</v>
      </c>
      <c r="F32" s="75" t="str">
        <f t="shared" si="1"/>
        <v>OK</v>
      </c>
      <c r="G32" s="76">
        <v>0.5</v>
      </c>
    </row>
    <row r="33" spans="1:7" x14ac:dyDescent="0.2">
      <c r="A33" s="33" t="s">
        <v>17</v>
      </c>
      <c r="B33" s="33" t="s">
        <v>191</v>
      </c>
      <c r="C33" s="77">
        <f>IF('SEPTEMBER 2026'!D5="","",'SEPTEMBER 2026'!D5)</f>
        <v>0.74453613023820553</v>
      </c>
      <c r="D33" s="78">
        <v>0.74453599999999998</v>
      </c>
      <c r="E33" s="79">
        <f t="shared" si="0"/>
        <v>1.3023820555346788E-7</v>
      </c>
      <c r="F33" s="75" t="str">
        <f t="shared" si="1"/>
        <v>OK</v>
      </c>
      <c r="G33" s="76">
        <v>5.0000000000000002E-5</v>
      </c>
    </row>
    <row r="34" spans="1:7" x14ac:dyDescent="0.2">
      <c r="A34" s="33" t="s">
        <v>17</v>
      </c>
      <c r="B34" s="33" t="s">
        <v>192</v>
      </c>
      <c r="C34" s="77">
        <f>IF('SEPTEMBER 2026'!E5="","",'SEPTEMBER 2026'!E5)</f>
        <v>0.25546386976179447</v>
      </c>
      <c r="D34" s="78">
        <v>0.25546400000000002</v>
      </c>
      <c r="E34" s="79">
        <f t="shared" si="0"/>
        <v>-1.3023820555346788E-7</v>
      </c>
      <c r="F34" s="75" t="str">
        <f t="shared" si="1"/>
        <v>OK</v>
      </c>
      <c r="G34" s="76">
        <v>5.0000000000000002E-5</v>
      </c>
    </row>
    <row r="35" spans="1:7" x14ac:dyDescent="0.2">
      <c r="A35" s="33" t="s">
        <v>17</v>
      </c>
      <c r="B35" s="33" t="s">
        <v>193</v>
      </c>
      <c r="C35" s="18">
        <f>IF('SEPTEMBER 2026'!F5="","",'SEPTEMBER 2026'!F5)</f>
        <v>59283.5</v>
      </c>
      <c r="D35" s="41">
        <v>59283.5</v>
      </c>
      <c r="E35" s="37">
        <f t="shared" si="0"/>
        <v>0</v>
      </c>
      <c r="F35" s="75" t="str">
        <f t="shared" si="1"/>
        <v>OK</v>
      </c>
      <c r="G35" s="76">
        <v>0.05</v>
      </c>
    </row>
    <row r="36" spans="1:7" x14ac:dyDescent="0.2">
      <c r="A36" s="33" t="s">
        <v>17</v>
      </c>
      <c r="B36" s="33" t="s">
        <v>194</v>
      </c>
      <c r="C36" s="77">
        <f>IF('SEPTEMBER 2026'!G5="","",'SEPTEMBER 2026'!G5)</f>
        <v>0.15901288014119339</v>
      </c>
      <c r="D36" s="78">
        <v>0.15901299999999999</v>
      </c>
      <c r="E36" s="79">
        <f t="shared" si="0"/>
        <v>-1.1985880660203563E-7</v>
      </c>
      <c r="F36" s="75" t="str">
        <f t="shared" si="1"/>
        <v>OK</v>
      </c>
      <c r="G36" s="76">
        <v>5.0000000000000002E-5</v>
      </c>
    </row>
    <row r="37" spans="1:7" x14ac:dyDescent="0.2">
      <c r="A37" s="33" t="s">
        <v>17</v>
      </c>
      <c r="B37" s="33" t="s">
        <v>195</v>
      </c>
      <c r="C37" s="80">
        <f>IF('SEPTEMBER 2026'!H5="","",'SEPTEMBER 2026'!H5)</f>
        <v>43.060268083691469</v>
      </c>
      <c r="D37" s="81">
        <v>43.060299999999998</v>
      </c>
      <c r="E37" s="82">
        <f t="shared" si="0"/>
        <v>-3.1916308529389426E-5</v>
      </c>
      <c r="F37" s="75" t="str">
        <f t="shared" si="1"/>
        <v>OK</v>
      </c>
      <c r="G37" s="76">
        <v>5.0000000000000001E-3</v>
      </c>
    </row>
    <row r="38" spans="1:7" x14ac:dyDescent="0.2">
      <c r="A38" s="33" t="s">
        <v>17</v>
      </c>
      <c r="B38" s="33" t="s">
        <v>196</v>
      </c>
      <c r="C38" s="80">
        <f>IF('SEPTEMBER 2026'!I5="","",'SEPTEMBER 2026'!I5)</f>
        <v>44.029832528177693</v>
      </c>
      <c r="D38" s="81">
        <v>44.029800000000002</v>
      </c>
      <c r="E38" s="82">
        <f t="shared" si="0"/>
        <v>3.2528177690949178E-5</v>
      </c>
      <c r="F38" s="75" t="str">
        <f t="shared" si="1"/>
        <v>OK</v>
      </c>
      <c r="G38" s="76">
        <v>5.0000000000000001E-3</v>
      </c>
    </row>
    <row r="39" spans="1:7" x14ac:dyDescent="0.2">
      <c r="A39" s="33" t="s">
        <v>17</v>
      </c>
      <c r="B39" s="33" t="s">
        <v>197</v>
      </c>
      <c r="C39" s="80">
        <f>IF('SEPTEMBER 2026'!J5="","",'SEPTEMBER 2026'!J5)</f>
        <v>0.90595346802079746</v>
      </c>
      <c r="D39" s="81">
        <v>0.90600000000000003</v>
      </c>
      <c r="E39" s="82">
        <f t="shared" si="0"/>
        <v>-4.6531979202568685E-5</v>
      </c>
      <c r="F39" s="75" t="str">
        <f t="shared" si="1"/>
        <v>OK</v>
      </c>
      <c r="G39" s="76">
        <v>5.0000000000000001E-3</v>
      </c>
    </row>
    <row r="40" spans="1:7" x14ac:dyDescent="0.2">
      <c r="A40" s="33" t="s">
        <v>17</v>
      </c>
      <c r="B40" s="33" t="s">
        <v>198</v>
      </c>
      <c r="C40" s="77">
        <f>IF('SEPTEMBER 2026'!K5="","",'SEPTEMBER 2026'!K5)</f>
        <v>2.0772715553754924E-2</v>
      </c>
      <c r="D40" s="78">
        <v>2.0773E-2</v>
      </c>
      <c r="E40" s="79">
        <f t="shared" si="0"/>
        <v>-2.8444624507531491E-7</v>
      </c>
      <c r="F40" s="75" t="str">
        <f t="shared" si="1"/>
        <v>OK</v>
      </c>
      <c r="G40" s="76">
        <v>5.0000000000000002E-5</v>
      </c>
    </row>
    <row r="41" spans="1:7" x14ac:dyDescent="0.2">
      <c r="A41" s="33" t="s">
        <v>17</v>
      </c>
      <c r="B41" s="33" t="s">
        <v>199</v>
      </c>
      <c r="C41" s="80">
        <f>IF('SEPTEMBER 2026'!L5="","",'SEPTEMBER 2026'!L5)</f>
        <v>57.83502819388341</v>
      </c>
      <c r="D41" s="81">
        <v>57.835000000000001</v>
      </c>
      <c r="E41" s="82">
        <f t="shared" si="0"/>
        <v>2.8193883409244336E-5</v>
      </c>
      <c r="F41" s="75" t="str">
        <f t="shared" si="1"/>
        <v>OK</v>
      </c>
      <c r="G41" s="76">
        <v>5.0000000000000001E-3</v>
      </c>
    </row>
    <row r="42" spans="1:7" x14ac:dyDescent="0.2">
      <c r="A42" s="33" t="s">
        <v>17</v>
      </c>
      <c r="B42" s="33" t="s">
        <v>200</v>
      </c>
      <c r="C42" s="80" t="str">
        <f>IF('SEPTEMBER 2026'!M5="","",'SEPTEMBER 2026'!M5)</f>
        <v/>
      </c>
      <c r="D42" s="81"/>
      <c r="E42" s="82" t="str">
        <f t="shared" si="0"/>
        <v/>
      </c>
      <c r="F42" s="75" t="str">
        <f t="shared" si="1"/>
        <v>OK (blank on purpose)</v>
      </c>
      <c r="G42" s="76">
        <v>5.0000000000000001E-3</v>
      </c>
    </row>
    <row r="43" spans="1:7" x14ac:dyDescent="0.2">
      <c r="A43" s="33" t="s">
        <v>17</v>
      </c>
      <c r="B43" s="33" t="s">
        <v>201</v>
      </c>
      <c r="C43" s="35">
        <f>IF('SEPTEMBER 2026'!N5="","",'SEPTEMBER 2026'!N5)</f>
        <v>362787</v>
      </c>
      <c r="D43" s="39">
        <v>362787</v>
      </c>
      <c r="E43" s="36">
        <f t="shared" si="0"/>
        <v>0</v>
      </c>
      <c r="F43" s="75" t="str">
        <f t="shared" si="1"/>
        <v>OK</v>
      </c>
      <c r="G43" s="76">
        <v>0.5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EOQ Summary</vt:lpstr>
      <vt:lpstr>JULY 2026</vt:lpstr>
      <vt:lpstr>AUGUST 2026</vt:lpstr>
      <vt:lpstr>SEPTEMBER 2026</vt:lpstr>
      <vt:lpstr>RC Movement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Renzo Sy</cp:lastModifiedBy>
  <cp:revision>0</cp:revision>
  <dcterms:created xsi:type="dcterms:W3CDTF">2026-09-17T07:10:06Z</dcterms:created>
  <dcterms:modified xsi:type="dcterms:W3CDTF">2026-09-17T07:17:30Z</dcterms:modified>
  <dc:language>en-PH</dc:language>
</cp:coreProperties>
</file>